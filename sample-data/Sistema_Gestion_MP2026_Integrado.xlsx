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Panel" sheetId="1" state="visible" r:id="rId3"/>
    <sheet name="Pendientes" sheetId="2" state="visible" r:id="rId4"/>
    <sheet name="Ficha de Equipo" sheetId="3" state="visible" r:id="rId5"/>
    <sheet name="Tablero" sheetId="4" state="visible" r:id="rId6"/>
    <sheet name="MP Carta 2026" sheetId="5" state="visible" r:id="rId7"/>
    <sheet name="Registro MP" sheetId="6" state="visible" r:id="rId8"/>
    <sheet name="Catálogos" sheetId="7" state="visible" r:id="rId9"/>
    <sheet name="Equipos" sheetId="8" state="visible" r:id="rId10"/>
    <sheet name="1. Órdenes de Trabajo" sheetId="9" state="visible" r:id="rId11"/>
    <sheet name="2. Línea de Compra" sheetId="10" state="visible" r:id="rId12"/>
    <sheet name="3. Repuestos" sheetId="11" state="visible" r:id="rId13"/>
    <sheet name="4. Visitas Técnicas" sheetId="12" state="visible" r:id="rId14"/>
    <sheet name="5. Servicio Técnico (Envíos)" sheetId="13" state="visible" r:id="rId15"/>
    <sheet name="6. Bajas" sheetId="14" state="visible" r:id="rId16"/>
    <sheet name="7. Reparación en Terreno" sheetId="15" state="visible" r:id="rId17"/>
  </sheets>
  <definedNames>
    <definedName function="false" hidden="true" localSheetId="8" name="_xlnm._FilterDatabase" vbProcedure="false">'1. Órdenes de Trabajo'!$A$1:$K$301</definedName>
    <definedName function="false" hidden="true" localSheetId="7" name="_xlnm._FilterDatabase" vbProcedure="false">Equipos!$A$1:$M$1</definedName>
    <definedName function="false" hidden="true" localSheetId="1" name="_xlnm._FilterDatabase" vbProcedure="false">Pendientes!$A$1:$P$1</definedName>
    <definedName function="false" hidden="true" localSheetId="5" name="_xlnm._FilterDatabase" vbProcedure="false">'Registro MP'!$A$1:$Q$1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37" authorId="0">
      <text>
        <r>
          <rPr>
            <sz val="10"/>
            <rFont val="Arial"/>
            <family val="2"/>
          </rPr>
          <t xml:space="preserve">Cuenta cuántas de las 4 categorías (E40:E43) tienen diferencia ≠ 0 entre matriz y bitácora. Verde = todas cuadran.</t>
        </r>
      </text>
    </comment>
  </commentList>
</comments>
</file>

<file path=xl/sharedStrings.xml><?xml version="1.0" encoding="utf-8"?>
<sst xmlns="http://schemas.openxmlformats.org/spreadsheetml/2006/main" count="18877" uniqueCount="2929">
  <si>
    <t xml:space="preserve">Panel · Sistema de Gestión MP 2026</t>
  </si>
  <si>
    <t xml:space="preserve">Pulso del equipamiento clínico — HHHA · se actualiza al abrir en Excel</t>
  </si>
  <si>
    <t xml:space="preserve">Hoy:</t>
  </si>
  <si>
    <t xml:space="preserve">OPERATIVIDAD (hoy)</t>
  </si>
  <si>
    <t xml:space="preserve">Casos abiertos</t>
  </si>
  <si>
    <t xml:space="preserve">Equipos No Operativos</t>
  </si>
  <si>
    <t xml:space="preserve">En servicio técnico</t>
  </si>
  <si>
    <t xml:space="preserve">Dados de baja</t>
  </si>
  <si>
    <t xml:space="preserve">Pend. documentales</t>
  </si>
  <si>
    <t xml:space="preserve">PROGRAMA PREVENTIVO 2026</t>
  </si>
  <si>
    <t xml:space="preserve">MP programadas</t>
  </si>
  <si>
    <t xml:space="preserve">MP ejecutadas</t>
  </si>
  <si>
    <t xml:space="preserve">% avance</t>
  </si>
  <si>
    <t xml:space="preserve">Reprogramadas</t>
  </si>
  <si>
    <t xml:space="preserve">Por correctivo</t>
  </si>
  <si>
    <t xml:space="preserve">PENDIENTES (cola de acción)</t>
  </si>
  <si>
    <t xml:space="preserve">Por hacer</t>
  </si>
  <si>
    <t xml:space="preserve">Vencidos</t>
  </si>
  <si>
    <t xml:space="preserve">Completados</t>
  </si>
  <si>
    <t xml:space="preserve">EQUIPOS CRÍTICOS — en correctivo + preventivo + pendientes</t>
  </si>
  <si>
    <t xml:space="preserve">N° Inventario</t>
  </si>
  <si>
    <t xml:space="preserve">Equipo</t>
  </si>
  <si>
    <t xml:space="preserve">Servicio</t>
  </si>
  <si>
    <t xml:space="preserve">Caso abierto</t>
  </si>
  <si>
    <t xml:space="preserve">Pend. por hacer</t>
  </si>
  <si>
    <t xml:space="preserve">2-013590</t>
  </si>
  <si>
    <t xml:space="preserve">2-110571</t>
  </si>
  <si>
    <t xml:space="preserve">2-119890</t>
  </si>
  <si>
    <t xml:space="preserve">2-119891</t>
  </si>
  <si>
    <t xml:space="preserve">2-121203</t>
  </si>
  <si>
    <t xml:space="preserve">IR A:</t>
  </si>
  <si>
    <t xml:space="preserve">CONCILIACIÓN — MATRIZ ↔ BITÁCORA</t>
  </si>
  <si>
    <t xml:space="preserve">MP Carta (matriz) vs Registro MP (bitácora) · se actualiza al abrir · Ejec: E↔Sí  ·  No ejec: C2/C3  ·  Reprog: R↔C1/C5–C8  ·  Baja: B↔Baja</t>
  </si>
  <si>
    <t xml:space="preserve">RESULTADO GLOBAL</t>
  </si>
  <si>
    <t xml:space="preserve">Categoría</t>
  </si>
  <si>
    <t xml:space="preserve">MP Carta</t>
  </si>
  <si>
    <t xml:space="preserve">Registro MP</t>
  </si>
  <si>
    <t xml:space="preserve">Δ</t>
  </si>
  <si>
    <t xml:space="preserve">Estado</t>
  </si>
  <si>
    <t xml:space="preserve">Ejecutadas</t>
  </si>
  <si>
    <t xml:space="preserve">No ejec. x falla</t>
  </si>
  <si>
    <t xml:space="preserve">Bajas</t>
  </si>
  <si>
    <t xml:space="preserve">Solo en bitácora (No/NU, sin slot en matriz):</t>
  </si>
  <si>
    <t xml:space="preserve">Serie</t>
  </si>
  <si>
    <t xml:space="preserve">Tipo de pendiente</t>
  </si>
  <si>
    <t xml:space="preserve">Fecha compromiso</t>
  </si>
  <si>
    <t xml:space="preserve">Días de atraso</t>
  </si>
  <si>
    <t xml:space="preserve">Situación</t>
  </si>
  <si>
    <t xml:space="preserve">Prioridad</t>
  </si>
  <si>
    <t xml:space="preserve">Responsable Ejecutivo</t>
  </si>
  <si>
    <t xml:space="preserve">Responsable Administrativo</t>
  </si>
  <si>
    <t xml:space="preserve">En espera de</t>
  </si>
  <si>
    <t xml:space="preserve">Descripción</t>
  </si>
  <si>
    <t xml:space="preserve">Tareas</t>
  </si>
  <si>
    <t xml:space="preserve">Fecha completado</t>
  </si>
  <si>
    <t xml:space="preserve">Creado</t>
  </si>
  <si>
    <t xml:space="preserve">DEA</t>
  </si>
  <si>
    <t xml:space="preserve">X21J421750</t>
  </si>
  <si>
    <t xml:space="preserve">121010-020241</t>
  </si>
  <si>
    <t xml:space="preserve">Pauta de Monitoreo Diario</t>
  </si>
  <si>
    <t xml:space="preserve">Resuelto</t>
  </si>
  <si>
    <t xml:space="preserve">Hecho</t>
  </si>
  <si>
    <t xml:space="preserve">Media</t>
  </si>
  <si>
    <t xml:space="preserve">Carlos Bahamondes Seguel</t>
  </si>
  <si>
    <t xml:space="preserve">Cristián Beltrán Oviedo</t>
  </si>
  <si>
    <t xml:space="preserve">Pauta de monitoreo diario Enero hasta Abril</t>
  </si>
  <si>
    <t xml:space="preserve">—</t>
  </si>
  <si>
    <t xml:space="preserve">122002985</t>
  </si>
  <si>
    <t xml:space="preserve">2-001551</t>
  </si>
  <si>
    <t xml:space="preserve">Pauta de monitoreo enero, febrero, abril y mayo</t>
  </si>
  <si>
    <t xml:space="preserve">40361</t>
  </si>
  <si>
    <t xml:space="preserve">2-134461</t>
  </si>
  <si>
    <t xml:space="preserve">Vigente</t>
  </si>
  <si>
    <t xml:space="preserve">En proceso</t>
  </si>
  <si>
    <t xml:space="preserve">Pauta de monitoreo Enero, Febrero,, Marzo, Abril, Mayo</t>
  </si>
  <si>
    <t xml:space="preserve">13036</t>
  </si>
  <si>
    <t xml:space="preserve">121010-019243</t>
  </si>
  <si>
    <t xml:space="preserve">Pauta de monitoreo diario meses noviembre, diciembre (2025) enero, febrero, marzo, abril (2026)</t>
  </si>
  <si>
    <t xml:space="preserve">X21A332744</t>
  </si>
  <si>
    <t xml:space="preserve">2-121624</t>
  </si>
  <si>
    <t xml:space="preserve">Vencido</t>
  </si>
  <si>
    <t xml:space="preserve">Pauta de monitoreo</t>
  </si>
  <si>
    <t xml:space="preserve">122002994</t>
  </si>
  <si>
    <t xml:space="preserve">2-112273</t>
  </si>
  <si>
    <t xml:space="preserve">Pauta de monitoreo diario enero y febrero</t>
  </si>
  <si>
    <t xml:space="preserve">AE7-24048210</t>
  </si>
  <si>
    <t xml:space="preserve">2-124605</t>
  </si>
  <si>
    <t xml:space="preserve">Pauta de monitoreo diario</t>
  </si>
  <si>
    <t xml:space="preserve">40422</t>
  </si>
  <si>
    <t xml:space="preserve">2-134460</t>
  </si>
  <si>
    <t xml:space="preserve">Pauta de monitoreo diario abril </t>
  </si>
  <si>
    <t xml:space="preserve">122003001</t>
  </si>
  <si>
    <t xml:space="preserve">2-112274</t>
  </si>
  <si>
    <t xml:space="preserve">pauta de monitoreo diario de enero, febreo, abril y mayo</t>
  </si>
  <si>
    <t xml:space="preserve">122002995</t>
  </si>
  <si>
    <t xml:space="preserve">2-112275</t>
  </si>
  <si>
    <t xml:space="preserve">Documento faltante</t>
  </si>
  <si>
    <t xml:space="preserve">Pauta de monitoreo diario abril y mayo</t>
  </si>
  <si>
    <t xml:space="preserve">122003000</t>
  </si>
  <si>
    <t xml:space="preserve">2-112276</t>
  </si>
  <si>
    <t xml:space="preserve">paura de monitoreo diario de enero, febreo, abril y mayo</t>
  </si>
  <si>
    <t xml:space="preserve">122002981</t>
  </si>
  <si>
    <t xml:space="preserve">2-112277</t>
  </si>
  <si>
    <t xml:space="preserve">pauta de monitoreo diario de enero, febrero, abril y mayo</t>
  </si>
  <si>
    <t xml:space="preserve">122002988</t>
  </si>
  <si>
    <t xml:space="preserve">2-112278</t>
  </si>
  <si>
    <t xml:space="preserve">Desfibrilador</t>
  </si>
  <si>
    <t xml:space="preserve">40979213</t>
  </si>
  <si>
    <t xml:space="preserve">2-024418</t>
  </si>
  <si>
    <t xml:space="preserve">Gestión general</t>
  </si>
  <si>
    <t xml:space="preserve">Solicitar al servicio que haga la solicitud de trabajo e informar</t>
  </si>
  <si>
    <t xml:space="preserve">Monitor Multiparámetros</t>
  </si>
  <si>
    <t xml:space="preserve">CN12099174</t>
  </si>
  <si>
    <t xml:space="preserve">2-126872</t>
  </si>
  <si>
    <t xml:space="preserve">Reprogramación MP</t>
  </si>
  <si>
    <t xml:space="preserve">Sacar reprogramación, MP le correspondia en Abril</t>
  </si>
  <si>
    <t xml:space="preserve">AF1-48110851</t>
  </si>
  <si>
    <t xml:space="preserve">2-134465</t>
  </si>
  <si>
    <t xml:space="preserve">Pauta de monitoreo diario Abril</t>
  </si>
  <si>
    <t xml:space="preserve">X18E028657</t>
  </si>
  <si>
    <t xml:space="preserve">2-117973</t>
  </si>
  <si>
    <t xml:space="preserve">Ventilador Mecánico</t>
  </si>
  <si>
    <t xml:space="preserve">3512202231</t>
  </si>
  <si>
    <t xml:space="preserve">200717-005511</t>
  </si>
  <si>
    <t xml:space="preserve">Falta firma del servicio clinico</t>
  </si>
  <si>
    <t xml:space="preserve">Máquina de Anestesia</t>
  </si>
  <si>
    <t xml:space="preserve">ASMB-0231</t>
  </si>
  <si>
    <t xml:space="preserve">2-117816</t>
  </si>
  <si>
    <t xml:space="preserve">Cristina Rozas Urrutia</t>
  </si>
  <si>
    <t xml:space="preserve">Consultar estado</t>
  </si>
  <si>
    <t xml:space="preserve">Marco Ulloa</t>
  </si>
  <si>
    <t xml:space="preserve">Reprogramar MP por causal C3 — Equipo no operativo, a la espera de repuestos o accesorios. Sin fecha definida, depende del reintegro del equipo al servicio.</t>
  </si>
  <si>
    <t xml:space="preserve">ASMB-0230</t>
  </si>
  <si>
    <t xml:space="preserve">2-117815</t>
  </si>
  <si>
    <t xml:space="preserve">Durante mantención preventiva se instala repuesto de freno, sin embargo, queda pendiente instalación de pieza en custodia de cliente</t>
  </si>
  <si>
    <t xml:space="preserve">ARYA-0174</t>
  </si>
  <si>
    <t xml:space="preserve">2-017350</t>
  </si>
  <si>
    <t xml:space="preserve">Cotizar repuestos para las reparaciones</t>
  </si>
  <si>
    <t xml:space="preserve">Reparar sistema interlock (instalación de barra intermedia)</t>
  </si>
  <si>
    <t xml:space="preserve">22060100003</t>
  </si>
  <si>
    <t xml:space="preserve">2-124762</t>
  </si>
  <si>
    <t xml:space="preserve">Daniel Díaz Neira</t>
  </si>
  <si>
    <t xml:space="preserve">Entregado a daniel, falta la firma de marco</t>
  </si>
  <si>
    <t xml:space="preserve">PSHH501479</t>
  </si>
  <si>
    <t xml:space="preserve">2-121002</t>
  </si>
  <si>
    <t xml:space="preserve">entregado a daniel, falta firma de marco</t>
  </si>
  <si>
    <t xml:space="preserve">Reprogramar MP por causal C8 — Contingencia hospitalaria. Reprogramación dentro del mes siguiente (norma PMP).</t>
  </si>
  <si>
    <t xml:space="preserve">G3HQ40045</t>
  </si>
  <si>
    <t xml:space="preserve">2-118718</t>
  </si>
  <si>
    <t xml:space="preserve">documento entregado a daniel, falta la firma de marco</t>
  </si>
  <si>
    <t xml:space="preserve">Cambiar la etiqueta de la carpeta, no tiene el numero de inventario</t>
  </si>
  <si>
    <t xml:space="preserve">ASHK-0151</t>
  </si>
  <si>
    <t xml:space="preserve">Sacar reprogramación revisar si corresponde C6 o no porque quizás estaba en servicio tecnico</t>
  </si>
  <si>
    <t xml:space="preserve">ASNM-0003</t>
  </si>
  <si>
    <t xml:space="preserve">2-120946</t>
  </si>
  <si>
    <t xml:space="preserve">Abril, causal c6</t>
  </si>
  <si>
    <t xml:space="preserve">ASNM-0005</t>
  </si>
  <si>
    <t xml:space="preserve">2-120943</t>
  </si>
  <si>
    <t xml:space="preserve">REPROGRAMACION CAUSAL C6</t>
  </si>
  <si>
    <t xml:space="preserve">Ventilador Mecánico </t>
  </si>
  <si>
    <t xml:space="preserve">ASFN-0006</t>
  </si>
  <si>
    <t xml:space="preserve">2-013592</t>
  </si>
  <si>
    <t xml:space="preserve">Ricardo Matus Aroca</t>
  </si>
  <si>
    <t xml:space="preserve">Reprogramar MP por causal C6 — No disponibilidad de HH servicio técnico externo. Reprogramar dentro de 30 días.</t>
  </si>
  <si>
    <t xml:space="preserve">ASFN-0008</t>
  </si>
  <si>
    <t xml:space="preserve">Firma de marco</t>
  </si>
  <si>
    <t xml:space="preserve">ASKK-0200</t>
  </si>
  <si>
    <t xml:space="preserve">2-116292</t>
  </si>
  <si>
    <t xml:space="preserve">firma marco ulloa</t>
  </si>
  <si>
    <t xml:space="preserve">ASKL-0007</t>
  </si>
  <si>
    <t xml:space="preserve">2-116300</t>
  </si>
  <si>
    <t xml:space="preserve">Firma marco</t>
  </si>
  <si>
    <t xml:space="preserve">ASFN-0009</t>
  </si>
  <si>
    <t xml:space="preserve">2-112327</t>
  </si>
  <si>
    <t xml:space="preserve">5494528944</t>
  </si>
  <si>
    <t xml:space="preserve">2-024297</t>
  </si>
  <si>
    <t xml:space="preserve">le tocaba en abril pero se hizo en mayo porqué?</t>
  </si>
  <si>
    <t xml:space="preserve">01117.</t>
  </si>
  <si>
    <t xml:space="preserve">2-024122</t>
  </si>
  <si>
    <t xml:space="preserve">Localizar equipo (resultado MP = NU)</t>
  </si>
  <si>
    <t xml:space="preserve">5495188658</t>
  </si>
  <si>
    <t xml:space="preserve">2-022659</t>
  </si>
  <si>
    <t xml:space="preserve">Solicitar a cristina que genere una solicitud de trabajo</t>
  </si>
  <si>
    <t xml:space="preserve">DE351C1466</t>
  </si>
  <si>
    <t xml:space="preserve">2-117056</t>
  </si>
  <si>
    <t xml:space="preserve">Solicitar al servicio que generene la solicitud de trabajo</t>
  </si>
  <si>
    <t xml:space="preserve">Reprogramar MP por causal C8 — Contingencia hospitalaria. Reprogramar dentro de 30 días.</t>
  </si>
  <si>
    <t xml:space="preserve">Solicitar al servicio que haga la solicitud de trabajo</t>
  </si>
  <si>
    <t xml:space="preserve">ASLE-0157</t>
  </si>
  <si>
    <t xml:space="preserve">2-119687</t>
  </si>
  <si>
    <t xml:space="preserve">Falta reprogramación causal C6</t>
  </si>
  <si>
    <t xml:space="preserve">1045</t>
  </si>
  <si>
    <t xml:space="preserve">2-004584</t>
  </si>
  <si>
    <t xml:space="preserve">Tito Millapán Riquelme</t>
  </si>
  <si>
    <t xml:space="preserve">Preguntar a tito que pasa con este equipo</t>
  </si>
  <si>
    <t xml:space="preserve">Guia de despacho mas informe de reparación drager</t>
  </si>
  <si>
    <t xml:space="preserve">falta el reporte de mantención prevenentiva interno del 19-02-2026</t>
  </si>
  <si>
    <t xml:space="preserve">Reprogramar MP por causal C3 — Equipo no operativo, espera de repuestos/accesorios. Esperar reintegro del equipo.</t>
  </si>
  <si>
    <t xml:space="preserve">Máquina Diálisis</t>
  </si>
  <si>
    <t xml:space="preserve">8VCAJN39</t>
  </si>
  <si>
    <t xml:space="preserve">2-113999</t>
  </si>
  <si>
    <t xml:space="preserve">3SXA4HCP</t>
  </si>
  <si>
    <t xml:space="preserve">2-128062</t>
  </si>
  <si>
    <t xml:space="preserve">3SXA4HDJ</t>
  </si>
  <si>
    <t xml:space="preserve">2-128045</t>
  </si>
  <si>
    <t xml:space="preserve">Falta el reporte interno de mantencion</t>
  </si>
  <si>
    <t xml:space="preserve">122002983</t>
  </si>
  <si>
    <t xml:space="preserve">2-002371</t>
  </si>
  <si>
    <t xml:space="preserve">Pautal de monitoreo DIario, diciembre, enero, febrero, abril, mayo</t>
  </si>
  <si>
    <t xml:space="preserve">5494269849</t>
  </si>
  <si>
    <t xml:space="preserve">2-003489</t>
  </si>
  <si>
    <t xml:space="preserve">Falta reporte de mantencion preventiva de febrero
</t>
  </si>
  <si>
    <t xml:space="preserve">DGM40040</t>
  </si>
  <si>
    <t xml:space="preserve">2-121536</t>
  </si>
  <si>
    <t xml:space="preserve">Seguimiento de estado</t>
  </si>
  <si>
    <t xml:space="preserve">REVISAR EL ESTADO DE ESTE EQUIPO</t>
  </si>
  <si>
    <t xml:space="preserve">[x] preguntar a tito</t>
  </si>
  <si>
    <t xml:space="preserve">CN92392265</t>
  </si>
  <si>
    <t xml:space="preserve">2-121711</t>
  </si>
  <si>
    <t xml:space="preserve">Matías Soazo Garrido</t>
  </si>
  <si>
    <t xml:space="preserve">Falta reprogramación del mes de marzo</t>
  </si>
  <si>
    <t xml:space="preserve">JH01B910008</t>
  </si>
  <si>
    <t xml:space="preserve">2-133676</t>
  </si>
  <si>
    <t xml:space="preserve">[x] Le solicité a matias que lo entregara</t>
  </si>
  <si>
    <t xml:space="preserve">JH01B910020</t>
  </si>
  <si>
    <t xml:space="preserve">2-133677</t>
  </si>
  <si>
    <t xml:space="preserve">JH01B910011</t>
  </si>
  <si>
    <t xml:space="preserve">2-133678</t>
  </si>
  <si>
    <t xml:space="preserve">JH01B910002</t>
  </si>
  <si>
    <t xml:space="preserve">2-133679</t>
  </si>
  <si>
    <t xml:space="preserve">1029</t>
  </si>
  <si>
    <t xml:space="preserve">2-008451</t>
  </si>
  <si>
    <t xml:space="preserve">5395660070</t>
  </si>
  <si>
    <t xml:space="preserve">2-112502</t>
  </si>
  <si>
    <t xml:space="preserve">23307030152</t>
  </si>
  <si>
    <t xml:space="preserve">2-112577</t>
  </si>
  <si>
    <t xml:space="preserve">3SXA4HC6</t>
  </si>
  <si>
    <t xml:space="preserve">2-128041</t>
  </si>
  <si>
    <t xml:space="preserve">Falta reporte de la empresa</t>
  </si>
  <si>
    <t xml:space="preserve">Reprogramar MP por causal C5 — No disponibilidad de HH funcionario SEC (carga laboral). Reprogramar dentro de 30 días.</t>
  </si>
  <si>
    <t xml:space="preserve">5497</t>
  </si>
  <si>
    <t xml:space="preserve">2-133451</t>
  </si>
  <si>
    <t xml:space="preserve">Falta el reporte de mantencion preventiva de la empresa, asunto del correo "Solicitud cotizacion MP Hamilton"</t>
  </si>
  <si>
    <t xml:space="preserve">5613360578</t>
  </si>
  <si>
    <t xml:space="preserve">2-117812</t>
  </si>
  <si>
    <t xml:space="preserve">GUIA DE DESPACHO</t>
  </si>
  <si>
    <t xml:space="preserve">ASSM-0041</t>
  </si>
  <si>
    <t xml:space="preserve">200717-011500</t>
  </si>
  <si>
    <t xml:space="preserve">Firma faltante</t>
  </si>
  <si>
    <t xml:space="preserve">FIrma de reporte interno</t>
  </si>
  <si>
    <t xml:space="preserve">[x] Sacar firma de don Ricardo
[ ] Sacar firma de servicio clinico
[x] pegar etiqueta en carpeta</t>
  </si>
  <si>
    <t xml:space="preserve">ARYA-0173</t>
  </si>
  <si>
    <t xml:space="preserve">2-024432</t>
  </si>
  <si>
    <t xml:space="preserve">Personal externo</t>
  </si>
  <si>
    <t xml:space="preserve">reporte interno de mantención preventiva</t>
  </si>
  <si>
    <t xml:space="preserve">ASHB-0261</t>
  </si>
  <si>
    <t xml:space="preserve">2-024352</t>
  </si>
  <si>
    <t xml:space="preserve">reporte interno mp Luis</t>
  </si>
  <si>
    <t xml:space="preserve">ASDK-0158</t>
  </si>
  <si>
    <t xml:space="preserve">2-017325</t>
  </si>
  <si>
    <t xml:space="preserve">reporte interno MP Luis</t>
  </si>
  <si>
    <t xml:space="preserve">Ficha de Equipo</t>
  </si>
  <si>
    <t xml:space="preserve">Elige el N° de inventario y verás todo su estado e historial</t>
  </si>
  <si>
    <t xml:space="preserve">N° Inventario:</t>
  </si>
  <si>
    <t xml:space="preserve">2-118732</t>
  </si>
  <si>
    <t xml:space="preserve">IDENTIDAD</t>
  </si>
  <si>
    <t xml:space="preserve">Ubicación</t>
  </si>
  <si>
    <t xml:space="preserve">Marca</t>
  </si>
  <si>
    <t xml:space="preserve">Modelo</t>
  </si>
  <si>
    <t xml:space="preserve">ESTADO ACTUAL</t>
  </si>
  <si>
    <t xml:space="preserve">¿Caso correctivo abierto?</t>
  </si>
  <si>
    <t xml:space="preserve">¿En servicio técnico?</t>
  </si>
  <si>
    <t xml:space="preserve">Pendientes por hacer</t>
  </si>
  <si>
    <t xml:space="preserve">MP ejecutadas / programadas</t>
  </si>
  <si>
    <t xml:space="preserve">PREVENTIVO 2026 (por mes)</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</si>
  <si>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</si>
  <si>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</si>
  <si>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</si>
  <si>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</si>
  <si>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</si>
  <si>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</si>
  <si>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</si>
  <si>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</si>
  <si>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</si>
  <si>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</si>
  <si>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</si>
  <si>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</si>
  <si>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HISTORIAL CORRECTIVO</t>
  </si>
  <si>
    <t xml:space="preserve">Folio</t>
  </si>
  <si>
    <t xml:space="preserve">Fecha OT</t>
  </si>
  <si>
    <t xml:space="preserve">Requerimiento</t>
  </si>
  <si>
    <t xml:space="preserve">Cierre</t>
  </si>
  <si>
    <t xml:space="preserve">HISTORIAL PREVENTIVO</t>
  </si>
  <si>
    <t xml:space="preserve">Mes</t>
  </si>
  <si>
    <t xml:space="preserve">Resultado</t>
  </si>
  <si>
    <t xml:space="preserve">Fecha</t>
  </si>
  <si>
    <t xml:space="preserve">Ingeniero</t>
  </si>
  <si>
    <t xml:space="preserve">PENDIENTES DEL EQUIPO</t>
  </si>
  <si>
    <t xml:space="preserve">Tipo</t>
  </si>
  <si>
    <t xml:space="preserve">Vence</t>
  </si>
  <si>
    <t xml:space="preserve">Responsable</t>
  </si>
  <si>
    <t xml:space="preserve">Tablero</t>
  </si>
  <si>
    <t xml:space="preserve">Operatividad correctiva en tiempo real y avance del programa preventivo 2026 · se actualiza solo al cargar datos</t>
  </si>
  <si>
    <t xml:space="preserve">En Servicio Técnico</t>
  </si>
  <si>
    <t xml:space="preserve">Casos cerrados</t>
  </si>
  <si>
    <t xml:space="preserve">Pendientes documentales</t>
  </si>
  <si>
    <t xml:space="preserve">Folio SIGEM</t>
  </si>
  <si>
    <t xml:space="preserve">Estado actual</t>
  </si>
  <si>
    <t xml:space="preserve">Técnico asignado</t>
  </si>
  <si>
    <t xml:space="preserve">Días abierto</t>
  </si>
  <si>
    <t xml:space="preserve">Evento</t>
  </si>
  <si>
    <t xml:space="preserve">Nota: el «Estado actual» se calcula así — si el equipo está en Bajas muestra «Baja»; si tiene un envío a servicio técnico sin retorno registrado muestra «Servicio Técnico»; en otro caso, el estado inicial de la OT. Solo se listan casos con evento «Abierto». Los días en rojo superan los 30.</t>
  </si>
  <si>
    <t xml:space="preserve">Pendientes documentales (equipo retornado/atendido, falta Reporte de Servicio)</t>
  </si>
  <si>
    <t xml:space="preserve">Incluye casos aunque la OT esté cerrada: el equipo opera, pero falta el respaldo documental para la carpeta física.</t>
  </si>
  <si>
    <t xml:space="preserve">Origen</t>
  </si>
  <si>
    <t xml:space="preserve">Empresa</t>
  </si>
  <si>
    <t xml:space="preserve">Resp. conseguir reporte</t>
  </si>
  <si>
    <t xml:space="preserve">Resp. administrativo</t>
  </si>
  <si>
    <t xml:space="preserve">Estado OT</t>
  </si>
  <si>
    <t xml:space="preserve">Mantención preventiva 2026 — avance del programa</t>
  </si>
  <si>
    <t xml:space="preserve">Resumen anual del preventivo. El detalle por mes y por equipo está en la hoja MP Carta 2026.</t>
  </si>
  <si>
    <t xml:space="preserve">Programadas</t>
  </si>
  <si>
    <t xml:space="preserve">Pendientes</t>
  </si>
  <si>
    <t xml:space="preserve">Atrasadas</t>
  </si>
  <si>
    <t xml:space="preserve">Programa de Mantención Preventiva 2026 — Carta de ejecución</t>
  </si>
  <si>
    <t xml:space="preserve">Un equipo por fila (los 966 de la base). Marca el código del mes en cada celda: X programada · E ejecutada · C2/C3 no ejecutada por falla · R reprogramada · B baja. La identidad del equipo se hereda de la hoja Equipos.</t>
  </si>
  <si>
    <t xml:space="preserve">Periodicidad</t>
  </si>
  <si>
    <t xml:space="preserve">x Correctivo</t>
  </si>
  <si>
    <t xml:space="preserve">E</t>
  </si>
  <si>
    <t xml:space="preserve">X</t>
  </si>
  <si>
    <t xml:space="preserve">R</t>
  </si>
  <si>
    <t xml:space="preserve">C3</t>
  </si>
  <si>
    <t xml:space="preserve">C2</t>
  </si>
  <si>
    <t xml:space="preserve">B</t>
  </si>
  <si>
    <t xml:space="preserve">Equipo (auto)</t>
  </si>
  <si>
    <t xml:space="preserve">N° Serie (auto)</t>
  </si>
  <si>
    <t xml:space="preserve">Servicio (auto)</t>
  </si>
  <si>
    <t xml:space="preserve">Marca (auto)</t>
  </si>
  <si>
    <t xml:space="preserve">Modelo (auto)</t>
  </si>
  <si>
    <t xml:space="preserve">Mes / período programado</t>
  </si>
  <si>
    <t xml:space="preserve">Ejecución</t>
  </si>
  <si>
    <t xml:space="preserve">Empresa (si externo)</t>
  </si>
  <si>
    <t xml:space="preserve">Descripción del resultado</t>
  </si>
  <si>
    <t xml:space="preserve">Fecha de ejecución</t>
  </si>
  <si>
    <t xml:space="preserve">Estado del equipo</t>
  </si>
  <si>
    <t xml:space="preserve">Ingeniero que ejecutó</t>
  </si>
  <si>
    <t xml:space="preserve">Protocolo interno entregado</t>
  </si>
  <si>
    <t xml:space="preserve">Protocolo empresa entregado</t>
  </si>
  <si>
    <t xml:space="preserve">Observaciones</t>
  </si>
  <si>
    <t xml:space="preserve">2-120325</t>
  </si>
  <si>
    <t xml:space="preserve">Septiembre</t>
  </si>
  <si>
    <t xml:space="preserve">Interno</t>
  </si>
  <si>
    <t xml:space="preserve">Sí</t>
  </si>
  <si>
    <t xml:space="preserve">Operativo</t>
  </si>
  <si>
    <t xml:space="preserve">Octubre</t>
  </si>
  <si>
    <t xml:space="preserve">No operativo</t>
  </si>
  <si>
    <t xml:space="preserve">Enero</t>
  </si>
  <si>
    <t xml:space="preserve">No</t>
  </si>
  <si>
    <t xml:space="preserve">[Conciliación auto] Importado desde maestro · Importación #18</t>
  </si>
  <si>
    <t xml:space="preserve">2-006455</t>
  </si>
  <si>
    <t xml:space="preserve">Externo</t>
  </si>
  <si>
    <t xml:space="preserve">Baja</t>
  </si>
  <si>
    <t xml:space="preserve">[Conciliación auto] Importado desde maestro · Importación #4</t>
  </si>
  <si>
    <t xml:space="preserve">2-121543</t>
  </si>
  <si>
    <t xml:space="preserve">C5</t>
  </si>
  <si>
    <t xml:space="preserve">2-121542</t>
  </si>
  <si>
    <t xml:space="preserve">2-121541</t>
  </si>
  <si>
    <t xml:space="preserve">2-121540</t>
  </si>
  <si>
    <t xml:space="preserve">2-121539</t>
  </si>
  <si>
    <t xml:space="preserve">2-121538</t>
  </si>
  <si>
    <t xml:space="preserve">2-121537</t>
  </si>
  <si>
    <t xml:space="preserve">2-121529</t>
  </si>
  <si>
    <t xml:space="preserve">2-121332</t>
  </si>
  <si>
    <t xml:space="preserve">2-121317</t>
  </si>
  <si>
    <t xml:space="preserve">C7</t>
  </si>
  <si>
    <t xml:space="preserve">2-121313</t>
  </si>
  <si>
    <t xml:space="preserve">2-121312</t>
  </si>
  <si>
    <t xml:space="preserve">2-121308</t>
  </si>
  <si>
    <t xml:space="preserve">2-119635</t>
  </si>
  <si>
    <t xml:space="preserve">2-118881</t>
  </si>
  <si>
    <t xml:space="preserve">2-118884</t>
  </si>
  <si>
    <t xml:space="preserve">2-117748</t>
  </si>
  <si>
    <t xml:space="preserve">2-117747</t>
  </si>
  <si>
    <t xml:space="preserve">2-117746</t>
  </si>
  <si>
    <t xml:space="preserve">2-117745</t>
  </si>
  <si>
    <t xml:space="preserve">2-117744</t>
  </si>
  <si>
    <t xml:space="preserve">2-117743</t>
  </si>
  <si>
    <t xml:space="preserve">2-117742</t>
  </si>
  <si>
    <t xml:space="preserve">2-117741</t>
  </si>
  <si>
    <t xml:space="preserve">2-117740</t>
  </si>
  <si>
    <t xml:space="preserve">2-117739</t>
  </si>
  <si>
    <t xml:space="preserve">2-117738</t>
  </si>
  <si>
    <t xml:space="preserve">2-117737</t>
  </si>
  <si>
    <t xml:space="preserve">2-117736</t>
  </si>
  <si>
    <t xml:space="preserve">2-117735</t>
  </si>
  <si>
    <t xml:space="preserve">2-117734</t>
  </si>
  <si>
    <t xml:space="preserve">2-117733</t>
  </si>
  <si>
    <t xml:space="preserve">2-110576</t>
  </si>
  <si>
    <t xml:space="preserve">2-113299</t>
  </si>
  <si>
    <t xml:space="preserve">2-110796</t>
  </si>
  <si>
    <t xml:space="preserve">2-110795</t>
  </si>
  <si>
    <t xml:space="preserve">2-111140</t>
  </si>
  <si>
    <t xml:space="preserve">2-111142</t>
  </si>
  <si>
    <t xml:space="preserve">2-110941</t>
  </si>
  <si>
    <t xml:space="preserve">2-110946</t>
  </si>
  <si>
    <t xml:space="preserve">2-110830</t>
  </si>
  <si>
    <t xml:space="preserve">2-110844</t>
  </si>
  <si>
    <t xml:space="preserve">2-110944</t>
  </si>
  <si>
    <t xml:space="preserve">2-110835</t>
  </si>
  <si>
    <t xml:space="preserve">2-110841</t>
  </si>
  <si>
    <t xml:space="preserve">2-110839</t>
  </si>
  <si>
    <t xml:space="preserve">2-110833</t>
  </si>
  <si>
    <t xml:space="preserve">2-110840</t>
  </si>
  <si>
    <t xml:space="preserve">2-110832</t>
  </si>
  <si>
    <t xml:space="preserve">2-110837</t>
  </si>
  <si>
    <t xml:space="preserve">2-110947</t>
  </si>
  <si>
    <t xml:space="preserve">2-110943</t>
  </si>
  <si>
    <t xml:space="preserve">2-110942</t>
  </si>
  <si>
    <t xml:space="preserve">2-110836</t>
  </si>
  <si>
    <t xml:space="preserve">2-110829</t>
  </si>
  <si>
    <t xml:space="preserve">2-110945</t>
  </si>
  <si>
    <t xml:space="preserve">2-110842</t>
  </si>
  <si>
    <t xml:space="preserve">2-110828</t>
  </si>
  <si>
    <t xml:space="preserve">2-110834</t>
  </si>
  <si>
    <t xml:space="preserve">2-110838</t>
  </si>
  <si>
    <t xml:space="preserve">2-110831</t>
  </si>
  <si>
    <t xml:space="preserve">2-110843</t>
  </si>
  <si>
    <t xml:space="preserve">2-110948</t>
  </si>
  <si>
    <t xml:space="preserve">2-004769</t>
  </si>
  <si>
    <t xml:space="preserve">2-027910</t>
  </si>
  <si>
    <t xml:space="preserve">2-023481</t>
  </si>
  <si>
    <t xml:space="preserve">2-003463</t>
  </si>
  <si>
    <t xml:space="preserve">2-021178</t>
  </si>
  <si>
    <t xml:space="preserve">2-013523</t>
  </si>
  <si>
    <t xml:space="preserve">2-013525</t>
  </si>
  <si>
    <t xml:space="preserve">2-116515</t>
  </si>
  <si>
    <t xml:space="preserve">2-116514</t>
  </si>
  <si>
    <t xml:space="preserve">2-116512</t>
  </si>
  <si>
    <t xml:space="preserve">2-116513</t>
  </si>
  <si>
    <t xml:space="preserve">2-116511</t>
  </si>
  <si>
    <t xml:space="preserve">2-014981</t>
  </si>
  <si>
    <t xml:space="preserve">2-004772</t>
  </si>
  <si>
    <t xml:space="preserve">2-014718</t>
  </si>
  <si>
    <t xml:space="preserve">2-014911</t>
  </si>
  <si>
    <t xml:space="preserve">2-004857</t>
  </si>
  <si>
    <t xml:space="preserve">2-116509</t>
  </si>
  <si>
    <t xml:space="preserve">2-023483</t>
  </si>
  <si>
    <t xml:space="preserve">2-016545</t>
  </si>
  <si>
    <t xml:space="preserve">2-023484</t>
  </si>
  <si>
    <t xml:space="preserve">2-027890</t>
  </si>
  <si>
    <t xml:space="preserve">2-027887</t>
  </si>
  <si>
    <t xml:space="preserve">2-112659</t>
  </si>
  <si>
    <t xml:space="preserve">2-027889</t>
  </si>
  <si>
    <t xml:space="preserve">2-112499</t>
  </si>
  <si>
    <t xml:space="preserve">2-016561</t>
  </si>
  <si>
    <t xml:space="preserve">2-027891</t>
  </si>
  <si>
    <t xml:space="preserve">2-027912</t>
  </si>
  <si>
    <t xml:space="preserve">2-016546</t>
  </si>
  <si>
    <t xml:space="preserve">2-027888</t>
  </si>
  <si>
    <t xml:space="preserve">2-027911</t>
  </si>
  <si>
    <t xml:space="preserve">2-027939</t>
  </si>
  <si>
    <t xml:space="preserve">2-023497</t>
  </si>
  <si>
    <t xml:space="preserve">2-016560</t>
  </si>
  <si>
    <t xml:space="preserve">2-116510</t>
  </si>
  <si>
    <t xml:space="preserve">2-116508</t>
  </si>
  <si>
    <t xml:space="preserve">2-116505</t>
  </si>
  <si>
    <t xml:space="preserve">2-116506</t>
  </si>
  <si>
    <t xml:space="preserve">2-116507</t>
  </si>
  <si>
    <t xml:space="preserve">2-116504</t>
  </si>
  <si>
    <t xml:space="preserve">2-116503</t>
  </si>
  <si>
    <t xml:space="preserve">2-116524</t>
  </si>
  <si>
    <t xml:space="preserve">2-112498</t>
  </si>
  <si>
    <t xml:space="preserve">2-023258</t>
  </si>
  <si>
    <t xml:space="preserve">2-116523</t>
  </si>
  <si>
    <t xml:space="preserve">2-112655</t>
  </si>
  <si>
    <t xml:space="preserve">2-116522</t>
  </si>
  <si>
    <t xml:space="preserve">2-112497</t>
  </si>
  <si>
    <t xml:space="preserve">2-023255</t>
  </si>
  <si>
    <t xml:space="preserve">2-116521</t>
  </si>
  <si>
    <t xml:space="preserve">2-113493</t>
  </si>
  <si>
    <t xml:space="preserve">2-116520</t>
  </si>
  <si>
    <t xml:space="preserve">2-116519</t>
  </si>
  <si>
    <t xml:space="preserve">2-116518</t>
  </si>
  <si>
    <t xml:space="preserve">2-013507</t>
  </si>
  <si>
    <t xml:space="preserve">2-013502</t>
  </si>
  <si>
    <t xml:space="preserve">2-013495</t>
  </si>
  <si>
    <t xml:space="preserve">2-003485</t>
  </si>
  <si>
    <t xml:space="preserve">2-003478</t>
  </si>
  <si>
    <t xml:space="preserve">2-003476</t>
  </si>
  <si>
    <t xml:space="preserve">2-113483</t>
  </si>
  <si>
    <t xml:space="preserve">2-112546</t>
  </si>
  <si>
    <t xml:space="preserve">2-112545</t>
  </si>
  <si>
    <t xml:space="preserve">2-003453</t>
  </si>
  <si>
    <t xml:space="preserve">2-112544</t>
  </si>
  <si>
    <t xml:space="preserve">2-112543</t>
  </si>
  <si>
    <t xml:space="preserve">2-003460</t>
  </si>
  <si>
    <t xml:space="preserve">2-121219</t>
  </si>
  <si>
    <t xml:space="preserve">972-006742</t>
  </si>
  <si>
    <t xml:space="preserve">121010-005326</t>
  </si>
  <si>
    <t xml:space="preserve">2-118891</t>
  </si>
  <si>
    <t xml:space="preserve">2-118883</t>
  </si>
  <si>
    <t xml:space="preserve">2-118880</t>
  </si>
  <si>
    <t xml:space="preserve">2-007396</t>
  </si>
  <si>
    <t xml:space="preserve">2-112272</t>
  </si>
  <si>
    <t xml:space="preserve">2-021249</t>
  </si>
  <si>
    <t xml:space="preserve">2-008958</t>
  </si>
  <si>
    <t xml:space="preserve">2-112270</t>
  </si>
  <si>
    <t xml:space="preserve">2-135456</t>
  </si>
  <si>
    <t xml:space="preserve">2-027959</t>
  </si>
  <si>
    <t xml:space="preserve">2-112287</t>
  </si>
  <si>
    <t xml:space="preserve">2-024493</t>
  </si>
  <si>
    <t xml:space="preserve">2-023059</t>
  </si>
  <si>
    <t xml:space="preserve">121010-024575</t>
  </si>
  <si>
    <t xml:space="preserve">2-013518</t>
  </si>
  <si>
    <t xml:space="preserve">2-006460</t>
  </si>
  <si>
    <t xml:space="preserve">Febrero</t>
  </si>
  <si>
    <t xml:space="preserve">2-121692</t>
  </si>
  <si>
    <t xml:space="preserve">2-121535</t>
  </si>
  <si>
    <t xml:space="preserve">2-121534</t>
  </si>
  <si>
    <t xml:space="preserve">2-121533</t>
  </si>
  <si>
    <t xml:space="preserve">2-121532</t>
  </si>
  <si>
    <t xml:space="preserve">2-121531</t>
  </si>
  <si>
    <t xml:space="preserve">2-121530</t>
  </si>
  <si>
    <t xml:space="preserve">2-121528</t>
  </si>
  <si>
    <t xml:space="preserve">2-121527</t>
  </si>
  <si>
    <t xml:space="preserve">2-121526</t>
  </si>
  <si>
    <t xml:space="preserve">2-121338</t>
  </si>
  <si>
    <t xml:space="preserve">2-121337</t>
  </si>
  <si>
    <t xml:space="preserve">2-121336</t>
  </si>
  <si>
    <t xml:space="preserve">2-121335</t>
  </si>
  <si>
    <t xml:space="preserve">2-121334</t>
  </si>
  <si>
    <t xml:space="preserve">2-121333</t>
  </si>
  <si>
    <t xml:space="preserve">2-121331</t>
  </si>
  <si>
    <t xml:space="preserve">2-121330</t>
  </si>
  <si>
    <t xml:space="preserve">2-121329</t>
  </si>
  <si>
    <t xml:space="preserve">2-121328</t>
  </si>
  <si>
    <t xml:space="preserve">2-121327</t>
  </si>
  <si>
    <t xml:space="preserve">2-121326</t>
  </si>
  <si>
    <t xml:space="preserve">2-121325</t>
  </si>
  <si>
    <t xml:space="preserve">2-121324</t>
  </si>
  <si>
    <t xml:space="preserve">2-121323</t>
  </si>
  <si>
    <t xml:space="preserve">2-121322</t>
  </si>
  <si>
    <t xml:space="preserve">2-121321</t>
  </si>
  <si>
    <t xml:space="preserve">2-121320</t>
  </si>
  <si>
    <t xml:space="preserve">2-121319</t>
  </si>
  <si>
    <t xml:space="preserve">2-121318</t>
  </si>
  <si>
    <t xml:space="preserve">2-121316</t>
  </si>
  <si>
    <t xml:space="preserve">2-121315</t>
  </si>
  <si>
    <t xml:space="preserve">2-121314</t>
  </si>
  <si>
    <t xml:space="preserve">2-121311</t>
  </si>
  <si>
    <t xml:space="preserve">2-121310</t>
  </si>
  <si>
    <t xml:space="preserve">2-121309</t>
  </si>
  <si>
    <t xml:space="preserve">2-121307</t>
  </si>
  <si>
    <t xml:space="preserve">2-121306</t>
  </si>
  <si>
    <t xml:space="preserve">2-121305</t>
  </si>
  <si>
    <t xml:space="preserve">2-121304</t>
  </si>
  <si>
    <t xml:space="preserve">2-121241</t>
  </si>
  <si>
    <t xml:space="preserve">2-121240</t>
  </si>
  <si>
    <t xml:space="preserve">2-121239</t>
  </si>
  <si>
    <t xml:space="preserve">2-121238</t>
  </si>
  <si>
    <t xml:space="preserve">2-121237</t>
  </si>
  <si>
    <t xml:space="preserve">2-121236</t>
  </si>
  <si>
    <t xml:space="preserve">2-121235</t>
  </si>
  <si>
    <t xml:space="preserve">2-121234</t>
  </si>
  <si>
    <t xml:space="preserve">2-121233</t>
  </si>
  <si>
    <t xml:space="preserve">2-121232</t>
  </si>
  <si>
    <t xml:space="preserve">2-121198</t>
  </si>
  <si>
    <t xml:space="preserve">2-121197</t>
  </si>
  <si>
    <t xml:space="preserve">2-121196</t>
  </si>
  <si>
    <t xml:space="preserve">2-121195</t>
  </si>
  <si>
    <t xml:space="preserve">2-121194</t>
  </si>
  <si>
    <t xml:space="preserve">2-121193</t>
  </si>
  <si>
    <t xml:space="preserve">2-121192</t>
  </si>
  <si>
    <t xml:space="preserve">2-121191</t>
  </si>
  <si>
    <t xml:space="preserve">2-121190</t>
  </si>
  <si>
    <t xml:space="preserve">2-124829</t>
  </si>
  <si>
    <t xml:space="preserve">2-119706</t>
  </si>
  <si>
    <t xml:space="preserve">2-119705</t>
  </si>
  <si>
    <t xml:space="preserve">2-119704</t>
  </si>
  <si>
    <t xml:space="preserve">2-119703</t>
  </si>
  <si>
    <t xml:space="preserve">2-119702</t>
  </si>
  <si>
    <t xml:space="preserve">2-119630</t>
  </si>
  <si>
    <t xml:space="preserve">2-119636</t>
  </si>
  <si>
    <t xml:space="preserve">2-119631</t>
  </si>
  <si>
    <t xml:space="preserve">2-117822</t>
  </si>
  <si>
    <t xml:space="preserve">2-113189</t>
  </si>
  <si>
    <t xml:space="preserve">2-112353</t>
  </si>
  <si>
    <t xml:space="preserve">2-110634</t>
  </si>
  <si>
    <t xml:space="preserve">2-112601</t>
  </si>
  <si>
    <t xml:space="preserve">2-013520</t>
  </si>
  <si>
    <t xml:space="preserve">2-016541</t>
  </si>
  <si>
    <t xml:space="preserve">2-016539</t>
  </si>
  <si>
    <t xml:space="preserve">2-016538</t>
  </si>
  <si>
    <t xml:space="preserve">2-023477</t>
  </si>
  <si>
    <t xml:space="preserve">2-023479</t>
  </si>
  <si>
    <t xml:space="preserve">2-021536</t>
  </si>
  <si>
    <t xml:space="preserve">2-021533</t>
  </si>
  <si>
    <t xml:space="preserve">2-021534</t>
  </si>
  <si>
    <t xml:space="preserve">2-021535</t>
  </si>
  <si>
    <t xml:space="preserve">2-021537</t>
  </si>
  <si>
    <t xml:space="preserve">2-021538</t>
  </si>
  <si>
    <t xml:space="preserve">2-021540</t>
  </si>
  <si>
    <t xml:space="preserve">2-021532</t>
  </si>
  <si>
    <t xml:space="preserve">2-021531</t>
  </si>
  <si>
    <t xml:space="preserve">2-112658</t>
  </si>
  <si>
    <t xml:space="preserve">2-119652</t>
  </si>
  <si>
    <t xml:space="preserve">2-113428</t>
  </si>
  <si>
    <t xml:space="preserve">2-119374</t>
  </si>
  <si>
    <t xml:space="preserve">2-111613</t>
  </si>
  <si>
    <t xml:space="preserve">2-013521</t>
  </si>
  <si>
    <t xml:space="preserve">2-119372</t>
  </si>
  <si>
    <t xml:space="preserve">2-112424</t>
  </si>
  <si>
    <t xml:space="preserve">2-008660</t>
  </si>
  <si>
    <t xml:space="preserve">2-121189</t>
  </si>
  <si>
    <t xml:space="preserve">2-008466</t>
  </si>
  <si>
    <t xml:space="preserve">2-004503</t>
  </si>
  <si>
    <t xml:space="preserve">2-008485</t>
  </si>
  <si>
    <t xml:space="preserve">2-004583</t>
  </si>
  <si>
    <t xml:space="preserve">2-008497</t>
  </si>
  <si>
    <t xml:space="preserve">2-008450</t>
  </si>
  <si>
    <t xml:space="preserve">2-008452</t>
  </si>
  <si>
    <t xml:space="preserve">2-004356</t>
  </si>
  <si>
    <t xml:space="preserve">2-119371</t>
  </si>
  <si>
    <t xml:space="preserve">2-119370</t>
  </si>
  <si>
    <t xml:space="preserve">2-119369</t>
  </si>
  <si>
    <t xml:space="preserve">2-119368</t>
  </si>
  <si>
    <t xml:space="preserve">2-119367</t>
  </si>
  <si>
    <t xml:space="preserve">C1</t>
  </si>
  <si>
    <t xml:space="preserve">2-119366</t>
  </si>
  <si>
    <t xml:space="preserve">2-119365</t>
  </si>
  <si>
    <t xml:space="preserve">2-119364</t>
  </si>
  <si>
    <t xml:space="preserve">2-119363</t>
  </si>
  <si>
    <t xml:space="preserve">2-134990</t>
  </si>
  <si>
    <t xml:space="preserve">2-119651</t>
  </si>
  <si>
    <t xml:space="preserve">2-134895</t>
  </si>
  <si>
    <t xml:space="preserve">2-121188</t>
  </si>
  <si>
    <t xml:space="preserve">2-134896</t>
  </si>
  <si>
    <t xml:space="preserve">2-121187</t>
  </si>
  <si>
    <t xml:space="preserve">2-015904</t>
  </si>
  <si>
    <t xml:space="preserve">2-121186</t>
  </si>
  <si>
    <t xml:space="preserve">2-121185</t>
  </si>
  <si>
    <t xml:space="preserve">2-013601</t>
  </si>
  <si>
    <t xml:space="preserve">2-009315</t>
  </si>
  <si>
    <t xml:space="preserve">2-133048</t>
  </si>
  <si>
    <t xml:space="preserve">2-118673</t>
  </si>
  <si>
    <t xml:space="preserve">2-118672</t>
  </si>
  <si>
    <t xml:space="preserve">2-118671</t>
  </si>
  <si>
    <t xml:space="preserve">2-118674</t>
  </si>
  <si>
    <t xml:space="preserve">2-003446</t>
  </si>
  <si>
    <t xml:space="preserve">2-003445</t>
  </si>
  <si>
    <t xml:space="preserve">2-013602</t>
  </si>
  <si>
    <t xml:space="preserve">2-121574</t>
  </si>
  <si>
    <t xml:space="preserve">2-121573</t>
  </si>
  <si>
    <t xml:space="preserve">121010-019639</t>
  </si>
  <si>
    <t xml:space="preserve">2-112284</t>
  </si>
  <si>
    <t xml:space="preserve">2-023257</t>
  </si>
  <si>
    <t xml:space="preserve">2-112283</t>
  </si>
  <si>
    <t xml:space="preserve">2-112282</t>
  </si>
  <si>
    <t xml:space="preserve">2-112290</t>
  </si>
  <si>
    <t xml:space="preserve">2-008665</t>
  </si>
  <si>
    <t xml:space="preserve">2-004405</t>
  </si>
  <si>
    <t xml:space="preserve">2-119676</t>
  </si>
  <si>
    <t xml:space="preserve">2-112267</t>
  </si>
  <si>
    <t xml:space="preserve">2-112264</t>
  </si>
  <si>
    <t xml:space="preserve">2-115786</t>
  </si>
  <si>
    <t xml:space="preserve">2-115784</t>
  </si>
  <si>
    <t xml:space="preserve">2-115785</t>
  </si>
  <si>
    <t xml:space="preserve">2-115787</t>
  </si>
  <si>
    <t xml:space="preserve">2-115788</t>
  </si>
  <si>
    <t xml:space="preserve">2-116020</t>
  </si>
  <si>
    <t xml:space="preserve">2-116023</t>
  </si>
  <si>
    <t xml:space="preserve">2-116021</t>
  </si>
  <si>
    <t xml:space="preserve">2-116017</t>
  </si>
  <si>
    <t xml:space="preserve">2-116022</t>
  </si>
  <si>
    <t xml:space="preserve">2-024094</t>
  </si>
  <si>
    <t xml:space="preserve">2-116025</t>
  </si>
  <si>
    <t xml:space="preserve">2-112141</t>
  </si>
  <si>
    <t xml:space="preserve">2-112138</t>
  </si>
  <si>
    <t xml:space="preserve">2-016566</t>
  </si>
  <si>
    <t xml:space="preserve">2-112137</t>
  </si>
  <si>
    <t xml:space="preserve">2-116024</t>
  </si>
  <si>
    <t xml:space="preserve">2-125347</t>
  </si>
  <si>
    <t xml:space="preserve">2-116073</t>
  </si>
  <si>
    <t xml:space="preserve">2-116019</t>
  </si>
  <si>
    <t xml:space="preserve">2-022133</t>
  </si>
  <si>
    <t xml:space="preserve">2-116072</t>
  </si>
  <si>
    <t xml:space="preserve">2-116018</t>
  </si>
  <si>
    <t xml:space="preserve">2-116071</t>
  </si>
  <si>
    <t xml:space="preserve">2-116070</t>
  </si>
  <si>
    <t xml:space="preserve">2-115361</t>
  </si>
  <si>
    <t xml:space="preserve">2-027413</t>
  </si>
  <si>
    <t xml:space="preserve">Marzo</t>
  </si>
  <si>
    <t xml:space="preserve">2-124850</t>
  </si>
  <si>
    <t xml:space="preserve">2-124849</t>
  </si>
  <si>
    <t xml:space="preserve">2-124848</t>
  </si>
  <si>
    <t xml:space="preserve">2-124847</t>
  </si>
  <si>
    <t xml:space="preserve">2-124846</t>
  </si>
  <si>
    <t xml:space="preserve">2-124845</t>
  </si>
  <si>
    <t xml:space="preserve">2-124844</t>
  </si>
  <si>
    <t xml:space="preserve">2-124843</t>
  </si>
  <si>
    <t xml:space="preserve">2-124842</t>
  </si>
  <si>
    <t xml:space="preserve">2-124832</t>
  </si>
  <si>
    <t xml:space="preserve">2-124831</t>
  </si>
  <si>
    <t xml:space="preserve">2-121563</t>
  </si>
  <si>
    <t xml:space="preserve">2-121562</t>
  </si>
  <si>
    <t xml:space="preserve">2-121561</t>
  </si>
  <si>
    <t xml:space="preserve">2-121560</t>
  </si>
  <si>
    <t xml:space="preserve">2-121559</t>
  </si>
  <si>
    <t xml:space="preserve">2-121558</t>
  </si>
  <si>
    <t xml:space="preserve">2-121557</t>
  </si>
  <si>
    <t xml:space="preserve">2-121556</t>
  </si>
  <si>
    <t xml:space="preserve">2-121555</t>
  </si>
  <si>
    <t xml:space="preserve">2-121554</t>
  </si>
  <si>
    <t xml:space="preserve">2-121792</t>
  </si>
  <si>
    <t xml:space="preserve">2-121791</t>
  </si>
  <si>
    <t xml:space="preserve">2-121717</t>
  </si>
  <si>
    <t xml:space="preserve">2-121716</t>
  </si>
  <si>
    <t xml:space="preserve">2-121715</t>
  </si>
  <si>
    <t xml:space="preserve">2-121714</t>
  </si>
  <si>
    <t xml:space="preserve">2-121712</t>
  </si>
  <si>
    <t xml:space="preserve">2-121694</t>
  </si>
  <si>
    <t xml:space="preserve">2-121693</t>
  </si>
  <si>
    <t xml:space="preserve">2-121691</t>
  </si>
  <si>
    <t xml:space="preserve">2-121525</t>
  </si>
  <si>
    <t xml:space="preserve">2-121524</t>
  </si>
  <si>
    <t xml:space="preserve">2-120995</t>
  </si>
  <si>
    <t xml:space="preserve">2-120994</t>
  </si>
  <si>
    <t xml:space="preserve">2-120996</t>
  </si>
  <si>
    <t xml:space="preserve">2-120922</t>
  </si>
  <si>
    <t xml:space="preserve">2-120923</t>
  </si>
  <si>
    <t xml:space="preserve">2-120924</t>
  </si>
  <si>
    <t xml:space="preserve">2-120925</t>
  </si>
  <si>
    <t xml:space="preserve">2-120430</t>
  </si>
  <si>
    <t xml:space="preserve">2-120429</t>
  </si>
  <si>
    <t xml:space="preserve">2-120427</t>
  </si>
  <si>
    <t xml:space="preserve">2-120428</t>
  </si>
  <si>
    <t xml:space="preserve">2-119711</t>
  </si>
  <si>
    <t xml:space="preserve">2-119710</t>
  </si>
  <si>
    <t xml:space="preserve">2-119709</t>
  </si>
  <si>
    <t xml:space="preserve">2-119708</t>
  </si>
  <si>
    <t xml:space="preserve">2-119707</t>
  </si>
  <si>
    <t xml:space="preserve">2-119653</t>
  </si>
  <si>
    <t xml:space="preserve">2-117823</t>
  </si>
  <si>
    <t xml:space="preserve">2-117821</t>
  </si>
  <si>
    <t xml:space="preserve">2-117820</t>
  </si>
  <si>
    <t xml:space="preserve">2-117819</t>
  </si>
  <si>
    <t xml:space="preserve">2-117818</t>
  </si>
  <si>
    <t xml:space="preserve">2-113188</t>
  </si>
  <si>
    <t xml:space="preserve">2-113430</t>
  </si>
  <si>
    <t xml:space="preserve">2-013293</t>
  </si>
  <si>
    <t xml:space="preserve">2-016542</t>
  </si>
  <si>
    <t xml:space="preserve">2-016551</t>
  </si>
  <si>
    <t xml:space="preserve">2-027909</t>
  </si>
  <si>
    <t xml:space="preserve">2-016540</t>
  </si>
  <si>
    <t xml:space="preserve">2-016543</t>
  </si>
  <si>
    <t xml:space="preserve">2-023482</t>
  </si>
  <si>
    <t xml:space="preserve">2-112517</t>
  </si>
  <si>
    <t xml:space="preserve">2-112516</t>
  </si>
  <si>
    <t xml:space="preserve">2-112515</t>
  </si>
  <si>
    <t xml:space="preserve">2-112514</t>
  </si>
  <si>
    <t xml:space="preserve">2-028043</t>
  </si>
  <si>
    <t xml:space="preserve">2-112512</t>
  </si>
  <si>
    <t xml:space="preserve">2-027994</t>
  </si>
  <si>
    <t xml:space="preserve">2-112511</t>
  </si>
  <si>
    <t xml:space="preserve">2-112510</t>
  </si>
  <si>
    <t xml:space="preserve">2-023536</t>
  </si>
  <si>
    <t xml:space="preserve">2-112508</t>
  </si>
  <si>
    <t xml:space="preserve">2-023575</t>
  </si>
  <si>
    <t xml:space="preserve">2-028015</t>
  </si>
  <si>
    <t xml:space="preserve">2-002733</t>
  </si>
  <si>
    <t xml:space="preserve">2-012781</t>
  </si>
  <si>
    <t xml:space="preserve">2-112501</t>
  </si>
  <si>
    <t xml:space="preserve">2-008498</t>
  </si>
  <si>
    <t xml:space="preserve">2-022179</t>
  </si>
  <si>
    <t xml:space="preserve">2-013334</t>
  </si>
  <si>
    <t xml:space="preserve">2-013338</t>
  </si>
  <si>
    <t xml:space="preserve">2-013336</t>
  </si>
  <si>
    <t xml:space="preserve">2-013337</t>
  </si>
  <si>
    <t xml:space="preserve">2-111950</t>
  </si>
  <si>
    <t xml:space="preserve">2-002849</t>
  </si>
  <si>
    <t xml:space="preserve">2-111945</t>
  </si>
  <si>
    <t xml:space="preserve">2-002869</t>
  </si>
  <si>
    <t xml:space="preserve">2-111913</t>
  </si>
  <si>
    <t xml:space="preserve">2-111918</t>
  </si>
  <si>
    <t xml:space="preserve">2-002681</t>
  </si>
  <si>
    <t xml:space="preserve">2-002719</t>
  </si>
  <si>
    <t xml:space="preserve">2-124788</t>
  </si>
  <si>
    <t xml:space="preserve">2-133065</t>
  </si>
  <si>
    <t xml:space="preserve">2-133064</t>
  </si>
  <si>
    <t xml:space="preserve">2-133063</t>
  </si>
  <si>
    <t xml:space="preserve">2-133062</t>
  </si>
  <si>
    <t xml:space="preserve">2-022471</t>
  </si>
  <si>
    <t xml:space="preserve">2-112507</t>
  </si>
  <si>
    <t xml:space="preserve">2-112506</t>
  </si>
  <si>
    <t xml:space="preserve">2-023589</t>
  </si>
  <si>
    <t xml:space="preserve">2-112505</t>
  </si>
  <si>
    <t xml:space="preserve">2-112504</t>
  </si>
  <si>
    <t xml:space="preserve">2-112503</t>
  </si>
  <si>
    <t xml:space="preserve">2-023573</t>
  </si>
  <si>
    <t xml:space="preserve">2-023555</t>
  </si>
  <si>
    <t xml:space="preserve">2-134630</t>
  </si>
  <si>
    <t xml:space="preserve">2-134629</t>
  </si>
  <si>
    <t xml:space="preserve">2-134628</t>
  </si>
  <si>
    <t xml:space="preserve">2-134627</t>
  </si>
  <si>
    <t xml:space="preserve">2-119582</t>
  </si>
  <si>
    <t xml:space="preserve">C6</t>
  </si>
  <si>
    <t xml:space="preserve">2-116501</t>
  </si>
  <si>
    <t xml:space="preserve">2-116500</t>
  </si>
  <si>
    <t xml:space="preserve">2-116499</t>
  </si>
  <si>
    <t xml:space="preserve">2-116498</t>
  </si>
  <si>
    <t xml:space="preserve">2-116497</t>
  </si>
  <si>
    <t xml:space="preserve">2-116496</t>
  </si>
  <si>
    <t xml:space="preserve">2-116495</t>
  </si>
  <si>
    <t xml:space="preserve">2-116494</t>
  </si>
  <si>
    <t xml:space="preserve">2-116493</t>
  </si>
  <si>
    <t xml:space="preserve">2-125250</t>
  </si>
  <si>
    <t xml:space="preserve">200717-005592</t>
  </si>
  <si>
    <t xml:space="preserve">2-133374</t>
  </si>
  <si>
    <t xml:space="preserve">2-121781</t>
  </si>
  <si>
    <t xml:space="preserve">2-121780</t>
  </si>
  <si>
    <t xml:space="preserve">2-120571</t>
  </si>
  <si>
    <t xml:space="preserve">2-120570</t>
  </si>
  <si>
    <t xml:space="preserve">2-120569</t>
  </si>
  <si>
    <t xml:space="preserve">2-120567</t>
  </si>
  <si>
    <t xml:space="preserve">2-120568</t>
  </si>
  <si>
    <t xml:space="preserve">2-120566</t>
  </si>
  <si>
    <t xml:space="preserve">2-120565</t>
  </si>
  <si>
    <t xml:space="preserve">2-121048</t>
  </si>
  <si>
    <t xml:space="preserve">121010-019703</t>
  </si>
  <si>
    <t xml:space="preserve">2-119887</t>
  </si>
  <si>
    <t xml:space="preserve">2-119886</t>
  </si>
  <si>
    <t xml:space="preserve">2-119885</t>
  </si>
  <si>
    <t xml:space="preserve">2-119889</t>
  </si>
  <si>
    <t xml:space="preserve">2-119888</t>
  </si>
  <si>
    <t xml:space="preserve">2-117264</t>
  </si>
  <si>
    <t xml:space="preserve">2-111146</t>
  </si>
  <si>
    <t xml:space="preserve">2-013588</t>
  </si>
  <si>
    <t xml:space="preserve">2-112325</t>
  </si>
  <si>
    <t xml:space="preserve">2-125348</t>
  </si>
  <si>
    <t xml:space="preserve">2-121785</t>
  </si>
  <si>
    <t xml:space="preserve">2-007500</t>
  </si>
  <si>
    <t xml:space="preserve">2-125401</t>
  </si>
  <si>
    <t xml:space="preserve">2-125488</t>
  </si>
  <si>
    <t xml:space="preserve">2-125491</t>
  </si>
  <si>
    <t xml:space="preserve">2-119313</t>
  </si>
  <si>
    <t xml:space="preserve">2-125490</t>
  </si>
  <si>
    <t xml:space="preserve">2-125487</t>
  </si>
  <si>
    <t xml:space="preserve">2-125486</t>
  </si>
  <si>
    <t xml:space="preserve">2-112301</t>
  </si>
  <si>
    <t xml:space="preserve">2-112299</t>
  </si>
  <si>
    <t xml:space="preserve">2-112298</t>
  </si>
  <si>
    <t xml:space="preserve">2-003452</t>
  </si>
  <si>
    <t xml:space="preserve">2-003461</t>
  </si>
  <si>
    <t xml:space="preserve">2-135144</t>
  </si>
  <si>
    <t xml:space="preserve">2-003462</t>
  </si>
  <si>
    <t xml:space="preserve">2-121784</t>
  </si>
  <si>
    <t xml:space="preserve">2-121783</t>
  </si>
  <si>
    <t xml:space="preserve">2-121782</t>
  </si>
  <si>
    <t xml:space="preserve">2-112306</t>
  </si>
  <si>
    <t xml:space="preserve">2-013579</t>
  </si>
  <si>
    <t xml:space="preserve">2-003535</t>
  </si>
  <si>
    <t xml:space="preserve">2-118847</t>
  </si>
  <si>
    <t xml:space="preserve">2-118843</t>
  </si>
  <si>
    <t xml:space="preserve">2-118840</t>
  </si>
  <si>
    <t xml:space="preserve">2-118851</t>
  </si>
  <si>
    <t xml:space="preserve">2-118850</t>
  </si>
  <si>
    <t xml:space="preserve">2-118822</t>
  </si>
  <si>
    <t xml:space="preserve">2-118800</t>
  </si>
  <si>
    <t xml:space="preserve">2-118716</t>
  </si>
  <si>
    <t xml:space="preserve">2-024370</t>
  </si>
  <si>
    <t xml:space="preserve">2-022660</t>
  </si>
  <si>
    <t xml:space="preserve">2-016193</t>
  </si>
  <si>
    <t xml:space="preserve">2-024253</t>
  </si>
  <si>
    <t xml:space="preserve">2-112256</t>
  </si>
  <si>
    <t xml:space="preserve">2-024296</t>
  </si>
  <si>
    <t xml:space="preserve">2-024458</t>
  </si>
  <si>
    <t xml:space="preserve">2-117817</t>
  </si>
  <si>
    <t xml:space="preserve">2-024393</t>
  </si>
  <si>
    <t xml:space="preserve">2-112255</t>
  </si>
  <si>
    <t xml:space="preserve">2-133529</t>
  </si>
  <si>
    <t xml:space="preserve">2-117144</t>
  </si>
  <si>
    <t xml:space="preserve">2-121695</t>
  </si>
  <si>
    <t xml:space="preserve">2-120997</t>
  </si>
  <si>
    <t xml:space="preserve">2-135212</t>
  </si>
  <si>
    <t xml:space="preserve">2-112281</t>
  </si>
  <si>
    <t xml:space="preserve">2-112279</t>
  </si>
  <si>
    <t xml:space="preserve">2-002799</t>
  </si>
  <si>
    <t xml:space="preserve">2-135846</t>
  </si>
  <si>
    <t xml:space="preserve">2-022181</t>
  </si>
  <si>
    <t xml:space="preserve">2-013295</t>
  </si>
  <si>
    <t xml:space="preserve">2-002720</t>
  </si>
  <si>
    <t xml:space="preserve">2-112266</t>
  </si>
  <si>
    <t xml:space="preserve">2-112265</t>
  </si>
  <si>
    <t xml:space="preserve">Abril</t>
  </si>
  <si>
    <t xml:space="preserve">Equipo con falla de software se requiere enviar a santiago para revisar</t>
  </si>
  <si>
    <t xml:space="preserve">2-027447</t>
  </si>
  <si>
    <t xml:space="preserve">Equipo no cuenta con cable ECG, se debe cambiar bateria</t>
  </si>
  <si>
    <t xml:space="preserve">2-119181</t>
  </si>
  <si>
    <t xml:space="preserve">2-119179</t>
  </si>
  <si>
    <t xml:space="preserve">2-119182</t>
  </si>
  <si>
    <t xml:space="preserve">Se recomienda cambio de la perilla. Soporte metálico del suero perteneciente al carro de paro, se encuentra quebrado en el bloqueo</t>
  </si>
  <si>
    <t xml:space="preserve">2-112001</t>
  </si>
  <si>
    <t xml:space="preserve">2-113491</t>
  </si>
  <si>
    <t xml:space="preserve">2-006472</t>
  </si>
  <si>
    <t xml:space="preserve">1 bateria instalada</t>
  </si>
  <si>
    <t xml:space="preserve">2-112000</t>
  </si>
  <si>
    <t xml:space="preserve">2-027619</t>
  </si>
  <si>
    <t xml:space="preserve">2-111213</t>
  </si>
  <si>
    <t xml:space="preserve">2-013586</t>
  </si>
  <si>
    <t xml:space="preserve">2-016016</t>
  </si>
  <si>
    <t xml:space="preserve">2-133200</t>
  </si>
  <si>
    <t xml:space="preserve">2-133199</t>
  </si>
  <si>
    <t xml:space="preserve">2-133198</t>
  </si>
  <si>
    <t xml:space="preserve">2-117813</t>
  </si>
  <si>
    <t xml:space="preserve">2-024371</t>
  </si>
  <si>
    <t xml:space="preserve">2-112943</t>
  </si>
  <si>
    <t xml:space="preserve">2-112803</t>
  </si>
  <si>
    <t xml:space="preserve">2-112837</t>
  </si>
  <si>
    <t xml:space="preserve">2-112835</t>
  </si>
  <si>
    <t xml:space="preserve">2-112796</t>
  </si>
  <si>
    <t xml:space="preserve">2-112815</t>
  </si>
  <si>
    <t xml:space="preserve">2-112822</t>
  </si>
  <si>
    <t xml:space="preserve">2-112814</t>
  </si>
  <si>
    <t xml:space="preserve">2-112795</t>
  </si>
  <si>
    <t xml:space="preserve">2-112802</t>
  </si>
  <si>
    <t xml:space="preserve">2-112827</t>
  </si>
  <si>
    <t xml:space="preserve">2-112830</t>
  </si>
  <si>
    <t xml:space="preserve">2-112834</t>
  </si>
  <si>
    <t xml:space="preserve">2-112801</t>
  </si>
  <si>
    <t xml:space="preserve">2-112812</t>
  </si>
  <si>
    <t xml:space="preserve">2-023233</t>
  </si>
  <si>
    <t xml:space="preserve">2-118839</t>
  </si>
  <si>
    <t xml:space="preserve">2-118855</t>
  </si>
  <si>
    <t xml:space="preserve">2-135399</t>
  </si>
  <si>
    <t xml:space="preserve">2-135921</t>
  </si>
  <si>
    <t xml:space="preserve">2-024353</t>
  </si>
  <si>
    <t xml:space="preserve">2-135920</t>
  </si>
  <si>
    <t xml:space="preserve">2-017324</t>
  </si>
  <si>
    <t xml:space="preserve">2-135919</t>
  </si>
  <si>
    <t xml:space="preserve">2-024433</t>
  </si>
  <si>
    <t xml:space="preserve">2-112572</t>
  </si>
  <si>
    <t xml:space="preserve">2-016196</t>
  </si>
  <si>
    <t xml:space="preserve">2-017347</t>
  </si>
  <si>
    <t xml:space="preserve">2-024460</t>
  </si>
  <si>
    <t xml:space="preserve">2-017381</t>
  </si>
  <si>
    <t xml:space="preserve">2-118814</t>
  </si>
  <si>
    <t xml:space="preserve">2-135918</t>
  </si>
  <si>
    <t xml:space="preserve">2-135917</t>
  </si>
  <si>
    <t xml:space="preserve">2-118799</t>
  </si>
  <si>
    <t xml:space="preserve">2-118962</t>
  </si>
  <si>
    <t xml:space="preserve">2-003508</t>
  </si>
  <si>
    <t xml:space="preserve">200717-001961</t>
  </si>
  <si>
    <t xml:space="preserve">2-121220</t>
  </si>
  <si>
    <t xml:space="preserve">2-121218</t>
  </si>
  <si>
    <t xml:space="preserve">2-120745</t>
  </si>
  <si>
    <t xml:space="preserve">2-120744</t>
  </si>
  <si>
    <t xml:space="preserve">2-120326</t>
  </si>
  <si>
    <t xml:space="preserve">2-120324</t>
  </si>
  <si>
    <t xml:space="preserve">2-120323</t>
  </si>
  <si>
    <t xml:space="preserve">2-120322</t>
  </si>
  <si>
    <t xml:space="preserve">2-120320</t>
  </si>
  <si>
    <t xml:space="preserve">2-120319</t>
  </si>
  <si>
    <t xml:space="preserve">2-120321</t>
  </si>
  <si>
    <t xml:space="preserve">2-120318</t>
  </si>
  <si>
    <t xml:space="preserve">2-121216</t>
  </si>
  <si>
    <t xml:space="preserve">2-121215</t>
  </si>
  <si>
    <t xml:space="preserve">2-121214</t>
  </si>
  <si>
    <t xml:space="preserve">2-112304</t>
  </si>
  <si>
    <t xml:space="preserve">2-027983</t>
  </si>
  <si>
    <t xml:space="preserve">2-121208</t>
  </si>
  <si>
    <t xml:space="preserve">2-112294</t>
  </si>
  <si>
    <t xml:space="preserve">2-121200</t>
  </si>
  <si>
    <t xml:space="preserve">2-121199</t>
  </si>
  <si>
    <t xml:space="preserve">2-135400</t>
  </si>
  <si>
    <t xml:space="preserve">2-017206</t>
  </si>
  <si>
    <t xml:space="preserve">2-117263</t>
  </si>
  <si>
    <t xml:space="preserve">2-122452</t>
  </si>
  <si>
    <t xml:space="preserve">2-135837</t>
  </si>
  <si>
    <t xml:space="preserve">2-017177</t>
  </si>
  <si>
    <t xml:space="preserve">2-017028</t>
  </si>
  <si>
    <t xml:space="preserve">2-024411</t>
  </si>
  <si>
    <t xml:space="preserve">2-017416</t>
  </si>
  <si>
    <t xml:space="preserve">2-024223</t>
  </si>
  <si>
    <t xml:space="preserve">2-135839</t>
  </si>
  <si>
    <t xml:space="preserve">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t>
  </si>
  <si>
    <t xml:space="preserve">2-117350</t>
  </si>
  <si>
    <t xml:space="preserve">2-121003</t>
  </si>
  <si>
    <t xml:space="preserve">2-125217</t>
  </si>
  <si>
    <t xml:space="preserve">2-008465</t>
  </si>
  <si>
    <t xml:space="preserve">2-125218</t>
  </si>
  <si>
    <t xml:space="preserve">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t>
  </si>
  <si>
    <t xml:space="preserve">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t>
  </si>
  <si>
    <t xml:space="preserve">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t>
  </si>
  <si>
    <t xml:space="preserve">2-124761</t>
  </si>
  <si>
    <t xml:space="preserve">2-121004</t>
  </si>
  <si>
    <t xml:space="preserve">2-119713</t>
  </si>
  <si>
    <t xml:space="preserve">2-008659</t>
  </si>
  <si>
    <t xml:space="preserve">Se ajusta la hora</t>
  </si>
  <si>
    <t xml:space="preserve">se ajusta fecha y hora</t>
  </si>
  <si>
    <t xml:space="preserve">Se ajusta fecha y hora</t>
  </si>
  <si>
    <t xml:space="preserve">NU</t>
  </si>
  <si>
    <t xml:space="preserve">C8</t>
  </si>
  <si>
    <t xml:space="preserve">Mayo</t>
  </si>
  <si>
    <t xml:space="preserve">2-120940</t>
  </si>
  <si>
    <t xml:space="preserve">2-120938</t>
  </si>
  <si>
    <t xml:space="preserve">2-120936</t>
  </si>
  <si>
    <t xml:space="preserve">2-116288</t>
  </si>
  <si>
    <t xml:space="preserve">2-116289</t>
  </si>
  <si>
    <t xml:space="preserve">2-116294</t>
  </si>
  <si>
    <t xml:space="preserve">2-119180</t>
  </si>
  <si>
    <t xml:space="preserve">2-120768</t>
  </si>
  <si>
    <t xml:space="preserve">se repara conector de alimentación, se instala nueva bateria</t>
  </si>
  <si>
    <t xml:space="preserve">2-128044</t>
  </si>
  <si>
    <t xml:space="preserve">2-112280</t>
  </si>
  <si>
    <t xml:space="preserve">se cambia perilla de seleccion, se cambia cable de poder</t>
  </si>
  <si>
    <t xml:space="preserve">2-022320</t>
  </si>
  <si>
    <t xml:space="preserve">[Conciliación auto] Importado desde maestro · Importación #24</t>
  </si>
  <si>
    <t xml:space="preserve">2-120767</t>
  </si>
  <si>
    <t xml:space="preserve">[Conciliación auto] Importado desde maestro · Importación #17</t>
  </si>
  <si>
    <t xml:space="preserve">2-128060</t>
  </si>
  <si>
    <t xml:space="preserve">2-128050</t>
  </si>
  <si>
    <t xml:space="preserve">2-128048</t>
  </si>
  <si>
    <t xml:space="preserve">2-128047</t>
  </si>
  <si>
    <t xml:space="preserve">2-128046</t>
  </si>
  <si>
    <t xml:space="preserve">2-128043</t>
  </si>
  <si>
    <t xml:space="preserve">2-006456</t>
  </si>
  <si>
    <t xml:space="preserve">2-119260</t>
  </si>
  <si>
    <t xml:space="preserve">2-119259</t>
  </si>
  <si>
    <t xml:space="preserve">2-003814</t>
  </si>
  <si>
    <t xml:space="preserve">2-004271</t>
  </si>
  <si>
    <t xml:space="preserve">2-004033</t>
  </si>
  <si>
    <t xml:space="preserve">2-021802</t>
  </si>
  <si>
    <t xml:space="preserve">2-003576</t>
  </si>
  <si>
    <t xml:space="preserve">2-013928</t>
  </si>
  <si>
    <t xml:space="preserve">2-112269</t>
  </si>
  <si>
    <t xml:space="preserve">2-021577</t>
  </si>
  <si>
    <t xml:space="preserve">2-120576</t>
  </si>
  <si>
    <t xml:space="preserve">Sin soporte de cargadores, se cambia interfase y sensor SPO2</t>
  </si>
  <si>
    <t xml:space="preserve">2-120575</t>
  </si>
  <si>
    <t xml:space="preserve">2-120247</t>
  </si>
  <si>
    <t xml:space="preserve">Se reinstala soporte de cargadores, se cambia manguera PANI</t>
  </si>
  <si>
    <t xml:space="preserve">2-120244</t>
  </si>
  <si>
    <t xml:space="preserve">Se aseguran los cargadores al soporte, se cambia manguera y manguito PANI</t>
  </si>
  <si>
    <t xml:space="preserve">2-120246</t>
  </si>
  <si>
    <t xml:space="preserve">sin tapa lateral, se refuerza cargador a soporte</t>
  </si>
  <si>
    <t xml:space="preserve">2-120248</t>
  </si>
  <si>
    <t xml:space="preserve">2-120249</t>
  </si>
  <si>
    <t xml:space="preserve">Se cambia el cable de red, se cambia cable e interfase de ECG</t>
  </si>
  <si>
    <t xml:space="preserve">2-120245</t>
  </si>
  <si>
    <t xml:space="preserve">Se refuerza cargador a soporte de fuente de poder, se cambia el cable ECG</t>
  </si>
  <si>
    <t xml:space="preserve">2-120572</t>
  </si>
  <si>
    <t xml:space="preserve">sin soporte de cargadores</t>
  </si>
  <si>
    <t xml:space="preserve">2-120573</t>
  </si>
  <si>
    <t xml:space="preserve">2-120574</t>
  </si>
  <si>
    <t xml:space="preserve">Sin soporte de cargadores</t>
  </si>
  <si>
    <t xml:space="preserve">2-120577</t>
  </si>
  <si>
    <t xml:space="preserve">2-119744</t>
  </si>
  <si>
    <t xml:space="preserve">2-119743</t>
  </si>
  <si>
    <t xml:space="preserve">2-119741</t>
  </si>
  <si>
    <t xml:space="preserve">cambio de cable ECG</t>
  </si>
  <si>
    <t xml:space="preserve">2-112541</t>
  </si>
  <si>
    <t xml:space="preserve">reposicion de manguera y manguito PNI</t>
  </si>
  <si>
    <t xml:space="preserve">121010-024574</t>
  </si>
  <si>
    <t xml:space="preserve">2-117051</t>
  </si>
  <si>
    <t xml:space="preserve">equipo con falla en los parametros PNI</t>
  </si>
  <si>
    <t xml:space="preserve">2-117053</t>
  </si>
  <si>
    <t xml:space="preserve">2-110957</t>
  </si>
  <si>
    <t xml:space="preserve">2-116290</t>
  </si>
  <si>
    <t xml:space="preserve">2-118676</t>
  </si>
  <si>
    <t xml:space="preserve">2-120836</t>
  </si>
  <si>
    <t xml:space="preserve">2-133532</t>
  </si>
  <si>
    <t xml:space="preserve">2-112531</t>
  </si>
  <si>
    <t xml:space="preserve">2-117054</t>
  </si>
  <si>
    <t xml:space="preserve">2-112320</t>
  </si>
  <si>
    <t xml:space="preserve">2-116298</t>
  </si>
  <si>
    <t xml:space="preserve">Panel delantero mal acoplado deja interior expuesto a liquidos</t>
  </si>
  <si>
    <t xml:space="preserve">2-022637</t>
  </si>
  <si>
    <t xml:space="preserve">Junio</t>
  </si>
  <si>
    <t xml:space="preserve">Catálogos (alimentan las listas desplegables)</t>
  </si>
  <si>
    <t xml:space="preserve">Ingenieros</t>
  </si>
  <si>
    <t xml:space="preserve">Estado equipo</t>
  </si>
  <si>
    <t xml:space="preserve">Tipo de compra</t>
  </si>
  <si>
    <t xml:space="preserve">Resultado visita</t>
  </si>
  <si>
    <t xml:space="preserve">Estado evento</t>
  </si>
  <si>
    <t xml:space="preserve">Decisión reevaluación</t>
  </si>
  <si>
    <t xml:space="preserve">Cód. MP</t>
  </si>
  <si>
    <t xml:space="preserve">Significado</t>
  </si>
  <si>
    <t xml:space="preserve">Resultado MP</t>
  </si>
  <si>
    <t xml:space="preserve">Descripción resultado</t>
  </si>
  <si>
    <t xml:space="preserve">Ejecución MP</t>
  </si>
  <si>
    <t xml:space="preserve">Causal (C1–C8)</t>
  </si>
  <si>
    <t xml:space="preserve">Descripción causal</t>
  </si>
  <si>
    <t xml:space="preserve">Trato Directo</t>
  </si>
  <si>
    <t xml:space="preserve">Reparó</t>
  </si>
  <si>
    <t xml:space="preserve">Abierto</t>
  </si>
  <si>
    <t xml:space="preserve">Repuestos</t>
  </si>
  <si>
    <t xml:space="preserve">Programada (pendiente)</t>
  </si>
  <si>
    <t xml:space="preserve">Anual</t>
  </si>
  <si>
    <t xml:space="preserve">Mantención Preventiva Realizada</t>
  </si>
  <si>
    <t xml:space="preserve">Imposibilidad de desocupar el equipo del paciente por indicación clínica</t>
  </si>
  <si>
    <t xml:space="preserve">No Operativo</t>
  </si>
  <si>
    <t xml:space="preserve">Compra Ágil</t>
  </si>
  <si>
    <t xml:space="preserve">No reparó (necesita repuestos)</t>
  </si>
  <si>
    <t xml:space="preserve">Cerrado</t>
  </si>
  <si>
    <t xml:space="preserve">Nueva visita</t>
  </si>
  <si>
    <t xml:space="preserve">Ejecutada</t>
  </si>
  <si>
    <t xml:space="preserve">Semestral</t>
  </si>
  <si>
    <t xml:space="preserve">Reprogramada · Imposibilidad de desocupar el equipo del paciente por indicación clínica</t>
  </si>
  <si>
    <t xml:space="preserve">Equipo en servicio técnico</t>
  </si>
  <si>
    <t xml:space="preserve">Servicio Técnico</t>
  </si>
  <si>
    <t xml:space="preserve">Reenvío</t>
  </si>
  <si>
    <t xml:space="preserve">No ejecutada: en Servicio Técnico</t>
  </si>
  <si>
    <t xml:space="preserve">Cuatrimestral</t>
  </si>
  <si>
    <t xml:space="preserve">Reprogramada · Equipo en servicio técnico</t>
  </si>
  <si>
    <t xml:space="preserve">Equipo no operativo, a la espera de repuestos o accesorios</t>
  </si>
  <si>
    <t xml:space="preserve">No ejecutada: espera repuestos</t>
  </si>
  <si>
    <t xml:space="preserve">Trimestral</t>
  </si>
  <si>
    <t xml:space="preserve">Reprogramada · Equipo no operativo, a la espera de repuestos o accesorios</t>
  </si>
  <si>
    <t xml:space="preserve">C4</t>
  </si>
  <si>
    <t xml:space="preserve">Equipo en préstamo a otro hospital o institución</t>
  </si>
  <si>
    <t xml:space="preserve">Ignacio Berner Bergara</t>
  </si>
  <si>
    <t xml:space="preserve">Reprogramada</t>
  </si>
  <si>
    <t xml:space="preserve">Bimestral</t>
  </si>
  <si>
    <t xml:space="preserve">Reprogramada · Equipo en préstamo a otro hospital o institución</t>
  </si>
  <si>
    <t xml:space="preserve">No disponibilidad de horas hombre del funcionario SEC por alta carga laboral</t>
  </si>
  <si>
    <t xml:space="preserve">Macarena Toledo</t>
  </si>
  <si>
    <t xml:space="preserve">Mensual</t>
  </si>
  <si>
    <t xml:space="preserve">Reprogramada · No disponibilidad de horas hombre del funcionario SEC por alta carga laboral</t>
  </si>
  <si>
    <t xml:space="preserve">No disponibilidad de horas hombre del servicio técnico externo</t>
  </si>
  <si>
    <t xml:space="preserve">Reprogramada · No disponibilidad de horas hombre del servicio técnico externo</t>
  </si>
  <si>
    <t xml:space="preserve">Ausencia justificada del funcionario SEC superior a 15 días</t>
  </si>
  <si>
    <t xml:space="preserve">Reprogramada · Ausencia justificada del funcionario SEC superior a 15 días</t>
  </si>
  <si>
    <t xml:space="preserve">Contingencia hospitalaria</t>
  </si>
  <si>
    <t xml:space="preserve">Reprogramada · Contingencia hospitalaria</t>
  </si>
  <si>
    <t xml:space="preserve">Si-RA</t>
  </si>
  <si>
    <t xml:space="preserve">Mantención de Año Anterior Realizada</t>
  </si>
  <si>
    <t xml:space="preserve">Personal Externo</t>
  </si>
  <si>
    <t xml:space="preserve">FS</t>
  </si>
  <si>
    <t xml:space="preserve">Fuera de Servicio</t>
  </si>
  <si>
    <t xml:space="preserve">No Realizada</t>
  </si>
  <si>
    <t xml:space="preserve">Empresas / proveedores</t>
  </si>
  <si>
    <t xml:space="preserve">Servicios clínicos</t>
  </si>
  <si>
    <t xml:space="preserve">No Ubicable</t>
  </si>
  <si>
    <t xml:space="preserve">DRAGER CHILE LIMITADA</t>
  </si>
  <si>
    <t xml:space="preserve">CDT</t>
  </si>
  <si>
    <t xml:space="preserve">Equipo Dado de Baja</t>
  </si>
  <si>
    <t xml:space="preserve">PENTAFARMA S.A.</t>
  </si>
  <si>
    <t xml:space="preserve">CR ONCOLOGICO AMBULATORIO</t>
  </si>
  <si>
    <t xml:space="preserve">MEDTRONICS</t>
  </si>
  <si>
    <t xml:space="preserve">Cardiología</t>
  </si>
  <si>
    <t xml:space="preserve">HEMISUR</t>
  </si>
  <si>
    <t xml:space="preserve">Cardiología (2do piso)</t>
  </si>
  <si>
    <t xml:space="preserve">ANDOVER ALIANZA MEDICA S.A.</t>
  </si>
  <si>
    <t xml:space="preserve">Cardiología (Prestado a Medicina cardiovascular)</t>
  </si>
  <si>
    <t xml:space="preserve">Cirugía Adulto</t>
  </si>
  <si>
    <t xml:space="preserve">Cirugía Infantil</t>
  </si>
  <si>
    <t xml:space="preserve">Electrofisiología</t>
  </si>
  <si>
    <t xml:space="preserve">Endoscopía</t>
  </si>
  <si>
    <t xml:space="preserve">Gestión de Pacientes</t>
  </si>
  <si>
    <t xml:space="preserve">Ginecología</t>
  </si>
  <si>
    <t xml:space="preserve">Hemato Oncología Adulto</t>
  </si>
  <si>
    <t xml:space="preserve">Hemodiálisis</t>
  </si>
  <si>
    <t xml:space="preserve">Hemodiálisis (Prestado a SAMU)</t>
  </si>
  <si>
    <t xml:space="preserve">Hospitalización Domiciliaria</t>
  </si>
  <si>
    <t xml:space="preserve">Imagenología</t>
  </si>
  <si>
    <t xml:space="preserve">Imagenología (Prestado a Pabellón Quirúrgico)</t>
  </si>
  <si>
    <t xml:space="preserve">Medicina</t>
  </si>
  <si>
    <t xml:space="preserve">Medicina (Prestado a Cirugía Infantil )</t>
  </si>
  <si>
    <t xml:space="preserve">Medicina (Prestado a Medicina cardiovascular)</t>
  </si>
  <si>
    <t xml:space="preserve">Medicina (Prestado a Pediatría)</t>
  </si>
  <si>
    <t xml:space="preserve">(Listas editables: agregar empresas y servicios según se necesiten)</t>
  </si>
  <si>
    <t xml:space="preserve">Medicina (Prestado a Psiquiatria)</t>
  </si>
  <si>
    <t xml:space="preserve">Medicina (Prestado a medicina cardiovascular)</t>
  </si>
  <si>
    <t xml:space="preserve">Medicina Física y Rehabilitación</t>
  </si>
  <si>
    <t xml:space="preserve">Medicina Materno Fetal</t>
  </si>
  <si>
    <t xml:space="preserve">Neonatología</t>
  </si>
  <si>
    <t xml:space="preserve">Neurocirugía</t>
  </si>
  <si>
    <t xml:space="preserve">Pabellones Gineco-Obstétricos</t>
  </si>
  <si>
    <t xml:space="preserve">Pabellón (Hemodinamia)</t>
  </si>
  <si>
    <t xml:space="preserve">Pabellón (Prestado a Hemodinamia)</t>
  </si>
  <si>
    <t xml:space="preserve">Pabellón (Recuperación)</t>
  </si>
  <si>
    <t xml:space="preserve">Pabellón (Recuperación) prestado a UPC Adulto</t>
  </si>
  <si>
    <t xml:space="preserve">Pabellón CMA</t>
  </si>
  <si>
    <t xml:space="preserve">Pabellón CMA (prestado a UPC Adulto)</t>
  </si>
  <si>
    <t xml:space="preserve">Pabellón Quirúrgico</t>
  </si>
  <si>
    <t xml:space="preserve">Pabellón Quirúrgico (Prestado a Electrofisiología)</t>
  </si>
  <si>
    <t xml:space="preserve">Pabellón Quirúrgico (Prestado a Endoscopía)</t>
  </si>
  <si>
    <t xml:space="preserve">Pabellón Quirúrgico (Prestado a Imagenología)</t>
  </si>
  <si>
    <t xml:space="preserve">Pabellón Quirúrgico (Prestado a Pabellón CMA)</t>
  </si>
  <si>
    <t xml:space="preserve">Pabellón Quirúrgico (Prestado a Traumatología)</t>
  </si>
  <si>
    <t xml:space="preserve">Pediatría</t>
  </si>
  <si>
    <t xml:space="preserve">Peritoneodiálisis Adulto</t>
  </si>
  <si>
    <t xml:space="preserve">Prevención de Riesgos</t>
  </si>
  <si>
    <t xml:space="preserve">Prevención de Riesgos (Urgencia Adulto)</t>
  </si>
  <si>
    <t xml:space="preserve">Psiquiatría</t>
  </si>
  <si>
    <t xml:space="preserve">Quimioterapia Ambulatoria Adulto</t>
  </si>
  <si>
    <t xml:space="preserve">SAMU</t>
  </si>
  <si>
    <t xml:space="preserve">SAMU (Prestado a Hemodiálisis)</t>
  </si>
  <si>
    <t xml:space="preserve">SAMU (Prestado al Hospital de Villarrica)</t>
  </si>
  <si>
    <t xml:space="preserve">Servicio Social</t>
  </si>
  <si>
    <t xml:space="preserve">TROI</t>
  </si>
  <si>
    <t xml:space="preserve">Traumatología</t>
  </si>
  <si>
    <t xml:space="preserve">UPC 3er Piso</t>
  </si>
  <si>
    <t xml:space="preserve">UPC 3er Piso (Prestado a Urgencia Adulto)</t>
  </si>
  <si>
    <t xml:space="preserve">UPC Adulto</t>
  </si>
  <si>
    <t xml:space="preserve">UPC Adulto (Prestado a Cirugía Adulto)</t>
  </si>
  <si>
    <t xml:space="preserve">UPC Adulto (Prestado a UPC 3er piso)</t>
  </si>
  <si>
    <t xml:space="preserve">UPC Adulto (Prestado a Urgencia Adulto)</t>
  </si>
  <si>
    <t xml:space="preserve">UPC Cardiovascular</t>
  </si>
  <si>
    <t xml:space="preserve">UPC Cardiovascular (Prestado a Medicina)</t>
  </si>
  <si>
    <t xml:space="preserve">UPC Cardiovascular (Prestado a UPC Adulto)</t>
  </si>
  <si>
    <t xml:space="preserve">UPC Cardiovascular (Prestado a Urgencia Adulto)</t>
  </si>
  <si>
    <t xml:space="preserve">UPC Cardiovascular (Prestado a medicina cardiovascular)</t>
  </si>
  <si>
    <t xml:space="preserve">UPC Pediátrica</t>
  </si>
  <si>
    <t xml:space="preserve">Unidad Evaluación Paciente Imputado</t>
  </si>
  <si>
    <t xml:space="preserve">Urgencia Adulto</t>
  </si>
  <si>
    <t xml:space="preserve">Urgencia Adulto (Prestado a Cirugía Adulto)</t>
  </si>
  <si>
    <t xml:space="preserve">Urgencia Adulto (Prestado a Pediatría)</t>
  </si>
  <si>
    <t xml:space="preserve">Urgencia Adulto (Prestado a UPC 3er piso)</t>
  </si>
  <si>
    <t xml:space="preserve">Urgencia Adulto (Prestado a UPC Adulto)</t>
  </si>
  <si>
    <t xml:space="preserve">Urgencia Adulto (Prestado a UPC Cardiovascular)</t>
  </si>
  <si>
    <t xml:space="preserve">Urgencia Adulto (Prestado a Urgencia Infantil)</t>
  </si>
  <si>
    <t xml:space="preserve">Urgencia Infantil</t>
  </si>
  <si>
    <t xml:space="preserve">Urgencia Infantil (Prestado a Pediatría)</t>
  </si>
  <si>
    <t xml:space="preserve">Urgencia infantil</t>
  </si>
  <si>
    <t xml:space="preserve">Urgencias Gineco-Obstétricas</t>
  </si>
  <si>
    <t xml:space="preserve">ID</t>
  </si>
  <si>
    <t xml:space="preserve">N° Carpeta</t>
  </si>
  <si>
    <t xml:space="preserve">Unidad</t>
  </si>
  <si>
    <t xml:space="preserve">Procedencia</t>
  </si>
  <si>
    <t xml:space="preserve">Año Instalación</t>
  </si>
  <si>
    <t xml:space="preserve">Clasificación</t>
  </si>
  <si>
    <t xml:space="preserve">Incubadora</t>
  </si>
  <si>
    <t xml:space="preserve">UCI Neonatología</t>
  </si>
  <si>
    <t xml:space="preserve">UTI 1/2</t>
  </si>
  <si>
    <t xml:space="preserve">Arriendo</t>
  </si>
  <si>
    <t xml:space="preserve">DRAGER</t>
  </si>
  <si>
    <t xml:space="preserve">CALEO</t>
  </si>
  <si>
    <t xml:space="preserve">ASJL-0008</t>
  </si>
  <si>
    <t xml:space="preserve">Fija</t>
  </si>
  <si>
    <t xml:space="preserve">SALA EQUIPOS</t>
  </si>
  <si>
    <t xml:space="preserve">GENERAL ELECTRIC</t>
  </si>
  <si>
    <t xml:space="preserve">GIRAFFE OMNIBED CARESTATION</t>
  </si>
  <si>
    <t xml:space="preserve">TABX62307</t>
  </si>
  <si>
    <t xml:space="preserve">UCI 16</t>
  </si>
  <si>
    <t xml:space="preserve">TABX62308</t>
  </si>
  <si>
    <t xml:space="preserve">UTI 1/4</t>
  </si>
  <si>
    <t xml:space="preserve">ASHM-0118</t>
  </si>
  <si>
    <t xml:space="preserve">UCI 4</t>
  </si>
  <si>
    <t xml:space="preserve">TABX62309</t>
  </si>
  <si>
    <t xml:space="preserve">Pasillo</t>
  </si>
  <si>
    <t xml:space="preserve">Adquirido</t>
  </si>
  <si>
    <t xml:space="preserve">HILL-ROM</t>
  </si>
  <si>
    <t xml:space="preserve">TI500</t>
  </si>
  <si>
    <t xml:space="preserve">VD03887</t>
  </si>
  <si>
    <t xml:space="preserve">Transporte</t>
  </si>
  <si>
    <t xml:space="preserve">UCI 2</t>
  </si>
  <si>
    <t xml:space="preserve">ASLB-0016</t>
  </si>
  <si>
    <t xml:space="preserve">UTI 2/6</t>
  </si>
  <si>
    <t xml:space="preserve">TABX62310</t>
  </si>
  <si>
    <t xml:space="preserve">Base 1</t>
  </si>
  <si>
    <t xml:space="preserve">ATOM</t>
  </si>
  <si>
    <t xml:space="preserve">INCU ARCH</t>
  </si>
  <si>
    <t xml:space="preserve">621012300012</t>
  </si>
  <si>
    <t xml:space="preserve">UTI 3/3</t>
  </si>
  <si>
    <t xml:space="preserve">ASLB-0009</t>
  </si>
  <si>
    <t xml:space="preserve">UTI 1/6</t>
  </si>
  <si>
    <t xml:space="preserve">ASDA-0012</t>
  </si>
  <si>
    <t xml:space="preserve">UCI 6</t>
  </si>
  <si>
    <t xml:space="preserve">ASDA-0009</t>
  </si>
  <si>
    <t xml:space="preserve">UCI 13</t>
  </si>
  <si>
    <t xml:space="preserve">ASDA-0010</t>
  </si>
  <si>
    <t xml:space="preserve">UTI 4/2</t>
  </si>
  <si>
    <t xml:space="preserve">ASDA-0011</t>
  </si>
  <si>
    <t xml:space="preserve">UCI 5</t>
  </si>
  <si>
    <t xml:space="preserve">ASLB-0010</t>
  </si>
  <si>
    <t xml:space="preserve">UCI Neonatología </t>
  </si>
  <si>
    <t xml:space="preserve">KM10530</t>
  </si>
  <si>
    <t xml:space="preserve">UCI 7</t>
  </si>
  <si>
    <t xml:space="preserve">ASLB-0011</t>
  </si>
  <si>
    <t xml:space="preserve">ASLB-0012</t>
  </si>
  <si>
    <t xml:space="preserve">UTI 1/5</t>
  </si>
  <si>
    <t xml:space="preserve">ASLB-0013</t>
  </si>
  <si>
    <t xml:space="preserve">UTI 1/3</t>
  </si>
  <si>
    <t xml:space="preserve">ASLB-0014</t>
  </si>
  <si>
    <t xml:space="preserve">UTI 2/4</t>
  </si>
  <si>
    <t xml:space="preserve">ASLB-0015</t>
  </si>
  <si>
    <t xml:space="preserve">ASJL-0039</t>
  </si>
  <si>
    <t xml:space="preserve">UTI 1/1</t>
  </si>
  <si>
    <t xml:space="preserve">ASJL-0015</t>
  </si>
  <si>
    <t xml:space="preserve">UCI 8</t>
  </si>
  <si>
    <t xml:space="preserve">ASJL-0007</t>
  </si>
  <si>
    <t xml:space="preserve">UCI 11</t>
  </si>
  <si>
    <t xml:space="preserve">ASJL-0006</t>
  </si>
  <si>
    <t xml:space="preserve">UTI 2/1</t>
  </si>
  <si>
    <t xml:space="preserve">ASJL-0013</t>
  </si>
  <si>
    <t xml:space="preserve">Mindray</t>
  </si>
  <si>
    <t xml:space="preserve">BeneHeart C2</t>
  </si>
  <si>
    <t xml:space="preserve">AE7-2408132</t>
  </si>
  <si>
    <t xml:space="preserve">Hemodinamia </t>
  </si>
  <si>
    <t xml:space="preserve">Pabellón 2Piso</t>
  </si>
  <si>
    <t xml:space="preserve">Zoll </t>
  </si>
  <si>
    <t xml:space="preserve">R SERIES ALS</t>
  </si>
  <si>
    <t xml:space="preserve">AF12B020910</t>
  </si>
  <si>
    <t xml:space="preserve">SUA</t>
  </si>
  <si>
    <t xml:space="preserve">Sala Reanimación</t>
  </si>
  <si>
    <t xml:space="preserve">AF10H011856</t>
  </si>
  <si>
    <t xml:space="preserve">Medicina Cardiovascular</t>
  </si>
  <si>
    <t xml:space="preserve">Zócalo</t>
  </si>
  <si>
    <t xml:space="preserve">Nihon Kohden</t>
  </si>
  <si>
    <t xml:space="preserve">TEC 5531E</t>
  </si>
  <si>
    <t xml:space="preserve">1816</t>
  </si>
  <si>
    <t xml:space="preserve">Zoll</t>
  </si>
  <si>
    <t xml:space="preserve">AEDPLUS</t>
  </si>
  <si>
    <t xml:space="preserve">UEPI</t>
  </si>
  <si>
    <t xml:space="preserve">UEPI-103</t>
  </si>
  <si>
    <t xml:space="preserve">AED-3100</t>
  </si>
  <si>
    <t xml:space="preserve">13042</t>
  </si>
  <si>
    <t xml:space="preserve">Ambulancia</t>
  </si>
  <si>
    <t xml:space="preserve">BeneHeart C1A</t>
  </si>
  <si>
    <t xml:space="preserve">SUI sala IRA</t>
  </si>
  <si>
    <t xml:space="preserve">888</t>
  </si>
  <si>
    <t xml:space="preserve">CDT-P1-SA06</t>
  </si>
  <si>
    <t xml:space="preserve">AF12B020988</t>
  </si>
  <si>
    <t xml:space="preserve">UCI Adulto</t>
  </si>
  <si>
    <t xml:space="preserve">UCI D</t>
  </si>
  <si>
    <t xml:space="preserve">889</t>
  </si>
  <si>
    <t xml:space="preserve">Pediatría Segunda Infancia</t>
  </si>
  <si>
    <t xml:space="preserve">Pediatréa EPA</t>
  </si>
  <si>
    <t xml:space="preserve">39</t>
  </si>
  <si>
    <t xml:space="preserve">2-112268</t>
  </si>
  <si>
    <t xml:space="preserve">Pabellón Urgencia Obstétrica</t>
  </si>
  <si>
    <t xml:space="preserve">M SERIES </t>
  </si>
  <si>
    <t xml:space="preserve">T03K52786</t>
  </si>
  <si>
    <t xml:space="preserve">2-015926</t>
  </si>
  <si>
    <t xml:space="preserve">Recuperación Partos</t>
  </si>
  <si>
    <t xml:space="preserve">Medtronic</t>
  </si>
  <si>
    <t xml:space="preserve">Lifepack 20</t>
  </si>
  <si>
    <t xml:space="preserve">40676147</t>
  </si>
  <si>
    <t xml:space="preserve">Bodega Escritorio</t>
  </si>
  <si>
    <t xml:space="preserve">Bodega escritorio</t>
  </si>
  <si>
    <t xml:space="preserve">39322210</t>
  </si>
  <si>
    <t xml:space="preserve">Pabellón Central </t>
  </si>
  <si>
    <t xml:space="preserve">CDT-P2-PA05</t>
  </si>
  <si>
    <t xml:space="preserve">880</t>
  </si>
  <si>
    <t xml:space="preserve">EPB-P3-OF02</t>
  </si>
  <si>
    <t xml:space="preserve">885</t>
  </si>
  <si>
    <t xml:space="preserve">1818</t>
  </si>
  <si>
    <t xml:space="preserve">Recuperación CMA</t>
  </si>
  <si>
    <t xml:space="preserve">887</t>
  </si>
  <si>
    <t xml:space="preserve">Psiquiatría Adulto</t>
  </si>
  <si>
    <t xml:space="preserve">CDT-P1-SA32</t>
  </si>
  <si>
    <t xml:space="preserve">876</t>
  </si>
  <si>
    <t xml:space="preserve">Psiquiatría Infantil</t>
  </si>
  <si>
    <t xml:space="preserve">CDT-P2-E.E02</t>
  </si>
  <si>
    <t xml:space="preserve">TEC 5521E</t>
  </si>
  <si>
    <t xml:space="preserve">795</t>
  </si>
  <si>
    <t xml:space="preserve">Imagenología </t>
  </si>
  <si>
    <t xml:space="preserve">Scanner</t>
  </si>
  <si>
    <t xml:space="preserve">790</t>
  </si>
  <si>
    <t xml:space="preserve">Angiógrafo</t>
  </si>
  <si>
    <t xml:space="preserve">83</t>
  </si>
  <si>
    <t xml:space="preserve">Cirugía Trauma</t>
  </si>
  <si>
    <t xml:space="preserve">1811</t>
  </si>
  <si>
    <t xml:space="preserve">Sala 298</t>
  </si>
  <si>
    <t xml:space="preserve">1076</t>
  </si>
  <si>
    <t xml:space="preserve">Cirugía Adulto - Piso 3</t>
  </si>
  <si>
    <t xml:space="preserve">EPC</t>
  </si>
  <si>
    <t xml:space="preserve">1815</t>
  </si>
  <si>
    <t xml:space="preserve">UTI 3er Piso</t>
  </si>
  <si>
    <t xml:space="preserve">Carro de paro</t>
  </si>
  <si>
    <t xml:space="preserve">1810</t>
  </si>
  <si>
    <t xml:space="preserve">AF10H011861</t>
  </si>
  <si>
    <t xml:space="preserve">AF10G011487</t>
  </si>
  <si>
    <t xml:space="preserve">Compra</t>
  </si>
  <si>
    <t xml:space="preserve">TEC-5631</t>
  </si>
  <si>
    <t xml:space="preserve">7900</t>
  </si>
  <si>
    <t xml:space="preserve">QMT Ambulatoria Adulto</t>
  </si>
  <si>
    <t xml:space="preserve">EPC-P2</t>
  </si>
  <si>
    <t xml:space="preserve">AF12B020977</t>
  </si>
  <si>
    <t xml:space="preserve">Pediatría Oncológica</t>
  </si>
  <si>
    <t xml:space="preserve">1814</t>
  </si>
  <si>
    <t xml:space="preserve">TEC-5632E</t>
  </si>
  <si>
    <t xml:space="preserve">8104</t>
  </si>
  <si>
    <t xml:space="preserve">Pediatría Lactantes</t>
  </si>
  <si>
    <t xml:space="preserve">82</t>
  </si>
  <si>
    <t xml:space="preserve">UTI Adulto</t>
  </si>
  <si>
    <t xml:space="preserve">P2</t>
  </si>
  <si>
    <t xml:space="preserve">M2</t>
  </si>
  <si>
    <t xml:space="preserve">(21)BA19F000019</t>
  </si>
  <si>
    <t xml:space="preserve">Medicina interna - 5to piso</t>
  </si>
  <si>
    <t xml:space="preserve">5TO PISO TN</t>
  </si>
  <si>
    <t xml:space="preserve">1812</t>
  </si>
  <si>
    <t xml:space="preserve">5TO PISO EPA</t>
  </si>
  <si>
    <t xml:space="preserve">342</t>
  </si>
  <si>
    <t xml:space="preserve">BeneHeart D30</t>
  </si>
  <si>
    <t xml:space="preserve">FP5-49011641</t>
  </si>
  <si>
    <t xml:space="preserve">Sala procedmiento cirugíaa infantil</t>
  </si>
  <si>
    <t xml:space="preserve">1813</t>
  </si>
  <si>
    <t xml:space="preserve">P4-TNB</t>
  </si>
  <si>
    <t xml:space="preserve">883</t>
  </si>
  <si>
    <t xml:space="preserve">EPA</t>
  </si>
  <si>
    <t xml:space="preserve">1796</t>
  </si>
  <si>
    <t xml:space="preserve">1819</t>
  </si>
  <si>
    <t xml:space="preserve">Urgencia Obstétrica</t>
  </si>
  <si>
    <t xml:space="preserve">UPC-P1-SA20</t>
  </si>
  <si>
    <t xml:space="preserve">AF12B020983</t>
  </si>
  <si>
    <t xml:space="preserve">Pabellón Cardiovascular</t>
  </si>
  <si>
    <t xml:space="preserve">Physio Control</t>
  </si>
  <si>
    <t xml:space="preserve">Lifepak 15</t>
  </si>
  <si>
    <t xml:space="preserve">49453842</t>
  </si>
  <si>
    <t xml:space="preserve">Angiografo</t>
  </si>
  <si>
    <t xml:space="preserve">30634707</t>
  </si>
  <si>
    <t xml:space="preserve">Movil 1305</t>
  </si>
  <si>
    <t xml:space="preserve">Préstamo SSAS</t>
  </si>
  <si>
    <t xml:space="preserve">Movil 1301</t>
  </si>
  <si>
    <t xml:space="preserve">TEC-8352K</t>
  </si>
  <si>
    <t xml:space="preserve">1640</t>
  </si>
  <si>
    <t xml:space="preserve">Movil 1302</t>
  </si>
  <si>
    <t xml:space="preserve">AF12B020986</t>
  </si>
  <si>
    <t xml:space="preserve">Movil SHLF-84</t>
  </si>
  <si>
    <t xml:space="preserve">Pabellón Central</t>
  </si>
  <si>
    <t xml:space="preserve">CEM</t>
  </si>
  <si>
    <t xml:space="preserve">AED-3100K</t>
  </si>
  <si>
    <t xml:space="preserve">CDT 1ER Piso</t>
  </si>
  <si>
    <t xml:space="preserve">DEFIBTECH</t>
  </si>
  <si>
    <t xml:space="preserve">LIFE LINE </t>
  </si>
  <si>
    <t xml:space="preserve">Hall 1º Piso EP</t>
  </si>
  <si>
    <t xml:space="preserve">Priorización Adultos </t>
  </si>
  <si>
    <t xml:space="preserve">Zócalo CDT</t>
  </si>
  <si>
    <t xml:space="preserve">Entrada Principal TN</t>
  </si>
  <si>
    <t xml:space="preserve">Estacionamiento Zócalo </t>
  </si>
  <si>
    <t xml:space="preserve">Hall Imagenología</t>
  </si>
  <si>
    <t xml:space="preserve">EPB-P1</t>
  </si>
  <si>
    <t xml:space="preserve">Donación</t>
  </si>
  <si>
    <t xml:space="preserve">BeneHeart D6</t>
  </si>
  <si>
    <t xml:space="preserve">DG-29006896</t>
  </si>
  <si>
    <t xml:space="preserve">SUI reanimador</t>
  </si>
  <si>
    <t xml:space="preserve">DG-29006907</t>
  </si>
  <si>
    <t xml:space="preserve">Cirugía Adulto - Piso 7</t>
  </si>
  <si>
    <t xml:space="preserve">7mo piso</t>
  </si>
  <si>
    <t xml:space="preserve">(21)AF14J041071</t>
  </si>
  <si>
    <t xml:space="preserve">UCI Cardiovascular</t>
  </si>
  <si>
    <t xml:space="preserve">(21)AF14J041081</t>
  </si>
  <si>
    <t xml:space="preserve">EPC 5to Piso</t>
  </si>
  <si>
    <t xml:space="preserve">(21)AF14J041073</t>
  </si>
  <si>
    <t xml:space="preserve">Base 13</t>
  </si>
  <si>
    <t xml:space="preserve">Instramed</t>
  </si>
  <si>
    <t xml:space="preserve">Cardiomax 8 Series</t>
  </si>
  <si>
    <t xml:space="preserve">41204CM7004</t>
  </si>
  <si>
    <t xml:space="preserve">Sala de reanimación</t>
  </si>
  <si>
    <t xml:space="preserve">TEC-5631E</t>
  </si>
  <si>
    <t xml:space="preserve">7905</t>
  </si>
  <si>
    <t xml:space="preserve">DG4C012442</t>
  </si>
  <si>
    <t xml:space="preserve">TNB--1-BG05</t>
  </si>
  <si>
    <t xml:space="preserve">DG4C012445</t>
  </si>
  <si>
    <t xml:space="preserve">SECTOR C</t>
  </si>
  <si>
    <t xml:space="preserve">DG4C012440</t>
  </si>
  <si>
    <t xml:space="preserve">Cirugia Adulto - Piso 3</t>
  </si>
  <si>
    <t xml:space="preserve">3 Piso</t>
  </si>
  <si>
    <t xml:space="preserve">DG4C012439</t>
  </si>
  <si>
    <t xml:space="preserve">BODEGA</t>
  </si>
  <si>
    <t xml:space="preserve">DG4C012437</t>
  </si>
  <si>
    <t xml:space="preserve">NIHON KOHDEN</t>
  </si>
  <si>
    <t xml:space="preserve">932</t>
  </si>
  <si>
    <t xml:space="preserve">Reanimación</t>
  </si>
  <si>
    <t xml:space="preserve">946</t>
  </si>
  <si>
    <t xml:space="preserve">UPC Pediátrica </t>
  </si>
  <si>
    <t xml:space="preserve">UCI Pediátrica</t>
  </si>
  <si>
    <t xml:space="preserve">(21)AF19F099451</t>
  </si>
  <si>
    <t xml:space="preserve">UTI Pediátrica </t>
  </si>
  <si>
    <t xml:space="preserve">(21)AF19F099428</t>
  </si>
  <si>
    <t xml:space="preserve">Recuperación Pabellón Central</t>
  </si>
  <si>
    <t xml:space="preserve">(21)AF19K107390</t>
  </si>
  <si>
    <t xml:space="preserve">(21)AF19K107391</t>
  </si>
  <si>
    <t xml:space="preserve">(21)AF19K107393</t>
  </si>
  <si>
    <t xml:space="preserve">(21)AF19K107388</t>
  </si>
  <si>
    <t xml:space="preserve">UTI Cardiovascular</t>
  </si>
  <si>
    <t xml:space="preserve">(21)AF19F099447</t>
  </si>
  <si>
    <t xml:space="preserve">CDT Módulo C</t>
  </si>
  <si>
    <t xml:space="preserve">Box 15C</t>
  </si>
  <si>
    <t xml:space="preserve">Préstamo-Hospital de Angol</t>
  </si>
  <si>
    <t xml:space="preserve">2609</t>
  </si>
  <si>
    <t xml:space="preserve">UCI 3er Piso</t>
  </si>
  <si>
    <t xml:space="preserve">3249</t>
  </si>
  <si>
    <t xml:space="preserve">Sala de equipos SUA</t>
  </si>
  <si>
    <t xml:space="preserve">EMS-1052E</t>
  </si>
  <si>
    <t xml:space="preserve">298</t>
  </si>
  <si>
    <t xml:space="preserve">BA19F000013</t>
  </si>
  <si>
    <t xml:space="preserve">2-121024</t>
  </si>
  <si>
    <t xml:space="preserve">3533</t>
  </si>
  <si>
    <t xml:space="preserve">5TO PISO TNB</t>
  </si>
  <si>
    <t xml:space="preserve">3938</t>
  </si>
  <si>
    <t xml:space="preserve">5TO PISO TNA</t>
  </si>
  <si>
    <t xml:space="preserve">3939</t>
  </si>
  <si>
    <t xml:space="preserve">Movil RBFR-32</t>
  </si>
  <si>
    <t xml:space="preserve">Préstamo-SSAS</t>
  </si>
  <si>
    <t xml:space="preserve">5to piso EPB</t>
  </si>
  <si>
    <t xml:space="preserve">3945</t>
  </si>
  <si>
    <t xml:space="preserve">Pabellón 2</t>
  </si>
  <si>
    <t xml:space="preserve">Drager </t>
  </si>
  <si>
    <t xml:space="preserve">Primus IE</t>
  </si>
  <si>
    <t xml:space="preserve">ASLJ-0308</t>
  </si>
  <si>
    <t xml:space="preserve">Perseus A500</t>
  </si>
  <si>
    <t xml:space="preserve">ASRJ-0185</t>
  </si>
  <si>
    <t xml:space="preserve">Drager</t>
  </si>
  <si>
    <t xml:space="preserve">Atlan A350</t>
  </si>
  <si>
    <t xml:space="preserve">ASUD-0008</t>
  </si>
  <si>
    <t xml:space="preserve">Angiógrafo 5to piso</t>
  </si>
  <si>
    <t xml:space="preserve">Fabius GS</t>
  </si>
  <si>
    <t xml:space="preserve">ARXN-0048</t>
  </si>
  <si>
    <t xml:space="preserve">Primus </t>
  </si>
  <si>
    <t xml:space="preserve">Primus</t>
  </si>
  <si>
    <t xml:space="preserve">ARXK-0016</t>
  </si>
  <si>
    <t xml:space="preserve">2do piso</t>
  </si>
  <si>
    <t xml:space="preserve">ASMB-0232</t>
  </si>
  <si>
    <t xml:space="preserve">Angiógrafo 1er piso</t>
  </si>
  <si>
    <t xml:space="preserve">ASCB-0130</t>
  </si>
  <si>
    <t xml:space="preserve">Pabellón 3</t>
  </si>
  <si>
    <t xml:space="preserve">ASCB-0129</t>
  </si>
  <si>
    <t xml:space="preserve">Pabellón 7 Urgencia</t>
  </si>
  <si>
    <t xml:space="preserve">Equipamiento clinico</t>
  </si>
  <si>
    <t xml:space="preserve">Pabellón 8</t>
  </si>
  <si>
    <t xml:space="preserve">ARYL-0080</t>
  </si>
  <si>
    <t xml:space="preserve">Resonador</t>
  </si>
  <si>
    <t xml:space="preserve">Datex Ohmeda </t>
  </si>
  <si>
    <t xml:space="preserve">Aestiva/5 MRI</t>
  </si>
  <si>
    <t xml:space="preserve">AMTK00245</t>
  </si>
  <si>
    <t xml:space="preserve">Hemodinamia</t>
  </si>
  <si>
    <t xml:space="preserve">Pabellón Hemodinamia</t>
  </si>
  <si>
    <t xml:space="preserve">ARXK-0015</t>
  </si>
  <si>
    <t xml:space="preserve">Pabellón 1</t>
  </si>
  <si>
    <t xml:space="preserve">ASHB-0263</t>
  </si>
  <si>
    <t xml:space="preserve">ASHB-0262</t>
  </si>
  <si>
    <t xml:space="preserve">Bodega Pabellón Central</t>
  </si>
  <si>
    <t xml:space="preserve">ASMB-0233</t>
  </si>
  <si>
    <t xml:space="preserve">PabellónCMA 2</t>
  </si>
  <si>
    <t xml:space="preserve">ASMB-0234</t>
  </si>
  <si>
    <t xml:space="preserve">ASMK-0087</t>
  </si>
  <si>
    <t xml:space="preserve">Pabellón</t>
  </si>
  <si>
    <t xml:space="preserve">ASMK-0086</t>
  </si>
  <si>
    <t xml:space="preserve">Pabellón 10</t>
  </si>
  <si>
    <t xml:space="preserve">ASMK-0085</t>
  </si>
  <si>
    <t xml:space="preserve">Pabellón 5</t>
  </si>
  <si>
    <t xml:space="preserve">ASMK-0178</t>
  </si>
  <si>
    <t xml:space="preserve">Pabellón 3 </t>
  </si>
  <si>
    <t xml:space="preserve">ASMK-0179</t>
  </si>
  <si>
    <t xml:space="preserve">Fabius MRI</t>
  </si>
  <si>
    <t xml:space="preserve">ASML-0015</t>
  </si>
  <si>
    <t xml:space="preserve">UPC-P2-SA07</t>
  </si>
  <si>
    <t xml:space="preserve">Puritan Bennett</t>
  </si>
  <si>
    <t xml:space="preserve">840/Sin Comp.</t>
  </si>
  <si>
    <t xml:space="preserve">3510094199</t>
  </si>
  <si>
    <t xml:space="preserve">Invasivo</t>
  </si>
  <si>
    <t xml:space="preserve">Préstamo MINSAL</t>
  </si>
  <si>
    <t xml:space="preserve">MEK ICS</t>
  </si>
  <si>
    <t xml:space="preserve">MTV1000</t>
  </si>
  <si>
    <t xml:space="preserve">MTV1KUA1C0139</t>
  </si>
  <si>
    <t xml:space="preserve">Transporte Invasivo</t>
  </si>
  <si>
    <t xml:space="preserve">Préstamo Hospital de Villarrica</t>
  </si>
  <si>
    <t xml:space="preserve">Savina 300 Classic</t>
  </si>
  <si>
    <t xml:space="preserve">No Invasivo</t>
  </si>
  <si>
    <t xml:space="preserve">UPC-P2-SA19</t>
  </si>
  <si>
    <t xml:space="preserve">3510094181</t>
  </si>
  <si>
    <t xml:space="preserve">3510094192</t>
  </si>
  <si>
    <t xml:space="preserve">980/cc</t>
  </si>
  <si>
    <t xml:space="preserve">35B2101536</t>
  </si>
  <si>
    <t xml:space="preserve">MTV1KUA1B0123</t>
  </si>
  <si>
    <t xml:space="preserve">35B2101595</t>
  </si>
  <si>
    <t xml:space="preserve">Préstamo Hospital de Pitrufquen</t>
  </si>
  <si>
    <t xml:space="preserve">Flight Medical</t>
  </si>
  <si>
    <t xml:space="preserve">Flight 60</t>
  </si>
  <si>
    <t xml:space="preserve">16124260</t>
  </si>
  <si>
    <t xml:space="preserve">35B2101546</t>
  </si>
  <si>
    <t xml:space="preserve">Préstamo Hospital de Lautaro</t>
  </si>
  <si>
    <t xml:space="preserve">35B2004446</t>
  </si>
  <si>
    <t xml:space="preserve">2-003526</t>
  </si>
  <si>
    <t xml:space="preserve">UPC-P2-SA08</t>
  </si>
  <si>
    <t xml:space="preserve">Oxylog 3000</t>
  </si>
  <si>
    <t xml:space="preserve">ASCL-0116</t>
  </si>
  <si>
    <t xml:space="preserve">2-116302</t>
  </si>
  <si>
    <t xml:space="preserve">Sala de equipos</t>
  </si>
  <si>
    <t xml:space="preserve">Evita V300</t>
  </si>
  <si>
    <t xml:space="preserve">ASJA-0097</t>
  </si>
  <si>
    <t xml:space="preserve">3510094107</t>
  </si>
  <si>
    <t xml:space="preserve">Newport</t>
  </si>
  <si>
    <t xml:space="preserve">HT70 PLUS</t>
  </si>
  <si>
    <t xml:space="preserve">HT7P200663</t>
  </si>
  <si>
    <t xml:space="preserve">3510053116</t>
  </si>
  <si>
    <t xml:space="preserve">3510053070</t>
  </si>
  <si>
    <t xml:space="preserve">Ventilador Alta Frecuencia</t>
  </si>
  <si>
    <t xml:space="preserve">UPC-P2-SA44</t>
  </si>
  <si>
    <t xml:space="preserve">CareFusion</t>
  </si>
  <si>
    <t xml:space="preserve">Sensormedics 3100A </t>
  </si>
  <si>
    <t xml:space="preserve">AJW01025</t>
  </si>
  <si>
    <t xml:space="preserve">UPC-P2-BG14</t>
  </si>
  <si>
    <t xml:space="preserve">Evita V300/SC</t>
  </si>
  <si>
    <t xml:space="preserve">MV2000 EVO5</t>
  </si>
  <si>
    <t xml:space="preserve">MV2000UA1D0803</t>
  </si>
  <si>
    <t xml:space="preserve">Maquet</t>
  </si>
  <si>
    <t xml:space="preserve">Servo i</t>
  </si>
  <si>
    <t xml:space="preserve">15062</t>
  </si>
  <si>
    <t xml:space="preserve">27409</t>
  </si>
  <si>
    <t xml:space="preserve">Servo i RM</t>
  </si>
  <si>
    <t xml:space="preserve">27406</t>
  </si>
  <si>
    <t xml:space="preserve">Oficina </t>
  </si>
  <si>
    <t xml:space="preserve">Préstamo SSAN</t>
  </si>
  <si>
    <t xml:space="preserve">Philips</t>
  </si>
  <si>
    <t xml:space="preserve">Trilogy 202</t>
  </si>
  <si>
    <t xml:space="preserve">TV019111110</t>
  </si>
  <si>
    <t xml:space="preserve">2-116303</t>
  </si>
  <si>
    <t xml:space="preserve">ASJA-0098</t>
  </si>
  <si>
    <t xml:space="preserve">2-116304</t>
  </si>
  <si>
    <t xml:space="preserve">ASJF-0007</t>
  </si>
  <si>
    <t xml:space="preserve">2-116305</t>
  </si>
  <si>
    <t xml:space="preserve">ASJF-0008</t>
  </si>
  <si>
    <t xml:space="preserve">2-116306</t>
  </si>
  <si>
    <t xml:space="preserve">ASJL-0149</t>
  </si>
  <si>
    <t xml:space="preserve">2-116307</t>
  </si>
  <si>
    <t xml:space="preserve">ASJA-0099</t>
  </si>
  <si>
    <t xml:space="preserve">2-116308</t>
  </si>
  <si>
    <t xml:space="preserve">ASJA-0096</t>
  </si>
  <si>
    <t xml:space="preserve">Carina </t>
  </si>
  <si>
    <t xml:space="preserve">SRYM-0043</t>
  </si>
  <si>
    <t xml:space="preserve">2-112313</t>
  </si>
  <si>
    <t xml:space="preserve">VN500</t>
  </si>
  <si>
    <t xml:space="preserve">ASDB-0042</t>
  </si>
  <si>
    <t xml:space="preserve">Sensormedics 3100A</t>
  </si>
  <si>
    <t xml:space="preserve">TMA24453</t>
  </si>
  <si>
    <t xml:space="preserve">Sensormedics 3100B</t>
  </si>
  <si>
    <t xml:space="preserve">BBW01018</t>
  </si>
  <si>
    <t xml:space="preserve">TV020010610</t>
  </si>
  <si>
    <t xml:space="preserve">TV019111203</t>
  </si>
  <si>
    <t xml:space="preserve">Sala equipos SUA</t>
  </si>
  <si>
    <t xml:space="preserve">Traspaso</t>
  </si>
  <si>
    <t xml:space="preserve">ASHC-0026</t>
  </si>
  <si>
    <t xml:space="preserve">Respironic V60</t>
  </si>
  <si>
    <t xml:space="preserve">201038729</t>
  </si>
  <si>
    <t xml:space="preserve">TV02001060B</t>
  </si>
  <si>
    <t xml:space="preserve">ASJL-0099</t>
  </si>
  <si>
    <t xml:space="preserve">TV020010608</t>
  </si>
  <si>
    <t xml:space="preserve">ASKK-0196</t>
  </si>
  <si>
    <t xml:space="preserve">Hamilton</t>
  </si>
  <si>
    <t xml:space="preserve">T1</t>
  </si>
  <si>
    <t xml:space="preserve">27365</t>
  </si>
  <si>
    <t xml:space="preserve">ASCL-0118</t>
  </si>
  <si>
    <t xml:space="preserve">3510053115</t>
  </si>
  <si>
    <t xml:space="preserve">35B2100833</t>
  </si>
  <si>
    <t xml:space="preserve">27332</t>
  </si>
  <si>
    <t xml:space="preserve">ASKK-0198</t>
  </si>
  <si>
    <t xml:space="preserve">MR1</t>
  </si>
  <si>
    <t xml:space="preserve">3512141901</t>
  </si>
  <si>
    <t xml:space="preserve">2-007497</t>
  </si>
  <si>
    <t xml:space="preserve">ASFM-0081</t>
  </si>
  <si>
    <t xml:space="preserve">2-013598</t>
  </si>
  <si>
    <t xml:space="preserve">ASFM-0082</t>
  </si>
  <si>
    <t xml:space="preserve">2-112326</t>
  </si>
  <si>
    <t xml:space="preserve">ASFN-0010</t>
  </si>
  <si>
    <t xml:space="preserve">2-013589</t>
  </si>
  <si>
    <t xml:space="preserve">ASFN-0007</t>
  </si>
  <si>
    <t xml:space="preserve">2-110574</t>
  </si>
  <si>
    <t xml:space="preserve">UPC-P2-SA02</t>
  </si>
  <si>
    <t xml:space="preserve">ASHK-0158</t>
  </si>
  <si>
    <t xml:space="preserve">2-110572</t>
  </si>
  <si>
    <t xml:space="preserve">ASHK-0163</t>
  </si>
  <si>
    <t xml:space="preserve">2-110575</t>
  </si>
  <si>
    <t xml:space="preserve">ASHK-0162</t>
  </si>
  <si>
    <t xml:space="preserve">2-110565</t>
  </si>
  <si>
    <t xml:space="preserve">ASHK-0148</t>
  </si>
  <si>
    <t xml:space="preserve">2-110563</t>
  </si>
  <si>
    <t xml:space="preserve">ASHK-0153</t>
  </si>
  <si>
    <t xml:space="preserve">2-110568</t>
  </si>
  <si>
    <t xml:space="preserve">ASHK-0155</t>
  </si>
  <si>
    <t xml:space="preserve">2-110567</t>
  </si>
  <si>
    <t xml:space="preserve">ASHK-0160</t>
  </si>
  <si>
    <t xml:space="preserve">2-110566</t>
  </si>
  <si>
    <t xml:space="preserve">ASHK-0157</t>
  </si>
  <si>
    <t xml:space="preserve">2-110573</t>
  </si>
  <si>
    <t xml:space="preserve">ASHK-0156</t>
  </si>
  <si>
    <t xml:space="preserve">2-110562</t>
  </si>
  <si>
    <t xml:space="preserve">ASHK-0161</t>
  </si>
  <si>
    <t xml:space="preserve">2-110569</t>
  </si>
  <si>
    <t xml:space="preserve">ASHK-0152</t>
  </si>
  <si>
    <t xml:space="preserve">2-110564</t>
  </si>
  <si>
    <t xml:space="preserve">ASHK-0154</t>
  </si>
  <si>
    <t xml:space="preserve">2-110570</t>
  </si>
  <si>
    <t xml:space="preserve">ASHK-0159</t>
  </si>
  <si>
    <t xml:space="preserve">MV2000UA1D0984</t>
  </si>
  <si>
    <t xml:space="preserve">79510</t>
  </si>
  <si>
    <t xml:space="preserve">MV2000UA1D0987</t>
  </si>
  <si>
    <t xml:space="preserve">Newport </t>
  </si>
  <si>
    <t xml:space="preserve">N14HT720413504</t>
  </si>
  <si>
    <t xml:space="preserve">2-116291</t>
  </si>
  <si>
    <t xml:space="preserve">ASKK-0199</t>
  </si>
  <si>
    <t xml:space="preserve">2-116293</t>
  </si>
  <si>
    <t xml:space="preserve">ASKL-0003</t>
  </si>
  <si>
    <t xml:space="preserve">ASKL-0004</t>
  </si>
  <si>
    <t xml:space="preserve">2-116295</t>
  </si>
  <si>
    <t xml:space="preserve">ASKL-0008</t>
  </si>
  <si>
    <t xml:space="preserve">2-116296</t>
  </si>
  <si>
    <t xml:space="preserve">ASKL-0009</t>
  </si>
  <si>
    <t xml:space="preserve">2-116297</t>
  </si>
  <si>
    <t xml:space="preserve">ASKK-0201</t>
  </si>
  <si>
    <t xml:space="preserve">ASKL-0005</t>
  </si>
  <si>
    <t xml:space="preserve">2-116299</t>
  </si>
  <si>
    <t xml:space="preserve">ASKL-0006</t>
  </si>
  <si>
    <t xml:space="preserve">2-116301</t>
  </si>
  <si>
    <t xml:space="preserve">ASJA-0138</t>
  </si>
  <si>
    <t xml:space="preserve">N17HT720120041</t>
  </si>
  <si>
    <t xml:space="preserve">MV2000UA1D0775</t>
  </si>
  <si>
    <t xml:space="preserve">40966N0158</t>
  </si>
  <si>
    <t xml:space="preserve">Bodega</t>
  </si>
  <si>
    <t xml:space="preserve">40966N0156</t>
  </si>
  <si>
    <t xml:space="preserve">40966N0134</t>
  </si>
  <si>
    <t xml:space="preserve">40966N0118</t>
  </si>
  <si>
    <t xml:space="preserve">40966N0147</t>
  </si>
  <si>
    <t xml:space="preserve">40966N0133</t>
  </si>
  <si>
    <t xml:space="preserve">UPC 3er piso</t>
  </si>
  <si>
    <t xml:space="preserve">40966N0126</t>
  </si>
  <si>
    <t xml:space="preserve">HT7P200197</t>
  </si>
  <si>
    <t xml:space="preserve">Aeonmed</t>
  </si>
  <si>
    <t xml:space="preserve">VG70</t>
  </si>
  <si>
    <t xml:space="preserve">VG70(E)XZZU6636</t>
  </si>
  <si>
    <t xml:space="preserve">VG70(E)XZZU3360</t>
  </si>
  <si>
    <t xml:space="preserve">VG70(E)XZZU9473</t>
  </si>
  <si>
    <t xml:space="preserve">VG70(E)XZZU8032</t>
  </si>
  <si>
    <t xml:space="preserve">MV2000TA2F0736</t>
  </si>
  <si>
    <t xml:space="preserve">MV2000TA2F0740</t>
  </si>
  <si>
    <t xml:space="preserve">MV2000TA2F0735</t>
  </si>
  <si>
    <t xml:space="preserve">MV2000TA1F0353</t>
  </si>
  <si>
    <t xml:space="preserve">MV2000TA2F0745</t>
  </si>
  <si>
    <t xml:space="preserve">2-012933</t>
  </si>
  <si>
    <t xml:space="preserve">Hospital de Villarrica</t>
  </si>
  <si>
    <t xml:space="preserve">Weinmann</t>
  </si>
  <si>
    <t xml:space="preserve">Medumat Transport</t>
  </si>
  <si>
    <t xml:space="preserve">8253</t>
  </si>
  <si>
    <t xml:space="preserve">35B2002482</t>
  </si>
  <si>
    <t xml:space="preserve">2-121204</t>
  </si>
  <si>
    <t xml:space="preserve">Préstamo SAR Pedro de Valdivia</t>
  </si>
  <si>
    <t xml:space="preserve">ASJL-0086</t>
  </si>
  <si>
    <t xml:space="preserve">Préstamo CESFAM Los Volcanes</t>
  </si>
  <si>
    <t xml:space="preserve">ASJL-0081</t>
  </si>
  <si>
    <t xml:space="preserve">VG70(E)XZZU7932</t>
  </si>
  <si>
    <t xml:space="preserve">VG70(E)XZZU7934</t>
  </si>
  <si>
    <t xml:space="preserve">980/Sin Comp.</t>
  </si>
  <si>
    <t xml:space="preserve">35B2004521</t>
  </si>
  <si>
    <t xml:space="preserve">3512202265</t>
  </si>
  <si>
    <t xml:space="preserve">35B2004413</t>
  </si>
  <si>
    <t xml:space="preserve">35B2004449</t>
  </si>
  <si>
    <t xml:space="preserve">35B2004447</t>
  </si>
  <si>
    <t xml:space="preserve">3512202261</t>
  </si>
  <si>
    <t xml:space="preserve">3512202219</t>
  </si>
  <si>
    <t xml:space="preserve">2-120837</t>
  </si>
  <si>
    <t xml:space="preserve">Oxylog 3000 </t>
  </si>
  <si>
    <t xml:space="preserve">ASNH-0098</t>
  </si>
  <si>
    <t xml:space="preserve">SALA PROCEDIMIENTO TNA</t>
  </si>
  <si>
    <t xml:space="preserve">ASNH-0099</t>
  </si>
  <si>
    <t xml:space="preserve">Evita V800</t>
  </si>
  <si>
    <t xml:space="preserve">ASNM-0001</t>
  </si>
  <si>
    <t xml:space="preserve">2-120937</t>
  </si>
  <si>
    <t xml:space="preserve">UCI 1</t>
  </si>
  <si>
    <t xml:space="preserve">ASNK-0048</t>
  </si>
  <si>
    <t xml:space="preserve">ASNK-0047</t>
  </si>
  <si>
    <t xml:space="preserve">2-120939</t>
  </si>
  <si>
    <t xml:space="preserve">UCI 3</t>
  </si>
  <si>
    <t xml:space="preserve">ASNK-0043</t>
  </si>
  <si>
    <t xml:space="preserve">ASNK-0046</t>
  </si>
  <si>
    <t xml:space="preserve">2-120941</t>
  </si>
  <si>
    <t xml:space="preserve">ASNM-0007</t>
  </si>
  <si>
    <t xml:space="preserve">2-120944</t>
  </si>
  <si>
    <t xml:space="preserve">ASNM-0008</t>
  </si>
  <si>
    <t xml:space="preserve">2-120945</t>
  </si>
  <si>
    <t xml:space="preserve">ASNK-0045</t>
  </si>
  <si>
    <t xml:space="preserve">2-120947</t>
  </si>
  <si>
    <t xml:space="preserve">ASNM-0006</t>
  </si>
  <si>
    <t xml:space="preserve">2-120948</t>
  </si>
  <si>
    <t xml:space="preserve">ASNM-0002</t>
  </si>
  <si>
    <t xml:space="preserve">MTV1KUA1B0082</t>
  </si>
  <si>
    <t xml:space="preserve">MTV1KUA1B0031</t>
  </si>
  <si>
    <t xml:space="preserve">MTV1KUA1B0051</t>
  </si>
  <si>
    <t xml:space="preserve">35B2101527</t>
  </si>
  <si>
    <t xml:space="preserve">35B2101475</t>
  </si>
  <si>
    <t xml:space="preserve">Entrega MINSAL</t>
  </si>
  <si>
    <t xml:space="preserve">35B2101446</t>
  </si>
  <si>
    <t xml:space="preserve">Préstamo de Complejo Asistencial Padre las Casas</t>
  </si>
  <si>
    <t xml:space="preserve">3512202272</t>
  </si>
  <si>
    <t xml:space="preserve">Préstamo Complejo Asistencial Padre las Casas</t>
  </si>
  <si>
    <t xml:space="preserve">VG70(E)XZZT15424</t>
  </si>
  <si>
    <t xml:space="preserve">Trilogy EV300</t>
  </si>
  <si>
    <t xml:space="preserve">H29942683ADD6</t>
  </si>
  <si>
    <t xml:space="preserve">TV018020609</t>
  </si>
  <si>
    <t xml:space="preserve">TV01802060A</t>
  </si>
  <si>
    <t xml:space="preserve">TV018020612</t>
  </si>
  <si>
    <t xml:space="preserve">TV018021903</t>
  </si>
  <si>
    <t xml:space="preserve">TV018021907</t>
  </si>
  <si>
    <t xml:space="preserve">TV018021909</t>
  </si>
  <si>
    <t xml:space="preserve">TV01802190A</t>
  </si>
  <si>
    <t xml:space="preserve">TV01802190B</t>
  </si>
  <si>
    <t xml:space="preserve">TV01802190C</t>
  </si>
  <si>
    <t xml:space="preserve">Servicio programas ambulatorios</t>
  </si>
  <si>
    <t xml:space="preserve">Domicilio de paciente</t>
  </si>
  <si>
    <t xml:space="preserve">Trilogy EVO</t>
  </si>
  <si>
    <t xml:space="preserve">H27247766FFE4</t>
  </si>
  <si>
    <t xml:space="preserve">Yuwell</t>
  </si>
  <si>
    <t xml:space="preserve">YH-830</t>
  </si>
  <si>
    <t xml:space="preserve">YH830-V24C35011</t>
  </si>
  <si>
    <t xml:space="preserve">YH830A-V24C35013</t>
  </si>
  <si>
    <t xml:space="preserve">YH830A-V25132020</t>
  </si>
  <si>
    <t xml:space="preserve">YH830A-V24C35008</t>
  </si>
  <si>
    <t xml:space="preserve">2-007495</t>
  </si>
  <si>
    <t xml:space="preserve">CAMA 6</t>
  </si>
  <si>
    <t xml:space="preserve">Infinity Kappa </t>
  </si>
  <si>
    <t xml:space="preserve">5494254562</t>
  </si>
  <si>
    <t xml:space="preserve">2-016863</t>
  </si>
  <si>
    <t xml:space="preserve">CAMA 4</t>
  </si>
  <si>
    <t xml:space="preserve">5494252457</t>
  </si>
  <si>
    <t xml:space="preserve">2-112537</t>
  </si>
  <si>
    <t xml:space="preserve">CAMA 12</t>
  </si>
  <si>
    <t xml:space="preserve">5494254161</t>
  </si>
  <si>
    <t xml:space="preserve">2-003536</t>
  </si>
  <si>
    <t xml:space="preserve">CAMA 5</t>
  </si>
  <si>
    <t xml:space="preserve">5494254259</t>
  </si>
  <si>
    <t xml:space="preserve">2-013560</t>
  </si>
  <si>
    <t xml:space="preserve">CAMA 8</t>
  </si>
  <si>
    <t xml:space="preserve">5494264756</t>
  </si>
  <si>
    <t xml:space="preserve">2-007522</t>
  </si>
  <si>
    <t xml:space="preserve">CAMA 10</t>
  </si>
  <si>
    <t xml:space="preserve">5494268852</t>
  </si>
  <si>
    <t xml:space="preserve">2-112538</t>
  </si>
  <si>
    <t xml:space="preserve">CAMA 3</t>
  </si>
  <si>
    <t xml:space="preserve">5494252564</t>
  </si>
  <si>
    <t xml:space="preserve">2-003522</t>
  </si>
  <si>
    <t xml:space="preserve">CAMA 2</t>
  </si>
  <si>
    <t xml:space="preserve">5494265657</t>
  </si>
  <si>
    <t xml:space="preserve">2-007511</t>
  </si>
  <si>
    <t xml:space="preserve">CAMA 7</t>
  </si>
  <si>
    <t xml:space="preserve">5494255757</t>
  </si>
  <si>
    <t xml:space="preserve">2-007502</t>
  </si>
  <si>
    <t xml:space="preserve">CAMA 9</t>
  </si>
  <si>
    <t xml:space="preserve">5494255659</t>
  </si>
  <si>
    <t xml:space="preserve">2-112539</t>
  </si>
  <si>
    <t xml:space="preserve">CAMA 11</t>
  </si>
  <si>
    <t xml:space="preserve">5494275254</t>
  </si>
  <si>
    <t xml:space="preserve">CAMA 14</t>
  </si>
  <si>
    <t xml:space="preserve">5494264854</t>
  </si>
  <si>
    <t xml:space="preserve">Pediatría lactantes</t>
  </si>
  <si>
    <t xml:space="preserve">Infinity Vista XL </t>
  </si>
  <si>
    <t xml:space="preserve">6000543675</t>
  </si>
  <si>
    <t xml:space="preserve">Infinity Vista </t>
  </si>
  <si>
    <t xml:space="preserve">5514410774</t>
  </si>
  <si>
    <t xml:space="preserve">UCI Cardiovascular </t>
  </si>
  <si>
    <t xml:space="preserve">UCI-CAMA 1</t>
  </si>
  <si>
    <t xml:space="preserve">Infinity Kappa</t>
  </si>
  <si>
    <t xml:space="preserve">5494273060</t>
  </si>
  <si>
    <t xml:space="preserve">UCI-CAMA 2</t>
  </si>
  <si>
    <t xml:space="preserve">5494308255</t>
  </si>
  <si>
    <t xml:space="preserve">UCI-CAMA 3</t>
  </si>
  <si>
    <t xml:space="preserve">5494307158</t>
  </si>
  <si>
    <t xml:space="preserve">UCI-CAMA 6</t>
  </si>
  <si>
    <t xml:space="preserve">5494307853</t>
  </si>
  <si>
    <t xml:space="preserve">UCI-CAMA 4</t>
  </si>
  <si>
    <t xml:space="preserve">5494278447</t>
  </si>
  <si>
    <t xml:space="preserve">UCI-CAMA 7</t>
  </si>
  <si>
    <t xml:space="preserve">infinity kappa</t>
  </si>
  <si>
    <t xml:space="preserve">5494294652</t>
  </si>
  <si>
    <t xml:space="preserve">UTI-CAMA 6</t>
  </si>
  <si>
    <t xml:space="preserve">5494306061</t>
  </si>
  <si>
    <t xml:space="preserve">2-013522</t>
  </si>
  <si>
    <t xml:space="preserve">6000883771.</t>
  </si>
  <si>
    <t xml:space="preserve">UTI Cardiovascular </t>
  </si>
  <si>
    <t xml:space="preserve">UTI-CAMA 1</t>
  </si>
  <si>
    <t xml:space="preserve">5494308353</t>
  </si>
  <si>
    <t xml:space="preserve">UTI-CAMA 2</t>
  </si>
  <si>
    <t xml:space="preserve">5494305953</t>
  </si>
  <si>
    <t xml:space="preserve">UTI-CAMA 3</t>
  </si>
  <si>
    <t xml:space="preserve">5494307951</t>
  </si>
  <si>
    <t xml:space="preserve">UTI-CAMA 4</t>
  </si>
  <si>
    <t xml:space="preserve">5494306854</t>
  </si>
  <si>
    <t xml:space="preserve">UTI-CAMA 5</t>
  </si>
  <si>
    <t xml:space="preserve">UCI-CAMA 8</t>
  </si>
  <si>
    <t xml:space="preserve">5494279847</t>
  </si>
  <si>
    <t xml:space="preserve">UTI-CAMA 8</t>
  </si>
  <si>
    <t xml:space="preserve">5494305855</t>
  </si>
  <si>
    <t xml:space="preserve">CM100</t>
  </si>
  <si>
    <t xml:space="preserve">Cama 2</t>
  </si>
  <si>
    <t xml:space="preserve">SPACELABS HEALTHCARE</t>
  </si>
  <si>
    <t xml:space="preserve">XPREZZON</t>
  </si>
  <si>
    <t xml:space="preserve">1393-109323</t>
  </si>
  <si>
    <t xml:space="preserve">200717-011278</t>
  </si>
  <si>
    <t xml:space="preserve">Recuperación Angiógrafo </t>
  </si>
  <si>
    <t xml:space="preserve">Pabellon Hemodinamia 2do piso</t>
  </si>
  <si>
    <t xml:space="preserve">Préstamo</t>
  </si>
  <si>
    <t xml:space="preserve">Nihon Kohden </t>
  </si>
  <si>
    <t xml:space="preserve">BSM-3562</t>
  </si>
  <si>
    <t xml:space="preserve">33034.</t>
  </si>
  <si>
    <t xml:space="preserve">EPM 10</t>
  </si>
  <si>
    <t xml:space="preserve">96000115</t>
  </si>
  <si>
    <t xml:space="preserve">2-118666</t>
  </si>
  <si>
    <t xml:space="preserve">Vista 120</t>
  </si>
  <si>
    <t xml:space="preserve">VGSLN0011</t>
  </si>
  <si>
    <t xml:space="preserve">Pabellón 7</t>
  </si>
  <si>
    <t xml:space="preserve">M540</t>
  </si>
  <si>
    <t xml:space="preserve">5613543568</t>
  </si>
  <si>
    <t xml:space="preserve">2-119188</t>
  </si>
  <si>
    <t xml:space="preserve">General Electric</t>
  </si>
  <si>
    <t xml:space="preserve">B450</t>
  </si>
  <si>
    <t xml:space="preserve">SNT19480100HA</t>
  </si>
  <si>
    <t xml:space="preserve">2-119187</t>
  </si>
  <si>
    <t xml:space="preserve">SNT19480103HA</t>
  </si>
  <si>
    <t xml:space="preserve">Imagenología Recuperación</t>
  </si>
  <si>
    <t xml:space="preserve">B105</t>
  </si>
  <si>
    <t xml:space="preserve">SP318493998WA</t>
  </si>
  <si>
    <t xml:space="preserve">SP318493999WA</t>
  </si>
  <si>
    <t xml:space="preserve">SP318494009WA</t>
  </si>
  <si>
    <t xml:space="preserve">SP318494018WA</t>
  </si>
  <si>
    <t xml:space="preserve">SAR 3</t>
  </si>
  <si>
    <t xml:space="preserve">PVM-2701K</t>
  </si>
  <si>
    <t xml:space="preserve">100645</t>
  </si>
  <si>
    <t xml:space="preserve">Bodega Equipos SUI</t>
  </si>
  <si>
    <t xml:space="preserve">0100638.</t>
  </si>
  <si>
    <t xml:space="preserve">Box baja complejidad SUI</t>
  </si>
  <si>
    <t xml:space="preserve">100643</t>
  </si>
  <si>
    <t xml:space="preserve">0100647.</t>
  </si>
  <si>
    <t xml:space="preserve">EPC-P6</t>
  </si>
  <si>
    <t xml:space="preserve">EPM 15 Compact</t>
  </si>
  <si>
    <t xml:space="preserve">AC5-43007991</t>
  </si>
  <si>
    <t xml:space="preserve">Box B-4</t>
  </si>
  <si>
    <t xml:space="preserve">100653</t>
  </si>
  <si>
    <t xml:space="preserve">0100659.</t>
  </si>
  <si>
    <t xml:space="preserve">Box 2 SAR</t>
  </si>
  <si>
    <t xml:space="preserve">100641</t>
  </si>
  <si>
    <t xml:space="preserve">Box A-4</t>
  </si>
  <si>
    <t xml:space="preserve">100658</t>
  </si>
  <si>
    <t xml:space="preserve">Cama 3</t>
  </si>
  <si>
    <t xml:space="preserve">1393-109303</t>
  </si>
  <si>
    <t xml:space="preserve">100650</t>
  </si>
  <si>
    <t xml:space="preserve">Cama 7</t>
  </si>
  <si>
    <t xml:space="preserve">1393-109313</t>
  </si>
  <si>
    <t xml:space="preserve">100652</t>
  </si>
  <si>
    <t xml:space="preserve">Bodega Angiógrafo</t>
  </si>
  <si>
    <t xml:space="preserve">Creative Medical</t>
  </si>
  <si>
    <t xml:space="preserve">UP-7000</t>
  </si>
  <si>
    <t xml:space="preserve">J3300KB00015</t>
  </si>
  <si>
    <t xml:space="preserve">Pabellón 9</t>
  </si>
  <si>
    <t xml:space="preserve">5613541766</t>
  </si>
  <si>
    <t xml:space="preserve">UCI-Sala 5</t>
  </si>
  <si>
    <t xml:space="preserve">1393-109324</t>
  </si>
  <si>
    <t xml:space="preserve">Vista 300</t>
  </si>
  <si>
    <t xml:space="preserve">VSSUC0199</t>
  </si>
  <si>
    <t xml:space="preserve">Imagenología Angiógrafo </t>
  </si>
  <si>
    <t xml:space="preserve">Recuperación</t>
  </si>
  <si>
    <t xml:space="preserve">Infinity Vista</t>
  </si>
  <si>
    <t xml:space="preserve">5514423368</t>
  </si>
  <si>
    <t xml:space="preserve">Pediatría Oncol√≥gica</t>
  </si>
  <si>
    <t xml:space="preserve">adquirido</t>
  </si>
  <si>
    <t xml:space="preserve">BSM-6301K</t>
  </si>
  <si>
    <t xml:space="preserve">1060</t>
  </si>
  <si>
    <t xml:space="preserve">Segunda infancia</t>
  </si>
  <si>
    <t xml:space="preserve">100648</t>
  </si>
  <si>
    <t xml:space="preserve">Cama 5</t>
  </si>
  <si>
    <t xml:space="preserve">1393-109302</t>
  </si>
  <si>
    <t xml:space="preserve">100655</t>
  </si>
  <si>
    <t xml:space="preserve">UTI 1</t>
  </si>
  <si>
    <t xml:space="preserve">1393-114594</t>
  </si>
  <si>
    <t xml:space="preserve">502-2E</t>
  </si>
  <si>
    <t xml:space="preserve">BSM-3562K</t>
  </si>
  <si>
    <t xml:space="preserve">29676</t>
  </si>
  <si>
    <t xml:space="preserve">Sala 598</t>
  </si>
  <si>
    <t xml:space="preserve">29695</t>
  </si>
  <si>
    <t xml:space="preserve">Cama 6</t>
  </si>
  <si>
    <t xml:space="preserve">1393-109321</t>
  </si>
  <si>
    <t xml:space="preserve">100654</t>
  </si>
  <si>
    <t xml:space="preserve">BSM-1763K</t>
  </si>
  <si>
    <t xml:space="preserve">570</t>
  </si>
  <si>
    <t xml:space="preserve">2-016151</t>
  </si>
  <si>
    <t xml:space="preserve">100651</t>
  </si>
  <si>
    <t xml:space="preserve">Preparto 2</t>
  </si>
  <si>
    <t xml:space="preserve">Dash 4000</t>
  </si>
  <si>
    <t xml:space="preserve">D3DJ7839G</t>
  </si>
  <si>
    <t xml:space="preserve">501-2</t>
  </si>
  <si>
    <t xml:space="preserve">29751</t>
  </si>
  <si>
    <t xml:space="preserve">VSSUM0041</t>
  </si>
  <si>
    <t xml:space="preserve">5613541864</t>
  </si>
  <si>
    <t xml:space="preserve">2-112722</t>
  </si>
  <si>
    <t xml:space="preserve">VM6</t>
  </si>
  <si>
    <t xml:space="preserve">US74915948</t>
  </si>
  <si>
    <t xml:space="preserve">2-015901</t>
  </si>
  <si>
    <t xml:space="preserve">Preparto 1</t>
  </si>
  <si>
    <t xml:space="preserve">US74915942</t>
  </si>
  <si>
    <t xml:space="preserve">BSM-1763</t>
  </si>
  <si>
    <t xml:space="preserve">10912</t>
  </si>
  <si>
    <t xml:space="preserve">10919</t>
  </si>
  <si>
    <t xml:space="preserve">Vista 120 S</t>
  </si>
  <si>
    <t xml:space="preserve">S2SRF0982</t>
  </si>
  <si>
    <t xml:space="preserve">S2SRF0969</t>
  </si>
  <si>
    <t xml:space="preserve">MODLULO ZD CTD</t>
  </si>
  <si>
    <t xml:space="preserve">NORTHERN</t>
  </si>
  <si>
    <t xml:space="preserve">Aquarius ECG</t>
  </si>
  <si>
    <t xml:space="preserve">JH01B910030</t>
  </si>
  <si>
    <t xml:space="preserve">S2SRF0978</t>
  </si>
  <si>
    <t xml:space="preserve">Cama 1</t>
  </si>
  <si>
    <t xml:space="preserve">1393-109326</t>
  </si>
  <si>
    <t xml:space="preserve">S2SRF0975</t>
  </si>
  <si>
    <t xml:space="preserve">Angiógrafo zócalo</t>
  </si>
  <si>
    <t xml:space="preserve">5494757898</t>
  </si>
  <si>
    <t xml:space="preserve">Sala de Procedimientos Partos </t>
  </si>
  <si>
    <t xml:space="preserve">5494770058</t>
  </si>
  <si>
    <t xml:space="preserve">5494537845</t>
  </si>
  <si>
    <t xml:space="preserve">510-2E</t>
  </si>
  <si>
    <t xml:space="preserve">29761</t>
  </si>
  <si>
    <t xml:space="preserve">Angiógrafo FD20</t>
  </si>
  <si>
    <t xml:space="preserve">5493645944</t>
  </si>
  <si>
    <t xml:space="preserve">5494286652</t>
  </si>
  <si>
    <t xml:space="preserve">Pre Anestesia</t>
  </si>
  <si>
    <t xml:space="preserve">5493642252</t>
  </si>
  <si>
    <t xml:space="preserve">UTI Pediátrica</t>
  </si>
  <si>
    <t xml:space="preserve">1393-109311</t>
  </si>
  <si>
    <t xml:space="preserve">Modulo C box Eco</t>
  </si>
  <si>
    <t xml:space="preserve">5494287054</t>
  </si>
  <si>
    <t xml:space="preserve">1393-109319</t>
  </si>
  <si>
    <t xml:space="preserve">CDT-P2-QF07</t>
  </si>
  <si>
    <t xml:space="preserve">5493757948</t>
  </si>
  <si>
    <t xml:space="preserve">2-133447</t>
  </si>
  <si>
    <t xml:space="preserve">EPA-P4-SA06</t>
  </si>
  <si>
    <t xml:space="preserve">VSSTB0049</t>
  </si>
  <si>
    <t xml:space="preserve">1393-109304</t>
  </si>
  <si>
    <t xml:space="preserve">2-133448</t>
  </si>
  <si>
    <t xml:space="preserve">VSSTB0059</t>
  </si>
  <si>
    <t xml:space="preserve">Cama 9</t>
  </si>
  <si>
    <t xml:space="preserve">1393-109320</t>
  </si>
  <si>
    <t xml:space="preserve">VSSUM0044</t>
  </si>
  <si>
    <t xml:space="preserve">MODULO ZD CDT</t>
  </si>
  <si>
    <t xml:space="preserve">JB01B910013</t>
  </si>
  <si>
    <t xml:space="preserve">Psiquiatria</t>
  </si>
  <si>
    <t xml:space="preserve">Salud Mental</t>
  </si>
  <si>
    <t xml:space="preserve">SQE19510002SA</t>
  </si>
  <si>
    <t xml:space="preserve">VSSTA0230</t>
  </si>
  <si>
    <t xml:space="preserve">1393-109322</t>
  </si>
  <si>
    <t xml:space="preserve">2-113494</t>
  </si>
  <si>
    <t xml:space="preserve">Elance 2.0</t>
  </si>
  <si>
    <t xml:space="preserve">3300-004914</t>
  </si>
  <si>
    <t xml:space="preserve">Vismo 2701K</t>
  </si>
  <si>
    <t xml:space="preserve">131641</t>
  </si>
  <si>
    <t xml:space="preserve">1393-109327</t>
  </si>
  <si>
    <t xml:space="preserve">2-118854</t>
  </si>
  <si>
    <t xml:space="preserve">5613541169</t>
  </si>
  <si>
    <t xml:space="preserve">1393-109328</t>
  </si>
  <si>
    <t xml:space="preserve">5514429166</t>
  </si>
  <si>
    <t xml:space="preserve">UMEC10</t>
  </si>
  <si>
    <t xml:space="preserve">KN-25140948</t>
  </si>
  <si>
    <t xml:space="preserve">UTI Neonatología</t>
  </si>
  <si>
    <t xml:space="preserve">M8003A</t>
  </si>
  <si>
    <t xml:space="preserve">DE82025973</t>
  </si>
  <si>
    <t xml:space="preserve">DE82025965</t>
  </si>
  <si>
    <t xml:space="preserve">VSSTE0203</t>
  </si>
  <si>
    <t xml:space="preserve">Oxímetro</t>
  </si>
  <si>
    <t xml:space="preserve">SOMANETICS</t>
  </si>
  <si>
    <t xml:space="preserve">5100C</t>
  </si>
  <si>
    <t xml:space="preserve">(21)17G11325X</t>
  </si>
  <si>
    <t xml:space="preserve">(21)18G10312X</t>
  </si>
  <si>
    <t xml:space="preserve">Cama N° 17</t>
  </si>
  <si>
    <t xml:space="preserve">VGSML0046</t>
  </si>
  <si>
    <t xml:space="preserve">Unidad N° 11</t>
  </si>
  <si>
    <t xml:space="preserve">VGSML0057</t>
  </si>
  <si>
    <t xml:space="preserve">Cama 14</t>
  </si>
  <si>
    <t xml:space="preserve">VGSML0043</t>
  </si>
  <si>
    <t xml:space="preserve">Unidad N° 03</t>
  </si>
  <si>
    <t xml:space="preserve">VGSML0044</t>
  </si>
  <si>
    <t xml:space="preserve">Oficina Supervisora</t>
  </si>
  <si>
    <t xml:space="preserve">VGSML0047</t>
  </si>
  <si>
    <t xml:space="preserve">Unidad N° 10</t>
  </si>
  <si>
    <t xml:space="preserve">VGSML0049</t>
  </si>
  <si>
    <t xml:space="preserve">Cama 15</t>
  </si>
  <si>
    <t xml:space="preserve">VGSML0050</t>
  </si>
  <si>
    <t xml:space="preserve">Cama N° 12</t>
  </si>
  <si>
    <t xml:space="preserve">VGSML0062</t>
  </si>
  <si>
    <t xml:space="preserve">Cama N° 16</t>
  </si>
  <si>
    <t xml:space="preserve">VGSML0065</t>
  </si>
  <si>
    <t xml:space="preserve">100639</t>
  </si>
  <si>
    <t xml:space="preserve">1070</t>
  </si>
  <si>
    <t xml:space="preserve">1033</t>
  </si>
  <si>
    <t xml:space="preserve">1044</t>
  </si>
  <si>
    <t xml:space="preserve">1071</t>
  </si>
  <si>
    <t xml:space="preserve">5516412180</t>
  </si>
  <si>
    <t xml:space="preserve">5516412278</t>
  </si>
  <si>
    <t xml:space="preserve">1051</t>
  </si>
  <si>
    <t xml:space="preserve">100657</t>
  </si>
  <si>
    <t xml:space="preserve">5514422672</t>
  </si>
  <si>
    <t xml:space="preserve">1037</t>
  </si>
  <si>
    <t xml:space="preserve">5516414472</t>
  </si>
  <si>
    <t xml:space="preserve">100649</t>
  </si>
  <si>
    <t xml:space="preserve">100640</t>
  </si>
  <si>
    <t xml:space="preserve">CDT-P2-QF08</t>
  </si>
  <si>
    <t xml:space="preserve">5494782651</t>
  </si>
  <si>
    <t xml:space="preserve">01035.</t>
  </si>
  <si>
    <t xml:space="preserve">01036.</t>
  </si>
  <si>
    <t xml:space="preserve">EPB-P5-SA11</t>
  </si>
  <si>
    <t xml:space="preserve">1039</t>
  </si>
  <si>
    <t xml:space="preserve">EPB-P5-SA12</t>
  </si>
  <si>
    <t xml:space="preserve">Criticare </t>
  </si>
  <si>
    <t xml:space="preserve">8100E-S</t>
  </si>
  <si>
    <t xml:space="preserve">212726171</t>
  </si>
  <si>
    <t xml:space="preserve">EPB-P5-SA08</t>
  </si>
  <si>
    <t xml:space="preserve">1074</t>
  </si>
  <si>
    <t xml:space="preserve">EPB-P5-SA10</t>
  </si>
  <si>
    <t xml:space="preserve">1063</t>
  </si>
  <si>
    <t xml:space="preserve">EPB-P5-SA13</t>
  </si>
  <si>
    <t xml:space="preserve">1043</t>
  </si>
  <si>
    <t xml:space="preserve">Sala de Procedimientos</t>
  </si>
  <si>
    <t xml:space="preserve">212726117</t>
  </si>
  <si>
    <t xml:space="preserve">Cama 298-2</t>
  </si>
  <si>
    <t xml:space="preserve">6001128079</t>
  </si>
  <si>
    <t xml:space="preserve">Cama 298-1</t>
  </si>
  <si>
    <t xml:space="preserve">6001029471</t>
  </si>
  <si>
    <t xml:space="preserve">Cama 298-3</t>
  </si>
  <si>
    <t xml:space="preserve">6001111685</t>
  </si>
  <si>
    <t xml:space="preserve">VSSUM0046</t>
  </si>
  <si>
    <t xml:space="preserve">Cama 299-2</t>
  </si>
  <si>
    <t xml:space="preserve">6001123877</t>
  </si>
  <si>
    <t xml:space="preserve">Cama 8</t>
  </si>
  <si>
    <t xml:space="preserve">1393-109300</t>
  </si>
  <si>
    <t xml:space="preserve">2-007695</t>
  </si>
  <si>
    <t xml:space="preserve">1041</t>
  </si>
  <si>
    <t xml:space="preserve">2-003579</t>
  </si>
  <si>
    <t xml:space="preserve">1049</t>
  </si>
  <si>
    <t xml:space="preserve">2-003577</t>
  </si>
  <si>
    <t xml:space="preserve">Cirugia Adulto - Piso 7</t>
  </si>
  <si>
    <t xml:space="preserve">1055</t>
  </si>
  <si>
    <t xml:space="preserve">2-007631</t>
  </si>
  <si>
    <t xml:space="preserve">EPB</t>
  </si>
  <si>
    <t xml:space="preserve">1057</t>
  </si>
  <si>
    <t xml:space="preserve">2-007632</t>
  </si>
  <si>
    <t xml:space="preserve">1065</t>
  </si>
  <si>
    <t xml:space="preserve">2-003601</t>
  </si>
  <si>
    <t xml:space="preserve">TNB 705</t>
  </si>
  <si>
    <t xml:space="preserve">1032</t>
  </si>
  <si>
    <t xml:space="preserve">2-112423</t>
  </si>
  <si>
    <t xml:space="preserve">TNB 709</t>
  </si>
  <si>
    <t xml:space="preserve">1053</t>
  </si>
  <si>
    <t xml:space="preserve">2-007992</t>
  </si>
  <si>
    <t xml:space="preserve">1034</t>
  </si>
  <si>
    <t xml:space="preserve">2-007991</t>
  </si>
  <si>
    <t xml:space="preserve">1050</t>
  </si>
  <si>
    <t xml:space="preserve">2-007993</t>
  </si>
  <si>
    <t xml:space="preserve">1038</t>
  </si>
  <si>
    <t xml:space="preserve">1072</t>
  </si>
  <si>
    <t xml:space="preserve">212726139</t>
  </si>
  <si>
    <t xml:space="preserve">Lactantes</t>
  </si>
  <si>
    <t xml:space="preserve">212726134</t>
  </si>
  <si>
    <t xml:space="preserve">1062</t>
  </si>
  <si>
    <t xml:space="preserve">Oncología Pediátrica</t>
  </si>
  <si>
    <t xml:space="preserve">212726126</t>
  </si>
  <si>
    <t xml:space="preserve">Cirugía infantil 624-628</t>
  </si>
  <si>
    <t xml:space="preserve">1030</t>
  </si>
  <si>
    <t xml:space="preserve">509-2</t>
  </si>
  <si>
    <t xml:space="preserve">1064</t>
  </si>
  <si>
    <t xml:space="preserve">1056</t>
  </si>
  <si>
    <t xml:space="preserve">Sala 599</t>
  </si>
  <si>
    <t xml:space="preserve">1073</t>
  </si>
  <si>
    <t xml:space="preserve">503-2E</t>
  </si>
  <si>
    <t xml:space="preserve">1061</t>
  </si>
  <si>
    <t xml:space="preserve">1048</t>
  </si>
  <si>
    <t xml:space="preserve">1040</t>
  </si>
  <si>
    <t xml:space="preserve">Medicina cardiovascular</t>
  </si>
  <si>
    <t xml:space="preserve">514-3</t>
  </si>
  <si>
    <t xml:space="preserve">1068</t>
  </si>
  <si>
    <t xml:space="preserve">1067</t>
  </si>
  <si>
    <t xml:space="preserve">526-3</t>
  </si>
  <si>
    <t xml:space="preserve">1042</t>
  </si>
  <si>
    <t xml:space="preserve">517-2</t>
  </si>
  <si>
    <t xml:space="preserve">1058</t>
  </si>
  <si>
    <t xml:space="preserve">Cama 4</t>
  </si>
  <si>
    <t xml:space="preserve">1393-109309</t>
  </si>
  <si>
    <t xml:space="preserve">CDT-P1</t>
  </si>
  <si>
    <t xml:space="preserve">Pabellón Procedimiento</t>
  </si>
  <si>
    <t xml:space="preserve">Cama 10</t>
  </si>
  <si>
    <t xml:space="preserve">1393-109310</t>
  </si>
  <si>
    <t xml:space="preserve">510-1</t>
  </si>
  <si>
    <t xml:space="preserve">1069</t>
  </si>
  <si>
    <t xml:space="preserve">503-3E</t>
  </si>
  <si>
    <t xml:space="preserve">29789</t>
  </si>
  <si>
    <t xml:space="preserve">511-2</t>
  </si>
  <si>
    <t xml:space="preserve">1054</t>
  </si>
  <si>
    <t xml:space="preserve">Cama 11</t>
  </si>
  <si>
    <t xml:space="preserve">1393-109301</t>
  </si>
  <si>
    <t xml:space="preserve">EPC (Clinica)</t>
  </si>
  <si>
    <t xml:space="preserve">BSM-2351K</t>
  </si>
  <si>
    <t xml:space="preserve">3643</t>
  </si>
  <si>
    <t xml:space="preserve">01052.</t>
  </si>
  <si>
    <t xml:space="preserve">01046.</t>
  </si>
  <si>
    <t xml:space="preserve">2-003578</t>
  </si>
  <si>
    <t xml:space="preserve">1047</t>
  </si>
  <si>
    <t xml:space="preserve">01059.</t>
  </si>
  <si>
    <t xml:space="preserve">Unidad N° 02</t>
  </si>
  <si>
    <t xml:space="preserve">VGSML0069</t>
  </si>
  <si>
    <t xml:space="preserve">Cama 12</t>
  </si>
  <si>
    <t xml:space="preserve">1393-109325</t>
  </si>
  <si>
    <t xml:space="preserve">Cama 13</t>
  </si>
  <si>
    <t xml:space="preserve">1393-109314</t>
  </si>
  <si>
    <t xml:space="preserve">2-119373</t>
  </si>
  <si>
    <t xml:space="preserve">1º Piso</t>
  </si>
  <si>
    <t xml:space="preserve">VGSML0070</t>
  </si>
  <si>
    <t xml:space="preserve">6000874576</t>
  </si>
  <si>
    <t xml:space="preserve">6000907871</t>
  </si>
  <si>
    <t xml:space="preserve">2-013524</t>
  </si>
  <si>
    <t xml:space="preserve">Armario de equipos UCI Cardio</t>
  </si>
  <si>
    <t xml:space="preserve">6000875272</t>
  </si>
  <si>
    <t xml:space="preserve">522-3</t>
  </si>
  <si>
    <t xml:space="preserve">6000873372</t>
  </si>
  <si>
    <t xml:space="preserve">Box 12 - Ecografia</t>
  </si>
  <si>
    <t xml:space="preserve">Nellcor</t>
  </si>
  <si>
    <t xml:space="preserve">M5600-LA</t>
  </si>
  <si>
    <t xml:space="preserve">5395673564</t>
  </si>
  <si>
    <t xml:space="preserve">Cirugia infantil 619-623</t>
  </si>
  <si>
    <t xml:space="preserve">1066</t>
  </si>
  <si>
    <t xml:space="preserve">Cama N° 13</t>
  </si>
  <si>
    <t xml:space="preserve">VGSML0072</t>
  </si>
  <si>
    <t xml:space="preserve">5494305160</t>
  </si>
  <si>
    <t xml:space="preserve">2-119632</t>
  </si>
  <si>
    <t xml:space="preserve">SQE19510004SA</t>
  </si>
  <si>
    <t xml:space="preserve">2-119633</t>
  </si>
  <si>
    <t xml:space="preserve">SQE19510005SA</t>
  </si>
  <si>
    <t xml:space="preserve">VSSUM0052</t>
  </si>
  <si>
    <t xml:space="preserve">VSSTE0190</t>
  </si>
  <si>
    <t xml:space="preserve">2-112536</t>
  </si>
  <si>
    <t xml:space="preserve">Infinity Delta</t>
  </si>
  <si>
    <t xml:space="preserve">5395138358</t>
  </si>
  <si>
    <t xml:space="preserve">TN-P2</t>
  </si>
  <si>
    <t xml:space="preserve">US74915951</t>
  </si>
  <si>
    <t xml:space="preserve">2-119629</t>
  </si>
  <si>
    <t xml:space="preserve">SQE19510008SA</t>
  </si>
  <si>
    <t xml:space="preserve">518-3</t>
  </si>
  <si>
    <t xml:space="preserve">03644.</t>
  </si>
  <si>
    <t xml:space="preserve">2-016153</t>
  </si>
  <si>
    <t xml:space="preserve">100646</t>
  </si>
  <si>
    <t xml:space="preserve">2-023029</t>
  </si>
  <si>
    <t xml:space="preserve">100642</t>
  </si>
  <si>
    <t xml:space="preserve">2-119650</t>
  </si>
  <si>
    <t xml:space="preserve">SQE19510009SA</t>
  </si>
  <si>
    <t xml:space="preserve">2-023026</t>
  </si>
  <si>
    <t xml:space="preserve">100656</t>
  </si>
  <si>
    <t xml:space="preserve">5613540865</t>
  </si>
  <si>
    <t xml:space="preserve">Domicilio</t>
  </si>
  <si>
    <t xml:space="preserve">US74915955</t>
  </si>
  <si>
    <t xml:space="preserve">UCI-CAMA 5</t>
  </si>
  <si>
    <t xml:space="preserve">5494308059</t>
  </si>
  <si>
    <t xml:space="preserve">2-113429</t>
  </si>
  <si>
    <t xml:space="preserve">3647</t>
  </si>
  <si>
    <t xml:space="preserve">5613542961</t>
  </si>
  <si>
    <t xml:space="preserve">595-1</t>
  </si>
  <si>
    <t xml:space="preserve">SQE19510010SA</t>
  </si>
  <si>
    <t xml:space="preserve">2-007607</t>
  </si>
  <si>
    <t xml:space="preserve">01031.</t>
  </si>
  <si>
    <t xml:space="preserve">5396140362</t>
  </si>
  <si>
    <t xml:space="preserve">2-027591</t>
  </si>
  <si>
    <t xml:space="preserve">CAMA 1</t>
  </si>
  <si>
    <t xml:space="preserve">5495045456</t>
  </si>
  <si>
    <t xml:space="preserve">2-016363</t>
  </si>
  <si>
    <t xml:space="preserve">CAMA 20</t>
  </si>
  <si>
    <t xml:space="preserve">5495022766</t>
  </si>
  <si>
    <t xml:space="preserve">2-027646</t>
  </si>
  <si>
    <t xml:space="preserve">CAMA 21</t>
  </si>
  <si>
    <t xml:space="preserve">5495046856</t>
  </si>
  <si>
    <t xml:space="preserve">2-023232</t>
  </si>
  <si>
    <t xml:space="preserve">CAMA 19</t>
  </si>
  <si>
    <t xml:space="preserve">5495038063</t>
  </si>
  <si>
    <t xml:space="preserve">2-027618</t>
  </si>
  <si>
    <t xml:space="preserve">CAMA 23</t>
  </si>
  <si>
    <t xml:space="preserve">5495024960</t>
  </si>
  <si>
    <t xml:space="preserve">2-027647</t>
  </si>
  <si>
    <t xml:space="preserve">CAMA 24</t>
  </si>
  <si>
    <t xml:space="preserve">5495046758</t>
  </si>
  <si>
    <t xml:space="preserve">UTI Médica</t>
  </si>
  <si>
    <t xml:space="preserve">CAMA 16</t>
  </si>
  <si>
    <t xml:space="preserve">5495042762</t>
  </si>
  <si>
    <t xml:space="preserve">2-016364</t>
  </si>
  <si>
    <t xml:space="preserve">CAMA 18</t>
  </si>
  <si>
    <t xml:space="preserve">5495036956</t>
  </si>
  <si>
    <t xml:space="preserve">2-027617</t>
  </si>
  <si>
    <t xml:space="preserve">CAMA 13</t>
  </si>
  <si>
    <t xml:space="preserve">5495022864</t>
  </si>
  <si>
    <t xml:space="preserve">Unidad N° 01</t>
  </si>
  <si>
    <t xml:space="preserve">V2SFH0017</t>
  </si>
  <si>
    <t xml:space="preserve">Unidad N° 07</t>
  </si>
  <si>
    <t xml:space="preserve">V2SFH0032</t>
  </si>
  <si>
    <t xml:space="preserve">Cama N° 5</t>
  </si>
  <si>
    <t xml:space="preserve">V2SFH0025</t>
  </si>
  <si>
    <t xml:space="preserve">Cama N° 18</t>
  </si>
  <si>
    <t xml:space="preserve">V2SFH0016</t>
  </si>
  <si>
    <t xml:space="preserve">Cama N° 6</t>
  </si>
  <si>
    <t xml:space="preserve">V2SFH0031</t>
  </si>
  <si>
    <t xml:space="preserve">Cama N° 8</t>
  </si>
  <si>
    <t xml:space="preserve">V2SFH0035</t>
  </si>
  <si>
    <t xml:space="preserve">V2SFH0038</t>
  </si>
  <si>
    <t xml:space="preserve">2-021539</t>
  </si>
  <si>
    <t xml:space="preserve">1° Piso</t>
  </si>
  <si>
    <t xml:space="preserve">V2SFH0033</t>
  </si>
  <si>
    <t xml:space="preserve">Cama N° 4</t>
  </si>
  <si>
    <t xml:space="preserve">V2SFH0019</t>
  </si>
  <si>
    <t xml:space="preserve">Unidad N° 09</t>
  </si>
  <si>
    <t xml:space="preserve">V2SFH0026</t>
  </si>
  <si>
    <t xml:space="preserve">2-112548</t>
  </si>
  <si>
    <t xml:space="preserve">6006239368</t>
  </si>
  <si>
    <t xml:space="preserve">2-007496</t>
  </si>
  <si>
    <t xml:space="preserve">6006232874</t>
  </si>
  <si>
    <t xml:space="preserve">Urgencia Infantil </t>
  </si>
  <si>
    <t xml:space="preserve">Vismo PVM-2703K</t>
  </si>
  <si>
    <t xml:space="preserve">0105413.</t>
  </si>
  <si>
    <t xml:space="preserve">OBS. 3</t>
  </si>
  <si>
    <t xml:space="preserve">105784</t>
  </si>
  <si>
    <t xml:space="preserve">Reanimación SUI</t>
  </si>
  <si>
    <t xml:space="preserve">0105405.</t>
  </si>
  <si>
    <t xml:space="preserve">0105409.</t>
  </si>
  <si>
    <t xml:space="preserve">Neurocirug√≠a</t>
  </si>
  <si>
    <t xml:space="preserve">105804</t>
  </si>
  <si>
    <t xml:space="preserve">Box A-5</t>
  </si>
  <si>
    <t xml:space="preserve">107080</t>
  </si>
  <si>
    <t xml:space="preserve">Box A-3</t>
  </si>
  <si>
    <t xml:space="preserve">0107075.</t>
  </si>
  <si>
    <t xml:space="preserve">SUI Observaci√≥n</t>
  </si>
  <si>
    <t xml:space="preserve">0107083.</t>
  </si>
  <si>
    <t xml:space="preserve">SUI Sala IRA</t>
  </si>
  <si>
    <t xml:space="preserve">0107101.</t>
  </si>
  <si>
    <t xml:space="preserve">0107093.</t>
  </si>
  <si>
    <t xml:space="preserve">0107077.</t>
  </si>
  <si>
    <t xml:space="preserve">2-022372</t>
  </si>
  <si>
    <t xml:space="preserve">107076</t>
  </si>
  <si>
    <t xml:space="preserve">2-015816</t>
  </si>
  <si>
    <t xml:space="preserve">Preparto</t>
  </si>
  <si>
    <t xml:space="preserve">107110</t>
  </si>
  <si>
    <t xml:space="preserve">G70</t>
  </si>
  <si>
    <t xml:space="preserve">CN23200081</t>
  </si>
  <si>
    <t xml:space="preserve">Box 0 </t>
  </si>
  <si>
    <t xml:space="preserve">CN23200082</t>
  </si>
  <si>
    <t xml:space="preserve">VTSHD0109</t>
  </si>
  <si>
    <t xml:space="preserve">Portatil</t>
  </si>
  <si>
    <t xml:space="preserve">VTSHD0102</t>
  </si>
  <si>
    <t xml:space="preserve">2-027894</t>
  </si>
  <si>
    <t xml:space="preserve">VTSHD0071</t>
  </si>
  <si>
    <t xml:space="preserve">VTSHD0101</t>
  </si>
  <si>
    <t xml:space="preserve">Cama 299-5</t>
  </si>
  <si>
    <t xml:space="preserve">VTSHD0089</t>
  </si>
  <si>
    <t xml:space="preserve">VTSHD0103</t>
  </si>
  <si>
    <t xml:space="preserve">2-023478</t>
  </si>
  <si>
    <t xml:space="preserve">Sala 714</t>
  </si>
  <si>
    <t xml:space="preserve">VTSHD0068</t>
  </si>
  <si>
    <t xml:space="preserve">2-016544</t>
  </si>
  <si>
    <t xml:space="preserve">TNB 701</t>
  </si>
  <si>
    <t xml:space="preserve">VTSHD0090</t>
  </si>
  <si>
    <t xml:space="preserve">595-4</t>
  </si>
  <si>
    <t xml:space="preserve">VTSHD0065</t>
  </si>
  <si>
    <t xml:space="preserve">VTSHD0051</t>
  </si>
  <si>
    <t xml:space="preserve">516-1</t>
  </si>
  <si>
    <t xml:space="preserve">VTSHD0072</t>
  </si>
  <si>
    <t xml:space="preserve">509-1</t>
  </si>
  <si>
    <t xml:space="preserve">VTSHD0070</t>
  </si>
  <si>
    <t xml:space="preserve">527-1</t>
  </si>
  <si>
    <t xml:space="preserve">VTSHD0106</t>
  </si>
  <si>
    <t xml:space="preserve">VTSHD0107</t>
  </si>
  <si>
    <t xml:space="preserve">2-023480</t>
  </si>
  <si>
    <t xml:space="preserve">VTSHD0096</t>
  </si>
  <si>
    <t xml:space="preserve">529-3</t>
  </si>
  <si>
    <t xml:space="preserve">VTSHD0094</t>
  </si>
  <si>
    <t xml:space="preserve">Cama 299-4</t>
  </si>
  <si>
    <t xml:space="preserve">VTSHD0111</t>
  </si>
  <si>
    <t xml:space="preserve">2-117050</t>
  </si>
  <si>
    <t xml:space="preserve">MX450</t>
  </si>
  <si>
    <t xml:space="preserve">DE351C1469</t>
  </si>
  <si>
    <t xml:space="preserve">Cama 299-3</t>
  </si>
  <si>
    <t xml:space="preserve">VTSHD0066</t>
  </si>
  <si>
    <t xml:space="preserve">VTSHD0099</t>
  </si>
  <si>
    <t xml:space="preserve">VQSHD0069</t>
  </si>
  <si>
    <t xml:space="preserve">VQSHD0088</t>
  </si>
  <si>
    <t xml:space="preserve">VQSHD0103</t>
  </si>
  <si>
    <t xml:space="preserve">VQSHD0120</t>
  </si>
  <si>
    <t xml:space="preserve">VQSHD0122</t>
  </si>
  <si>
    <t xml:space="preserve">VQSHD0124</t>
  </si>
  <si>
    <t xml:space="preserve">VQSHD0127</t>
  </si>
  <si>
    <t xml:space="preserve">VQSHD0130</t>
  </si>
  <si>
    <t xml:space="preserve">VQSHD0133</t>
  </si>
  <si>
    <t xml:space="preserve">VQSHD0146</t>
  </si>
  <si>
    <t xml:space="preserve">VQSHD0152</t>
  </si>
  <si>
    <t xml:space="preserve">VQSHD0154</t>
  </si>
  <si>
    <t xml:space="preserve">VQSHD0158</t>
  </si>
  <si>
    <t xml:space="preserve">VQSHD0160</t>
  </si>
  <si>
    <t xml:space="preserve">VQSHD0166</t>
  </si>
  <si>
    <t xml:space="preserve">VQSHD0169</t>
  </si>
  <si>
    <t xml:space="preserve">VQSHD0170</t>
  </si>
  <si>
    <t xml:space="preserve">VQSHD0171</t>
  </si>
  <si>
    <t xml:space="preserve">VQSHD0173</t>
  </si>
  <si>
    <t xml:space="preserve">VQSHD0174</t>
  </si>
  <si>
    <t xml:space="preserve">VQSHD0194</t>
  </si>
  <si>
    <t xml:space="preserve">VQSHD0197</t>
  </si>
  <si>
    <t xml:space="preserve">VQSHD0226</t>
  </si>
  <si>
    <t xml:space="preserve">VQSHD0233</t>
  </si>
  <si>
    <t xml:space="preserve">VQSHD0234</t>
  </si>
  <si>
    <t xml:space="preserve">Medicina interna</t>
  </si>
  <si>
    <t xml:space="preserve">VTSHD0021</t>
  </si>
  <si>
    <t xml:space="preserve">VTSHN0089</t>
  </si>
  <si>
    <t xml:space="preserve">6007939163</t>
  </si>
  <si>
    <t xml:space="preserve">5495339950</t>
  </si>
  <si>
    <t xml:space="preserve">2-111902</t>
  </si>
  <si>
    <t xml:space="preserve">PVM-2701</t>
  </si>
  <si>
    <t xml:space="preserve">111450</t>
  </si>
  <si>
    <t xml:space="preserve">2-111901</t>
  </si>
  <si>
    <t xml:space="preserve">111456</t>
  </si>
  <si>
    <t xml:space="preserve">2-016338</t>
  </si>
  <si>
    <t xml:space="preserve">6006242079</t>
  </si>
  <si>
    <t xml:space="preserve">Prestado a UPC 3er piso</t>
  </si>
  <si>
    <t xml:space="preserve">5495318955</t>
  </si>
  <si>
    <t xml:space="preserve">5493736846</t>
  </si>
  <si>
    <t xml:space="preserve">Recuperación pabellón obstétrico</t>
  </si>
  <si>
    <t xml:space="preserve">DE351C1465</t>
  </si>
  <si>
    <t xml:space="preserve">Oxímetro de Pulso</t>
  </si>
  <si>
    <t xml:space="preserve">Masimo</t>
  </si>
  <si>
    <t xml:space="preserve">R7</t>
  </si>
  <si>
    <t xml:space="preserve">225548</t>
  </si>
  <si>
    <t xml:space="preserve">225507</t>
  </si>
  <si>
    <t xml:space="preserve">2-112800</t>
  </si>
  <si>
    <t xml:space="preserve">5495286953</t>
  </si>
  <si>
    <t xml:space="preserve">2-112838</t>
  </si>
  <si>
    <t xml:space="preserve">5495289950</t>
  </si>
  <si>
    <t xml:space="preserve">2-112836</t>
  </si>
  <si>
    <t xml:space="preserve">5495290066</t>
  </si>
  <si>
    <t xml:space="preserve">2-112833</t>
  </si>
  <si>
    <t xml:space="preserve">CAMA 22</t>
  </si>
  <si>
    <t xml:space="preserve">5495302268</t>
  </si>
  <si>
    <t xml:space="preserve">2-112839</t>
  </si>
  <si>
    <t xml:space="preserve">5495303668</t>
  </si>
  <si>
    <t xml:space="preserve">5495305167</t>
  </si>
  <si>
    <t xml:space="preserve">2-112813</t>
  </si>
  <si>
    <t xml:space="preserve">5495307067</t>
  </si>
  <si>
    <t xml:space="preserve">5495307263</t>
  </si>
  <si>
    <t xml:space="preserve">5495307762</t>
  </si>
  <si>
    <t xml:space="preserve">2-112840</t>
  </si>
  <si>
    <t xml:space="preserve">CAMA 15</t>
  </si>
  <si>
    <t xml:space="preserve">5495310268</t>
  </si>
  <si>
    <t xml:space="preserve">5495310865</t>
  </si>
  <si>
    <t xml:space="preserve">5495311962</t>
  </si>
  <si>
    <t xml:space="preserve">2-112831</t>
  </si>
  <si>
    <t xml:space="preserve">5495313461</t>
  </si>
  <si>
    <t xml:space="preserve">5495313764</t>
  </si>
  <si>
    <t xml:space="preserve">Resonancia</t>
  </si>
  <si>
    <t xml:space="preserve">Tesla</t>
  </si>
  <si>
    <t xml:space="preserve">M3</t>
  </si>
  <si>
    <t xml:space="preserve">TM3M0264</t>
  </si>
  <si>
    <t xml:space="preserve">5495319063</t>
  </si>
  <si>
    <t xml:space="preserve">5495320364</t>
  </si>
  <si>
    <t xml:space="preserve">2-112828</t>
  </si>
  <si>
    <t xml:space="preserve">5495320569</t>
  </si>
  <si>
    <t xml:space="preserve">2-112829</t>
  </si>
  <si>
    <t xml:space="preserve">5495321363</t>
  </si>
  <si>
    <t xml:space="preserve">5495322460</t>
  </si>
  <si>
    <t xml:space="preserve">5495323165</t>
  </si>
  <si>
    <t xml:space="preserve">5495324164</t>
  </si>
  <si>
    <t xml:space="preserve">5495324458</t>
  </si>
  <si>
    <t xml:space="preserve">5495324565</t>
  </si>
  <si>
    <t xml:space="preserve">2-112832</t>
  </si>
  <si>
    <t xml:space="preserve">5495325858</t>
  </si>
  <si>
    <t xml:space="preserve">2-112824</t>
  </si>
  <si>
    <t xml:space="preserve">CAMA 17</t>
  </si>
  <si>
    <t xml:space="preserve">5495326064</t>
  </si>
  <si>
    <t xml:space="preserve">5495326456</t>
  </si>
  <si>
    <t xml:space="preserve">2-112841</t>
  </si>
  <si>
    <t xml:space="preserve">5495326955</t>
  </si>
  <si>
    <t xml:space="preserve">CDT-P2-QF03</t>
  </si>
  <si>
    <t xml:space="preserve">5495192163</t>
  </si>
  <si>
    <t xml:space="preserve">Scanner Siemens</t>
  </si>
  <si>
    <t xml:space="preserve">5495196658</t>
  </si>
  <si>
    <t xml:space="preserve">EDAN</t>
  </si>
  <si>
    <t xml:space="preserve">IM50</t>
  </si>
  <si>
    <t xml:space="preserve">260123-M15803660005</t>
  </si>
  <si>
    <t xml:space="preserve">3648</t>
  </si>
  <si>
    <t xml:space="preserve">V2SFF0044</t>
  </si>
  <si>
    <t xml:space="preserve">V1SHL0116</t>
  </si>
  <si>
    <t xml:space="preserve">VQSHF0100</t>
  </si>
  <si>
    <t xml:space="preserve">MX500</t>
  </si>
  <si>
    <t xml:space="preserve">DE35137548</t>
  </si>
  <si>
    <t xml:space="preserve">2-116713</t>
  </si>
  <si>
    <t xml:space="preserve">Bodega </t>
  </si>
  <si>
    <t xml:space="preserve">6009179462</t>
  </si>
  <si>
    <t xml:space="preserve">2-117052</t>
  </si>
  <si>
    <t xml:space="preserve">DE351C1289</t>
  </si>
  <si>
    <t xml:space="preserve">DE351C1464</t>
  </si>
  <si>
    <t xml:space="preserve">DE351C1468</t>
  </si>
  <si>
    <t xml:space="preserve">2-117055</t>
  </si>
  <si>
    <t xml:space="preserve">DE351C1471</t>
  </si>
  <si>
    <t xml:space="preserve">2-117057</t>
  </si>
  <si>
    <t xml:space="preserve">DE351C1288</t>
  </si>
  <si>
    <t xml:space="preserve">2-117540</t>
  </si>
  <si>
    <t xml:space="preserve">5495671163</t>
  </si>
  <si>
    <t xml:space="preserve">Intellivue MX550</t>
  </si>
  <si>
    <t xml:space="preserve">DE671E0395</t>
  </si>
  <si>
    <t xml:space="preserve">DE671E0396</t>
  </si>
  <si>
    <t xml:space="preserve">DE671E0397</t>
  </si>
  <si>
    <t xml:space="preserve">DE671E0398</t>
  </si>
  <si>
    <t xml:space="preserve">DE671E0399</t>
  </si>
  <si>
    <t xml:space="preserve">DE671E0401</t>
  </si>
  <si>
    <t xml:space="preserve">DE671E0403</t>
  </si>
  <si>
    <t xml:space="preserve">DE671E0404</t>
  </si>
  <si>
    <t xml:space="preserve">DE671E0405</t>
  </si>
  <si>
    <t xml:space="preserve">DE671E0406</t>
  </si>
  <si>
    <t xml:space="preserve">DE671E0407</t>
  </si>
  <si>
    <t xml:space="preserve">DE671E0408</t>
  </si>
  <si>
    <t xml:space="preserve">DE671E0409</t>
  </si>
  <si>
    <t xml:space="preserve">DE671E0410</t>
  </si>
  <si>
    <t xml:space="preserve">DE671E0434</t>
  </si>
  <si>
    <t xml:space="preserve">DE671E0435</t>
  </si>
  <si>
    <t xml:space="preserve">Box 1 Neurología</t>
  </si>
  <si>
    <t xml:space="preserve">VGSLN0003</t>
  </si>
  <si>
    <t xml:space="preserve">Observación 1</t>
  </si>
  <si>
    <t xml:space="preserve">VGSLN0002</t>
  </si>
  <si>
    <t xml:space="preserve">Box 5 SAR</t>
  </si>
  <si>
    <t xml:space="preserve">VGSLN0014</t>
  </si>
  <si>
    <t xml:space="preserve">Observación 3</t>
  </si>
  <si>
    <t xml:space="preserve">VGSLN0017</t>
  </si>
  <si>
    <t xml:space="preserve">VGSLN0049</t>
  </si>
  <si>
    <t xml:space="preserve">Observación 2</t>
  </si>
  <si>
    <t xml:space="preserve">VGSLN0079</t>
  </si>
  <si>
    <t xml:space="preserve">2-117814</t>
  </si>
  <si>
    <t xml:space="preserve">Pabellón CMA 1</t>
  </si>
  <si>
    <t xml:space="preserve">5613359963</t>
  </si>
  <si>
    <t xml:space="preserve">5613354870</t>
  </si>
  <si>
    <t xml:space="preserve">Pabellon CMA</t>
  </si>
  <si>
    <t xml:space="preserve">Pabellon CMA 2</t>
  </si>
  <si>
    <t xml:space="preserve">2-118846</t>
  </si>
  <si>
    <t xml:space="preserve">5613993759</t>
  </si>
  <si>
    <t xml:space="preserve">SP318331750WA</t>
  </si>
  <si>
    <t xml:space="preserve">SP318443451WA</t>
  </si>
  <si>
    <t xml:space="preserve">SQE19510024SA</t>
  </si>
  <si>
    <t xml:space="preserve">2-119634</t>
  </si>
  <si>
    <t xml:space="preserve">SQE19510025SA</t>
  </si>
  <si>
    <t xml:space="preserve">UPC Cardiovascular (Prestado a Medicina Cardiovascular)</t>
  </si>
  <si>
    <t xml:space="preserve">SQE19510026SA</t>
  </si>
  <si>
    <t xml:space="preserve">2-119637</t>
  </si>
  <si>
    <t xml:space="preserve">SQE19510027SA</t>
  </si>
  <si>
    <t xml:space="preserve">520-3</t>
  </si>
  <si>
    <t xml:space="preserve">SQE19510029SA</t>
  </si>
  <si>
    <t xml:space="preserve">SQE19510030SA</t>
  </si>
  <si>
    <t xml:space="preserve">516-2</t>
  </si>
  <si>
    <t xml:space="preserve">SQE19510031SA</t>
  </si>
  <si>
    <t xml:space="preserve">PVM-2703</t>
  </si>
  <si>
    <t xml:space="preserve">0118020.</t>
  </si>
  <si>
    <t xml:space="preserve">Sala 597</t>
  </si>
  <si>
    <t xml:space="preserve">0118042.</t>
  </si>
  <si>
    <t xml:space="preserve">521-3</t>
  </si>
  <si>
    <t xml:space="preserve">0117935.</t>
  </si>
  <si>
    <t xml:space="preserve">0118040.</t>
  </si>
  <si>
    <t xml:space="preserve">515-3</t>
  </si>
  <si>
    <t xml:space="preserve">0118006.</t>
  </si>
  <si>
    <t xml:space="preserve">0117960.</t>
  </si>
  <si>
    <t xml:space="preserve">0117934.</t>
  </si>
  <si>
    <t xml:space="preserve">Box A-2</t>
  </si>
  <si>
    <t xml:space="preserve">0117925.</t>
  </si>
  <si>
    <t xml:space="preserve">Bodega equipos SUI</t>
  </si>
  <si>
    <t xml:space="preserve">0117936.</t>
  </si>
  <si>
    <t xml:space="preserve">Priorización</t>
  </si>
  <si>
    <t xml:space="preserve">117954</t>
  </si>
  <si>
    <t xml:space="preserve">Reanimación box 3</t>
  </si>
  <si>
    <t xml:space="preserve">MATIMED</t>
  </si>
  <si>
    <t xml:space="preserve">MN-580</t>
  </si>
  <si>
    <t xml:space="preserve">1810190910101</t>
  </si>
  <si>
    <t xml:space="preserve">5495679556</t>
  </si>
  <si>
    <t xml:space="preserve">2-119742</t>
  </si>
  <si>
    <t xml:space="preserve">5495714162</t>
  </si>
  <si>
    <t xml:space="preserve">5495709257</t>
  </si>
  <si>
    <t xml:space="preserve">5495706162</t>
  </si>
  <si>
    <t xml:space="preserve">2-119745</t>
  </si>
  <si>
    <t xml:space="preserve">UCI 7 </t>
  </si>
  <si>
    <t xml:space="preserve">5495686254</t>
  </si>
  <si>
    <t xml:space="preserve">UTI 9</t>
  </si>
  <si>
    <t xml:space="preserve">1393-113289</t>
  </si>
  <si>
    <t xml:space="preserve">UTI 5</t>
  </si>
  <si>
    <t xml:space="preserve">1393-113283</t>
  </si>
  <si>
    <t xml:space="preserve">UTI 8</t>
  </si>
  <si>
    <t xml:space="preserve">1393-113290</t>
  </si>
  <si>
    <t xml:space="preserve">UTI 10</t>
  </si>
  <si>
    <t xml:space="preserve">1393-113276</t>
  </si>
  <si>
    <t xml:space="preserve">UTI 7</t>
  </si>
  <si>
    <t xml:space="preserve">1393-113292</t>
  </si>
  <si>
    <t xml:space="preserve">UTI 6</t>
  </si>
  <si>
    <t xml:space="preserve">1393-113279</t>
  </si>
  <si>
    <t xml:space="preserve">Imagenología Resonancia</t>
  </si>
  <si>
    <t xml:space="preserve">SCHILLER</t>
  </si>
  <si>
    <t xml:space="preserve">MAGELIFE Serenity</t>
  </si>
  <si>
    <t xml:space="preserve">94999001058</t>
  </si>
  <si>
    <t xml:space="preserve">BeneVision N17</t>
  </si>
  <si>
    <t xml:space="preserve">F2-04008218</t>
  </si>
  <si>
    <t xml:space="preserve">Box A-1</t>
  </si>
  <si>
    <t xml:space="preserve">F2-04008204</t>
  </si>
  <si>
    <t xml:space="preserve">Reanimación box 2</t>
  </si>
  <si>
    <t xml:space="preserve">F2-04008289</t>
  </si>
  <si>
    <t xml:space="preserve">Reanimación box 1 </t>
  </si>
  <si>
    <t xml:space="preserve">F2-04008141</t>
  </si>
  <si>
    <t xml:space="preserve">UTI 2</t>
  </si>
  <si>
    <t xml:space="preserve">1393-114595</t>
  </si>
  <si>
    <t xml:space="preserve">Sala medico</t>
  </si>
  <si>
    <t xml:space="preserve">1393-114598</t>
  </si>
  <si>
    <t xml:space="preserve">1393-114593</t>
  </si>
  <si>
    <t xml:space="preserve">UTI 4</t>
  </si>
  <si>
    <t xml:space="preserve">1393-114597</t>
  </si>
  <si>
    <t xml:space="preserve">UTI 3</t>
  </si>
  <si>
    <t xml:space="preserve">1393-114596</t>
  </si>
  <si>
    <t xml:space="preserve">2-120776</t>
  </si>
  <si>
    <t xml:space="preserve">UMEC12</t>
  </si>
  <si>
    <t xml:space="preserve">KQ-04036895</t>
  </si>
  <si>
    <t xml:space="preserve">2-120804</t>
  </si>
  <si>
    <t xml:space="preserve">B125</t>
  </si>
  <si>
    <t xml:space="preserve">SQF20247942WA</t>
  </si>
  <si>
    <t xml:space="preserve">2-120805</t>
  </si>
  <si>
    <t xml:space="preserve">SQF20247940WA</t>
  </si>
  <si>
    <t xml:space="preserve">2-120827</t>
  </si>
  <si>
    <t xml:space="preserve">5495845056</t>
  </si>
  <si>
    <t xml:space="preserve">Observación 4</t>
  </si>
  <si>
    <t xml:space="preserve">VGSNE3867</t>
  </si>
  <si>
    <t xml:space="preserve">Observación 6</t>
  </si>
  <si>
    <t xml:space="preserve">VGSNE3877</t>
  </si>
  <si>
    <t xml:space="preserve">Observación 5</t>
  </si>
  <si>
    <t xml:space="preserve">VGSNE3864</t>
  </si>
  <si>
    <t xml:space="preserve">Box 4 SAR</t>
  </si>
  <si>
    <t xml:space="preserve">VGSNE3830</t>
  </si>
  <si>
    <t xml:space="preserve">2-120949</t>
  </si>
  <si>
    <t xml:space="preserve">KQ-04036808</t>
  </si>
  <si>
    <t xml:space="preserve">Box B-5</t>
  </si>
  <si>
    <t xml:space="preserve">PVM-4763</t>
  </si>
  <si>
    <t xml:space="preserve">3319</t>
  </si>
  <si>
    <t xml:space="preserve">Cirug√≠a box 1</t>
  </si>
  <si>
    <t xml:space="preserve">3326</t>
  </si>
  <si>
    <t xml:space="preserve">TMT</t>
  </si>
  <si>
    <t xml:space="preserve">3318</t>
  </si>
  <si>
    <t xml:space="preserve">J3300QF04734</t>
  </si>
  <si>
    <t xml:space="preserve">Sinohero</t>
  </si>
  <si>
    <t xml:space="preserve">H5</t>
  </si>
  <si>
    <t xml:space="preserve">J3300QF04724</t>
  </si>
  <si>
    <t xml:space="preserve">511-2E</t>
  </si>
  <si>
    <t xml:space="preserve">29791</t>
  </si>
  <si>
    <t xml:space="preserve">510-3E</t>
  </si>
  <si>
    <t xml:space="preserve">29792</t>
  </si>
  <si>
    <t xml:space="preserve">518-1</t>
  </si>
  <si>
    <t xml:space="preserve">29805</t>
  </si>
  <si>
    <t xml:space="preserve">512-3E</t>
  </si>
  <si>
    <t xml:space="preserve">29811</t>
  </si>
  <si>
    <t xml:space="preserve">501-3</t>
  </si>
  <si>
    <t xml:space="preserve">29814</t>
  </si>
  <si>
    <t xml:space="preserve">29815</t>
  </si>
  <si>
    <t xml:space="preserve">503-1E</t>
  </si>
  <si>
    <t xml:space="preserve">29816</t>
  </si>
  <si>
    <t xml:space="preserve">502-3E</t>
  </si>
  <si>
    <t xml:space="preserve">29817</t>
  </si>
  <si>
    <t xml:space="preserve">502-1</t>
  </si>
  <si>
    <t xml:space="preserve">29800</t>
  </si>
  <si>
    <t xml:space="preserve">508-3</t>
  </si>
  <si>
    <t xml:space="preserve">X12</t>
  </si>
  <si>
    <t xml:space="preserve">261594-M21407240019</t>
  </si>
  <si>
    <t xml:space="preserve">261594-M21407240011</t>
  </si>
  <si>
    <t xml:space="preserve">596-1</t>
  </si>
  <si>
    <t xml:space="preserve">261594-M21406070014</t>
  </si>
  <si>
    <t xml:space="preserve">261594-M21407000058</t>
  </si>
  <si>
    <t xml:space="preserve">596-3</t>
  </si>
  <si>
    <t xml:space="preserve">261594-M21407240059</t>
  </si>
  <si>
    <t xml:space="preserve">519-3</t>
  </si>
  <si>
    <t xml:space="preserve">261594-M21407240073</t>
  </si>
  <si>
    <t xml:space="preserve">261594-M21407240071</t>
  </si>
  <si>
    <t xml:space="preserve">261594-M21407240024</t>
  </si>
  <si>
    <t xml:space="preserve">261594-M21407000083</t>
  </si>
  <si>
    <t xml:space="preserve">261594-M21406070011</t>
  </si>
  <si>
    <t xml:space="preserve">Bistos</t>
  </si>
  <si>
    <t xml:space="preserve">BT-770</t>
  </si>
  <si>
    <t xml:space="preserve">DGLC0120</t>
  </si>
  <si>
    <t xml:space="preserve">DGLC0121</t>
  </si>
  <si>
    <t xml:space="preserve">DGLC0118</t>
  </si>
  <si>
    <t xml:space="preserve">DGLC0126</t>
  </si>
  <si>
    <t xml:space="preserve">DGLC0138</t>
  </si>
  <si>
    <t xml:space="preserve">DGLC0124</t>
  </si>
  <si>
    <t xml:space="preserve">DGLC0137</t>
  </si>
  <si>
    <t xml:space="preserve">DGLC0134</t>
  </si>
  <si>
    <t xml:space="preserve">Pediatría </t>
  </si>
  <si>
    <t xml:space="preserve">EP 696</t>
  </si>
  <si>
    <t xml:space="preserve">DGLC0115</t>
  </si>
  <si>
    <t xml:space="preserve">Peditría Segunda Infancia</t>
  </si>
  <si>
    <t xml:space="preserve">DGLC0136</t>
  </si>
  <si>
    <t xml:space="preserve">DGLC0133</t>
  </si>
  <si>
    <t xml:space="preserve">DGL70654</t>
  </si>
  <si>
    <t xml:space="preserve">DGLC0112</t>
  </si>
  <si>
    <t xml:space="preserve">EPA-P6</t>
  </si>
  <si>
    <t xml:space="preserve">DGLC0125</t>
  </si>
  <si>
    <t xml:space="preserve">DGL70658</t>
  </si>
  <si>
    <t xml:space="preserve">DGLC0128</t>
  </si>
  <si>
    <t xml:space="preserve">DGL70653</t>
  </si>
  <si>
    <t xml:space="preserve">DGLC0122</t>
  </si>
  <si>
    <t xml:space="preserve">DGL70649</t>
  </si>
  <si>
    <t xml:space="preserve">DGLC0109</t>
  </si>
  <si>
    <t xml:space="preserve">DGL70650</t>
  </si>
  <si>
    <t xml:space="preserve">DGLC0127</t>
  </si>
  <si>
    <t xml:space="preserve">DGL70652</t>
  </si>
  <si>
    <t xml:space="preserve">DGLC0114</t>
  </si>
  <si>
    <t xml:space="preserve">DGLC0119</t>
  </si>
  <si>
    <t xml:space="preserve">DGLC0129</t>
  </si>
  <si>
    <t xml:space="preserve">DGLC0123</t>
  </si>
  <si>
    <t xml:space="preserve">DGLC0131</t>
  </si>
  <si>
    <t xml:space="preserve">6to piso</t>
  </si>
  <si>
    <t xml:space="preserve">DGLC0111</t>
  </si>
  <si>
    <t xml:space="preserve">DGLC0113</t>
  </si>
  <si>
    <t xml:space="preserve">DGLC0110</t>
  </si>
  <si>
    <t xml:space="preserve">DGL70655</t>
  </si>
  <si>
    <t xml:space="preserve">DGL80024</t>
  </si>
  <si>
    <t xml:space="preserve">DGL80022</t>
  </si>
  <si>
    <t xml:space="preserve">DGL80023</t>
  </si>
  <si>
    <t xml:space="preserve">2-121499</t>
  </si>
  <si>
    <t xml:space="preserve">5613165575</t>
  </si>
  <si>
    <t xml:space="preserve">DGM40020</t>
  </si>
  <si>
    <t xml:space="preserve">DGM40018</t>
  </si>
  <si>
    <t xml:space="preserve">DGM40013</t>
  </si>
  <si>
    <t xml:space="preserve">Sala de equipos EPA</t>
  </si>
  <si>
    <t xml:space="preserve">DGM40037</t>
  </si>
  <si>
    <t xml:space="preserve">DGM40028</t>
  </si>
  <si>
    <t xml:space="preserve">DGM40016</t>
  </si>
  <si>
    <t xml:space="preserve">Sala de procedimiento TNA</t>
  </si>
  <si>
    <t xml:space="preserve">DGM40026</t>
  </si>
  <si>
    <t xml:space="preserve">597-4</t>
  </si>
  <si>
    <t xml:space="preserve">DGM40019</t>
  </si>
  <si>
    <t xml:space="preserve">DGM40041</t>
  </si>
  <si>
    <t xml:space="preserve">DGM40042</t>
  </si>
  <si>
    <t xml:space="preserve">DGM40023</t>
  </si>
  <si>
    <t xml:space="preserve">598-2</t>
  </si>
  <si>
    <t xml:space="preserve">DGM40032</t>
  </si>
  <si>
    <t xml:space="preserve">EP 699</t>
  </si>
  <si>
    <t xml:space="preserve">DGM40021</t>
  </si>
  <si>
    <t xml:space="preserve">DGM40036</t>
  </si>
  <si>
    <t xml:space="preserve">DGM40015</t>
  </si>
  <si>
    <t xml:space="preserve">DGM40031</t>
  </si>
  <si>
    <t xml:space="preserve">DGM40038</t>
  </si>
  <si>
    <t xml:space="preserve">TB 605</t>
  </si>
  <si>
    <t xml:space="preserve">DGM40030</t>
  </si>
  <si>
    <t xml:space="preserve">EP 695</t>
  </si>
  <si>
    <t xml:space="preserve">DGM40029</t>
  </si>
  <si>
    <t xml:space="preserve">2-121564</t>
  </si>
  <si>
    <t xml:space="preserve">132816</t>
  </si>
  <si>
    <t xml:space="preserve">2-121565</t>
  </si>
  <si>
    <t xml:space="preserve">132818</t>
  </si>
  <si>
    <t xml:space="preserve">2-121566</t>
  </si>
  <si>
    <t xml:space="preserve">132819</t>
  </si>
  <si>
    <t xml:space="preserve">PVM-4763K</t>
  </si>
  <si>
    <t xml:space="preserve">2943</t>
  </si>
  <si>
    <t xml:space="preserve">2731</t>
  </si>
  <si>
    <t xml:space="preserve">2915</t>
  </si>
  <si>
    <t xml:space="preserve">02922.</t>
  </si>
  <si>
    <t xml:space="preserve">General Meditech</t>
  </si>
  <si>
    <t xml:space="preserve">G3H</t>
  </si>
  <si>
    <t xml:space="preserve">G3F</t>
  </si>
  <si>
    <t xml:space="preserve">G3FPB0029</t>
  </si>
  <si>
    <t xml:space="preserve">CDT Módulo A</t>
  </si>
  <si>
    <t xml:space="preserve">Box 6</t>
  </si>
  <si>
    <t xml:space="preserve">CN92373992</t>
  </si>
  <si>
    <t xml:space="preserve">CN92392228</t>
  </si>
  <si>
    <t xml:space="preserve">CN92392229</t>
  </si>
  <si>
    <t xml:space="preserve">CN92392230</t>
  </si>
  <si>
    <t xml:space="preserve">CN92392264</t>
  </si>
  <si>
    <t xml:space="preserve">CM120</t>
  </si>
  <si>
    <t xml:space="preserve">CN92395201</t>
  </si>
  <si>
    <t xml:space="preserve">CN92395203</t>
  </si>
  <si>
    <t xml:space="preserve">SUI Box 2</t>
  </si>
  <si>
    <t xml:space="preserve">0132821.</t>
  </si>
  <si>
    <t xml:space="preserve">SUI Box 3</t>
  </si>
  <si>
    <t xml:space="preserve">0132822.</t>
  </si>
  <si>
    <t xml:space="preserve">SUI IRA</t>
  </si>
  <si>
    <t xml:space="preserve">0132823.</t>
  </si>
  <si>
    <t xml:space="preserve">0132824.</t>
  </si>
  <si>
    <t xml:space="preserve">SUI Box 4</t>
  </si>
  <si>
    <t xml:space="preserve">0132825.</t>
  </si>
  <si>
    <t xml:space="preserve">SUI Box 1</t>
  </si>
  <si>
    <t xml:space="preserve">0132826.</t>
  </si>
  <si>
    <t xml:space="preserve">SUI TMT </t>
  </si>
  <si>
    <t xml:space="preserve">0132829.</t>
  </si>
  <si>
    <t xml:space="preserve">Priorización SUI</t>
  </si>
  <si>
    <t xml:space="preserve">0132834.</t>
  </si>
  <si>
    <t xml:space="preserve">BSM-3763</t>
  </si>
  <si>
    <t xml:space="preserve">19109.</t>
  </si>
  <si>
    <t xml:space="preserve">08813.</t>
  </si>
  <si>
    <t xml:space="preserve">2-121798</t>
  </si>
  <si>
    <t xml:space="preserve">BeneVision N1</t>
  </si>
  <si>
    <t xml:space="preserve">AA3-14033891</t>
  </si>
  <si>
    <t xml:space="preserve">2-122346</t>
  </si>
  <si>
    <t xml:space="preserve">CN92392254</t>
  </si>
  <si>
    <t xml:space="preserve">22060100008</t>
  </si>
  <si>
    <t xml:space="preserve">S2SRC0509</t>
  </si>
  <si>
    <t xml:space="preserve">S2SNE1555</t>
  </si>
  <si>
    <t xml:space="preserve">VGSRC0520</t>
  </si>
  <si>
    <t xml:space="preserve">VGSRC0467</t>
  </si>
  <si>
    <t xml:space="preserve">VGSRC0512</t>
  </si>
  <si>
    <t xml:space="preserve">VGSRC0472</t>
  </si>
  <si>
    <t xml:space="preserve">VGSRC0490</t>
  </si>
  <si>
    <t xml:space="preserve">VGSRC0495</t>
  </si>
  <si>
    <t xml:space="preserve">VGSRC0521</t>
  </si>
  <si>
    <t xml:space="preserve">VGSRC0543</t>
  </si>
  <si>
    <t xml:space="preserve">VGSRC0538</t>
  </si>
  <si>
    <t xml:space="preserve">CDT Administracion / CEM 3ER PISO</t>
  </si>
  <si>
    <t xml:space="preserve">Northern</t>
  </si>
  <si>
    <t xml:space="preserve">CDT Administracion / Seran reubicados</t>
  </si>
  <si>
    <t xml:space="preserve">Fresenius</t>
  </si>
  <si>
    <t xml:space="preserve">4008B(s)</t>
  </si>
  <si>
    <t xml:space="preserve">8VCAJN47</t>
  </si>
  <si>
    <t xml:space="preserve">9VCAPR03</t>
  </si>
  <si>
    <t xml:space="preserve">MultiFiltrate PRO</t>
  </si>
  <si>
    <t xml:space="preserve">2FTG6886</t>
  </si>
  <si>
    <t xml:space="preserve">2FTG6885</t>
  </si>
  <si>
    <t xml:space="preserve">2FTG6884</t>
  </si>
  <si>
    <t xml:space="preserve">4008B</t>
  </si>
  <si>
    <t xml:space="preserve">OV5APR17</t>
  </si>
  <si>
    <t xml:space="preserve">Gambro</t>
  </si>
  <si>
    <t xml:space="preserve">Prismaflex</t>
  </si>
  <si>
    <t xml:space="preserve">PA10283</t>
  </si>
  <si>
    <t xml:space="preserve">4008S</t>
  </si>
  <si>
    <t xml:space="preserve">5SXAEL56</t>
  </si>
  <si>
    <t xml:space="preserve">5SXAEL57</t>
  </si>
  <si>
    <t xml:space="preserve">5SXAEL58</t>
  </si>
  <si>
    <t xml:space="preserve">3SXA4HC2</t>
  </si>
  <si>
    <t xml:space="preserve">3SXA4HDK</t>
  </si>
  <si>
    <t xml:space="preserve">3SXA4HD0</t>
  </si>
  <si>
    <t xml:space="preserve">3SXA4HD1</t>
  </si>
  <si>
    <t xml:space="preserve">3SXA4HCJ</t>
  </si>
  <si>
    <t xml:space="preserve">3SXA4HC9</t>
  </si>
  <si>
    <t xml:space="preserve">3SXA4HC0</t>
  </si>
  <si>
    <t xml:space="preserve">Sala diálisis infantil</t>
  </si>
  <si>
    <t xml:space="preserve">2-130653</t>
  </si>
  <si>
    <t xml:space="preserve">5008S</t>
  </si>
  <si>
    <t xml:space="preserve">0VSANY78</t>
  </si>
  <si>
    <t xml:space="preserve">2-130654</t>
  </si>
  <si>
    <t xml:space="preserve">9VSAMM17</t>
  </si>
  <si>
    <t xml:space="preserve">2-130655</t>
  </si>
  <si>
    <t xml:space="preserve">9VSAMM15</t>
  </si>
  <si>
    <t xml:space="preserve">Estado inicial</t>
  </si>
  <si>
    <t xml:space="preserve">Estado del evento</t>
  </si>
  <si>
    <t xml:space="preserve">Fecha cierre OT</t>
  </si>
  <si>
    <t xml:space="preserve">2025-121109-19-10024</t>
  </si>
  <si>
    <t xml:space="preserve">02-06-2025</t>
  </si>
  <si>
    <t xml:space="preserve">REVISAR VENTIDOR, PANTALLA EN BLANCO.</t>
  </si>
  <si>
    <t xml:space="preserve">05-06-2026</t>
  </si>
  <si>
    <t xml:space="preserve">2025-121109-19-18809</t>
  </si>
  <si>
    <t xml:space="preserve">24-10-2025</t>
  </si>
  <si>
    <t xml:space="preserve">SOLICITO REVISION Y ARREGLO DE VM, NO PASA PRUEBAS DE TRANSDUCTOR DE PRESION SOLICITA EU CATALINA CELEDON</t>
  </si>
  <si>
    <t xml:space="preserve">2026-121109-19-997</t>
  </si>
  <si>
    <t xml:space="preserve">16-01-2026</t>
  </si>
  <si>
    <t xml:space="preserve">FAVOR REPONER TAPA DEL CAZA BURBUJAS, DADO QUE SE QUEBRÒ LA ORIGINAL. GRACIAS</t>
  </si>
  <si>
    <t xml:space="preserve">31-03-2026</t>
  </si>
  <si>
    <t xml:space="preserve">2026-121109-19-5563</t>
  </si>
  <si>
    <t xml:space="preserve">25-03-2026</t>
  </si>
  <si>
    <t xml:space="preserve">SOLICITO URGENTE REPARACION DE MAQUINA DE HEMODIALISIS 4008, POR ROMPIMIENTO DEL CABEZAL DEL BIBAG. NOS ENCONTRAMOS SIN RESPALDO PARA PODER CONTINUAR LA ATENCION</t>
  </si>
  <si>
    <t xml:space="preserve">2026-121109-19-6215</t>
  </si>
  <si>
    <t xml:space="preserve">06-04-2026</t>
  </si>
  <si>
    <t xml:space="preserve">SOLICITO URGENTE REPARACION DE MAQUINA, CON FALLA HIDRAULICA Y TEST DE PRESION POSITIVA SIN RESPALDO</t>
  </si>
  <si>
    <t xml:space="preserve">2026-121109-19-6271</t>
  </si>
  <si>
    <t xml:space="preserve">07-04-2026</t>
  </si>
  <si>
    <t xml:space="preserve">ESTIMADOS, SE GENERA ORDEN DE TRABAJO DEBIDO A QUE, AL REALIZAR LA MANTENCIÓN PREVENTIVA, EL EQUIPO QUEDA FUERA DE SERVICIO POR NO LOGRAR SU CALIBRACIÓN, ENCONTRÁNDOSE FUERA DE RANGO. SALUDOS</t>
  </si>
  <si>
    <t xml:space="preserve">2026-121109-19-6374</t>
  </si>
  <si>
    <t xml:space="preserve">08-04-2026</t>
  </si>
  <si>
    <t xml:space="preserve">2026-121109-19-6709</t>
  </si>
  <si>
    <t xml:space="preserve">13-04-2026</t>
  </si>
  <si>
    <t xml:space="preserve">VENTILADOR DRAGER CARINA. ALARMA DE FALLO SE SISTEMA, POR FAVOR REVISAR</t>
  </si>
  <si>
    <t xml:space="preserve">2026-121109-19-7762</t>
  </si>
  <si>
    <t xml:space="preserve">27-04-2026</t>
  </si>
  <si>
    <t xml:space="preserve">SE SOLICITA FAVOR REPARACION DE MONITOR CON FUGA DE AIRE EN MANGUITO DE PRESION. GRACIAS</t>
  </si>
  <si>
    <t xml:space="preserve">2026-121109-19-9046</t>
  </si>
  <si>
    <t xml:space="preserve">14-05-2026</t>
  </si>
  <si>
    <t xml:space="preserve">SE SOLICITA FAVOR REPARACION DE MONITOR QUE AL INSUFLAR MANGUITO SE DETIENE MEDICION Y MUESTRA FALLA SISTEMA NIBP. GRACIAS</t>
  </si>
  <si>
    <t xml:space="preserve">2026-121109-19-9887</t>
  </si>
  <si>
    <t xml:space="preserve">28-05-2026</t>
  </si>
  <si>
    <t xml:space="preserve">ESTIMADOS, SOLICITO CALIBRAR P/A</t>
  </si>
  <si>
    <t xml:space="preserve">2026-121109-19-10081</t>
  </si>
  <si>
    <t xml:space="preserve">01-06-2026</t>
  </si>
  <si>
    <t xml:space="preserve">SENSOR DE FUGA DE SANGRE. URGENTE REVISAR Y SOLUCIONAR. GRACIAS</t>
  </si>
  <si>
    <t xml:space="preserve">2026-121109-19-10464</t>
  </si>
  <si>
    <t xml:space="preserve">REVISAR EQUIPO, CON FALLA TECNICA</t>
  </si>
  <si>
    <t xml:space="preserve">2026-121109-19-10641</t>
  </si>
  <si>
    <t xml:space="preserve">09-06-2026</t>
  </si>
  <si>
    <t xml:space="preserve">ESTIMADOS, BUEN DIA, SE NECESITA POR FAVOR REVISAR EL VENTILADOR, NO CARCA VT. SALUDOS</t>
  </si>
  <si>
    <t xml:space="preserve">2026-121109-19-10869</t>
  </si>
  <si>
    <t xml:space="preserve">MONITOR MULTIPARÁMETROS PRESENTA TRIZADURA EN LA CARCASA DE SU BATERÍA, SE SOLICITA REPARAR.</t>
  </si>
  <si>
    <t xml:space="preserve">Ruta asociada</t>
  </si>
  <si>
    <t xml:space="preserve">Fecha cotización</t>
  </si>
  <si>
    <t xml:space="preserve">Proveedor cotizado</t>
  </si>
  <si>
    <t xml:space="preserve">N° cotización</t>
  </si>
  <si>
    <t xml:space="preserve">Monto cotizado</t>
  </si>
  <si>
    <t xml:space="preserve">N° Informe Técnico</t>
  </si>
  <si>
    <t xml:space="preserve">Fecha informe</t>
  </si>
  <si>
    <t xml:space="preserve">Responsable informe</t>
  </si>
  <si>
    <t xml:space="preserve">N° OC</t>
  </si>
  <si>
    <t xml:space="preserve">Fecha emisión OC</t>
  </si>
  <si>
    <t xml:space="preserve">Descripción OC</t>
  </si>
  <si>
    <t xml:space="preserve">Fecha envío a proveedor</t>
  </si>
  <si>
    <t xml:space="preserve">Visita técnica</t>
  </si>
  <si>
    <t xml:space="preserve">107</t>
  </si>
  <si>
    <t xml:space="preserve">1488-466-TD26</t>
  </si>
  <si>
    <t xml:space="preserve">Visita técnica para 4
Máquinas de Diálisis
marca Fresenius,
modelo 4008B, series
OV5APR17, 3SXA4HC9,
5SXAEL56, 5SXAEL57
y la Reposición de la
Tapa de Cámara
Venosa de equipo serie
5SXAEL58, ST 19-2584,
19-1962, 19-997, 19-996
y 19-14102 del Servicio
UCI Adulto y
Hemodiálisis.
Cotizaciones N°0109 y
N°0066.</t>
  </si>
  <si>
    <t xml:space="preserve">1488-648-TD26</t>
  </si>
  <si>
    <t xml:space="preserve">Reparación de Máquina
de Diálisis, marca
Fresenius, modelo
5008S, serie
9VSAMM17, N° de
inventario 2-130654, ST
19-6215 del Servicio de
Hemodiálisis. Cotización
N°0148. Equipo
presenta falla hidráulica
y test de presión positiva
sin respaldo. *Favor
considerar al momento
de la visita que el
establecimiento no
cuenta con espacio de
estacionamiento.*</t>
  </si>
  <si>
    <t xml:space="preserve">Fecha reparación</t>
  </si>
  <si>
    <t xml:space="preserve">Descripción tarea</t>
  </si>
  <si>
    <t xml:space="preserve">Estado final equipo</t>
  </si>
  <si>
    <t xml:space="preserve">Fecha visita</t>
  </si>
  <si>
    <t xml:space="preserve">Proveedor / empresa</t>
  </si>
  <si>
    <t xml:space="preserve">Ingeniero externo</t>
  </si>
  <si>
    <t xml:space="preserve">N° Reporte Servicio</t>
  </si>
  <si>
    <t xml:space="preserve">Fecha reporte</t>
  </si>
  <si>
    <t xml:space="preserve">Archivado carpeta (Cristián)</t>
  </si>
  <si>
    <t xml:space="preserve">¿Reparó?</t>
  </si>
  <si>
    <t xml:space="preserve">Estado final</t>
  </si>
  <si>
    <t xml:space="preserve">Fecha cierre</t>
  </si>
  <si>
    <t xml:space="preserve">¿Reporte recibido?</t>
  </si>
  <si>
    <t xml:space="preserve">Responsable de conseguir reporte</t>
  </si>
  <si>
    <t xml:space="preserve">Responsable administrativo</t>
  </si>
  <si>
    <t xml:space="preserve">SR.140.861</t>
  </si>
  <si>
    <t xml:space="preserve">Se remplaza tapa camara venosa, repuesto comprado por cliente con orden de compra N° 1488-466-TD26. Test T1 OK</t>
  </si>
  <si>
    <t xml:space="preserve">Visita correctiva, equipo liberado y en condiciones para su uso</t>
  </si>
  <si>
    <t xml:space="preserve">Equipo vuelve a fallar y se detecta falla en los sensores de presion. Se deben cotizar.</t>
  </si>
  <si>
    <t xml:space="preserve">N° Hoja de Envío</t>
  </si>
  <si>
    <t xml:space="preserve">Responsable que envía</t>
  </si>
  <si>
    <t xml:space="preserve">Fecha envío</t>
  </si>
  <si>
    <t xml:space="preserve">Empresa destino</t>
  </si>
  <si>
    <t xml:space="preserve">Fecha retorno</t>
  </si>
  <si>
    <t xml:space="preserve">Folio guía despacho</t>
  </si>
  <si>
    <t xml:space="preserve">Estado al retorno</t>
  </si>
  <si>
    <t xml:space="preserve">Decisión si No Operativo</t>
  </si>
  <si>
    <t xml:space="preserve">Folio documento de baja</t>
  </si>
  <si>
    <t xml:space="preserve">Responsable interno</t>
  </si>
  <si>
    <t xml:space="preserve">Fecha baja</t>
  </si>
  <si>
    <t xml:space="preserve">Motivo</t>
  </si>
  <si>
    <t xml:space="preserve">Fecha reparación / cierre</t>
  </si>
  <si>
    <t xml:space="preserve">Se reemplaza modulo de bibag comprado por cliente correspondiente a la orden de compra COT0139, se
ajustan flujos (300-500-800), se ajustan presiones (A-B-C-D). Test T1 OK,
Desinfection realizada
Maquina liberada y en condiciones para su uso. Informe de servicio TAM CL26AC5PFBL</t>
  </si>
</sst>
</file>

<file path=xl/styles.xml><?xml version="1.0" encoding="utf-8"?>
<styleSheet xmlns="http://schemas.openxmlformats.org/spreadsheetml/2006/main">
  <numFmts count="6">
    <numFmt numFmtId="164" formatCode="General"/>
    <numFmt numFmtId="165" formatCode="dd\-mm\-yyyy"/>
    <numFmt numFmtId="166" formatCode="General"/>
    <numFmt numFmtId="167" formatCode="0%"/>
    <numFmt numFmtId="168" formatCode="@"/>
    <numFmt numFmtId="169" formatCode="m/d/yyyy"/>
  </numFmts>
  <fonts count="50">
    <font>
      <sz val="11"/>
      <color theme="1"/>
      <name val="Calibri"/>
      <family val="2"/>
      <charset val="1"/>
    </font>
    <font>
      <sz val="10"/>
      <name val="Arial"/>
      <family val="0"/>
    </font>
    <font>
      <sz val="10"/>
      <name val="Arial"/>
      <family val="0"/>
    </font>
    <font>
      <sz val="10"/>
      <name val="Arial"/>
      <family val="0"/>
    </font>
    <font>
      <b val="true"/>
      <sz val="16"/>
      <color rgb="FF1F3A5F"/>
      <name val="Arial"/>
      <family val="2"/>
      <charset val="1"/>
    </font>
    <font>
      <sz val="9"/>
      <color rgb="FF8A94A6"/>
      <name val="Arial"/>
      <family val="2"/>
      <charset val="1"/>
    </font>
    <font>
      <b val="true"/>
      <sz val="9"/>
      <color rgb="FF8A94A6"/>
      <name val="Arial"/>
      <family val="2"/>
      <charset val="1"/>
    </font>
    <font>
      <b val="true"/>
      <sz val="11"/>
      <color rgb="FF1F3A5F"/>
      <name val="Arial"/>
      <family val="2"/>
      <charset val="1"/>
    </font>
    <font>
      <b val="true"/>
      <sz val="9"/>
      <color rgb="FFFFFFFF"/>
      <name val="Arial"/>
      <family val="2"/>
      <charset val="1"/>
    </font>
    <font>
      <b val="true"/>
      <sz val="20"/>
      <color rgb="FF1F3A5F"/>
      <name val="Arial"/>
      <family val="2"/>
      <charset val="1"/>
    </font>
    <font>
      <b val="true"/>
      <sz val="20"/>
      <color rgb="FFB42318"/>
      <name val="Arial"/>
      <family val="2"/>
      <charset val="1"/>
    </font>
    <font>
      <b val="true"/>
      <sz val="20"/>
      <color rgb="FF3C5A8A"/>
      <name val="Arial"/>
      <family val="2"/>
      <charset val="1"/>
    </font>
    <font>
      <b val="true"/>
      <sz val="20"/>
      <color rgb="FF8A94A6"/>
      <name val="Arial"/>
      <family val="2"/>
      <charset val="1"/>
    </font>
    <font>
      <b val="true"/>
      <sz val="20"/>
      <color rgb="FFB45309"/>
      <name val="Arial"/>
      <family val="2"/>
      <charset val="1"/>
    </font>
    <font>
      <b val="true"/>
      <sz val="11"/>
      <color rgb="FF1E8E5A"/>
      <name val="Arial"/>
      <family val="2"/>
      <charset val="1"/>
    </font>
    <font>
      <b val="true"/>
      <sz val="20"/>
      <color rgb="FF1E8E5A"/>
      <name val="Arial"/>
      <family val="2"/>
      <charset val="1"/>
    </font>
    <font>
      <b val="true"/>
      <sz val="11"/>
      <color rgb="FFB45309"/>
      <name val="Arial"/>
      <family val="2"/>
      <charset val="1"/>
    </font>
    <font>
      <b val="true"/>
      <sz val="11"/>
      <color rgb="FFB42318"/>
      <name val="Arial"/>
      <family val="2"/>
      <charset val="1"/>
    </font>
    <font>
      <sz val="10"/>
      <name val="Arial"/>
      <family val="2"/>
      <charset val="1"/>
    </font>
    <font>
      <b val="true"/>
      <sz val="10"/>
      <color rgb="FF8A94A6"/>
      <name val="Arial"/>
      <family val="2"/>
      <charset val="1"/>
    </font>
    <font>
      <u val="single"/>
      <sz val="10"/>
      <color rgb="FF3C5A8A"/>
      <name val="Arial"/>
      <family val="2"/>
      <charset val="1"/>
    </font>
    <font>
      <b val="true"/>
      <sz val="11"/>
      <color rgb="FF3D4A6B"/>
      <name val="Arial"/>
      <family val="0"/>
      <charset val="1"/>
    </font>
    <font>
      <sz val="9"/>
      <color rgb="FF8A94A6"/>
      <name val="Arial"/>
      <family val="0"/>
      <charset val="1"/>
    </font>
    <font>
      <b val="true"/>
      <sz val="9"/>
      <color rgb="FFFFFFFF"/>
      <name val="Arial"/>
      <family val="0"/>
      <charset val="1"/>
    </font>
    <font>
      <sz val="10"/>
      <name val="Arial"/>
      <family val="0"/>
      <charset val="1"/>
    </font>
    <font>
      <b val="true"/>
      <sz val="13"/>
      <color rgb="FF1F3A5F"/>
      <name val="Arial"/>
      <family val="0"/>
      <charset val="1"/>
    </font>
    <font>
      <b val="true"/>
      <sz val="10"/>
      <name val="Arial"/>
      <family val="0"/>
      <charset val="1"/>
    </font>
    <font>
      <i val="true"/>
      <sz val="9"/>
      <color rgb="FF8A94A6"/>
      <name val="Arial"/>
      <family val="0"/>
      <charset val="1"/>
    </font>
    <font>
      <sz val="10"/>
      <name val="Arial"/>
      <family val="2"/>
    </font>
    <font>
      <b val="true"/>
      <sz val="10"/>
      <color rgb="FFFFFFFF"/>
      <name val="Arial"/>
      <family val="2"/>
      <charset val="1"/>
    </font>
    <font>
      <sz val="10"/>
      <color rgb="FF1A1A1A"/>
      <name val="Arial"/>
      <family val="2"/>
      <charset val="1"/>
    </font>
    <font>
      <b val="true"/>
      <sz val="12"/>
      <color rgb="FFFFFFFF"/>
      <name val="Arial"/>
      <family val="2"/>
      <charset val="1"/>
    </font>
    <font>
      <b val="true"/>
      <sz val="8"/>
      <color rgb="FF8A94A6"/>
      <name val="Arial"/>
      <family val="2"/>
      <charset val="1"/>
    </font>
    <font>
      <sz val="11"/>
      <color rgb="FF1A1A1A"/>
      <name val="Arial"/>
      <family val="2"/>
      <charset val="1"/>
    </font>
    <font>
      <b val="true"/>
      <sz val="11"/>
      <color rgb="FF3C5A8A"/>
      <name val="Arial"/>
      <family val="2"/>
      <charset val="1"/>
    </font>
    <font>
      <b val="true"/>
      <sz val="10"/>
      <color rgb="FF1E8E5A"/>
      <name val="Arial"/>
      <family val="2"/>
      <charset val="1"/>
    </font>
    <font>
      <b val="true"/>
      <sz val="8"/>
      <color rgb="FFFFFFFF"/>
      <name val="Arial"/>
      <family val="2"/>
      <charset val="1"/>
    </font>
    <font>
      <sz val="9"/>
      <name val="Arial"/>
      <family val="2"/>
      <charset val="1"/>
    </font>
    <font>
      <b val="true"/>
      <sz val="14"/>
      <color rgb="FF1F3A5F"/>
      <name val="Arial"/>
      <family val="2"/>
      <charset val="1"/>
    </font>
    <font>
      <sz val="11"/>
      <color rgb="FF2E75B6"/>
      <name val="Arial"/>
      <family val="2"/>
      <charset val="1"/>
    </font>
    <font>
      <b val="true"/>
      <sz val="10"/>
      <name val="Arial"/>
      <family val="2"/>
      <charset val="1"/>
    </font>
    <font>
      <b val="true"/>
      <sz val="9"/>
      <color rgb="FF1F3A5F"/>
      <name val="Arial"/>
      <family val="2"/>
      <charset val="1"/>
    </font>
    <font>
      <b val="true"/>
      <sz val="18"/>
      <color rgb="FF1F3A5F"/>
      <name val="Arial"/>
      <family val="2"/>
      <charset val="1"/>
    </font>
    <font>
      <i val="true"/>
      <sz val="9"/>
      <color rgb="FF888888"/>
      <name val="Arial"/>
      <family val="2"/>
      <charset val="1"/>
    </font>
    <font>
      <b val="true"/>
      <sz val="12"/>
      <color rgb="FF1F3A5F"/>
      <name val="Arial"/>
      <family val="2"/>
      <charset val="1"/>
    </font>
    <font>
      <sz val="9"/>
      <color rgb="FF555555"/>
      <name val="Arial"/>
      <family val="2"/>
      <charset val="1"/>
    </font>
    <font>
      <b val="true"/>
      <sz val="10"/>
      <color rgb="FF1F3A5F"/>
      <name val="Arial"/>
      <family val="2"/>
      <charset val="1"/>
    </font>
    <font>
      <b val="true"/>
      <sz val="13"/>
      <color rgb="FF1F3A5F"/>
      <name val="Arial"/>
      <family val="2"/>
      <charset val="1"/>
    </font>
    <font>
      <sz val="11"/>
      <name val="Calibri"/>
      <family val="2"/>
      <charset val="1"/>
    </font>
    <font>
      <sz val="10"/>
      <color rgb="FF1D6E56"/>
      <name val="Arial"/>
      <family val="2"/>
      <charset val="1"/>
    </font>
  </fonts>
  <fills count="20">
    <fill>
      <patternFill patternType="none"/>
    </fill>
    <fill>
      <patternFill patternType="gray125"/>
    </fill>
    <fill>
      <patternFill patternType="solid">
        <fgColor rgb="FF1F3A5F"/>
        <bgColor rgb="FF3D4A6B"/>
      </patternFill>
    </fill>
    <fill>
      <patternFill patternType="solid">
        <fgColor rgb="FFB42318"/>
        <bgColor rgb="FFA32D2D"/>
      </patternFill>
    </fill>
    <fill>
      <patternFill patternType="solid">
        <fgColor rgb="FF3C5A8A"/>
        <bgColor rgb="FF3D4A6B"/>
      </patternFill>
    </fill>
    <fill>
      <patternFill patternType="solid">
        <fgColor rgb="FF8A94A6"/>
        <bgColor rgb="FF888888"/>
      </patternFill>
    </fill>
    <fill>
      <patternFill patternType="solid">
        <fgColor rgb="FFB45309"/>
        <bgColor rgb="FF854F0B"/>
      </patternFill>
    </fill>
    <fill>
      <patternFill patternType="solid">
        <fgColor rgb="FFEAF0F7"/>
        <bgColor rgb="FFEEF1F7"/>
      </patternFill>
    </fill>
    <fill>
      <patternFill patternType="solid">
        <fgColor rgb="FF1E8E5A"/>
        <bgColor rgb="FF1D6E56"/>
      </patternFill>
    </fill>
    <fill>
      <patternFill patternType="solid">
        <fgColor rgb="FFE8F3EE"/>
        <bgColor rgb="FFEAF0F7"/>
      </patternFill>
    </fill>
    <fill>
      <patternFill patternType="solid">
        <fgColor rgb="FFFCF1E2"/>
        <bgColor rgb="FFFCEDEC"/>
      </patternFill>
    </fill>
    <fill>
      <patternFill patternType="solid">
        <fgColor rgb="FF3D4A6B"/>
        <bgColor rgb="FF444441"/>
      </patternFill>
    </fill>
    <fill>
      <patternFill patternType="solid">
        <fgColor rgb="FFEEF1F7"/>
        <bgColor rgb="FFEAF0F7"/>
      </patternFill>
    </fill>
    <fill>
      <patternFill patternType="solid">
        <fgColor rgb="FFFAC7C7"/>
        <bgColor rgb="FFFBD3E0"/>
      </patternFill>
    </fill>
    <fill>
      <patternFill patternType="solid">
        <fgColor rgb="FFFAD7A0"/>
        <bgColor rgb="FFFAC7C7"/>
      </patternFill>
    </fill>
    <fill>
      <patternFill patternType="solid">
        <fgColor rgb="FFD3D1C7"/>
        <bgColor rgb="FFCCCCCC"/>
      </patternFill>
    </fill>
    <fill>
      <patternFill patternType="solid">
        <fgColor rgb="FFC6F3DE"/>
        <bgColor rgb="FFE1F5EE"/>
      </patternFill>
    </fill>
    <fill>
      <patternFill patternType="solid">
        <fgColor rgb="FFFBD3E0"/>
        <bgColor rgb="FFFAC7C7"/>
      </patternFill>
    </fill>
    <fill>
      <patternFill patternType="solid">
        <fgColor rgb="FFE1F5EE"/>
        <bgColor rgb="FFE8F3EE"/>
      </patternFill>
    </fill>
    <fill>
      <patternFill patternType="solid">
        <fgColor rgb="FF2E75B6"/>
        <bgColor rgb="FF3C5A8A"/>
      </patternFill>
    </fill>
  </fills>
  <borders count="4">
    <border diagonalUp="false" diagonalDown="false">
      <left/>
      <right/>
      <top/>
      <bottom/>
      <diagonal/>
    </border>
    <border diagonalUp="false" diagonalDown="false">
      <left style="thin">
        <color rgb="FFD9DEE6"/>
      </left>
      <right style="thin">
        <color rgb="FFD9DEE6"/>
      </right>
      <top style="thin">
        <color rgb="FFD9DEE6"/>
      </top>
      <bottom style="thin">
        <color rgb="FFD9DEE6"/>
      </bottom>
      <diagonal/>
    </border>
    <border diagonalUp="false" diagonalDown="false">
      <left/>
      <right/>
      <top/>
      <bottom style="thin">
        <color rgb="FFD0D5DD"/>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6" fontId="9" fillId="7" borderId="1" xfId="0" applyFont="true" applyBorder="true" applyAlignment="true" applyProtection="false">
      <alignment horizontal="center" vertical="center" textRotation="0" wrapText="false" indent="0" shrinkToFit="false"/>
      <protection locked="true" hidden="false"/>
    </xf>
    <xf numFmtId="166" fontId="10" fillId="7" borderId="1" xfId="0" applyFont="true" applyBorder="true" applyAlignment="true" applyProtection="false">
      <alignment horizontal="center" vertical="center" textRotation="0" wrapText="false" indent="0" shrinkToFit="false"/>
      <protection locked="true" hidden="false"/>
    </xf>
    <xf numFmtId="166" fontId="11" fillId="7" borderId="1" xfId="0" applyFont="true" applyBorder="true" applyAlignment="true" applyProtection="false">
      <alignment horizontal="center" vertical="center" textRotation="0" wrapText="false" indent="0" shrinkToFit="false"/>
      <protection locked="true" hidden="false"/>
    </xf>
    <xf numFmtId="166" fontId="12" fillId="7" borderId="1" xfId="0" applyFont="true" applyBorder="true" applyAlignment="true" applyProtection="false">
      <alignment horizontal="center" vertical="center" textRotation="0" wrapText="false" indent="0" shrinkToFit="false"/>
      <protection locked="true" hidden="false"/>
    </xf>
    <xf numFmtId="166" fontId="13" fillId="7"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6" fontId="15" fillId="9" borderId="1" xfId="0" applyFont="true" applyBorder="true" applyAlignment="true" applyProtection="false">
      <alignment horizontal="center" vertical="center" textRotation="0" wrapText="false" indent="0" shrinkToFit="false"/>
      <protection locked="true" hidden="false"/>
    </xf>
    <xf numFmtId="167" fontId="15" fillId="9" borderId="1" xfId="0" applyFont="true" applyBorder="true" applyAlignment="true" applyProtection="false">
      <alignment horizontal="center" vertical="center" textRotation="0" wrapText="false" indent="0" shrinkToFit="false"/>
      <protection locked="true" hidden="false"/>
    </xf>
    <xf numFmtId="166" fontId="13" fillId="9" borderId="1" xfId="0" applyFont="true" applyBorder="true" applyAlignment="true" applyProtection="false">
      <alignment horizontal="center" vertical="center" textRotation="0" wrapText="false" indent="0" shrinkToFit="false"/>
      <protection locked="true" hidden="false"/>
    </xf>
    <xf numFmtId="166" fontId="10" fillId="9"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13" fillId="10" borderId="1" xfId="0" applyFont="true" applyBorder="true" applyAlignment="true" applyProtection="false">
      <alignment horizontal="center" vertical="center" textRotation="0" wrapText="false" indent="0" shrinkToFit="false"/>
      <protection locked="true" hidden="false"/>
    </xf>
    <xf numFmtId="166" fontId="10" fillId="10" borderId="1" xfId="0" applyFont="true" applyBorder="true" applyAlignment="true" applyProtection="false">
      <alignment horizontal="center" vertical="center" textRotation="0" wrapText="false" indent="0" shrinkToFit="false"/>
      <protection locked="true" hidden="false"/>
    </xf>
    <xf numFmtId="166" fontId="15" fillId="10" borderId="1"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8" fontId="18" fillId="0" borderId="1" xfId="0" applyFont="true" applyBorder="true" applyAlignment="true" applyProtection="false">
      <alignment horizontal="left" vertical="center"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23" fillId="11" borderId="0" xfId="0" applyFont="true" applyBorder="false" applyAlignment="true" applyProtection="false">
      <alignment horizontal="center" vertical="center" textRotation="0" wrapText="false" indent="0" shrinkToFit="false"/>
      <protection locked="true" hidden="false"/>
    </xf>
    <xf numFmtId="164" fontId="24" fillId="11" borderId="0" xfId="0" applyFont="true" applyBorder="false" applyAlignment="true" applyProtection="false">
      <alignment horizontal="general" vertical="center" textRotation="0" wrapText="false" indent="0" shrinkToFit="false"/>
      <protection locked="true" hidden="false"/>
    </xf>
    <xf numFmtId="164" fontId="25" fillId="12" borderId="0" xfId="0" applyFont="true" applyBorder="false" applyAlignment="true" applyProtection="false">
      <alignment horizontal="left" vertical="center" textRotation="0" wrapText="false" indent="0" shrinkToFit="false"/>
      <protection locked="true" hidden="false"/>
    </xf>
    <xf numFmtId="164" fontId="24" fillId="12" borderId="0" xfId="0" applyFont="true" applyBorder="false" applyAlignment="true" applyProtection="false">
      <alignment horizontal="general" vertical="center" textRotation="0" wrapText="false" indent="0" shrinkToFit="false"/>
      <protection locked="true" hidden="false"/>
    </xf>
    <xf numFmtId="164" fontId="23" fillId="11" borderId="0" xfId="0" applyFont="true" applyBorder="false" applyAlignment="true" applyProtection="false">
      <alignment horizontal="left"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6" fontId="24" fillId="0" borderId="0" xfId="0" applyFont="true" applyBorder="false" applyAlignment="true" applyProtection="false">
      <alignment horizontal="center" vertical="center" textRotation="0" wrapText="false" indent="0" shrinkToFit="false"/>
      <protection locked="true" hidden="false"/>
    </xf>
    <xf numFmtId="166" fontId="26" fillId="0"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general" vertical="center" textRotation="0" wrapText="false" indent="0" shrinkToFit="false"/>
      <protection locked="true" hidden="false"/>
    </xf>
    <xf numFmtId="166" fontId="24" fillId="0" borderId="2" xfId="0" applyFont="true" applyBorder="true" applyAlignment="true" applyProtection="false">
      <alignment horizontal="center" vertical="center" textRotation="0" wrapText="false" indent="0" shrinkToFit="false"/>
      <protection locked="true" hidden="false"/>
    </xf>
    <xf numFmtId="166" fontId="26" fillId="0" borderId="2"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center"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6" fontId="27" fillId="0" borderId="0" xfId="0" applyFont="true" applyBorder="false" applyAlignment="true" applyProtection="false">
      <alignment horizontal="center" vertical="center" textRotation="0" wrapText="false" indent="0" shrinkToFit="false"/>
      <protection locked="true" hidden="false"/>
    </xf>
    <xf numFmtId="164" fontId="29" fillId="6" borderId="1" xfId="0" applyFont="true" applyBorder="true" applyAlignment="true" applyProtection="false">
      <alignment horizontal="center" vertical="center" textRotation="0" wrapText="tru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8" fontId="30" fillId="0" borderId="0" xfId="0" applyFont="true" applyBorder="fals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8" fontId="31" fillId="2" borderId="1" xfId="0" applyFont="true" applyBorder="tru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64" fontId="33"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64" fontId="32" fillId="0" borderId="1" xfId="0" applyFont="true" applyBorder="true" applyAlignment="true" applyProtection="false">
      <alignment horizontal="center" vertical="center" textRotation="0" wrapText="false" indent="0" shrinkToFit="false"/>
      <protection locked="true" hidden="false"/>
    </xf>
    <xf numFmtId="166" fontId="35" fillId="0" borderId="1" xfId="0" applyFont="true" applyBorder="true" applyAlignment="true" applyProtection="false">
      <alignment horizontal="center" vertical="center"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6" fillId="4" borderId="1" xfId="0" applyFont="true" applyBorder="true" applyAlignment="true" applyProtection="false">
      <alignment horizontal="center" vertical="center" textRotation="0" wrapText="true" indent="0" shrinkToFit="false"/>
      <protection locked="true" hidden="false"/>
    </xf>
    <xf numFmtId="164" fontId="37" fillId="0" borderId="1" xfId="0" applyFont="true" applyBorder="true" applyAlignment="true" applyProtection="false">
      <alignment horizontal="left" vertical="center" textRotation="0" wrapText="false" indent="0" shrinkToFit="false"/>
      <protection locked="true" hidden="false"/>
    </xf>
    <xf numFmtId="165" fontId="37" fillId="0" borderId="1" xfId="0" applyFont="true" applyBorder="true" applyAlignment="true" applyProtection="false">
      <alignment horizontal="left" vertical="center" textRotation="0" wrapText="false" indent="0" shrinkToFit="false"/>
      <protection locked="true" hidden="false"/>
    </xf>
    <xf numFmtId="164" fontId="36" fillId="8" borderId="1" xfId="0" applyFont="true" applyBorder="true" applyAlignment="true" applyProtection="false">
      <alignment horizontal="center" vertical="center" textRotation="0" wrapText="true" indent="0" shrinkToFit="false"/>
      <protection locked="true" hidden="false"/>
    </xf>
    <xf numFmtId="164" fontId="36" fillId="6" borderId="1" xfId="0" applyFont="true" applyBorder="true" applyAlignment="true" applyProtection="false">
      <alignment horizontal="center" vertical="center" textRotation="0" wrapText="true" indent="0" shrinkToFit="false"/>
      <protection locked="true" hidden="false"/>
    </xf>
    <xf numFmtId="164" fontId="38" fillId="0" borderId="0" xfId="0" applyFont="true" applyBorder="true" applyAlignment="false" applyProtection="false">
      <alignment horizontal="general" vertical="bottom" textRotation="0" wrapText="false" indent="0" shrinkToFit="false"/>
      <protection locked="true" hidden="false"/>
    </xf>
    <xf numFmtId="164" fontId="39" fillId="0" borderId="0"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4" fontId="41" fillId="13" borderId="3" xfId="0" applyFont="true" applyBorder="true" applyAlignment="true" applyProtection="false">
      <alignment horizontal="center" vertical="center" textRotation="0" wrapText="true" indent="0" shrinkToFit="false"/>
      <protection locked="true" hidden="false"/>
    </xf>
    <xf numFmtId="164" fontId="41" fillId="14" borderId="3" xfId="0" applyFont="true" applyBorder="true" applyAlignment="true" applyProtection="false">
      <alignment horizontal="center" vertical="center" textRotation="0" wrapText="true" indent="0" shrinkToFit="false"/>
      <protection locked="true" hidden="false"/>
    </xf>
    <xf numFmtId="164" fontId="41" fillId="15" borderId="3" xfId="0" applyFont="true" applyBorder="true" applyAlignment="true" applyProtection="false">
      <alignment horizontal="center" vertical="center" textRotation="0" wrapText="true" indent="0" shrinkToFit="false"/>
      <protection locked="true" hidden="false"/>
    </xf>
    <xf numFmtId="164" fontId="41" fillId="16" borderId="3" xfId="0" applyFont="true" applyBorder="true" applyAlignment="true" applyProtection="false">
      <alignment horizontal="center" vertical="center" textRotation="0" wrapText="true" indent="0" shrinkToFit="false"/>
      <protection locked="true" hidden="false"/>
    </xf>
    <xf numFmtId="164" fontId="41" fillId="17" borderId="3" xfId="0" applyFont="true" applyBorder="true" applyAlignment="true" applyProtection="false">
      <alignment horizontal="center" vertical="center" textRotation="0" wrapText="true" indent="0" shrinkToFit="false"/>
      <protection locked="true" hidden="false"/>
    </xf>
    <xf numFmtId="166" fontId="42" fillId="13" borderId="3" xfId="0" applyFont="true" applyBorder="true" applyAlignment="true" applyProtection="false">
      <alignment horizontal="center" vertical="center" textRotation="0" wrapText="false" indent="0" shrinkToFit="false"/>
      <protection locked="true" hidden="false"/>
    </xf>
    <xf numFmtId="166" fontId="42" fillId="14" borderId="3" xfId="0" applyFont="true" applyBorder="true" applyAlignment="true" applyProtection="false">
      <alignment horizontal="center" vertical="center" textRotation="0" wrapText="false" indent="0" shrinkToFit="false"/>
      <protection locked="true" hidden="false"/>
    </xf>
    <xf numFmtId="166" fontId="42" fillId="15" borderId="3" xfId="0" applyFont="true" applyBorder="true" applyAlignment="true" applyProtection="false">
      <alignment horizontal="center" vertical="center" textRotation="0" wrapText="false" indent="0" shrinkToFit="false"/>
      <protection locked="true" hidden="false"/>
    </xf>
    <xf numFmtId="166" fontId="42" fillId="16" borderId="3" xfId="0" applyFont="true" applyBorder="true" applyAlignment="true" applyProtection="false">
      <alignment horizontal="center" vertical="center" textRotation="0" wrapText="false" indent="0" shrinkToFit="false"/>
      <protection locked="true" hidden="false"/>
    </xf>
    <xf numFmtId="166" fontId="42" fillId="17" borderId="3" xfId="0" applyFont="true" applyBorder="true" applyAlignment="true" applyProtection="false">
      <alignment horizontal="center" vertical="center" textRotation="0" wrapText="false" indent="0" shrinkToFit="false"/>
      <protection locked="true" hidden="false"/>
    </xf>
    <xf numFmtId="164" fontId="29" fillId="2" borderId="3" xfId="0" applyFont="true" applyBorder="true" applyAlignment="true" applyProtection="false">
      <alignment horizontal="center" vertical="center" textRotation="0" wrapText="true" indent="0" shrinkToFit="false"/>
      <protection locked="true" hidden="false"/>
    </xf>
    <xf numFmtId="164" fontId="18" fillId="0" borderId="3" xfId="0" applyFont="true" applyBorder="true" applyAlignment="false" applyProtection="false">
      <alignment horizontal="general" vertical="bottom" textRotation="0" wrapText="false" indent="0" shrinkToFit="false"/>
      <protection locked="true" hidden="false"/>
    </xf>
    <xf numFmtId="165" fontId="18" fillId="0" borderId="3" xfId="0" applyFont="true" applyBorder="true" applyAlignment="false" applyProtection="false">
      <alignment horizontal="general" vertical="bottom" textRotation="0" wrapText="false" indent="0" shrinkToFit="false"/>
      <protection locked="true" hidden="false"/>
    </xf>
    <xf numFmtId="164" fontId="18" fillId="0" borderId="3" xfId="0" applyFont="true" applyBorder="true" applyAlignment="true" applyProtection="false">
      <alignment horizontal="center" vertical="bottom" textRotation="0" wrapText="false" indent="0" shrinkToFit="false"/>
      <protection locked="true" hidden="false"/>
    </xf>
    <xf numFmtId="164" fontId="43" fillId="0" borderId="0" xfId="0" applyFont="true" applyBorder="true" applyAlignment="true" applyProtection="false">
      <alignment horizontal="general" vertical="top" textRotation="0" wrapText="true" indent="0" shrinkToFit="false"/>
      <protection locked="true" hidden="false"/>
    </xf>
    <xf numFmtId="164" fontId="44" fillId="0" borderId="0"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41" fillId="18" borderId="1" xfId="0" applyFont="true" applyBorder="true" applyAlignment="true" applyProtection="false">
      <alignment horizontal="center" vertical="center" textRotation="0" wrapText="false" indent="0" shrinkToFit="false"/>
      <protection locked="true" hidden="false"/>
    </xf>
    <xf numFmtId="166" fontId="42" fillId="18" borderId="1" xfId="0" applyFont="true" applyBorder="true" applyAlignment="true" applyProtection="false">
      <alignment horizontal="center" vertical="center" textRotation="0" wrapText="false" indent="0" shrinkToFit="false"/>
      <protection locked="true" hidden="false"/>
    </xf>
    <xf numFmtId="167" fontId="42" fillId="18" borderId="1" xfId="0" applyFont="true" applyBorder="true" applyAlignment="true" applyProtection="false">
      <alignment horizontal="center" vertical="center" textRotation="0" wrapText="false" indent="0" shrinkToFit="false"/>
      <protection locked="true" hidden="false"/>
    </xf>
    <xf numFmtId="164" fontId="29" fillId="2" borderId="1" xfId="0" applyFont="true" applyBorder="true" applyAlignment="true" applyProtection="false">
      <alignment horizontal="center" vertical="center"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46" fillId="0" borderId="0" xfId="0" applyFont="true" applyBorder="false" applyAlignment="true" applyProtection="false">
      <alignment horizontal="center" vertical="center"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4" fontId="29" fillId="2" borderId="1" xfId="0" applyFont="true" applyBorder="true" applyAlignment="true" applyProtection="false">
      <alignment horizontal="center" vertical="center" textRotation="0" wrapText="true" indent="0" shrinkToFit="false"/>
      <protection locked="true" hidden="false"/>
    </xf>
    <xf numFmtId="164" fontId="47" fillId="0" borderId="0" xfId="0" applyFont="true" applyBorder="true" applyAlignment="false" applyProtection="false">
      <alignment horizontal="general" vertical="bottom" textRotation="0" wrapText="false" indent="0" shrinkToFit="false"/>
      <protection locked="true" hidden="false"/>
    </xf>
    <xf numFmtId="164" fontId="46" fillId="18" borderId="3" xfId="0" applyFont="true" applyBorder="true" applyAlignment="true" applyProtection="false">
      <alignment horizontal="center" vertical="bottom" textRotation="0" wrapText="false" indent="0" shrinkToFit="false"/>
      <protection locked="true" hidden="false"/>
    </xf>
    <xf numFmtId="164" fontId="46" fillId="18" borderId="0" xfId="0" applyFont="true" applyBorder="false" applyAlignment="true" applyProtection="false">
      <alignment horizontal="left" vertical="center" textRotation="0" wrapText="false" indent="0" shrinkToFit="false"/>
      <protection locked="true" hidden="false"/>
    </xf>
    <xf numFmtId="164" fontId="46" fillId="0" borderId="0" xfId="0" applyFont="true" applyBorder="false" applyAlignment="false" applyProtection="false">
      <alignment horizontal="general" vertical="bottom" textRotation="0" wrapText="false" indent="0" shrinkToFit="false"/>
      <protection locked="true" hidden="false"/>
    </xf>
    <xf numFmtId="164" fontId="46" fillId="18" borderId="0" xfId="0" applyFont="true" applyBorder="false" applyAlignment="false" applyProtection="false">
      <alignment horizontal="general" vertical="bottom" textRotation="0" wrapText="false" indent="0" shrinkToFit="false"/>
      <protection locked="true" hidden="false"/>
    </xf>
    <xf numFmtId="164" fontId="48" fillId="0" borderId="3"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4" fontId="29" fillId="19" borderId="3" xfId="0" applyFont="true" applyBorder="true" applyAlignment="true" applyProtection="false">
      <alignment horizontal="center" vertical="center" textRotation="0" wrapText="tru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49"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8" fontId="48" fillId="0" borderId="0" xfId="0" applyFont="true" applyBorder="false" applyAlignment="false" applyProtection="false">
      <alignment horizontal="general" vertical="bottom" textRotation="0" wrapText="false" indent="0" shrinkToFit="false"/>
      <protection locked="true" hidden="false"/>
    </xf>
    <xf numFmtId="165" fontId="48" fillId="0" borderId="0" xfId="0" applyFont="true" applyBorder="false" applyAlignment="false" applyProtection="false">
      <alignment horizontal="general"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ont>
        <name val="Arial"/>
        <charset val="1"/>
        <family val="0"/>
        <b val="1"/>
        <color rgb="FF1E8E5A"/>
        <sz val="13"/>
      </font>
      <fill>
        <patternFill>
          <bgColor rgb="FFE8F3EE"/>
        </patternFill>
      </fill>
    </dxf>
    <dxf>
      <font>
        <name val="Arial"/>
        <charset val="1"/>
        <family val="0"/>
        <b val="1"/>
        <color rgb="FFB42318"/>
        <sz val="13"/>
      </font>
      <fill>
        <patternFill>
          <bgColor rgb="FFFCEDEC"/>
        </patternFill>
      </fill>
    </dxf>
    <dxf>
      <font>
        <name val="Arial"/>
        <charset val="1"/>
        <family val="0"/>
        <b val="1"/>
        <color rgb="FF1E8E5A"/>
      </font>
      <fill>
        <patternFill>
          <bgColor rgb="FFE8F3EE"/>
        </patternFill>
      </fill>
    </dxf>
    <dxf>
      <font>
        <name val="Arial"/>
        <charset val="1"/>
        <family val="0"/>
        <b val="1"/>
        <color rgb="FFB42318"/>
      </font>
      <fill>
        <patternFill>
          <bgColor rgb="FFFCEDEC"/>
        </patternFill>
      </fill>
    </dxf>
    <dxf>
      <fill>
        <patternFill patternType="solid">
          <fgColor rgb="FFB45309"/>
          <bgColor rgb="FF000000"/>
        </patternFill>
      </fill>
    </dxf>
    <dxf>
      <fill>
        <patternFill patternType="solid">
          <fgColor rgb="FFFFFFFF"/>
          <bgColor rgb="FF000000"/>
        </patternFill>
      </fill>
    </dxf>
    <dxf>
      <font>
        <b val="1"/>
        <color rgb="FFA32D2D"/>
      </font>
      <fill>
        <patternFill>
          <bgColor rgb="FFFAC7C7"/>
        </patternFill>
      </fill>
    </dxf>
    <dxf>
      <font>
        <b val="1"/>
        <color rgb="FF854F0B"/>
      </font>
      <fill>
        <patternFill>
          <bgColor rgb="FFFAD7A0"/>
        </patternFill>
      </fill>
    </dxf>
    <dxf>
      <font>
        <b val="1"/>
        <color rgb="FF0F6E56"/>
      </font>
      <fill>
        <patternFill>
          <bgColor rgb="FFC6F3DE"/>
        </patternFill>
      </fill>
    </dxf>
    <dxf>
      <font>
        <b val="1"/>
        <color rgb="FF444441"/>
      </font>
      <fill>
        <patternFill>
          <bgColor rgb="FFD3D1C7"/>
        </patternFill>
      </fill>
    </dxf>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2E75B6"/>
          <bgColor rgb="FF000000"/>
        </patternFill>
      </fill>
    </dxf>
    <dxf>
      <fill>
        <patternFill patternType="solid">
          <fgColor rgb="FF1D6E56"/>
          <bgColor rgb="FF000000"/>
        </patternFill>
      </fill>
    </dxf>
  </dxfs>
  <colors>
    <indexedColors>
      <rgbColor rgb="FF000000"/>
      <rgbColor rgb="FFFFFFFF"/>
      <rgbColor rgb="FFFF0000"/>
      <rgbColor rgb="FF00FF00"/>
      <rgbColor rgb="FF0000FF"/>
      <rgbColor rgb="FFEEF1F7"/>
      <rgbColor rgb="FFFF00FF"/>
      <rgbColor rgb="FF00FFFF"/>
      <rgbColor rgb="FF800000"/>
      <rgbColor rgb="FF008000"/>
      <rgbColor rgb="FF000080"/>
      <rgbColor rgb="FF854F0B"/>
      <rgbColor rgb="FF800080"/>
      <rgbColor rgb="FF0F6E56"/>
      <rgbColor rgb="FFCCCCCC"/>
      <rgbColor rgb="FF888888"/>
      <rgbColor rgb="FFD9DEE6"/>
      <rgbColor rgb="FFB42318"/>
      <rgbColor rgb="FFFCF1E2"/>
      <rgbColor rgb="FFE1F5EE"/>
      <rgbColor rgb="FF660066"/>
      <rgbColor rgb="FFFF8080"/>
      <rgbColor rgb="FF0066CC"/>
      <rgbColor rgb="FFD0D5DD"/>
      <rgbColor rgb="FF000080"/>
      <rgbColor rgb="FFFF00FF"/>
      <rgbColor rgb="FFEAF0F7"/>
      <rgbColor rgb="FF00FFFF"/>
      <rgbColor rgb="FF800080"/>
      <rgbColor rgb="FF800000"/>
      <rgbColor rgb="FF1D6E56"/>
      <rgbColor rgb="FF0000FF"/>
      <rgbColor rgb="FF00CCFF"/>
      <rgbColor rgb="FFE8F3EE"/>
      <rgbColor rgb="FFC6F3DE"/>
      <rgbColor rgb="FFFCEDEC"/>
      <rgbColor rgb="FFD3D1C7"/>
      <rgbColor rgb="FFFAC7C7"/>
      <rgbColor rgb="FFFBD3E0"/>
      <rgbColor rgb="FFFAD7A0"/>
      <rgbColor rgb="FF2E75B6"/>
      <rgbColor rgb="FF33CCCC"/>
      <rgbColor rgb="FF99CC00"/>
      <rgbColor rgb="FFFFCC00"/>
      <rgbColor rgb="FFFF9900"/>
      <rgbColor rgb="FFFF6600"/>
      <rgbColor rgb="FF3C5A8A"/>
      <rgbColor rgb="FF8A94A6"/>
      <rgbColor rgb="FF1F3A5F"/>
      <rgbColor rgb="FF1E8E5A"/>
      <rgbColor rgb="FF555555"/>
      <rgbColor rgb="FF1A1A1A"/>
      <rgbColor rgb="FFA32D2D"/>
      <rgbColor rgb="FFB45309"/>
      <rgbColor rgb="FF3D4A6B"/>
      <rgbColor rgb="FF4444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B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28" activeCellId="0" sqref="B28"/>
    </sheetView>
  </sheetViews>
  <sheetFormatPr defaultColWidth="9.1484375" defaultRowHeight="15" zeroHeight="false" outlineLevelRow="0" outlineLevelCol="0"/>
  <cols>
    <col collapsed="false" customWidth="true" hidden="false" outlineLevel="0" max="1" min="1" style="0" width="2"/>
    <col collapsed="false" customWidth="true" hidden="false" outlineLevel="0" max="7" min="2" style="0" width="22"/>
    <col collapsed="false" customWidth="true" hidden="false" outlineLevel="0" max="8" min="8" style="0" width="2"/>
  </cols>
  <sheetData>
    <row r="1" customFormat="false" ht="20.25" hidden="false" customHeight="true" outlineLevel="0" collapsed="false">
      <c r="B1" s="1" t="s">
        <v>0</v>
      </c>
    </row>
    <row r="2" customFormat="false" ht="15" hidden="false" customHeight="true" outlineLevel="0" collapsed="false">
      <c r="B2" s="2" t="s">
        <v>1</v>
      </c>
    </row>
    <row r="3" customFormat="false" ht="15" hidden="false" customHeight="true" outlineLevel="0" collapsed="false">
      <c r="B3" s="3" t="s">
        <v>2</v>
      </c>
      <c r="C3" s="4" t="n">
        <f aca="true">TODAY()</f>
        <v>46191</v>
      </c>
    </row>
    <row r="5" customFormat="false" ht="15" hidden="false" customHeight="true" outlineLevel="0" collapsed="false">
      <c r="B5" s="5" t="s">
        <v>3</v>
      </c>
    </row>
    <row r="6" customFormat="false" ht="15" hidden="false" customHeight="true" outlineLevel="0" collapsed="false">
      <c r="B6" s="6" t="s">
        <v>4</v>
      </c>
      <c r="C6" s="7" t="s">
        <v>5</v>
      </c>
      <c r="D6" s="8" t="s">
        <v>6</v>
      </c>
      <c r="E6" s="9" t="s">
        <v>7</v>
      </c>
      <c r="F6" s="10" t="s">
        <v>8</v>
      </c>
    </row>
    <row r="7" customFormat="false" ht="26.25" hidden="false" customHeight="true" outlineLevel="0" collapsed="false">
      <c r="B7" s="11" t="n">
        <f aca="false">COUNTIF('1. Órdenes de Trabajo'!$J$2:$J$301,"Abierto")</f>
        <v>11</v>
      </c>
      <c r="C7" s="12" t="n">
        <f aca="false">COUNTIFS('1. Órdenes de Trabajo'!$J$2:$J$301,"Abierto",'1. Órdenes de Trabajo'!$H$2:$H$301,"No Operativo")</f>
        <v>11</v>
      </c>
      <c r="D7" s="13" t="n">
        <f aca="false">SUMPRODUCT(('5. Servicio Técnico (Envíos)'!$A$2:$A$301&lt;&gt;"")*('5. Servicio Técnico (Envíos)'!$K$2:$K$301&lt;&gt;"Operativo"))</f>
        <v>8</v>
      </c>
      <c r="E7" s="14" t="n">
        <f aca="false">COUNTIF('6. Bajas'!$A$2:$A$301,"?*")</f>
        <v>0</v>
      </c>
      <c r="F7" s="15" t="n">
        <f aca="false">COUNTIF('4. Visitas Técnicas'!$L$2:$L$301,"No")+COUNTIF('5. Servicio Técnico (Envíos)'!$M$2:$M$301,"No")</f>
        <v>2</v>
      </c>
    </row>
    <row r="9" customFormat="false" ht="15" hidden="false" customHeight="true" outlineLevel="0" collapsed="false">
      <c r="B9" s="16" t="s">
        <v>9</v>
      </c>
    </row>
    <row r="10" customFormat="false" ht="15" hidden="false" customHeight="true" outlineLevel="0" collapsed="false">
      <c r="B10" s="17" t="s">
        <v>10</v>
      </c>
      <c r="C10" s="17" t="s">
        <v>11</v>
      </c>
      <c r="D10" s="17" t="s">
        <v>12</v>
      </c>
      <c r="E10" s="10" t="s">
        <v>13</v>
      </c>
      <c r="F10" s="7" t="s">
        <v>14</v>
      </c>
    </row>
    <row r="11" customFormat="false" ht="26.25" hidden="false" customHeight="true" outlineLevel="0" collapsed="false">
      <c r="B11" s="18" t="n">
        <f aca="false">SUM('MP Carta 2026'!$U$4:$U$969)</f>
        <v>1258</v>
      </c>
      <c r="C11" s="18" t="n">
        <f aca="false">SUM('MP Carta 2026'!$V$4:$V$969)</f>
        <v>784</v>
      </c>
      <c r="D11" s="19" t="n">
        <f aca="false">IFERROR(SUM('MP Carta 2026'!$V$4:$V$969)/SUM('MP Carta 2026'!$U$4:$U$969),"")</f>
        <v>0.623211446740859</v>
      </c>
      <c r="E11" s="20" t="n">
        <f aca="false">SUMPRODUCT(--('MP Carta 2026'!$I$4:$T$969="R"))</f>
        <v>269</v>
      </c>
      <c r="F11" s="21" t="n">
        <f aca="false">SUM('MP Carta 2026'!$X$4:$X$969)</f>
        <v>41</v>
      </c>
    </row>
    <row r="13" customFormat="false" ht="15" hidden="false" customHeight="true" outlineLevel="0" collapsed="false">
      <c r="B13" s="22" t="s">
        <v>15</v>
      </c>
    </row>
    <row r="14" customFormat="false" ht="15" hidden="false" customHeight="true" outlineLevel="0" collapsed="false">
      <c r="B14" s="10" t="s">
        <v>16</v>
      </c>
      <c r="C14" s="7" t="s">
        <v>17</v>
      </c>
      <c r="D14" s="17" t="s">
        <v>18</v>
      </c>
    </row>
    <row r="15" customFormat="false" ht="26.25" hidden="false" customHeight="true" outlineLevel="0" collapsed="false">
      <c r="B15" s="23" t="n">
        <f aca="false">COUNTIF(Pendientes!$H$2:$H$200,"Por hacer")</f>
        <v>32</v>
      </c>
      <c r="C15" s="24" t="n">
        <f aca="false">COUNTIFS(Pendientes!$H$2:$H$200,"Por hacer",Pendientes!$G$2:$G$200,"Vencido")</f>
        <v>12</v>
      </c>
      <c r="D15" s="25" t="n">
        <f aca="false">COUNTIF(Pendientes!$H$2:$H$200,"Completado")</f>
        <v>0</v>
      </c>
    </row>
    <row r="17" customFormat="false" ht="15" hidden="false" customHeight="true" outlineLevel="0" collapsed="false">
      <c r="B17" s="26" t="s">
        <v>19</v>
      </c>
    </row>
    <row r="18" customFormat="false" ht="15" hidden="false" customHeight="true" outlineLevel="0" collapsed="false">
      <c r="B18" s="7" t="s">
        <v>20</v>
      </c>
      <c r="C18" s="7" t="s">
        <v>21</v>
      </c>
      <c r="D18" s="7" t="s">
        <v>22</v>
      </c>
      <c r="E18" s="7" t="s">
        <v>23</v>
      </c>
      <c r="F18" s="7" t="s">
        <v>24</v>
      </c>
    </row>
    <row r="19" customFormat="false" ht="15" hidden="false" customHeight="true" outlineLevel="0" collapsed="false">
      <c r="B19" s="27" t="s">
        <v>25</v>
      </c>
      <c r="C19" s="28" t="str">
        <f aca="false">IFERROR(VLOOKUP($B19,Equipos!$C$2:$D$967,2,FALSE()),"")</f>
        <v>Ventilador Mecánico </v>
      </c>
      <c r="D19" s="28" t="str">
        <f aca="false">IFERROR(VLOOKUP($B19,Equipos!$C$2:$F$967,3,FALSE()),"")</f>
        <v>UPC Adulto</v>
      </c>
      <c r="E19" s="29" t="str">
        <f aca="false">IF(COUNTIFS('1. Órdenes de Trabajo'!$F$2:$F$301,$B19,'1. Órdenes de Trabajo'!$J$2:$J$301,"Abierto")&gt;0,"Sí","No")</f>
        <v>Sí</v>
      </c>
      <c r="F19" s="29" t="n">
        <f aca="false">COUNTIFS(Pendientes!$C$2:$C$200,$B19,Pendientes!$H$2:$H$200,"Por hacer")</f>
        <v>3</v>
      </c>
    </row>
    <row r="20" customFormat="false" ht="15" hidden="false" customHeight="true" outlineLevel="0" collapsed="false">
      <c r="B20" s="27" t="s">
        <v>26</v>
      </c>
      <c r="C20" s="28" t="str">
        <f aca="false">IFERROR(VLOOKUP($B20,Equipos!$C$2:$D$967,2,FALSE()),"")</f>
        <v>Ventilador Mecánico </v>
      </c>
      <c r="D20" s="28" t="str">
        <f aca="false">IFERROR(VLOOKUP($B20,Equipos!$C$2:$F$967,3,FALSE()),"")</f>
        <v>UPC Adulto</v>
      </c>
      <c r="E20" s="29" t="str">
        <f aca="false">IF(COUNTIFS('1. Órdenes de Trabajo'!$F$2:$F$301,$B20,'1. Órdenes de Trabajo'!$J$2:$J$301,"Abierto")&gt;0,"Sí","No")</f>
        <v>No</v>
      </c>
      <c r="F20" s="29" t="n">
        <f aca="false">COUNTIFS(Pendientes!$C$2:$C$200,$B20,Pendientes!$H$2:$H$200,"Por hacer")</f>
        <v>2</v>
      </c>
    </row>
    <row r="21" customFormat="false" ht="15" hidden="false" customHeight="true" outlineLevel="0" collapsed="false">
      <c r="B21" s="27" t="s">
        <v>27</v>
      </c>
      <c r="C21" s="28" t="str">
        <f aca="false">IFERROR(VLOOKUP($B21,Equipos!$C$2:$D$967,2,FALSE()),"")</f>
        <v>Ventilador Mecánico </v>
      </c>
      <c r="D21" s="28" t="str">
        <f aca="false">IFERROR(VLOOKUP($B21,Equipos!$C$2:$F$967,3,FALSE()),"")</f>
        <v>UPC 3er Piso</v>
      </c>
      <c r="E21" s="29" t="str">
        <f aca="false">IF(COUNTIFS('1. Órdenes de Trabajo'!$F$2:$F$301,$B21,'1. Órdenes de Trabajo'!$J$2:$J$301,"Abierto")&gt;0,"Sí","No")</f>
        <v>Sí</v>
      </c>
      <c r="F21" s="29" t="n">
        <f aca="false">COUNTIFS(Pendientes!$C$2:$C$200,$B21,Pendientes!$H$2:$H$200,"Por hacer")</f>
        <v>0</v>
      </c>
    </row>
    <row r="22" customFormat="false" ht="15" hidden="false" customHeight="true" outlineLevel="0" collapsed="false">
      <c r="B22" s="27" t="s">
        <v>28</v>
      </c>
      <c r="C22" s="28" t="str">
        <f aca="false">IFERROR(VLOOKUP($B22,Equipos!$C$2:$D$967,2,FALSE()),"")</f>
        <v>Ventilador Mecánico </v>
      </c>
      <c r="D22" s="28" t="str">
        <f aca="false">IFERROR(VLOOKUP($B22,Equipos!$C$2:$F$967,3,FALSE()),"")</f>
        <v>UPC 3er Piso</v>
      </c>
      <c r="E22" s="29" t="str">
        <f aca="false">IF(COUNTIFS('1. Órdenes de Trabajo'!$F$2:$F$301,$B22,'1. Órdenes de Trabajo'!$J$2:$J$301,"Abierto")&gt;0,"Sí","No")</f>
        <v>Sí</v>
      </c>
      <c r="F22" s="29" t="n">
        <f aca="false">COUNTIFS(Pendientes!$C$2:$C$200,$B22,Pendientes!$H$2:$H$200,"Por hacer")</f>
        <v>0</v>
      </c>
    </row>
    <row r="23" customFormat="false" ht="15" hidden="false" customHeight="true" outlineLevel="0" collapsed="false">
      <c r="B23" s="27" t="s">
        <v>29</v>
      </c>
      <c r="C23" s="28" t="str">
        <f aca="false">IFERROR(VLOOKUP($B23,Equipos!$C$2:$D$967,2,FALSE()),"")</f>
        <v>Ventilador Mecánico </v>
      </c>
      <c r="D23" s="28" t="str">
        <f aca="false">IFERROR(VLOOKUP($B23,Equipos!$C$2:$F$967,3,FALSE()),"")</f>
        <v>UPC 3er Piso</v>
      </c>
      <c r="E23" s="29" t="str">
        <f aca="false">IF(COUNTIFS('1. Órdenes de Trabajo'!$F$2:$F$301,$B23,'1. Órdenes de Trabajo'!$J$2:$J$301,"Abierto")&gt;0,"Sí","No")</f>
        <v>Sí</v>
      </c>
      <c r="F23" s="29" t="n">
        <f aca="false">COUNTIFS(Pendientes!$C$2:$C$200,$B23,Pendientes!$H$2:$H$200,"Por hacer")</f>
        <v>0</v>
      </c>
    </row>
    <row r="26" customFormat="false" ht="15" hidden="false" customHeight="true" outlineLevel="0" collapsed="false">
      <c r="B26" s="30" t="s">
        <v>30</v>
      </c>
    </row>
    <row r="27" customFormat="false" ht="15" hidden="false" customHeight="true" outlineLevel="0" collapsed="false">
      <c r="B27" s="31" t="str">
        <f aca="false">HYPERLINK("#Pendientes!A1","▸ Pendientes (qué hacer hoy)")</f>
        <v>▸ Pendientes (qué hacer hoy)</v>
      </c>
    </row>
    <row r="28" customFormat="false" ht="15" hidden="false" customHeight="true" outlineLevel="0" collapsed="false">
      <c r="B28" s="31" t="str">
        <f aca="false">HYPERLINK("#'Ficha de Equipo'!A1","▸ Ficha de Equipo (estado 360)")</f>
        <v>▸ Ficha de Equipo (estado 360)</v>
      </c>
    </row>
    <row r="29" customFormat="false" ht="15" hidden="false" customHeight="true" outlineLevel="0" collapsed="false">
      <c r="B29" s="31" t="str">
        <f aca="false">HYPERLINK("#Tablero!A1","▸ Tablero correctivo")</f>
        <v>▸ Tablero correctivo</v>
      </c>
    </row>
    <row r="30" customFormat="false" ht="15" hidden="false" customHeight="true" outlineLevel="0" collapsed="false">
      <c r="B30" s="31" t="str">
        <f aca="false">HYPERLINK("#'MP Carta 2026'!A1","▸ MP Carta 2026")</f>
        <v>▸ MP Carta 2026</v>
      </c>
    </row>
    <row r="33" customFormat="false" ht="15" hidden="false" customHeight="false" outlineLevel="0" collapsed="false">
      <c r="B33" s="32" t="s">
        <v>31</v>
      </c>
    </row>
    <row r="34" customFormat="false" ht="15" hidden="false" customHeight="false" outlineLevel="0" collapsed="false">
      <c r="B34" s="33" t="s">
        <v>32</v>
      </c>
    </row>
    <row r="36" customFormat="false" ht="15" hidden="false" customHeight="false" outlineLevel="0" collapsed="false">
      <c r="B36" s="34" t="s">
        <v>33</v>
      </c>
      <c r="C36" s="35"/>
      <c r="D36" s="35"/>
      <c r="E36" s="35"/>
      <c r="F36" s="35"/>
    </row>
    <row r="37" customFormat="false" ht="16.15" hidden="false" customHeight="false" outlineLevel="0" collapsed="false">
      <c r="B37" s="36" t="str">
        <f aca="false">IF(SUMPRODUCT(--($E$40:$E$43&lt;&gt;0))=0,"✓  Matriz y bitácora cuadran","⚠  "&amp;SUMPRODUCT(--($E$40:$E$43&lt;&gt;0))&amp;" categoría(s) descuadrada(s) — revisar registros")</f>
        <v>⚠  3 categoría(s) descuadrada(s) — revisar registros</v>
      </c>
      <c r="C37" s="37"/>
      <c r="D37" s="37"/>
      <c r="E37" s="37"/>
      <c r="F37" s="37"/>
    </row>
    <row r="39" customFormat="false" ht="15" hidden="false" customHeight="false" outlineLevel="0" collapsed="false">
      <c r="B39" s="38" t="s">
        <v>34</v>
      </c>
      <c r="C39" s="34" t="s">
        <v>35</v>
      </c>
      <c r="D39" s="34" t="s">
        <v>36</v>
      </c>
      <c r="E39" s="34" t="s">
        <v>37</v>
      </c>
      <c r="F39" s="34" t="s">
        <v>38</v>
      </c>
    </row>
    <row r="40" customFormat="false" ht="15" hidden="false" customHeight="false" outlineLevel="0" collapsed="false">
      <c r="B40" s="39" t="s">
        <v>39</v>
      </c>
      <c r="C40" s="40" t="n">
        <f aca="false">COUNTIF('MP Carta 2026'!$I$4:$T$969,"E")</f>
        <v>784</v>
      </c>
      <c r="D40" s="40" t="n">
        <f aca="false">COUNTIF('Registro MP'!$J$2:$J$1243,"Sí")</f>
        <v>785</v>
      </c>
      <c r="E40" s="41" t="n">
        <f aca="false">C40-D40</f>
        <v>-1</v>
      </c>
      <c r="F40" s="42" t="str">
        <f aca="false">IF(E40=0,"✓ cuadra","⚠ Δ "&amp;TEXT(E40,"+0;-0"))</f>
        <v>⚠ Δ -1</v>
      </c>
    </row>
    <row r="41" customFormat="false" ht="15" hidden="false" customHeight="false" outlineLevel="0" collapsed="false">
      <c r="B41" s="39" t="s">
        <v>40</v>
      </c>
      <c r="C41" s="40" t="n">
        <f aca="false">COUNTIF('MP Carta 2026'!$I$4:$T$969,"C2")+COUNTIF('MP Carta 2026'!$I$4:$T$969,"C3")</f>
        <v>41</v>
      </c>
      <c r="D41" s="40" t="n">
        <f aca="false">COUNTIF('Registro MP'!$J$2:$J$1243,"C2")+COUNTIF('Registro MP'!$J$2:$J$1243,"C3")</f>
        <v>42</v>
      </c>
      <c r="E41" s="41" t="n">
        <f aca="false">C41-D41</f>
        <v>-1</v>
      </c>
      <c r="F41" s="42" t="str">
        <f aca="false">IF(E41=0,"✓ cuadra","⚠ Δ "&amp;TEXT(E41,"+0;-0"))</f>
        <v>⚠ Δ -1</v>
      </c>
    </row>
    <row r="42" customFormat="false" ht="15" hidden="false" customHeight="false" outlineLevel="0" collapsed="false">
      <c r="B42" s="39" t="s">
        <v>13</v>
      </c>
      <c r="C42" s="40" t="n">
        <f aca="false">COUNTIF('MP Carta 2026'!$I$4:$T$969,"R")</f>
        <v>269</v>
      </c>
      <c r="D42" s="40" t="n">
        <f aca="false">COUNTIF('Registro MP'!$J$2:$J$1243,"C1")+COUNTIF('Registro MP'!$J$2:$J$1243,"C5")+COUNTIF('Registro MP'!$J$2:$J$1243,"C6")+COUNTIF('Registro MP'!$J$2:$J$1243,"C7")+COUNTIF('Registro MP'!$J$2:$J$1243,"C8")</f>
        <v>266</v>
      </c>
      <c r="E42" s="41" t="n">
        <f aca="false">C42-D42</f>
        <v>3</v>
      </c>
      <c r="F42" s="42" t="str">
        <f aca="false">IF(E42=0,"✓ cuadra","⚠ Δ "&amp;TEXT(E42,"+0;-0"))</f>
        <v>⚠ Δ +3</v>
      </c>
    </row>
    <row r="43" customFormat="false" ht="15" hidden="false" customHeight="false" outlineLevel="0" collapsed="false">
      <c r="B43" s="43" t="s">
        <v>41</v>
      </c>
      <c r="C43" s="44" t="n">
        <f aca="false">COUNTIF('MP Carta 2026'!$I$4:$T$969,"B")</f>
        <v>6</v>
      </c>
      <c r="D43" s="44" t="n">
        <f aca="false">COUNTIF('Registro MP'!$J$2:$J$1243,"Baja")</f>
        <v>6</v>
      </c>
      <c r="E43" s="45" t="n">
        <f aca="false">C43-D43</f>
        <v>0</v>
      </c>
      <c r="F43" s="46" t="str">
        <f aca="false">IF(E43=0,"✓ cuadra","⚠ Δ "&amp;TEXT(E43,"+0;-0"))</f>
        <v>✓ cuadra</v>
      </c>
    </row>
    <row r="45" customFormat="false" ht="15" hidden="false" customHeight="false" outlineLevel="0" collapsed="false">
      <c r="B45" s="47" t="s">
        <v>42</v>
      </c>
      <c r="D45" s="48" t="n">
        <f aca="false">COUNTIF('Registro MP'!$J$2:$J$1243,"No")+COUNTIF('Registro MP'!$J$2:$J$1243,"NU")</f>
        <v>5</v>
      </c>
    </row>
  </sheetData>
  <conditionalFormatting sqref="B37:F37">
    <cfRule type="expression" priority="2" aboveAverage="0" equalAverage="0" bottom="0" percent="0" rank="0" text="" dxfId="0">
      <formula>LEFT($B$37,1)="✓"</formula>
    </cfRule>
    <cfRule type="expression" priority="3" aboveAverage="0" equalAverage="0" bottom="0" percent="0" rank="0" text="" dxfId="1">
      <formula>LEFT($B$37,1)="⚠"</formula>
    </cfRule>
  </conditionalFormatting>
  <conditionalFormatting sqref="F40:F43">
    <cfRule type="expression" priority="4" aboveAverage="0" equalAverage="0" bottom="0" percent="0" rank="0" text="" dxfId="2">
      <formula>LEFT(F40,1)="✓"</formula>
    </cfRule>
    <cfRule type="expression" priority="5" aboveAverage="0" equalAverage="0" bottom="0" percent="0" rank="0" text="" dxfId="3">
      <formula>LEFT(F40,1)="⚠"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5309"/>
    <pageSetUpPr fitToPage="false"/>
  </sheetPr>
  <dimension ref="A1:P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9" activeCellId="0" sqref="B9"/>
    </sheetView>
  </sheetViews>
  <sheetFormatPr defaultColWidth="9.1484375" defaultRowHeight="15" zeroHeight="false" outlineLevelRow="0" outlineLevelCol="0"/>
  <cols>
    <col collapsed="false" customWidth="true" hidden="false" outlineLevel="0" max="1" min="1" style="0" width="22"/>
    <col collapsed="false" customWidth="true" hidden="false" outlineLevel="0" max="3" min="2" style="0" width="14"/>
    <col collapsed="false" customWidth="true" hidden="false" outlineLevel="0" max="4" min="4" style="0" width="24"/>
    <col collapsed="false" customWidth="true" hidden="false" outlineLevel="0" max="5" min="5" style="0" width="15"/>
    <col collapsed="false" customWidth="true" hidden="false" outlineLevel="0" max="6" min="6" style="0" width="11"/>
    <col collapsed="false" customWidth="true" hidden="false" outlineLevel="0" max="8" min="7" style="0" width="12"/>
    <col collapsed="false" customWidth="true" hidden="false" outlineLevel="0" max="9" min="9" style="0" width="9"/>
    <col collapsed="false" customWidth="true" hidden="false" outlineLevel="0" max="11" min="10" style="0" width="22"/>
    <col collapsed="false" customWidth="true" hidden="false" outlineLevel="0" max="12" min="12" style="0" width="16"/>
    <col collapsed="false" customWidth="true" hidden="false" outlineLevel="0" max="14" min="13" style="0" width="40"/>
    <col collapsed="false" customWidth="true" hidden="false" outlineLevel="0" max="15" min="15" style="0" width="15"/>
    <col collapsed="false" customWidth="true" hidden="false" outlineLevel="0" max="16" min="16" style="0" width="12"/>
  </cols>
  <sheetData>
    <row r="1" customFormat="false" ht="25.5" hidden="false" customHeight="true" outlineLevel="0" collapsed="false">
      <c r="A1" s="49" t="s">
        <v>21</v>
      </c>
      <c r="B1" s="49" t="s">
        <v>43</v>
      </c>
      <c r="C1" s="49" t="s">
        <v>20</v>
      </c>
      <c r="D1" s="49" t="s">
        <v>44</v>
      </c>
      <c r="E1" s="49" t="s">
        <v>45</v>
      </c>
      <c r="F1" s="49" t="s">
        <v>46</v>
      </c>
      <c r="G1" s="49" t="s">
        <v>47</v>
      </c>
      <c r="H1" s="49" t="s">
        <v>38</v>
      </c>
      <c r="I1" s="49" t="s">
        <v>48</v>
      </c>
      <c r="J1" s="49" t="s">
        <v>49</v>
      </c>
      <c r="K1" s="49" t="s">
        <v>50</v>
      </c>
      <c r="L1" s="49" t="s">
        <v>51</v>
      </c>
      <c r="M1" s="49" t="s">
        <v>52</v>
      </c>
      <c r="N1" s="49" t="s">
        <v>53</v>
      </c>
      <c r="O1" s="49" t="s">
        <v>54</v>
      </c>
      <c r="P1" s="49" t="s">
        <v>55</v>
      </c>
    </row>
    <row r="2" customFormat="false" ht="15" hidden="false" customHeight="true" outlineLevel="0" collapsed="false">
      <c r="A2" s="50" t="s">
        <v>56</v>
      </c>
      <c r="B2" s="51" t="s">
        <v>57</v>
      </c>
      <c r="C2" s="51" t="s">
        <v>58</v>
      </c>
      <c r="D2" s="50" t="s">
        <v>59</v>
      </c>
      <c r="E2" s="52" t="n">
        <v>46188</v>
      </c>
      <c r="F2" s="50"/>
      <c r="G2" s="50" t="s">
        <v>60</v>
      </c>
      <c r="H2" s="50" t="s">
        <v>61</v>
      </c>
      <c r="I2" s="50" t="s">
        <v>62</v>
      </c>
      <c r="J2" s="50" t="s">
        <v>63</v>
      </c>
      <c r="K2" s="50" t="s">
        <v>64</v>
      </c>
      <c r="L2" s="50"/>
      <c r="M2" s="50" t="s">
        <v>65</v>
      </c>
      <c r="N2" s="53" t="s">
        <v>66</v>
      </c>
      <c r="O2" s="52" t="n">
        <v>46181</v>
      </c>
      <c r="P2" s="52"/>
    </row>
    <row r="3" customFormat="false" ht="15" hidden="false" customHeight="true" outlineLevel="0" collapsed="false">
      <c r="A3" s="50" t="s">
        <v>56</v>
      </c>
      <c r="B3" s="51" t="s">
        <v>67</v>
      </c>
      <c r="C3" s="51" t="s">
        <v>68</v>
      </c>
      <c r="D3" s="50" t="s">
        <v>59</v>
      </c>
      <c r="E3" s="52" t="n">
        <v>46202</v>
      </c>
      <c r="F3" s="50"/>
      <c r="G3" s="50" t="s">
        <v>60</v>
      </c>
      <c r="H3" s="50" t="s">
        <v>61</v>
      </c>
      <c r="I3" s="50" t="s">
        <v>62</v>
      </c>
      <c r="J3" s="50" t="s">
        <v>63</v>
      </c>
      <c r="K3" s="50" t="s">
        <v>64</v>
      </c>
      <c r="L3" s="50"/>
      <c r="M3" s="50" t="s">
        <v>69</v>
      </c>
      <c r="N3" s="53" t="s">
        <v>66</v>
      </c>
      <c r="O3" s="52" t="n">
        <v>46181</v>
      </c>
      <c r="P3" s="52"/>
    </row>
    <row r="4" customFormat="false" ht="15" hidden="false" customHeight="true" outlineLevel="0" collapsed="false">
      <c r="A4" s="50" t="s">
        <v>56</v>
      </c>
      <c r="B4" s="51" t="s">
        <v>70</v>
      </c>
      <c r="C4" s="51" t="s">
        <v>71</v>
      </c>
      <c r="D4" s="50" t="s">
        <v>59</v>
      </c>
      <c r="E4" s="52" t="n">
        <v>46202</v>
      </c>
      <c r="F4" s="50"/>
      <c r="G4" s="50" t="s">
        <v>72</v>
      </c>
      <c r="H4" s="50" t="s">
        <v>73</v>
      </c>
      <c r="I4" s="50" t="s">
        <v>62</v>
      </c>
      <c r="J4" s="50" t="s">
        <v>63</v>
      </c>
      <c r="K4" s="50" t="s">
        <v>64</v>
      </c>
      <c r="L4" s="50"/>
      <c r="M4" s="50" t="s">
        <v>74</v>
      </c>
      <c r="N4" s="53" t="s">
        <v>66</v>
      </c>
      <c r="O4" s="52"/>
      <c r="P4" s="52"/>
    </row>
    <row r="5" customFormat="false" ht="15" hidden="false" customHeight="true" outlineLevel="0" collapsed="false">
      <c r="A5" s="50" t="s">
        <v>56</v>
      </c>
      <c r="B5" s="51" t="s">
        <v>75</v>
      </c>
      <c r="C5" s="51" t="s">
        <v>76</v>
      </c>
      <c r="D5" s="50" t="s">
        <v>59</v>
      </c>
      <c r="E5" s="52" t="n">
        <v>46202</v>
      </c>
      <c r="F5" s="50"/>
      <c r="G5" s="50" t="s">
        <v>60</v>
      </c>
      <c r="H5" s="50" t="s">
        <v>61</v>
      </c>
      <c r="I5" s="50" t="s">
        <v>62</v>
      </c>
      <c r="J5" s="50" t="s">
        <v>63</v>
      </c>
      <c r="K5" s="50" t="s">
        <v>64</v>
      </c>
      <c r="L5" s="50"/>
      <c r="M5" s="50" t="s">
        <v>77</v>
      </c>
      <c r="N5" s="53" t="s">
        <v>66</v>
      </c>
      <c r="O5" s="52" t="n">
        <v>46181</v>
      </c>
      <c r="P5" s="52"/>
    </row>
    <row r="6" customFormat="false" ht="15" hidden="false" customHeight="true" outlineLevel="0" collapsed="false">
      <c r="A6" s="50" t="s">
        <v>56</v>
      </c>
      <c r="B6" s="51" t="s">
        <v>78</v>
      </c>
      <c r="C6" s="51" t="s">
        <v>79</v>
      </c>
      <c r="D6" s="50" t="s">
        <v>59</v>
      </c>
      <c r="E6" s="52" t="n">
        <v>46171</v>
      </c>
      <c r="F6" s="50" t="n">
        <v>20</v>
      </c>
      <c r="G6" s="50" t="s">
        <v>80</v>
      </c>
      <c r="H6" s="50" t="s">
        <v>73</v>
      </c>
      <c r="I6" s="50" t="s">
        <v>62</v>
      </c>
      <c r="J6" s="50" t="s">
        <v>63</v>
      </c>
      <c r="K6" s="50" t="s">
        <v>64</v>
      </c>
      <c r="L6" s="50"/>
      <c r="M6" s="50" t="s">
        <v>81</v>
      </c>
      <c r="N6" s="53" t="s">
        <v>66</v>
      </c>
      <c r="O6" s="52"/>
      <c r="P6" s="52"/>
    </row>
    <row r="7" customFormat="false" ht="15" hidden="false" customHeight="true" outlineLevel="0" collapsed="false">
      <c r="A7" s="50" t="s">
        <v>56</v>
      </c>
      <c r="B7" s="51" t="s">
        <v>82</v>
      </c>
      <c r="C7" s="51" t="s">
        <v>83</v>
      </c>
      <c r="D7" s="50" t="s">
        <v>59</v>
      </c>
      <c r="E7" s="52" t="n">
        <v>46188</v>
      </c>
      <c r="F7" s="50"/>
      <c r="G7" s="50" t="s">
        <v>60</v>
      </c>
      <c r="H7" s="50" t="s">
        <v>61</v>
      </c>
      <c r="I7" s="50" t="s">
        <v>62</v>
      </c>
      <c r="J7" s="50" t="s">
        <v>63</v>
      </c>
      <c r="K7" s="50" t="s">
        <v>64</v>
      </c>
      <c r="L7" s="50"/>
      <c r="M7" s="50" t="s">
        <v>84</v>
      </c>
      <c r="N7" s="53" t="s">
        <v>66</v>
      </c>
      <c r="O7" s="52" t="n">
        <v>46181</v>
      </c>
      <c r="P7" s="52"/>
    </row>
    <row r="8" customFormat="false" ht="15" hidden="false" customHeight="true" outlineLevel="0" collapsed="false">
      <c r="A8" s="50" t="s">
        <v>56</v>
      </c>
      <c r="B8" s="51" t="s">
        <v>85</v>
      </c>
      <c r="C8" s="51" t="s">
        <v>86</v>
      </c>
      <c r="D8" s="50" t="s">
        <v>59</v>
      </c>
      <c r="E8" s="52" t="n">
        <v>46175</v>
      </c>
      <c r="F8" s="50" t="n">
        <v>16</v>
      </c>
      <c r="G8" s="50" t="s">
        <v>80</v>
      </c>
      <c r="H8" s="50" t="s">
        <v>73</v>
      </c>
      <c r="I8" s="50" t="s">
        <v>62</v>
      </c>
      <c r="J8" s="50" t="s">
        <v>63</v>
      </c>
      <c r="K8" s="50" t="s">
        <v>64</v>
      </c>
      <c r="L8" s="50"/>
      <c r="M8" s="50" t="s">
        <v>87</v>
      </c>
      <c r="N8" s="53" t="s">
        <v>66</v>
      </c>
      <c r="O8" s="52"/>
      <c r="P8" s="52"/>
    </row>
    <row r="9" customFormat="false" ht="15" hidden="false" customHeight="true" outlineLevel="0" collapsed="false">
      <c r="A9" s="50" t="s">
        <v>56</v>
      </c>
      <c r="B9" s="51" t="s">
        <v>88</v>
      </c>
      <c r="C9" s="51" t="s">
        <v>89</v>
      </c>
      <c r="D9" s="50" t="s">
        <v>59</v>
      </c>
      <c r="E9" s="52" t="n">
        <v>46182</v>
      </c>
      <c r="F9" s="50" t="n">
        <v>9</v>
      </c>
      <c r="G9" s="50" t="s">
        <v>80</v>
      </c>
      <c r="H9" s="50" t="s">
        <v>73</v>
      </c>
      <c r="I9" s="50" t="s">
        <v>62</v>
      </c>
      <c r="J9" s="50" t="s">
        <v>63</v>
      </c>
      <c r="K9" s="50" t="s">
        <v>64</v>
      </c>
      <c r="L9" s="50"/>
      <c r="M9" s="50" t="s">
        <v>90</v>
      </c>
      <c r="N9" s="53" t="s">
        <v>66</v>
      </c>
      <c r="O9" s="52"/>
      <c r="P9" s="52"/>
    </row>
    <row r="10" customFormat="false" ht="15" hidden="false" customHeight="true" outlineLevel="0" collapsed="false">
      <c r="A10" s="50" t="s">
        <v>56</v>
      </c>
      <c r="B10" s="51" t="s">
        <v>91</v>
      </c>
      <c r="C10" s="51" t="s">
        <v>92</v>
      </c>
      <c r="D10" s="50" t="s">
        <v>59</v>
      </c>
      <c r="E10" s="52" t="n">
        <v>46188</v>
      </c>
      <c r="F10" s="50"/>
      <c r="G10" s="50" t="s">
        <v>60</v>
      </c>
      <c r="H10" s="50" t="s">
        <v>61</v>
      </c>
      <c r="I10" s="50" t="s">
        <v>62</v>
      </c>
      <c r="J10" s="50" t="s">
        <v>63</v>
      </c>
      <c r="K10" s="50" t="s">
        <v>64</v>
      </c>
      <c r="L10" s="50"/>
      <c r="M10" s="50" t="s">
        <v>93</v>
      </c>
      <c r="N10" s="53" t="s">
        <v>66</v>
      </c>
      <c r="O10" s="52" t="n">
        <v>46181</v>
      </c>
      <c r="P10" s="52"/>
    </row>
    <row r="11" customFormat="false" ht="15" hidden="false" customHeight="true" outlineLevel="0" collapsed="false">
      <c r="A11" s="50" t="s">
        <v>56</v>
      </c>
      <c r="B11" s="51" t="s">
        <v>94</v>
      </c>
      <c r="C11" s="51" t="s">
        <v>95</v>
      </c>
      <c r="D11" s="50" t="s">
        <v>96</v>
      </c>
      <c r="E11" s="52" t="n">
        <v>46188</v>
      </c>
      <c r="F11" s="50"/>
      <c r="G11" s="50" t="s">
        <v>60</v>
      </c>
      <c r="H11" s="50" t="s">
        <v>61</v>
      </c>
      <c r="I11" s="50" t="s">
        <v>62</v>
      </c>
      <c r="J11" s="50" t="s">
        <v>63</v>
      </c>
      <c r="K11" s="50" t="s">
        <v>64</v>
      </c>
      <c r="L11" s="50"/>
      <c r="M11" s="50" t="s">
        <v>97</v>
      </c>
      <c r="N11" s="53" t="s">
        <v>66</v>
      </c>
      <c r="O11" s="52" t="n">
        <v>46181</v>
      </c>
      <c r="P11" s="52"/>
    </row>
    <row r="12" customFormat="false" ht="15" hidden="false" customHeight="true" outlineLevel="0" collapsed="false">
      <c r="A12" s="50" t="s">
        <v>56</v>
      </c>
      <c r="B12" s="51" t="s">
        <v>98</v>
      </c>
      <c r="C12" s="51" t="s">
        <v>99</v>
      </c>
      <c r="D12" s="50" t="s">
        <v>59</v>
      </c>
      <c r="E12" s="52" t="n">
        <v>46188</v>
      </c>
      <c r="F12" s="50"/>
      <c r="G12" s="50" t="s">
        <v>60</v>
      </c>
      <c r="H12" s="50" t="s">
        <v>61</v>
      </c>
      <c r="I12" s="50" t="s">
        <v>62</v>
      </c>
      <c r="J12" s="50" t="s">
        <v>63</v>
      </c>
      <c r="K12" s="50" t="s">
        <v>64</v>
      </c>
      <c r="L12" s="50"/>
      <c r="M12" s="50" t="s">
        <v>100</v>
      </c>
      <c r="N12" s="53" t="s">
        <v>66</v>
      </c>
      <c r="O12" s="52" t="n">
        <v>46181</v>
      </c>
      <c r="P12" s="52"/>
    </row>
    <row r="13" customFormat="false" ht="15" hidden="false" customHeight="true" outlineLevel="0" collapsed="false">
      <c r="A13" s="50" t="s">
        <v>56</v>
      </c>
      <c r="B13" s="51" t="s">
        <v>101</v>
      </c>
      <c r="C13" s="51" t="s">
        <v>102</v>
      </c>
      <c r="D13" s="50" t="s">
        <v>59</v>
      </c>
      <c r="E13" s="52" t="n">
        <v>46188</v>
      </c>
      <c r="F13" s="50"/>
      <c r="G13" s="50" t="s">
        <v>60</v>
      </c>
      <c r="H13" s="50" t="s">
        <v>61</v>
      </c>
      <c r="I13" s="50" t="s">
        <v>62</v>
      </c>
      <c r="J13" s="50" t="s">
        <v>63</v>
      </c>
      <c r="K13" s="50" t="s">
        <v>64</v>
      </c>
      <c r="L13" s="50"/>
      <c r="M13" s="50" t="s">
        <v>103</v>
      </c>
      <c r="N13" s="53" t="s">
        <v>66</v>
      </c>
      <c r="O13" s="52" t="n">
        <v>46181</v>
      </c>
      <c r="P13" s="52"/>
    </row>
    <row r="14" customFormat="false" ht="15" hidden="false" customHeight="true" outlineLevel="0" collapsed="false">
      <c r="A14" s="50" t="s">
        <v>56</v>
      </c>
      <c r="B14" s="51" t="s">
        <v>104</v>
      </c>
      <c r="C14" s="51" t="s">
        <v>105</v>
      </c>
      <c r="D14" s="50" t="s">
        <v>96</v>
      </c>
      <c r="E14" s="52" t="n">
        <v>46175</v>
      </c>
      <c r="F14" s="50"/>
      <c r="G14" s="50" t="s">
        <v>60</v>
      </c>
      <c r="H14" s="50" t="s">
        <v>61</v>
      </c>
      <c r="I14" s="50" t="s">
        <v>62</v>
      </c>
      <c r="J14" s="50" t="s">
        <v>63</v>
      </c>
      <c r="K14" s="50" t="s">
        <v>64</v>
      </c>
      <c r="L14" s="50"/>
      <c r="M14" s="50" t="s">
        <v>103</v>
      </c>
      <c r="N14" s="53" t="s">
        <v>66</v>
      </c>
      <c r="O14" s="52" t="n">
        <v>46181</v>
      </c>
      <c r="P14" s="52"/>
    </row>
    <row r="15" customFormat="false" ht="15" hidden="false" customHeight="true" outlineLevel="0" collapsed="false">
      <c r="A15" s="50" t="s">
        <v>106</v>
      </c>
      <c r="B15" s="51" t="s">
        <v>107</v>
      </c>
      <c r="C15" s="51" t="s">
        <v>108</v>
      </c>
      <c r="D15" s="50" t="s">
        <v>109</v>
      </c>
      <c r="E15" s="52" t="n">
        <v>46175</v>
      </c>
      <c r="F15" s="50" t="n">
        <v>16</v>
      </c>
      <c r="G15" s="50" t="s">
        <v>80</v>
      </c>
      <c r="H15" s="50" t="s">
        <v>16</v>
      </c>
      <c r="I15" s="50" t="s">
        <v>62</v>
      </c>
      <c r="J15" s="50"/>
      <c r="K15" s="50" t="s">
        <v>64</v>
      </c>
      <c r="L15" s="50"/>
      <c r="M15" s="50" t="s">
        <v>110</v>
      </c>
      <c r="N15" s="53" t="s">
        <v>66</v>
      </c>
      <c r="O15" s="52"/>
      <c r="P15" s="52"/>
    </row>
    <row r="16" customFormat="false" ht="15" hidden="false" customHeight="true" outlineLevel="0" collapsed="false">
      <c r="A16" s="50" t="s">
        <v>111</v>
      </c>
      <c r="B16" s="51" t="s">
        <v>112</v>
      </c>
      <c r="C16" s="51" t="s">
        <v>113</v>
      </c>
      <c r="D16" s="50" t="s">
        <v>114</v>
      </c>
      <c r="E16" s="52" t="n">
        <v>46168</v>
      </c>
      <c r="F16" s="50" t="n">
        <v>23</v>
      </c>
      <c r="G16" s="50" t="s">
        <v>80</v>
      </c>
      <c r="H16" s="50" t="s">
        <v>16</v>
      </c>
      <c r="I16" s="50" t="s">
        <v>62</v>
      </c>
      <c r="J16" s="50" t="s">
        <v>64</v>
      </c>
      <c r="K16" s="50" t="s">
        <v>64</v>
      </c>
      <c r="L16" s="50"/>
      <c r="M16" s="50" t="s">
        <v>115</v>
      </c>
      <c r="N16" s="53" t="s">
        <v>66</v>
      </c>
      <c r="O16" s="52"/>
      <c r="P16" s="52"/>
    </row>
    <row r="17" customFormat="false" ht="15" hidden="false" customHeight="true" outlineLevel="0" collapsed="false">
      <c r="A17" s="50" t="s">
        <v>56</v>
      </c>
      <c r="B17" s="51" t="s">
        <v>116</v>
      </c>
      <c r="C17" s="51" t="s">
        <v>117</v>
      </c>
      <c r="D17" s="50" t="s">
        <v>59</v>
      </c>
      <c r="E17" s="52" t="n">
        <v>46175</v>
      </c>
      <c r="F17" s="50" t="n">
        <v>16</v>
      </c>
      <c r="G17" s="50" t="s">
        <v>80</v>
      </c>
      <c r="H17" s="50" t="s">
        <v>73</v>
      </c>
      <c r="I17" s="50" t="s">
        <v>62</v>
      </c>
      <c r="J17" s="50" t="s">
        <v>63</v>
      </c>
      <c r="K17" s="50" t="s">
        <v>64</v>
      </c>
      <c r="L17" s="50"/>
      <c r="M17" s="50" t="s">
        <v>118</v>
      </c>
      <c r="N17" s="53" t="s">
        <v>66</v>
      </c>
      <c r="O17" s="52"/>
      <c r="P17" s="52"/>
    </row>
    <row r="18" customFormat="false" ht="15" hidden="false" customHeight="true" outlineLevel="0" collapsed="false">
      <c r="A18" s="50" t="s">
        <v>56</v>
      </c>
      <c r="B18" s="51" t="s">
        <v>119</v>
      </c>
      <c r="C18" s="51" t="s">
        <v>120</v>
      </c>
      <c r="D18" s="50" t="s">
        <v>59</v>
      </c>
      <c r="E18" s="52" t="n">
        <v>46175</v>
      </c>
      <c r="F18" s="50" t="n">
        <v>16</v>
      </c>
      <c r="G18" s="50" t="s">
        <v>80</v>
      </c>
      <c r="H18" s="50" t="s">
        <v>73</v>
      </c>
      <c r="I18" s="50" t="s">
        <v>62</v>
      </c>
      <c r="J18" s="50" t="s">
        <v>63</v>
      </c>
      <c r="K18" s="50" t="s">
        <v>64</v>
      </c>
      <c r="L18" s="50"/>
      <c r="M18" s="50" t="s">
        <v>87</v>
      </c>
      <c r="N18" s="53" t="s">
        <v>66</v>
      </c>
      <c r="O18" s="52"/>
      <c r="P18" s="52"/>
    </row>
    <row r="19" customFormat="false" ht="15" hidden="false" customHeight="true" outlineLevel="0" collapsed="false">
      <c r="A19" s="50" t="s">
        <v>121</v>
      </c>
      <c r="B19" s="51" t="s">
        <v>122</v>
      </c>
      <c r="C19" s="51" t="s">
        <v>123</v>
      </c>
      <c r="D19" s="50" t="s">
        <v>96</v>
      </c>
      <c r="E19" s="52" t="n">
        <v>46169</v>
      </c>
      <c r="F19" s="50"/>
      <c r="G19" s="50" t="s">
        <v>60</v>
      </c>
      <c r="H19" s="50" t="s">
        <v>61</v>
      </c>
      <c r="I19" s="50" t="s">
        <v>62</v>
      </c>
      <c r="J19" s="50" t="s">
        <v>64</v>
      </c>
      <c r="K19" s="50" t="s">
        <v>64</v>
      </c>
      <c r="L19" s="50"/>
      <c r="M19" s="50" t="s">
        <v>124</v>
      </c>
      <c r="N19" s="53" t="s">
        <v>66</v>
      </c>
      <c r="O19" s="52" t="n">
        <v>46176</v>
      </c>
      <c r="P19" s="52"/>
    </row>
    <row r="20" customFormat="false" ht="15" hidden="false" customHeight="true" outlineLevel="0" collapsed="false">
      <c r="A20" s="50" t="s">
        <v>125</v>
      </c>
      <c r="B20" s="51" t="s">
        <v>126</v>
      </c>
      <c r="C20" s="51" t="s">
        <v>127</v>
      </c>
      <c r="D20" s="50" t="s">
        <v>109</v>
      </c>
      <c r="E20" s="52" t="n">
        <v>46175</v>
      </c>
      <c r="F20" s="50" t="n">
        <v>16</v>
      </c>
      <c r="G20" s="50" t="s">
        <v>80</v>
      </c>
      <c r="H20" s="50" t="s">
        <v>16</v>
      </c>
      <c r="I20" s="50" t="s">
        <v>62</v>
      </c>
      <c r="J20" s="50" t="s">
        <v>128</v>
      </c>
      <c r="K20" s="50" t="s">
        <v>64</v>
      </c>
      <c r="L20" s="50"/>
      <c r="M20" s="50" t="s">
        <v>129</v>
      </c>
      <c r="N20" s="53" t="s">
        <v>66</v>
      </c>
      <c r="O20" s="52"/>
      <c r="P20" s="52"/>
    </row>
    <row r="21" customFormat="false" ht="15" hidden="false" customHeight="true" outlineLevel="0" collapsed="false">
      <c r="A21" s="50" t="s">
        <v>125</v>
      </c>
      <c r="B21" s="51" t="s">
        <v>126</v>
      </c>
      <c r="C21" s="51" t="s">
        <v>127</v>
      </c>
      <c r="D21" s="50" t="s">
        <v>114</v>
      </c>
      <c r="E21" s="52"/>
      <c r="F21" s="50"/>
      <c r="G21" s="50" t="s">
        <v>72</v>
      </c>
      <c r="H21" s="50" t="s">
        <v>16</v>
      </c>
      <c r="I21" s="50" t="s">
        <v>62</v>
      </c>
      <c r="J21" s="50" t="s">
        <v>130</v>
      </c>
      <c r="K21" s="50" t="s">
        <v>64</v>
      </c>
      <c r="L21" s="50"/>
      <c r="M21" s="50" t="s">
        <v>131</v>
      </c>
      <c r="N21" s="53" t="s">
        <v>66</v>
      </c>
      <c r="O21" s="52"/>
      <c r="P21" s="52"/>
    </row>
    <row r="22" customFormat="false" ht="15" hidden="false" customHeight="true" outlineLevel="0" collapsed="false">
      <c r="A22" s="50" t="s">
        <v>125</v>
      </c>
      <c r="B22" s="51" t="s">
        <v>126</v>
      </c>
      <c r="C22" s="51" t="s">
        <v>127</v>
      </c>
      <c r="D22" s="50" t="s">
        <v>114</v>
      </c>
      <c r="E22" s="52"/>
      <c r="F22" s="50"/>
      <c r="G22" s="50" t="s">
        <v>72</v>
      </c>
      <c r="H22" s="50" t="s">
        <v>16</v>
      </c>
      <c r="I22" s="50" t="s">
        <v>62</v>
      </c>
      <c r="J22" s="50" t="s">
        <v>128</v>
      </c>
      <c r="K22" s="50" t="s">
        <v>64</v>
      </c>
      <c r="L22" s="50"/>
      <c r="M22" s="50" t="s">
        <v>131</v>
      </c>
      <c r="N22" s="53" t="s">
        <v>66</v>
      </c>
      <c r="O22" s="52"/>
      <c r="P22" s="52"/>
    </row>
    <row r="23" customFormat="false" ht="15" hidden="false" customHeight="true" outlineLevel="0" collapsed="false">
      <c r="A23" s="50" t="s">
        <v>125</v>
      </c>
      <c r="B23" s="51" t="s">
        <v>132</v>
      </c>
      <c r="C23" s="51" t="s">
        <v>133</v>
      </c>
      <c r="D23" s="50" t="s">
        <v>109</v>
      </c>
      <c r="E23" s="52"/>
      <c r="F23" s="50"/>
      <c r="G23" s="50" t="s">
        <v>72</v>
      </c>
      <c r="H23" s="50" t="s">
        <v>16</v>
      </c>
      <c r="I23" s="50" t="s">
        <v>62</v>
      </c>
      <c r="J23" s="50"/>
      <c r="K23" s="50" t="s">
        <v>64</v>
      </c>
      <c r="L23" s="50"/>
      <c r="M23" s="50" t="s">
        <v>134</v>
      </c>
      <c r="N23" s="53" t="s">
        <v>66</v>
      </c>
      <c r="O23" s="52"/>
      <c r="P23" s="52"/>
    </row>
    <row r="24" customFormat="false" ht="15" hidden="false" customHeight="true" outlineLevel="0" collapsed="false">
      <c r="A24" s="50" t="s">
        <v>125</v>
      </c>
      <c r="B24" s="51" t="s">
        <v>135</v>
      </c>
      <c r="C24" s="51" t="s">
        <v>136</v>
      </c>
      <c r="D24" s="50" t="s">
        <v>109</v>
      </c>
      <c r="E24" s="52"/>
      <c r="F24" s="50"/>
      <c r="G24" s="50" t="s">
        <v>72</v>
      </c>
      <c r="H24" s="50" t="s">
        <v>16</v>
      </c>
      <c r="I24" s="50" t="s">
        <v>62</v>
      </c>
      <c r="J24" s="50"/>
      <c r="K24" s="50" t="s">
        <v>64</v>
      </c>
      <c r="L24" s="50"/>
      <c r="M24" s="50" t="s">
        <v>137</v>
      </c>
      <c r="N24" s="53" t="s">
        <v>66</v>
      </c>
      <c r="O24" s="52"/>
      <c r="P24" s="52"/>
    </row>
    <row r="25" customFormat="false" ht="15" hidden="false" customHeight="true" outlineLevel="0" collapsed="false">
      <c r="A25" s="50" t="s">
        <v>125</v>
      </c>
      <c r="B25" s="51" t="s">
        <v>135</v>
      </c>
      <c r="C25" s="51" t="s">
        <v>136</v>
      </c>
      <c r="D25" s="50" t="s">
        <v>109</v>
      </c>
      <c r="E25" s="52"/>
      <c r="F25" s="50"/>
      <c r="G25" s="50" t="s">
        <v>72</v>
      </c>
      <c r="H25" s="50" t="s">
        <v>16</v>
      </c>
      <c r="I25" s="50" t="s">
        <v>62</v>
      </c>
      <c r="J25" s="50"/>
      <c r="K25" s="50" t="s">
        <v>64</v>
      </c>
      <c r="L25" s="50"/>
      <c r="M25" s="50" t="s">
        <v>138</v>
      </c>
      <c r="N25" s="53" t="s">
        <v>66</v>
      </c>
      <c r="O25" s="52"/>
      <c r="P25" s="52"/>
    </row>
    <row r="26" customFormat="false" ht="15" hidden="false" customHeight="true" outlineLevel="0" collapsed="false">
      <c r="A26" s="50" t="s">
        <v>111</v>
      </c>
      <c r="B26" s="51" t="s">
        <v>139</v>
      </c>
      <c r="C26" s="51" t="s">
        <v>140</v>
      </c>
      <c r="D26" s="50" t="s">
        <v>96</v>
      </c>
      <c r="E26" s="52" t="n">
        <v>46176</v>
      </c>
      <c r="F26" s="50"/>
      <c r="G26" s="50" t="s">
        <v>60</v>
      </c>
      <c r="H26" s="50" t="s">
        <v>61</v>
      </c>
      <c r="I26" s="50" t="s">
        <v>62</v>
      </c>
      <c r="J26" s="50" t="s">
        <v>141</v>
      </c>
      <c r="K26" s="50" t="s">
        <v>64</v>
      </c>
      <c r="L26" s="50"/>
      <c r="M26" s="50" t="s">
        <v>142</v>
      </c>
      <c r="N26" s="53" t="s">
        <v>66</v>
      </c>
      <c r="O26" s="52" t="n">
        <v>46174</v>
      </c>
      <c r="P26" s="52"/>
    </row>
    <row r="27" customFormat="false" ht="15" hidden="false" customHeight="true" outlineLevel="0" collapsed="false">
      <c r="A27" s="50" t="s">
        <v>111</v>
      </c>
      <c r="B27" s="51" t="s">
        <v>143</v>
      </c>
      <c r="C27" s="51" t="s">
        <v>144</v>
      </c>
      <c r="D27" s="50" t="s">
        <v>96</v>
      </c>
      <c r="E27" s="52" t="n">
        <v>46176</v>
      </c>
      <c r="F27" s="50"/>
      <c r="G27" s="50" t="s">
        <v>60</v>
      </c>
      <c r="H27" s="50" t="s">
        <v>61</v>
      </c>
      <c r="I27" s="50" t="s">
        <v>62</v>
      </c>
      <c r="J27" s="50" t="s">
        <v>141</v>
      </c>
      <c r="K27" s="50" t="s">
        <v>64</v>
      </c>
      <c r="L27" s="50"/>
      <c r="M27" s="50" t="s">
        <v>145</v>
      </c>
      <c r="N27" s="53" t="s">
        <v>66</v>
      </c>
      <c r="O27" s="52" t="n">
        <v>46174</v>
      </c>
      <c r="P27" s="52"/>
    </row>
    <row r="28" customFormat="false" ht="15" hidden="false" customHeight="true" outlineLevel="0" collapsed="false">
      <c r="A28" s="50" t="s">
        <v>111</v>
      </c>
      <c r="B28" s="51" t="s">
        <v>143</v>
      </c>
      <c r="C28" s="51" t="s">
        <v>144</v>
      </c>
      <c r="D28" s="50" t="s">
        <v>114</v>
      </c>
      <c r="E28" s="52" t="n">
        <v>46173</v>
      </c>
      <c r="F28" s="50"/>
      <c r="G28" s="50" t="s">
        <v>60</v>
      </c>
      <c r="H28" s="50" t="s">
        <v>61</v>
      </c>
      <c r="I28" s="50" t="s">
        <v>62</v>
      </c>
      <c r="J28" s="50" t="s">
        <v>141</v>
      </c>
      <c r="K28" s="50" t="s">
        <v>64</v>
      </c>
      <c r="L28" s="50"/>
      <c r="M28" s="50" t="s">
        <v>146</v>
      </c>
      <c r="N28" s="53" t="s">
        <v>66</v>
      </c>
      <c r="O28" s="52" t="n">
        <v>46174</v>
      </c>
      <c r="P28" s="52"/>
    </row>
    <row r="29" customFormat="false" ht="15" hidden="false" customHeight="true" outlineLevel="0" collapsed="false">
      <c r="A29" s="50" t="s">
        <v>111</v>
      </c>
      <c r="B29" s="51" t="s">
        <v>147</v>
      </c>
      <c r="C29" s="51" t="s">
        <v>148</v>
      </c>
      <c r="D29" s="50" t="s">
        <v>96</v>
      </c>
      <c r="E29" s="52" t="n">
        <v>46176</v>
      </c>
      <c r="F29" s="50"/>
      <c r="G29" s="50" t="s">
        <v>60</v>
      </c>
      <c r="H29" s="50" t="s">
        <v>61</v>
      </c>
      <c r="I29" s="50" t="s">
        <v>62</v>
      </c>
      <c r="J29" s="50" t="s">
        <v>141</v>
      </c>
      <c r="K29" s="50" t="s">
        <v>64</v>
      </c>
      <c r="L29" s="50"/>
      <c r="M29" s="50" t="s">
        <v>149</v>
      </c>
      <c r="N29" s="53" t="s">
        <v>66</v>
      </c>
      <c r="O29" s="52" t="n">
        <v>46174</v>
      </c>
      <c r="P29" s="52"/>
    </row>
    <row r="30" customFormat="false" ht="15" hidden="false" customHeight="true" outlineLevel="0" collapsed="false">
      <c r="A30" s="50" t="s">
        <v>111</v>
      </c>
      <c r="B30" s="51" t="s">
        <v>147</v>
      </c>
      <c r="C30" s="51" t="s">
        <v>148</v>
      </c>
      <c r="D30" s="50" t="s">
        <v>114</v>
      </c>
      <c r="E30" s="52" t="n">
        <v>46173</v>
      </c>
      <c r="F30" s="50"/>
      <c r="G30" s="50" t="s">
        <v>60</v>
      </c>
      <c r="H30" s="50" t="s">
        <v>61</v>
      </c>
      <c r="I30" s="50" t="s">
        <v>62</v>
      </c>
      <c r="J30" s="50" t="s">
        <v>141</v>
      </c>
      <c r="K30" s="50" t="s">
        <v>64</v>
      </c>
      <c r="L30" s="50"/>
      <c r="M30" s="50" t="s">
        <v>146</v>
      </c>
      <c r="N30" s="53" t="s">
        <v>66</v>
      </c>
      <c r="O30" s="52" t="n">
        <v>46174</v>
      </c>
      <c r="P30" s="52"/>
    </row>
    <row r="31" customFormat="false" ht="15" hidden="false" customHeight="true" outlineLevel="0" collapsed="false">
      <c r="A31" s="50" t="s">
        <v>56</v>
      </c>
      <c r="B31" s="51" t="s">
        <v>119</v>
      </c>
      <c r="C31" s="51" t="s">
        <v>120</v>
      </c>
      <c r="D31" s="50" t="s">
        <v>109</v>
      </c>
      <c r="E31" s="52" t="n">
        <v>46174</v>
      </c>
      <c r="F31" s="50" t="n">
        <v>17</v>
      </c>
      <c r="G31" s="50" t="s">
        <v>80</v>
      </c>
      <c r="H31" s="50" t="s">
        <v>16</v>
      </c>
      <c r="I31" s="50" t="s">
        <v>62</v>
      </c>
      <c r="J31" s="50" t="s">
        <v>64</v>
      </c>
      <c r="K31" s="50" t="s">
        <v>64</v>
      </c>
      <c r="L31" s="50"/>
      <c r="M31" s="50" t="s">
        <v>150</v>
      </c>
      <c r="N31" s="53" t="s">
        <v>66</v>
      </c>
      <c r="O31" s="52"/>
      <c r="P31" s="52"/>
    </row>
    <row r="32" customFormat="false" ht="15" hidden="false" customHeight="true" outlineLevel="0" collapsed="false">
      <c r="A32" s="50" t="s">
        <v>121</v>
      </c>
      <c r="B32" s="51" t="s">
        <v>151</v>
      </c>
      <c r="C32" s="51" t="s">
        <v>26</v>
      </c>
      <c r="D32" s="50" t="s">
        <v>114</v>
      </c>
      <c r="E32" s="52" t="n">
        <v>46175</v>
      </c>
      <c r="F32" s="50" t="n">
        <v>16</v>
      </c>
      <c r="G32" s="50" t="s">
        <v>80</v>
      </c>
      <c r="H32" s="50" t="s">
        <v>16</v>
      </c>
      <c r="I32" s="50" t="s">
        <v>62</v>
      </c>
      <c r="J32" s="50" t="s">
        <v>64</v>
      </c>
      <c r="K32" s="50" t="s">
        <v>64</v>
      </c>
      <c r="L32" s="50"/>
      <c r="M32" s="50" t="s">
        <v>152</v>
      </c>
      <c r="N32" s="53" t="s">
        <v>66</v>
      </c>
      <c r="O32" s="52"/>
      <c r="P32" s="52"/>
    </row>
    <row r="33" customFormat="false" ht="15" hidden="false" customHeight="true" outlineLevel="0" collapsed="false">
      <c r="A33" s="50" t="s">
        <v>121</v>
      </c>
      <c r="B33" s="51" t="s">
        <v>153</v>
      </c>
      <c r="C33" s="51" t="s">
        <v>154</v>
      </c>
      <c r="D33" s="50" t="s">
        <v>114</v>
      </c>
      <c r="E33" s="52" t="n">
        <v>46170</v>
      </c>
      <c r="F33" s="50" t="n">
        <v>21</v>
      </c>
      <c r="G33" s="50" t="s">
        <v>80</v>
      </c>
      <c r="H33" s="50" t="s">
        <v>16</v>
      </c>
      <c r="I33" s="50" t="s">
        <v>62</v>
      </c>
      <c r="J33" s="50" t="s">
        <v>64</v>
      </c>
      <c r="K33" s="50" t="s">
        <v>64</v>
      </c>
      <c r="L33" s="50"/>
      <c r="M33" s="50" t="s">
        <v>155</v>
      </c>
      <c r="N33" s="53" t="s">
        <v>66</v>
      </c>
      <c r="O33" s="52"/>
      <c r="P33" s="52"/>
    </row>
    <row r="34" customFormat="false" ht="15" hidden="false" customHeight="true" outlineLevel="0" collapsed="false">
      <c r="A34" s="50" t="s">
        <v>121</v>
      </c>
      <c r="B34" s="51" t="s">
        <v>156</v>
      </c>
      <c r="C34" s="51" t="s">
        <v>157</v>
      </c>
      <c r="D34" s="50" t="s">
        <v>114</v>
      </c>
      <c r="E34" s="52" t="n">
        <v>46175</v>
      </c>
      <c r="F34" s="50" t="n">
        <v>16</v>
      </c>
      <c r="G34" s="50" t="s">
        <v>80</v>
      </c>
      <c r="H34" s="50" t="s">
        <v>16</v>
      </c>
      <c r="I34" s="50" t="s">
        <v>62</v>
      </c>
      <c r="J34" s="50" t="s">
        <v>64</v>
      </c>
      <c r="K34" s="50" t="s">
        <v>64</v>
      </c>
      <c r="L34" s="50"/>
      <c r="M34" s="50" t="s">
        <v>158</v>
      </c>
      <c r="N34" s="53" t="s">
        <v>66</v>
      </c>
      <c r="O34" s="52"/>
      <c r="P34" s="52"/>
    </row>
    <row r="35" customFormat="false" ht="15" hidden="false" customHeight="true" outlineLevel="0" collapsed="false">
      <c r="A35" s="50" t="s">
        <v>159</v>
      </c>
      <c r="B35" s="51" t="s">
        <v>160</v>
      </c>
      <c r="C35" s="51" t="s">
        <v>161</v>
      </c>
      <c r="D35" s="50" t="s">
        <v>114</v>
      </c>
      <c r="E35" s="52" t="n">
        <v>46201</v>
      </c>
      <c r="F35" s="50"/>
      <c r="G35" s="50" t="s">
        <v>72</v>
      </c>
      <c r="H35" s="50" t="s">
        <v>16</v>
      </c>
      <c r="I35" s="50" t="s">
        <v>62</v>
      </c>
      <c r="J35" s="50" t="s">
        <v>162</v>
      </c>
      <c r="K35" s="50" t="s">
        <v>64</v>
      </c>
      <c r="L35" s="50"/>
      <c r="M35" s="50" t="s">
        <v>163</v>
      </c>
      <c r="N35" s="53" t="s">
        <v>66</v>
      </c>
      <c r="O35" s="52"/>
      <c r="P35" s="52"/>
    </row>
    <row r="36" customFormat="false" ht="15" hidden="false" customHeight="true" outlineLevel="0" collapsed="false">
      <c r="A36" s="50" t="s">
        <v>159</v>
      </c>
      <c r="B36" s="51" t="s">
        <v>164</v>
      </c>
      <c r="C36" s="51" t="s">
        <v>25</v>
      </c>
      <c r="D36" s="50" t="s">
        <v>109</v>
      </c>
      <c r="E36" s="52"/>
      <c r="F36" s="50"/>
      <c r="G36" s="50" t="s">
        <v>60</v>
      </c>
      <c r="H36" s="50" t="s">
        <v>61</v>
      </c>
      <c r="I36" s="50" t="s">
        <v>62</v>
      </c>
      <c r="J36" s="50" t="s">
        <v>64</v>
      </c>
      <c r="K36" s="50" t="s">
        <v>64</v>
      </c>
      <c r="L36" s="50"/>
      <c r="M36" s="50" t="s">
        <v>165</v>
      </c>
      <c r="N36" s="53" t="s">
        <v>66</v>
      </c>
      <c r="O36" s="52" t="n">
        <v>46174</v>
      </c>
      <c r="P36" s="52"/>
    </row>
    <row r="37" customFormat="false" ht="15" hidden="false" customHeight="true" outlineLevel="0" collapsed="false">
      <c r="A37" s="50" t="s">
        <v>159</v>
      </c>
      <c r="B37" s="51" t="s">
        <v>166</v>
      </c>
      <c r="C37" s="51" t="s">
        <v>167</v>
      </c>
      <c r="D37" s="50" t="s">
        <v>109</v>
      </c>
      <c r="E37" s="52"/>
      <c r="F37" s="50"/>
      <c r="G37" s="50" t="s">
        <v>60</v>
      </c>
      <c r="H37" s="50" t="s">
        <v>61</v>
      </c>
      <c r="I37" s="50" t="s">
        <v>62</v>
      </c>
      <c r="J37" s="50" t="s">
        <v>130</v>
      </c>
      <c r="K37" s="50" t="s">
        <v>64</v>
      </c>
      <c r="L37" s="50"/>
      <c r="M37" s="50" t="s">
        <v>168</v>
      </c>
      <c r="N37" s="53" t="s">
        <v>66</v>
      </c>
      <c r="O37" s="52" t="n">
        <v>46176</v>
      </c>
      <c r="P37" s="52"/>
    </row>
    <row r="38" customFormat="false" ht="15" hidden="false" customHeight="true" outlineLevel="0" collapsed="false">
      <c r="A38" s="50" t="s">
        <v>159</v>
      </c>
      <c r="B38" s="51" t="s">
        <v>169</v>
      </c>
      <c r="C38" s="51" t="s">
        <v>170</v>
      </c>
      <c r="D38" s="50" t="s">
        <v>109</v>
      </c>
      <c r="E38" s="52"/>
      <c r="F38" s="50"/>
      <c r="G38" s="50" t="s">
        <v>60</v>
      </c>
      <c r="H38" s="50" t="s">
        <v>61</v>
      </c>
      <c r="I38" s="50" t="s">
        <v>62</v>
      </c>
      <c r="J38" s="50" t="s">
        <v>130</v>
      </c>
      <c r="K38" s="50" t="s">
        <v>64</v>
      </c>
      <c r="L38" s="50"/>
      <c r="M38" s="50" t="s">
        <v>171</v>
      </c>
      <c r="N38" s="53" t="s">
        <v>66</v>
      </c>
      <c r="O38" s="52" t="n">
        <v>46174</v>
      </c>
      <c r="P38" s="52"/>
    </row>
    <row r="39" customFormat="false" ht="15" hidden="false" customHeight="true" outlineLevel="0" collapsed="false">
      <c r="A39" s="50" t="s">
        <v>159</v>
      </c>
      <c r="B39" s="51" t="s">
        <v>172</v>
      </c>
      <c r="C39" s="51" t="s">
        <v>173</v>
      </c>
      <c r="D39" s="50" t="s">
        <v>114</v>
      </c>
      <c r="E39" s="52" t="n">
        <v>46201</v>
      </c>
      <c r="F39" s="50"/>
      <c r="G39" s="50" t="s">
        <v>72</v>
      </c>
      <c r="H39" s="50" t="s">
        <v>16</v>
      </c>
      <c r="I39" s="50" t="s">
        <v>62</v>
      </c>
      <c r="J39" s="50" t="s">
        <v>162</v>
      </c>
      <c r="K39" s="50" t="s">
        <v>64</v>
      </c>
      <c r="L39" s="50"/>
      <c r="M39" s="50" t="s">
        <v>163</v>
      </c>
      <c r="N39" s="53" t="s">
        <v>66</v>
      </c>
      <c r="O39" s="52"/>
      <c r="P39" s="52"/>
    </row>
    <row r="40" customFormat="false" ht="15" hidden="false" customHeight="true" outlineLevel="0" collapsed="false">
      <c r="A40" s="50" t="s">
        <v>111</v>
      </c>
      <c r="B40" s="51" t="s">
        <v>174</v>
      </c>
      <c r="C40" s="51" t="s">
        <v>175</v>
      </c>
      <c r="D40" s="50" t="s">
        <v>114</v>
      </c>
      <c r="E40" s="52" t="n">
        <v>46174</v>
      </c>
      <c r="F40" s="50"/>
      <c r="G40" s="50" t="s">
        <v>60</v>
      </c>
      <c r="H40" s="50" t="s">
        <v>61</v>
      </c>
      <c r="I40" s="50" t="s">
        <v>62</v>
      </c>
      <c r="J40" s="50" t="s">
        <v>128</v>
      </c>
      <c r="K40" s="50" t="s">
        <v>64</v>
      </c>
      <c r="L40" s="50"/>
      <c r="M40" s="50" t="s">
        <v>176</v>
      </c>
      <c r="N40" s="53" t="s">
        <v>66</v>
      </c>
      <c r="O40" s="52" t="n">
        <v>46175</v>
      </c>
      <c r="P40" s="52"/>
    </row>
    <row r="41" customFormat="false" ht="15" hidden="false" customHeight="true" outlineLevel="0" collapsed="false">
      <c r="A41" s="50" t="s">
        <v>111</v>
      </c>
      <c r="B41" s="51" t="s">
        <v>177</v>
      </c>
      <c r="C41" s="51" t="s">
        <v>178</v>
      </c>
      <c r="D41" s="50" t="s">
        <v>109</v>
      </c>
      <c r="E41" s="52"/>
      <c r="F41" s="50"/>
      <c r="G41" s="50" t="s">
        <v>72</v>
      </c>
      <c r="H41" s="50" t="s">
        <v>16</v>
      </c>
      <c r="I41" s="50" t="s">
        <v>62</v>
      </c>
      <c r="J41" s="50" t="s">
        <v>130</v>
      </c>
      <c r="K41" s="50" t="s">
        <v>64</v>
      </c>
      <c r="L41" s="50"/>
      <c r="M41" s="50" t="s">
        <v>179</v>
      </c>
      <c r="N41" s="53" t="s">
        <v>66</v>
      </c>
      <c r="O41" s="52"/>
      <c r="P41" s="52"/>
    </row>
    <row r="42" customFormat="false" ht="15" hidden="false" customHeight="true" outlineLevel="0" collapsed="false">
      <c r="A42" s="50" t="s">
        <v>111</v>
      </c>
      <c r="B42" s="51" t="s">
        <v>180</v>
      </c>
      <c r="C42" s="51" t="s">
        <v>181</v>
      </c>
      <c r="D42" s="50" t="s">
        <v>96</v>
      </c>
      <c r="E42" s="52" t="n">
        <v>46181</v>
      </c>
      <c r="F42" s="50" t="n">
        <v>10</v>
      </c>
      <c r="G42" s="50" t="s">
        <v>80</v>
      </c>
      <c r="H42" s="50" t="s">
        <v>73</v>
      </c>
      <c r="I42" s="50" t="s">
        <v>62</v>
      </c>
      <c r="J42" s="50" t="s">
        <v>128</v>
      </c>
      <c r="K42" s="50" t="s">
        <v>64</v>
      </c>
      <c r="L42" s="50"/>
      <c r="M42" s="50" t="s">
        <v>182</v>
      </c>
      <c r="N42" s="53" t="s">
        <v>66</v>
      </c>
      <c r="O42" s="52"/>
      <c r="P42" s="52"/>
    </row>
    <row r="43" customFormat="false" ht="15" hidden="false" customHeight="true" outlineLevel="0" collapsed="false">
      <c r="A43" s="50" t="s">
        <v>111</v>
      </c>
      <c r="B43" s="51" t="s">
        <v>183</v>
      </c>
      <c r="C43" s="51" t="s">
        <v>184</v>
      </c>
      <c r="D43" s="50" t="s">
        <v>96</v>
      </c>
      <c r="E43" s="52" t="n">
        <v>46181</v>
      </c>
      <c r="F43" s="50"/>
      <c r="G43" s="50" t="s">
        <v>60</v>
      </c>
      <c r="H43" s="50" t="s">
        <v>61</v>
      </c>
      <c r="I43" s="50" t="s">
        <v>62</v>
      </c>
      <c r="J43" s="50" t="s">
        <v>128</v>
      </c>
      <c r="K43" s="50" t="s">
        <v>64</v>
      </c>
      <c r="L43" s="50"/>
      <c r="M43" s="50" t="s">
        <v>185</v>
      </c>
      <c r="N43" s="53" t="s">
        <v>66</v>
      </c>
      <c r="O43" s="52" t="n">
        <v>46175</v>
      </c>
      <c r="P43" s="52"/>
    </row>
    <row r="44" customFormat="false" ht="15" hidden="false" customHeight="true" outlineLevel="0" collapsed="false">
      <c r="A44" s="50" t="s">
        <v>111</v>
      </c>
      <c r="B44" s="51" t="s">
        <v>143</v>
      </c>
      <c r="C44" s="51" t="s">
        <v>144</v>
      </c>
      <c r="D44" s="50" t="s">
        <v>114</v>
      </c>
      <c r="E44" s="52" t="n">
        <v>46204</v>
      </c>
      <c r="F44" s="50"/>
      <c r="G44" s="50" t="s">
        <v>60</v>
      </c>
      <c r="H44" s="50" t="s">
        <v>61</v>
      </c>
      <c r="I44" s="50" t="s">
        <v>62</v>
      </c>
      <c r="J44" s="50" t="s">
        <v>130</v>
      </c>
      <c r="K44" s="50" t="s">
        <v>64</v>
      </c>
      <c r="L44" s="50"/>
      <c r="M44" s="50" t="s">
        <v>186</v>
      </c>
      <c r="N44" s="53" t="s">
        <v>66</v>
      </c>
      <c r="O44" s="52" t="n">
        <v>46174</v>
      </c>
      <c r="P44" s="52"/>
    </row>
    <row r="45" customFormat="false" ht="15" hidden="false" customHeight="true" outlineLevel="0" collapsed="false">
      <c r="A45" s="50" t="s">
        <v>111</v>
      </c>
      <c r="B45" s="51" t="s">
        <v>147</v>
      </c>
      <c r="C45" s="51" t="s">
        <v>148</v>
      </c>
      <c r="D45" s="50" t="s">
        <v>114</v>
      </c>
      <c r="E45" s="52" t="n">
        <v>46204</v>
      </c>
      <c r="F45" s="50"/>
      <c r="G45" s="50" t="s">
        <v>60</v>
      </c>
      <c r="H45" s="50" t="s">
        <v>61</v>
      </c>
      <c r="I45" s="50" t="s">
        <v>62</v>
      </c>
      <c r="J45" s="50" t="s">
        <v>130</v>
      </c>
      <c r="K45" s="50" t="s">
        <v>64</v>
      </c>
      <c r="L45" s="50"/>
      <c r="M45" s="50" t="s">
        <v>186</v>
      </c>
      <c r="N45" s="53" t="s">
        <v>66</v>
      </c>
      <c r="O45" s="52" t="n">
        <v>46174</v>
      </c>
      <c r="P45" s="52"/>
    </row>
    <row r="46" customFormat="false" ht="15" hidden="false" customHeight="true" outlineLevel="0" collapsed="false">
      <c r="A46" s="50" t="s">
        <v>111</v>
      </c>
      <c r="B46" s="51" t="s">
        <v>139</v>
      </c>
      <c r="C46" s="51" t="s">
        <v>140</v>
      </c>
      <c r="D46" s="50" t="s">
        <v>114</v>
      </c>
      <c r="E46" s="52" t="n">
        <v>46204</v>
      </c>
      <c r="F46" s="50"/>
      <c r="G46" s="50" t="s">
        <v>60</v>
      </c>
      <c r="H46" s="50" t="s">
        <v>61</v>
      </c>
      <c r="I46" s="50" t="s">
        <v>62</v>
      </c>
      <c r="J46" s="50" t="s">
        <v>130</v>
      </c>
      <c r="K46" s="50" t="s">
        <v>64</v>
      </c>
      <c r="L46" s="50"/>
      <c r="M46" s="50" t="s">
        <v>186</v>
      </c>
      <c r="N46" s="53" t="s">
        <v>66</v>
      </c>
      <c r="O46" s="52" t="n">
        <v>46174</v>
      </c>
      <c r="P46" s="52"/>
    </row>
    <row r="47" customFormat="false" ht="15" hidden="false" customHeight="true" outlineLevel="0" collapsed="false">
      <c r="A47" s="50" t="s">
        <v>111</v>
      </c>
      <c r="B47" s="51" t="s">
        <v>174</v>
      </c>
      <c r="C47" s="51" t="s">
        <v>175</v>
      </c>
      <c r="D47" s="50" t="s">
        <v>109</v>
      </c>
      <c r="E47" s="52"/>
      <c r="F47" s="50"/>
      <c r="G47" s="50" t="s">
        <v>72</v>
      </c>
      <c r="H47" s="50" t="s">
        <v>16</v>
      </c>
      <c r="I47" s="50" t="s">
        <v>62</v>
      </c>
      <c r="J47" s="50" t="s">
        <v>128</v>
      </c>
      <c r="K47" s="50" t="s">
        <v>64</v>
      </c>
      <c r="L47" s="50"/>
      <c r="M47" s="50" t="s">
        <v>179</v>
      </c>
      <c r="N47" s="53" t="s">
        <v>66</v>
      </c>
      <c r="O47" s="52"/>
      <c r="P47" s="52"/>
    </row>
    <row r="48" customFormat="false" ht="15" hidden="false" customHeight="true" outlineLevel="0" collapsed="false">
      <c r="A48" s="50" t="s">
        <v>111</v>
      </c>
      <c r="B48" s="51" t="s">
        <v>174</v>
      </c>
      <c r="C48" s="51" t="s">
        <v>175</v>
      </c>
      <c r="D48" s="50" t="s">
        <v>109</v>
      </c>
      <c r="E48" s="52"/>
      <c r="F48" s="50"/>
      <c r="G48" s="50" t="s">
        <v>72</v>
      </c>
      <c r="H48" s="50" t="s">
        <v>16</v>
      </c>
      <c r="I48" s="50" t="s">
        <v>62</v>
      </c>
      <c r="J48" s="50"/>
      <c r="K48" s="50" t="s">
        <v>64</v>
      </c>
      <c r="L48" s="50"/>
      <c r="M48" s="50" t="s">
        <v>187</v>
      </c>
      <c r="N48" s="53" t="s">
        <v>66</v>
      </c>
      <c r="O48" s="52"/>
      <c r="P48" s="52"/>
    </row>
    <row r="49" customFormat="false" ht="15" hidden="false" customHeight="true" outlineLevel="0" collapsed="false">
      <c r="A49" s="50" t="s">
        <v>159</v>
      </c>
      <c r="B49" s="51" t="s">
        <v>188</v>
      </c>
      <c r="C49" s="51" t="s">
        <v>189</v>
      </c>
      <c r="D49" s="50" t="s">
        <v>114</v>
      </c>
      <c r="E49" s="52"/>
      <c r="F49" s="50"/>
      <c r="G49" s="50" t="s">
        <v>72</v>
      </c>
      <c r="H49" s="50" t="s">
        <v>16</v>
      </c>
      <c r="I49" s="50" t="s">
        <v>62</v>
      </c>
      <c r="J49" s="50"/>
      <c r="K49" s="50" t="s">
        <v>64</v>
      </c>
      <c r="L49" s="50"/>
      <c r="M49" s="50" t="s">
        <v>190</v>
      </c>
      <c r="N49" s="53" t="s">
        <v>66</v>
      </c>
      <c r="O49" s="52"/>
      <c r="P49" s="52"/>
    </row>
    <row r="50" customFormat="false" ht="15" hidden="false" customHeight="true" outlineLevel="0" collapsed="false">
      <c r="A50" s="50" t="s">
        <v>111</v>
      </c>
      <c r="B50" s="51" t="s">
        <v>191</v>
      </c>
      <c r="C50" s="51" t="s">
        <v>192</v>
      </c>
      <c r="D50" s="50" t="s">
        <v>109</v>
      </c>
      <c r="E50" s="52" t="n">
        <v>46181</v>
      </c>
      <c r="F50" s="50" t="n">
        <v>10</v>
      </c>
      <c r="G50" s="50" t="s">
        <v>80</v>
      </c>
      <c r="H50" s="50" t="s">
        <v>16</v>
      </c>
      <c r="I50" s="50" t="s">
        <v>62</v>
      </c>
      <c r="J50" s="50" t="s">
        <v>193</v>
      </c>
      <c r="K50" s="50" t="s">
        <v>64</v>
      </c>
      <c r="L50" s="50"/>
      <c r="M50" s="50" t="s">
        <v>194</v>
      </c>
      <c r="N50" s="53" t="s">
        <v>66</v>
      </c>
      <c r="O50" s="52"/>
      <c r="P50" s="52"/>
    </row>
    <row r="51" customFormat="false" ht="15" hidden="false" customHeight="true" outlineLevel="0" collapsed="false">
      <c r="A51" s="50" t="s">
        <v>159</v>
      </c>
      <c r="B51" s="51" t="s">
        <v>151</v>
      </c>
      <c r="C51" s="51" t="s">
        <v>26</v>
      </c>
      <c r="D51" s="50" t="s">
        <v>96</v>
      </c>
      <c r="E51" s="52" t="n">
        <v>46181</v>
      </c>
      <c r="F51" s="50" t="n">
        <v>10</v>
      </c>
      <c r="G51" s="50" t="s">
        <v>80</v>
      </c>
      <c r="H51" s="50" t="s">
        <v>16</v>
      </c>
      <c r="I51" s="50" t="s">
        <v>62</v>
      </c>
      <c r="J51" s="50" t="s">
        <v>162</v>
      </c>
      <c r="K51" s="50" t="s">
        <v>64</v>
      </c>
      <c r="L51" s="50"/>
      <c r="M51" s="50" t="s">
        <v>195</v>
      </c>
      <c r="N51" s="53" t="s">
        <v>66</v>
      </c>
      <c r="O51" s="52"/>
      <c r="P51" s="52"/>
    </row>
    <row r="52" customFormat="false" ht="15" hidden="false" customHeight="true" outlineLevel="0" collapsed="false">
      <c r="A52" s="50" t="s">
        <v>159</v>
      </c>
      <c r="B52" s="51" t="s">
        <v>164</v>
      </c>
      <c r="C52" s="51" t="s">
        <v>25</v>
      </c>
      <c r="D52" s="50" t="s">
        <v>96</v>
      </c>
      <c r="E52" s="52" t="n">
        <v>46181</v>
      </c>
      <c r="F52" s="50" t="n">
        <v>10</v>
      </c>
      <c r="G52" s="50" t="s">
        <v>80</v>
      </c>
      <c r="H52" s="50" t="s">
        <v>16</v>
      </c>
      <c r="I52" s="50" t="s">
        <v>62</v>
      </c>
      <c r="J52" s="50"/>
      <c r="K52" s="50" t="s">
        <v>64</v>
      </c>
      <c r="L52" s="50"/>
      <c r="M52" s="50" t="s">
        <v>196</v>
      </c>
      <c r="N52" s="53" t="s">
        <v>66</v>
      </c>
      <c r="O52" s="52"/>
      <c r="P52" s="52"/>
    </row>
    <row r="53" customFormat="false" ht="15" hidden="false" customHeight="true" outlineLevel="0" collapsed="false">
      <c r="A53" s="50" t="s">
        <v>159</v>
      </c>
      <c r="B53" s="51" t="s">
        <v>164</v>
      </c>
      <c r="C53" s="51" t="s">
        <v>25</v>
      </c>
      <c r="D53" s="50" t="s">
        <v>114</v>
      </c>
      <c r="E53" s="52"/>
      <c r="F53" s="50"/>
      <c r="G53" s="50" t="s">
        <v>72</v>
      </c>
      <c r="H53" s="50" t="s">
        <v>16</v>
      </c>
      <c r="I53" s="50" t="s">
        <v>62</v>
      </c>
      <c r="J53" s="50" t="s">
        <v>162</v>
      </c>
      <c r="K53" s="50" t="s">
        <v>64</v>
      </c>
      <c r="L53" s="50"/>
      <c r="M53" s="50" t="s">
        <v>197</v>
      </c>
      <c r="N53" s="53" t="s">
        <v>66</v>
      </c>
      <c r="O53" s="52"/>
      <c r="P53" s="52"/>
    </row>
    <row r="54" customFormat="false" ht="15" hidden="false" customHeight="true" outlineLevel="0" collapsed="false">
      <c r="A54" s="50" t="s">
        <v>159</v>
      </c>
      <c r="B54" s="51" t="s">
        <v>164</v>
      </c>
      <c r="C54" s="51" t="s">
        <v>25</v>
      </c>
      <c r="D54" s="50" t="s">
        <v>114</v>
      </c>
      <c r="E54" s="52"/>
      <c r="F54" s="50"/>
      <c r="G54" s="50" t="s">
        <v>72</v>
      </c>
      <c r="H54" s="50" t="s">
        <v>16</v>
      </c>
      <c r="I54" s="50" t="s">
        <v>62</v>
      </c>
      <c r="J54" s="50" t="s">
        <v>162</v>
      </c>
      <c r="K54" s="50" t="s">
        <v>64</v>
      </c>
      <c r="L54" s="50"/>
      <c r="M54" s="50" t="s">
        <v>197</v>
      </c>
      <c r="N54" s="53" t="s">
        <v>66</v>
      </c>
      <c r="O54" s="52"/>
      <c r="P54" s="52"/>
    </row>
    <row r="55" customFormat="false" ht="15" hidden="false" customHeight="true" outlineLevel="0" collapsed="false">
      <c r="A55" s="50" t="s">
        <v>198</v>
      </c>
      <c r="B55" s="51" t="s">
        <v>199</v>
      </c>
      <c r="C55" s="51" t="s">
        <v>200</v>
      </c>
      <c r="D55" s="50" t="s">
        <v>114</v>
      </c>
      <c r="E55" s="52" t="n">
        <v>46205</v>
      </c>
      <c r="F55" s="50"/>
      <c r="G55" s="50" t="s">
        <v>72</v>
      </c>
      <c r="H55" s="50" t="s">
        <v>16</v>
      </c>
      <c r="I55" s="50" t="s">
        <v>62</v>
      </c>
      <c r="J55" s="50" t="s">
        <v>64</v>
      </c>
      <c r="K55" s="50" t="s">
        <v>64</v>
      </c>
      <c r="L55" s="50"/>
      <c r="M55" s="50" t="s">
        <v>163</v>
      </c>
      <c r="N55" s="53" t="s">
        <v>66</v>
      </c>
      <c r="O55" s="52"/>
      <c r="P55" s="52"/>
    </row>
    <row r="56" customFormat="false" ht="15" hidden="false" customHeight="true" outlineLevel="0" collapsed="false">
      <c r="A56" s="50" t="s">
        <v>198</v>
      </c>
      <c r="B56" s="51" t="s">
        <v>201</v>
      </c>
      <c r="C56" s="51" t="s">
        <v>202</v>
      </c>
      <c r="D56" s="50" t="s">
        <v>114</v>
      </c>
      <c r="E56" s="52" t="n">
        <v>46205</v>
      </c>
      <c r="F56" s="50"/>
      <c r="G56" s="50" t="s">
        <v>72</v>
      </c>
      <c r="H56" s="50" t="s">
        <v>16</v>
      </c>
      <c r="I56" s="50" t="s">
        <v>62</v>
      </c>
      <c r="J56" s="50" t="s">
        <v>64</v>
      </c>
      <c r="K56" s="50" t="s">
        <v>64</v>
      </c>
      <c r="L56" s="50"/>
      <c r="M56" s="50" t="s">
        <v>163</v>
      </c>
      <c r="N56" s="53" t="s">
        <v>66</v>
      </c>
      <c r="O56" s="52"/>
      <c r="P56" s="52"/>
    </row>
    <row r="57" customFormat="false" ht="15" hidden="false" customHeight="true" outlineLevel="0" collapsed="false">
      <c r="A57" s="50" t="s">
        <v>198</v>
      </c>
      <c r="B57" s="51" t="s">
        <v>203</v>
      </c>
      <c r="C57" s="51" t="s">
        <v>204</v>
      </c>
      <c r="D57" s="50" t="s">
        <v>109</v>
      </c>
      <c r="E57" s="52" t="n">
        <v>46178</v>
      </c>
      <c r="F57" s="50" t="n">
        <v>13</v>
      </c>
      <c r="G57" s="50" t="s">
        <v>80</v>
      </c>
      <c r="H57" s="50" t="s">
        <v>16</v>
      </c>
      <c r="I57" s="50" t="s">
        <v>62</v>
      </c>
      <c r="J57" s="50" t="s">
        <v>64</v>
      </c>
      <c r="K57" s="50" t="s">
        <v>64</v>
      </c>
      <c r="L57" s="50"/>
      <c r="M57" s="50" t="s">
        <v>205</v>
      </c>
      <c r="N57" s="53" t="s">
        <v>66</v>
      </c>
      <c r="O57" s="52"/>
      <c r="P57" s="52"/>
    </row>
    <row r="58" customFormat="false" ht="15" hidden="false" customHeight="true" outlineLevel="0" collapsed="false">
      <c r="A58" s="50" t="s">
        <v>56</v>
      </c>
      <c r="B58" s="51" t="s">
        <v>206</v>
      </c>
      <c r="C58" s="51" t="s">
        <v>207</v>
      </c>
      <c r="D58" s="50" t="s">
        <v>59</v>
      </c>
      <c r="E58" s="52" t="n">
        <v>46181</v>
      </c>
      <c r="F58" s="50"/>
      <c r="G58" s="50" t="s">
        <v>60</v>
      </c>
      <c r="H58" s="50" t="s">
        <v>61</v>
      </c>
      <c r="I58" s="50" t="s">
        <v>62</v>
      </c>
      <c r="J58" s="50" t="s">
        <v>63</v>
      </c>
      <c r="K58" s="50" t="s">
        <v>64</v>
      </c>
      <c r="L58" s="50"/>
      <c r="M58" s="50" t="s">
        <v>208</v>
      </c>
      <c r="N58" s="53" t="s">
        <v>66</v>
      </c>
      <c r="O58" s="52" t="n">
        <v>46181</v>
      </c>
      <c r="P58" s="52"/>
    </row>
    <row r="59" customFormat="false" ht="15" hidden="false" customHeight="true" outlineLevel="0" collapsed="false">
      <c r="A59" s="50" t="s">
        <v>111</v>
      </c>
      <c r="B59" s="51" t="s">
        <v>209</v>
      </c>
      <c r="C59" s="51" t="s">
        <v>210</v>
      </c>
      <c r="D59" s="50" t="s">
        <v>96</v>
      </c>
      <c r="E59" s="52"/>
      <c r="F59" s="50"/>
      <c r="G59" s="50" t="s">
        <v>72</v>
      </c>
      <c r="H59" s="50" t="s">
        <v>16</v>
      </c>
      <c r="I59" s="50" t="s">
        <v>62</v>
      </c>
      <c r="J59" s="50"/>
      <c r="K59" s="50" t="s">
        <v>64</v>
      </c>
      <c r="L59" s="50"/>
      <c r="M59" s="54" t="s">
        <v>211</v>
      </c>
      <c r="N59" s="53" t="s">
        <v>66</v>
      </c>
      <c r="O59" s="52"/>
      <c r="P59" s="52"/>
    </row>
    <row r="60" customFormat="false" ht="15" hidden="false" customHeight="true" outlineLevel="0" collapsed="false">
      <c r="A60" s="50" t="s">
        <v>111</v>
      </c>
      <c r="B60" s="51" t="s">
        <v>212</v>
      </c>
      <c r="C60" s="51" t="s">
        <v>213</v>
      </c>
      <c r="D60" s="50" t="s">
        <v>214</v>
      </c>
      <c r="E60" s="52" t="n">
        <v>46188</v>
      </c>
      <c r="F60" s="50" t="n">
        <v>3</v>
      </c>
      <c r="G60" s="50" t="s">
        <v>80</v>
      </c>
      <c r="H60" s="50" t="s">
        <v>73</v>
      </c>
      <c r="I60" s="50" t="s">
        <v>62</v>
      </c>
      <c r="J60" s="50" t="s">
        <v>193</v>
      </c>
      <c r="K60" s="50" t="s">
        <v>64</v>
      </c>
      <c r="L60" s="50"/>
      <c r="M60" s="50" t="s">
        <v>215</v>
      </c>
      <c r="N60" s="53" t="s">
        <v>216</v>
      </c>
      <c r="O60" s="52"/>
      <c r="P60" s="52"/>
    </row>
    <row r="61" customFormat="false" ht="15" hidden="false" customHeight="true" outlineLevel="0" collapsed="false">
      <c r="A61" s="0" t="s">
        <v>111</v>
      </c>
      <c r="B61" s="55" t="s">
        <v>217</v>
      </c>
      <c r="C61" s="55" t="s">
        <v>218</v>
      </c>
      <c r="D61" s="56" t="s">
        <v>114</v>
      </c>
      <c r="E61" s="57" t="n">
        <v>46188</v>
      </c>
      <c r="G61" s="56" t="s">
        <v>60</v>
      </c>
      <c r="H61" s="56" t="s">
        <v>61</v>
      </c>
      <c r="I61" s="56" t="s">
        <v>62</v>
      </c>
      <c r="J61" s="56" t="s">
        <v>219</v>
      </c>
      <c r="K61" s="56" t="s">
        <v>64</v>
      </c>
      <c r="M61" s="56" t="s">
        <v>220</v>
      </c>
      <c r="N61" s="58" t="s">
        <v>66</v>
      </c>
      <c r="O61" s="57" t="n">
        <v>46175</v>
      </c>
    </row>
    <row r="62" customFormat="false" ht="15" hidden="false" customHeight="true" outlineLevel="0" collapsed="false">
      <c r="A62" s="0" t="s">
        <v>111</v>
      </c>
      <c r="B62" s="55" t="s">
        <v>221</v>
      </c>
      <c r="C62" s="55" t="s">
        <v>222</v>
      </c>
      <c r="D62" s="56" t="s">
        <v>114</v>
      </c>
      <c r="E62" s="57" t="n">
        <v>46188</v>
      </c>
      <c r="G62" s="56" t="s">
        <v>60</v>
      </c>
      <c r="H62" s="56" t="s">
        <v>61</v>
      </c>
      <c r="I62" s="56" t="s">
        <v>62</v>
      </c>
      <c r="J62" s="56" t="s">
        <v>219</v>
      </c>
      <c r="K62" s="56" t="s">
        <v>64</v>
      </c>
      <c r="M62" s="56" t="s">
        <v>220</v>
      </c>
      <c r="N62" s="58" t="s">
        <v>223</v>
      </c>
      <c r="O62" s="57" t="n">
        <v>46175</v>
      </c>
    </row>
    <row r="63" customFormat="false" ht="15" hidden="false" customHeight="true" outlineLevel="0" collapsed="false">
      <c r="A63" s="0" t="s">
        <v>111</v>
      </c>
      <c r="B63" s="55" t="s">
        <v>224</v>
      </c>
      <c r="C63" s="55" t="s">
        <v>225</v>
      </c>
      <c r="D63" s="56" t="s">
        <v>114</v>
      </c>
      <c r="E63" s="57" t="n">
        <v>46188</v>
      </c>
      <c r="G63" s="56" t="s">
        <v>60</v>
      </c>
      <c r="H63" s="56" t="s">
        <v>61</v>
      </c>
      <c r="I63" s="56" t="s">
        <v>62</v>
      </c>
      <c r="J63" s="56" t="s">
        <v>219</v>
      </c>
      <c r="K63" s="56" t="s">
        <v>64</v>
      </c>
      <c r="M63" s="56" t="s">
        <v>220</v>
      </c>
      <c r="N63" s="58" t="s">
        <v>66</v>
      </c>
      <c r="O63" s="57" t="n">
        <v>46175</v>
      </c>
    </row>
    <row r="64" customFormat="false" ht="15" hidden="false" customHeight="true" outlineLevel="0" collapsed="false">
      <c r="A64" s="0" t="s">
        <v>111</v>
      </c>
      <c r="B64" s="55" t="s">
        <v>226</v>
      </c>
      <c r="C64" s="55" t="s">
        <v>227</v>
      </c>
      <c r="D64" s="56" t="s">
        <v>114</v>
      </c>
      <c r="E64" s="57" t="n">
        <v>46188</v>
      </c>
      <c r="G64" s="56" t="s">
        <v>60</v>
      </c>
      <c r="H64" s="56" t="s">
        <v>61</v>
      </c>
      <c r="I64" s="56" t="s">
        <v>62</v>
      </c>
      <c r="J64" s="56" t="s">
        <v>219</v>
      </c>
      <c r="K64" s="56" t="s">
        <v>64</v>
      </c>
      <c r="M64" s="56" t="s">
        <v>220</v>
      </c>
      <c r="N64" s="58" t="s">
        <v>66</v>
      </c>
      <c r="O64" s="57" t="n">
        <v>46175</v>
      </c>
    </row>
    <row r="65" customFormat="false" ht="15" hidden="false" customHeight="true" outlineLevel="0" collapsed="false">
      <c r="A65" s="0" t="s">
        <v>111</v>
      </c>
      <c r="B65" s="55" t="s">
        <v>228</v>
      </c>
      <c r="C65" s="55" t="s">
        <v>229</v>
      </c>
      <c r="D65" s="56" t="s">
        <v>114</v>
      </c>
      <c r="E65" s="57" t="n">
        <v>46188</v>
      </c>
      <c r="G65" s="56" t="s">
        <v>60</v>
      </c>
      <c r="H65" s="56" t="s">
        <v>61</v>
      </c>
      <c r="I65" s="56" t="s">
        <v>62</v>
      </c>
      <c r="J65" s="56" t="s">
        <v>219</v>
      </c>
      <c r="K65" s="56" t="s">
        <v>64</v>
      </c>
      <c r="M65" s="56" t="s">
        <v>220</v>
      </c>
      <c r="N65" s="58" t="s">
        <v>66</v>
      </c>
      <c r="O65" s="57" t="n">
        <v>46175</v>
      </c>
    </row>
    <row r="66" customFormat="false" ht="15" hidden="false" customHeight="true" outlineLevel="0" collapsed="false">
      <c r="A66" s="0" t="s">
        <v>111</v>
      </c>
      <c r="B66" s="55" t="s">
        <v>230</v>
      </c>
      <c r="C66" s="55" t="s">
        <v>231</v>
      </c>
      <c r="D66" s="56" t="s">
        <v>114</v>
      </c>
      <c r="E66" s="57" t="n">
        <v>46188</v>
      </c>
      <c r="G66" s="56" t="s">
        <v>60</v>
      </c>
      <c r="H66" s="56" t="s">
        <v>61</v>
      </c>
      <c r="I66" s="56" t="s">
        <v>62</v>
      </c>
      <c r="J66" s="56" t="s">
        <v>219</v>
      </c>
      <c r="K66" s="56" t="s">
        <v>64</v>
      </c>
      <c r="M66" s="56" t="s">
        <v>220</v>
      </c>
      <c r="N66" s="58" t="s">
        <v>66</v>
      </c>
      <c r="O66" s="57" t="n">
        <v>46175</v>
      </c>
    </row>
    <row r="67" customFormat="false" ht="15" hidden="false" customHeight="true" outlineLevel="0" collapsed="false">
      <c r="A67" s="0" t="s">
        <v>111</v>
      </c>
      <c r="B67" s="55" t="s">
        <v>232</v>
      </c>
      <c r="C67" s="55" t="s">
        <v>233</v>
      </c>
      <c r="D67" s="56" t="s">
        <v>114</v>
      </c>
      <c r="E67" s="57" t="n">
        <v>46188</v>
      </c>
      <c r="G67" s="56" t="s">
        <v>60</v>
      </c>
      <c r="H67" s="56" t="s">
        <v>61</v>
      </c>
      <c r="I67" s="56" t="s">
        <v>62</v>
      </c>
      <c r="J67" s="56" t="s">
        <v>219</v>
      </c>
      <c r="K67" s="56" t="s">
        <v>64</v>
      </c>
      <c r="M67" s="56" t="s">
        <v>220</v>
      </c>
      <c r="N67" s="58" t="s">
        <v>66</v>
      </c>
      <c r="O67" s="57" t="n">
        <v>46175</v>
      </c>
    </row>
    <row r="68" customFormat="false" ht="15" hidden="false" customHeight="true" outlineLevel="0" collapsed="false">
      <c r="A68" s="0" t="s">
        <v>111</v>
      </c>
      <c r="B68" s="55" t="s">
        <v>234</v>
      </c>
      <c r="C68" s="55" t="s">
        <v>235</v>
      </c>
      <c r="D68" s="56" t="s">
        <v>114</v>
      </c>
      <c r="E68" s="57" t="n">
        <v>46188</v>
      </c>
      <c r="G68" s="56" t="s">
        <v>60</v>
      </c>
      <c r="H68" s="56" t="s">
        <v>61</v>
      </c>
      <c r="I68" s="56" t="s">
        <v>62</v>
      </c>
      <c r="J68" s="56" t="s">
        <v>219</v>
      </c>
      <c r="K68" s="56" t="s">
        <v>64</v>
      </c>
      <c r="M68" s="56" t="s">
        <v>220</v>
      </c>
      <c r="N68" s="58" t="s">
        <v>66</v>
      </c>
      <c r="O68" s="57" t="n">
        <v>46175</v>
      </c>
    </row>
    <row r="69" customFormat="false" ht="15" hidden="false" customHeight="true" outlineLevel="0" collapsed="false">
      <c r="A69" s="0" t="s">
        <v>198</v>
      </c>
      <c r="B69" s="55" t="s">
        <v>236</v>
      </c>
      <c r="C69" s="55" t="s">
        <v>237</v>
      </c>
      <c r="D69" s="56" t="s">
        <v>96</v>
      </c>
      <c r="G69" s="56" t="s">
        <v>72</v>
      </c>
      <c r="H69" s="56" t="s">
        <v>16</v>
      </c>
      <c r="I69" s="56" t="s">
        <v>62</v>
      </c>
      <c r="K69" s="56" t="s">
        <v>64</v>
      </c>
      <c r="M69" s="56" t="s">
        <v>238</v>
      </c>
      <c r="N69" s="58" t="s">
        <v>66</v>
      </c>
    </row>
    <row r="70" customFormat="false" ht="15" hidden="false" customHeight="true" outlineLevel="0" collapsed="false">
      <c r="A70" s="0" t="s">
        <v>111</v>
      </c>
      <c r="B70" s="55" t="s">
        <v>234</v>
      </c>
      <c r="C70" s="55" t="s">
        <v>235</v>
      </c>
      <c r="D70" s="56" t="s">
        <v>114</v>
      </c>
      <c r="E70" s="57" t="n">
        <v>46205</v>
      </c>
      <c r="G70" s="56" t="s">
        <v>60</v>
      </c>
      <c r="H70" s="56" t="s">
        <v>61</v>
      </c>
      <c r="I70" s="56" t="s">
        <v>62</v>
      </c>
      <c r="J70" s="56" t="s">
        <v>219</v>
      </c>
      <c r="K70" s="56" t="s">
        <v>64</v>
      </c>
      <c r="M70" s="56" t="s">
        <v>239</v>
      </c>
      <c r="N70" s="58" t="s">
        <v>66</v>
      </c>
      <c r="O70" s="57" t="n">
        <v>46175</v>
      </c>
    </row>
    <row r="71" customFormat="false" ht="15" hidden="false" customHeight="true" outlineLevel="0" collapsed="false">
      <c r="A71" s="0" t="s">
        <v>111</v>
      </c>
      <c r="B71" s="55" t="s">
        <v>232</v>
      </c>
      <c r="C71" s="55" t="s">
        <v>233</v>
      </c>
      <c r="D71" s="56" t="s">
        <v>114</v>
      </c>
      <c r="E71" s="57" t="n">
        <v>46205</v>
      </c>
      <c r="G71" s="56" t="s">
        <v>60</v>
      </c>
      <c r="H71" s="56" t="s">
        <v>61</v>
      </c>
      <c r="I71" s="56" t="s">
        <v>62</v>
      </c>
      <c r="J71" s="56" t="s">
        <v>219</v>
      </c>
      <c r="K71" s="56" t="s">
        <v>64</v>
      </c>
      <c r="M71" s="56" t="s">
        <v>239</v>
      </c>
      <c r="N71" s="58" t="s">
        <v>66</v>
      </c>
      <c r="O71" s="57" t="n">
        <v>46175</v>
      </c>
    </row>
    <row r="72" customFormat="false" ht="15" hidden="false" customHeight="true" outlineLevel="0" collapsed="false">
      <c r="A72" s="0" t="s">
        <v>111</v>
      </c>
      <c r="B72" s="55" t="s">
        <v>230</v>
      </c>
      <c r="C72" s="55" t="s">
        <v>231</v>
      </c>
      <c r="D72" s="56" t="s">
        <v>114</v>
      </c>
      <c r="E72" s="57" t="n">
        <v>46205</v>
      </c>
      <c r="G72" s="56" t="s">
        <v>60</v>
      </c>
      <c r="H72" s="56" t="s">
        <v>61</v>
      </c>
      <c r="I72" s="56" t="s">
        <v>62</v>
      </c>
      <c r="J72" s="56" t="s">
        <v>219</v>
      </c>
      <c r="K72" s="56" t="s">
        <v>64</v>
      </c>
      <c r="M72" s="56" t="s">
        <v>239</v>
      </c>
      <c r="N72" s="58" t="s">
        <v>66</v>
      </c>
      <c r="O72" s="57" t="n">
        <v>46175</v>
      </c>
    </row>
    <row r="73" customFormat="false" ht="15" hidden="false" customHeight="true" outlineLevel="0" collapsed="false">
      <c r="A73" s="0" t="s">
        <v>111</v>
      </c>
      <c r="B73" s="55" t="s">
        <v>217</v>
      </c>
      <c r="C73" s="55" t="s">
        <v>218</v>
      </c>
      <c r="D73" s="56" t="s">
        <v>114</v>
      </c>
      <c r="E73" s="57" t="n">
        <v>46205</v>
      </c>
      <c r="G73" s="56" t="s">
        <v>60</v>
      </c>
      <c r="H73" s="56" t="s">
        <v>61</v>
      </c>
      <c r="I73" s="56" t="s">
        <v>62</v>
      </c>
      <c r="J73" s="56" t="s">
        <v>219</v>
      </c>
      <c r="K73" s="56" t="s">
        <v>64</v>
      </c>
      <c r="M73" s="56" t="s">
        <v>239</v>
      </c>
      <c r="N73" s="58" t="s">
        <v>66</v>
      </c>
      <c r="O73" s="57" t="n">
        <v>46175</v>
      </c>
    </row>
    <row r="74" customFormat="false" ht="15" hidden="false" customHeight="true" outlineLevel="0" collapsed="false">
      <c r="A74" s="0" t="s">
        <v>111</v>
      </c>
      <c r="B74" s="55" t="s">
        <v>221</v>
      </c>
      <c r="C74" s="55" t="s">
        <v>222</v>
      </c>
      <c r="D74" s="56" t="s">
        <v>114</v>
      </c>
      <c r="E74" s="57" t="n">
        <v>46205</v>
      </c>
      <c r="G74" s="56" t="s">
        <v>60</v>
      </c>
      <c r="H74" s="56" t="s">
        <v>61</v>
      </c>
      <c r="I74" s="56" t="s">
        <v>62</v>
      </c>
      <c r="J74" s="56" t="s">
        <v>219</v>
      </c>
      <c r="K74" s="56" t="s">
        <v>64</v>
      </c>
      <c r="M74" s="56" t="s">
        <v>239</v>
      </c>
      <c r="N74" s="58" t="s">
        <v>66</v>
      </c>
      <c r="O74" s="57" t="n">
        <v>46175</v>
      </c>
    </row>
    <row r="75" customFormat="false" ht="15" hidden="false" customHeight="true" outlineLevel="0" collapsed="false">
      <c r="A75" s="0" t="s">
        <v>111</v>
      </c>
      <c r="B75" s="55" t="s">
        <v>224</v>
      </c>
      <c r="C75" s="55" t="s">
        <v>225</v>
      </c>
      <c r="D75" s="56" t="s">
        <v>114</v>
      </c>
      <c r="E75" s="57" t="n">
        <v>46205</v>
      </c>
      <c r="G75" s="56" t="s">
        <v>60</v>
      </c>
      <c r="H75" s="56" t="s">
        <v>61</v>
      </c>
      <c r="I75" s="56" t="s">
        <v>62</v>
      </c>
      <c r="J75" s="56" t="s">
        <v>219</v>
      </c>
      <c r="K75" s="56" t="s">
        <v>64</v>
      </c>
      <c r="M75" s="56" t="s">
        <v>239</v>
      </c>
      <c r="N75" s="58" t="s">
        <v>66</v>
      </c>
      <c r="O75" s="57" t="n">
        <v>46175</v>
      </c>
    </row>
    <row r="76" customFormat="false" ht="15" hidden="false" customHeight="true" outlineLevel="0" collapsed="false">
      <c r="A76" s="0" t="s">
        <v>111</v>
      </c>
      <c r="B76" s="55" t="s">
        <v>228</v>
      </c>
      <c r="C76" s="55" t="s">
        <v>229</v>
      </c>
      <c r="D76" s="56" t="s">
        <v>114</v>
      </c>
      <c r="E76" s="57" t="n">
        <v>46205</v>
      </c>
      <c r="G76" s="56" t="s">
        <v>60</v>
      </c>
      <c r="H76" s="56" t="s">
        <v>61</v>
      </c>
      <c r="I76" s="56" t="s">
        <v>62</v>
      </c>
      <c r="J76" s="56" t="s">
        <v>219</v>
      </c>
      <c r="K76" s="56" t="s">
        <v>64</v>
      </c>
      <c r="M76" s="56" t="s">
        <v>239</v>
      </c>
      <c r="N76" s="58" t="s">
        <v>66</v>
      </c>
      <c r="O76" s="57" t="n">
        <v>46175</v>
      </c>
    </row>
    <row r="77" customFormat="false" ht="15" hidden="false" customHeight="true" outlineLevel="0" collapsed="false">
      <c r="A77" s="0" t="s">
        <v>111</v>
      </c>
      <c r="B77" s="55" t="s">
        <v>226</v>
      </c>
      <c r="C77" s="55" t="s">
        <v>227</v>
      </c>
      <c r="D77" s="56" t="s">
        <v>114</v>
      </c>
      <c r="E77" s="57" t="n">
        <v>46205</v>
      </c>
      <c r="G77" s="56" t="s">
        <v>60</v>
      </c>
      <c r="H77" s="56" t="s">
        <v>61</v>
      </c>
      <c r="I77" s="56" t="s">
        <v>62</v>
      </c>
      <c r="J77" s="56" t="s">
        <v>219</v>
      </c>
      <c r="K77" s="56" t="s">
        <v>64</v>
      </c>
      <c r="M77" s="56" t="s">
        <v>239</v>
      </c>
      <c r="N77" s="58" t="s">
        <v>66</v>
      </c>
      <c r="O77" s="57" t="n">
        <v>46175</v>
      </c>
    </row>
    <row r="78" customFormat="false" ht="15" hidden="false" customHeight="true" outlineLevel="0" collapsed="false">
      <c r="A78" s="0" t="s">
        <v>159</v>
      </c>
      <c r="B78" s="55" t="s">
        <v>240</v>
      </c>
      <c r="C78" s="55" t="s">
        <v>241</v>
      </c>
      <c r="D78" s="56" t="s">
        <v>109</v>
      </c>
      <c r="E78" s="57" t="n">
        <v>46188</v>
      </c>
      <c r="F78" s="0" t="n">
        <v>3</v>
      </c>
      <c r="G78" s="56" t="s">
        <v>80</v>
      </c>
      <c r="H78" s="56" t="s">
        <v>73</v>
      </c>
      <c r="I78" s="56" t="s">
        <v>62</v>
      </c>
      <c r="J78" s="56" t="s">
        <v>64</v>
      </c>
      <c r="K78" s="56" t="s">
        <v>64</v>
      </c>
      <c r="M78" s="56" t="s">
        <v>242</v>
      </c>
      <c r="N78" s="58" t="s">
        <v>66</v>
      </c>
    </row>
    <row r="79" customFormat="false" ht="15" hidden="false" customHeight="true" outlineLevel="0" collapsed="false">
      <c r="A79" s="0" t="s">
        <v>111</v>
      </c>
      <c r="B79" s="55" t="s">
        <v>243</v>
      </c>
      <c r="C79" s="55" t="s">
        <v>244</v>
      </c>
      <c r="D79" s="56" t="s">
        <v>96</v>
      </c>
      <c r="G79" s="56" t="s">
        <v>72</v>
      </c>
      <c r="H79" s="56" t="s">
        <v>16</v>
      </c>
      <c r="I79" s="56" t="s">
        <v>62</v>
      </c>
      <c r="K79" s="56" t="s">
        <v>64</v>
      </c>
      <c r="M79" s="56" t="s">
        <v>245</v>
      </c>
      <c r="N79" s="58" t="s">
        <v>66</v>
      </c>
    </row>
    <row r="80" customFormat="false" ht="41.25" hidden="false" customHeight="true" outlineLevel="0" collapsed="false">
      <c r="A80" s="0" t="s">
        <v>159</v>
      </c>
      <c r="B80" s="55" t="s">
        <v>246</v>
      </c>
      <c r="C80" s="55" t="s">
        <v>247</v>
      </c>
      <c r="D80" s="56" t="s">
        <v>248</v>
      </c>
      <c r="E80" s="57" t="n">
        <v>46181</v>
      </c>
      <c r="F80" s="0" t="n">
        <v>10</v>
      </c>
      <c r="G80" s="56" t="s">
        <v>80</v>
      </c>
      <c r="H80" s="56" t="s">
        <v>16</v>
      </c>
      <c r="I80" s="56" t="s">
        <v>62</v>
      </c>
      <c r="J80" s="56" t="s">
        <v>64</v>
      </c>
      <c r="K80" s="56" t="s">
        <v>64</v>
      </c>
      <c r="M80" s="56" t="s">
        <v>249</v>
      </c>
      <c r="N80" s="58" t="s">
        <v>250</v>
      </c>
    </row>
    <row r="81" customFormat="false" ht="15" hidden="false" customHeight="true" outlineLevel="0" collapsed="false">
      <c r="A81" s="0" t="s">
        <v>125</v>
      </c>
      <c r="B81" s="55" t="s">
        <v>251</v>
      </c>
      <c r="C81" s="55" t="s">
        <v>252</v>
      </c>
      <c r="D81" s="56" t="s">
        <v>96</v>
      </c>
      <c r="G81" s="56" t="s">
        <v>72</v>
      </c>
      <c r="H81" s="56" t="s">
        <v>16</v>
      </c>
      <c r="I81" s="56" t="s">
        <v>62</v>
      </c>
      <c r="J81" s="56" t="s">
        <v>253</v>
      </c>
      <c r="K81" s="56" t="s">
        <v>64</v>
      </c>
      <c r="M81" s="56" t="s">
        <v>254</v>
      </c>
      <c r="N81" s="58" t="s">
        <v>66</v>
      </c>
    </row>
    <row r="82" customFormat="false" ht="15" hidden="false" customHeight="true" outlineLevel="0" collapsed="false">
      <c r="A82" s="0" t="s">
        <v>125</v>
      </c>
      <c r="B82" s="55" t="s">
        <v>255</v>
      </c>
      <c r="C82" s="55" t="s">
        <v>256</v>
      </c>
      <c r="D82" s="56" t="s">
        <v>96</v>
      </c>
      <c r="G82" s="56" t="s">
        <v>72</v>
      </c>
      <c r="H82" s="56" t="s">
        <v>16</v>
      </c>
      <c r="I82" s="56" t="s">
        <v>62</v>
      </c>
      <c r="J82" s="56" t="s">
        <v>253</v>
      </c>
      <c r="K82" s="56" t="s">
        <v>64</v>
      </c>
      <c r="M82" s="56" t="s">
        <v>257</v>
      </c>
      <c r="N82" s="58" t="s">
        <v>66</v>
      </c>
    </row>
    <row r="83" customFormat="false" ht="15" hidden="false" customHeight="true" outlineLevel="0" collapsed="false">
      <c r="A83" s="0" t="s">
        <v>125</v>
      </c>
      <c r="B83" s="55" t="s">
        <v>258</v>
      </c>
      <c r="C83" s="55" t="s">
        <v>259</v>
      </c>
      <c r="D83" s="56" t="s">
        <v>96</v>
      </c>
      <c r="G83" s="56" t="s">
        <v>60</v>
      </c>
      <c r="H83" s="56" t="s">
        <v>61</v>
      </c>
      <c r="I83" s="56" t="s">
        <v>62</v>
      </c>
      <c r="J83" s="56" t="s">
        <v>253</v>
      </c>
      <c r="K83" s="56" t="s">
        <v>64</v>
      </c>
      <c r="M83" s="56" t="s">
        <v>260</v>
      </c>
      <c r="N83" s="58" t="s">
        <v>66</v>
      </c>
      <c r="O83" s="57" t="n">
        <v>46178</v>
      </c>
    </row>
    <row r="84" customFormat="false" ht="15" hidden="false" customHeight="true" outlineLevel="0" collapsed="false">
      <c r="G84" s="56"/>
      <c r="H84" s="56"/>
      <c r="I84" s="56"/>
    </row>
    <row r="85" customFormat="false" ht="15" hidden="false" customHeight="true" outlineLevel="0" collapsed="false">
      <c r="G85" s="56"/>
      <c r="H85" s="56"/>
      <c r="I85" s="56"/>
    </row>
    <row r="86" customFormat="false" ht="15" hidden="false" customHeight="true" outlineLevel="0" collapsed="false">
      <c r="G86" s="56"/>
      <c r="H86" s="56"/>
      <c r="I86" s="56"/>
    </row>
    <row r="87" customFormat="false" ht="15" hidden="false" customHeight="true" outlineLevel="0" collapsed="false">
      <c r="G87" s="56"/>
      <c r="H87" s="56"/>
      <c r="I87" s="56"/>
    </row>
    <row r="88" customFormat="false" ht="15" hidden="false" customHeight="true" outlineLevel="0" collapsed="false">
      <c r="G88" s="56"/>
      <c r="H88" s="56"/>
      <c r="I88" s="56"/>
    </row>
    <row r="89" customFormat="false" ht="15" hidden="false" customHeight="true" outlineLevel="0" collapsed="false">
      <c r="G89" s="56"/>
      <c r="H89" s="56"/>
      <c r="I89" s="56"/>
    </row>
    <row r="90" customFormat="false" ht="15" hidden="false" customHeight="true" outlineLevel="0" collapsed="false">
      <c r="G90" s="56"/>
      <c r="H90" s="56"/>
      <c r="I90" s="56"/>
    </row>
    <row r="91" customFormat="false" ht="15" hidden="false" customHeight="true" outlineLevel="0" collapsed="false">
      <c r="G91" s="56"/>
      <c r="H91" s="56"/>
      <c r="I91" s="56"/>
    </row>
    <row r="92" customFormat="false" ht="15" hidden="false" customHeight="true" outlineLevel="0" collapsed="false">
      <c r="G92" s="56"/>
      <c r="H92" s="56"/>
      <c r="I92" s="56"/>
    </row>
    <row r="93" customFormat="false" ht="15" hidden="false" customHeight="true" outlineLevel="0" collapsed="false">
      <c r="G93" s="56"/>
      <c r="H93" s="56"/>
      <c r="I93" s="56"/>
    </row>
    <row r="94" customFormat="false" ht="15" hidden="false" customHeight="true" outlineLevel="0" collapsed="false">
      <c r="G94" s="56"/>
      <c r="H94" s="56"/>
      <c r="I94" s="56"/>
    </row>
    <row r="95" customFormat="false" ht="15" hidden="false" customHeight="true" outlineLevel="0" collapsed="false">
      <c r="G95" s="56"/>
      <c r="H95" s="56"/>
      <c r="I95" s="56"/>
    </row>
    <row r="96" customFormat="false" ht="15" hidden="false" customHeight="true" outlineLevel="0" collapsed="false">
      <c r="G96" s="56"/>
      <c r="H96" s="56"/>
      <c r="I96" s="56"/>
    </row>
    <row r="97" customFormat="false" ht="15" hidden="false" customHeight="true" outlineLevel="0" collapsed="false">
      <c r="G97" s="56"/>
      <c r="H97" s="56"/>
      <c r="I97" s="56"/>
    </row>
    <row r="98" customFormat="false" ht="15" hidden="false" customHeight="true" outlineLevel="0" collapsed="false">
      <c r="G98" s="56"/>
      <c r="H98" s="56"/>
      <c r="I98" s="56"/>
    </row>
    <row r="99" customFormat="false" ht="15" hidden="false" customHeight="true" outlineLevel="0" collapsed="false">
      <c r="G99" s="56"/>
      <c r="H99" s="56"/>
      <c r="I99" s="56"/>
    </row>
    <row r="100" customFormat="false" ht="15" hidden="false" customHeight="true" outlineLevel="0" collapsed="false">
      <c r="G100" s="56"/>
      <c r="H100" s="56"/>
      <c r="I100" s="56"/>
    </row>
    <row r="101" customFormat="false" ht="15" hidden="false" customHeight="true" outlineLevel="0" collapsed="false">
      <c r="G101" s="56"/>
      <c r="H101" s="56"/>
      <c r="I101" s="56"/>
    </row>
    <row r="102" customFormat="false" ht="15" hidden="false" customHeight="true" outlineLevel="0" collapsed="false">
      <c r="G102" s="56"/>
      <c r="H102" s="56"/>
      <c r="I102" s="56"/>
    </row>
    <row r="103" customFormat="false" ht="15" hidden="false" customHeight="true" outlineLevel="0" collapsed="false">
      <c r="G103" s="56"/>
      <c r="H103" s="56"/>
      <c r="I103" s="56"/>
    </row>
    <row r="104" customFormat="false" ht="15" hidden="false" customHeight="true" outlineLevel="0" collapsed="false">
      <c r="G104" s="56"/>
      <c r="H104" s="56"/>
      <c r="I104" s="56"/>
    </row>
    <row r="105" customFormat="false" ht="15" hidden="false" customHeight="true" outlineLevel="0" collapsed="false">
      <c r="G105" s="56"/>
      <c r="H105" s="56"/>
      <c r="I105" s="56"/>
    </row>
    <row r="106" customFormat="false" ht="15" hidden="false" customHeight="true" outlineLevel="0" collapsed="false">
      <c r="G106" s="56"/>
      <c r="H106" s="56"/>
      <c r="I106" s="56"/>
    </row>
    <row r="107" customFormat="false" ht="15" hidden="false" customHeight="true" outlineLevel="0" collapsed="false">
      <c r="G107" s="56"/>
      <c r="H107" s="56"/>
      <c r="I107" s="56"/>
    </row>
    <row r="108" customFormat="false" ht="15" hidden="false" customHeight="true" outlineLevel="0" collapsed="false">
      <c r="G108" s="56"/>
      <c r="H108" s="56"/>
      <c r="I108" s="56"/>
    </row>
    <row r="109" customFormat="false" ht="15" hidden="false" customHeight="true" outlineLevel="0" collapsed="false">
      <c r="G109" s="56"/>
      <c r="H109" s="56"/>
      <c r="I109" s="56"/>
    </row>
    <row r="110" customFormat="false" ht="15" hidden="false" customHeight="true" outlineLevel="0" collapsed="false">
      <c r="G110" s="56"/>
      <c r="H110" s="56"/>
      <c r="I110" s="56"/>
    </row>
    <row r="111" customFormat="false" ht="15" hidden="false" customHeight="true" outlineLevel="0" collapsed="false">
      <c r="G111" s="56"/>
      <c r="H111" s="56"/>
      <c r="I111" s="56"/>
    </row>
    <row r="112" customFormat="false" ht="15" hidden="false" customHeight="true" outlineLevel="0" collapsed="false">
      <c r="G112" s="56"/>
      <c r="H112" s="56"/>
      <c r="I112" s="56"/>
    </row>
    <row r="113" customFormat="false" ht="15" hidden="false" customHeight="true" outlineLevel="0" collapsed="false">
      <c r="G113" s="56"/>
      <c r="H113" s="56"/>
      <c r="I113" s="56"/>
    </row>
    <row r="114" customFormat="false" ht="15" hidden="false" customHeight="true" outlineLevel="0" collapsed="false">
      <c r="G114" s="56"/>
      <c r="H114" s="56"/>
      <c r="I114" s="56"/>
    </row>
    <row r="115" customFormat="false" ht="15" hidden="false" customHeight="true" outlineLevel="0" collapsed="false">
      <c r="G115" s="56"/>
      <c r="H115" s="56"/>
      <c r="I115" s="56"/>
    </row>
    <row r="116" customFormat="false" ht="15" hidden="false" customHeight="true" outlineLevel="0" collapsed="false">
      <c r="G116" s="56"/>
      <c r="H116" s="56"/>
      <c r="I116" s="56"/>
    </row>
    <row r="117" customFormat="false" ht="15" hidden="false" customHeight="true" outlineLevel="0" collapsed="false">
      <c r="G117" s="56"/>
      <c r="H117" s="56"/>
      <c r="I117" s="56"/>
    </row>
    <row r="118" customFormat="false" ht="15" hidden="false" customHeight="true" outlineLevel="0" collapsed="false">
      <c r="G118" s="56"/>
      <c r="H118" s="56"/>
      <c r="I118" s="56"/>
    </row>
    <row r="119" customFormat="false" ht="15" hidden="false" customHeight="true" outlineLevel="0" collapsed="false">
      <c r="G119" s="56"/>
      <c r="H119" s="56"/>
      <c r="I119" s="56"/>
    </row>
    <row r="120" customFormat="false" ht="15" hidden="false" customHeight="true" outlineLevel="0" collapsed="false">
      <c r="G120" s="56"/>
      <c r="H120" s="56"/>
      <c r="I120" s="56"/>
    </row>
    <row r="121" customFormat="false" ht="15" hidden="false" customHeight="true" outlineLevel="0" collapsed="false">
      <c r="G121" s="56"/>
      <c r="H121" s="56"/>
      <c r="I121" s="56"/>
    </row>
    <row r="122" customFormat="false" ht="15" hidden="false" customHeight="true" outlineLevel="0" collapsed="false">
      <c r="G122" s="56"/>
      <c r="H122" s="56"/>
      <c r="I122" s="56"/>
    </row>
    <row r="123" customFormat="false" ht="15" hidden="false" customHeight="true" outlineLevel="0" collapsed="false">
      <c r="G123" s="56"/>
      <c r="H123" s="56"/>
      <c r="I123" s="56"/>
    </row>
    <row r="124" customFormat="false" ht="15" hidden="false" customHeight="true" outlineLevel="0" collapsed="false">
      <c r="G124" s="56"/>
      <c r="H124" s="56"/>
      <c r="I124" s="56"/>
    </row>
    <row r="125" customFormat="false" ht="15" hidden="false" customHeight="true" outlineLevel="0" collapsed="false">
      <c r="G125" s="56"/>
      <c r="H125" s="56"/>
      <c r="I125" s="56"/>
    </row>
    <row r="126" customFormat="false" ht="15" hidden="false" customHeight="true" outlineLevel="0" collapsed="false">
      <c r="G126" s="56"/>
      <c r="H126" s="56"/>
      <c r="I126" s="56"/>
    </row>
    <row r="127" customFormat="false" ht="15" hidden="false" customHeight="true" outlineLevel="0" collapsed="false">
      <c r="G127" s="56"/>
      <c r="H127" s="56"/>
      <c r="I127" s="56"/>
    </row>
    <row r="128" customFormat="false" ht="15" hidden="false" customHeight="true" outlineLevel="0" collapsed="false">
      <c r="G128" s="56"/>
      <c r="H128" s="56"/>
      <c r="I128" s="56"/>
    </row>
    <row r="129" customFormat="false" ht="15" hidden="false" customHeight="true" outlineLevel="0" collapsed="false">
      <c r="G129" s="56"/>
      <c r="H129" s="56"/>
      <c r="I129" s="56"/>
    </row>
    <row r="130" customFormat="false" ht="15" hidden="false" customHeight="true" outlineLevel="0" collapsed="false">
      <c r="G130" s="56"/>
      <c r="H130" s="56"/>
      <c r="I130" s="56"/>
    </row>
    <row r="131" customFormat="false" ht="15" hidden="false" customHeight="true" outlineLevel="0" collapsed="false">
      <c r="G131" s="56"/>
      <c r="H131" s="56"/>
      <c r="I131" s="56"/>
    </row>
    <row r="132" customFormat="false" ht="15" hidden="false" customHeight="true" outlineLevel="0" collapsed="false">
      <c r="G132" s="56"/>
      <c r="H132" s="56"/>
      <c r="I132" s="56"/>
    </row>
    <row r="133" customFormat="false" ht="15" hidden="false" customHeight="true" outlineLevel="0" collapsed="false">
      <c r="G133" s="56"/>
      <c r="H133" s="56"/>
      <c r="I133" s="56"/>
    </row>
    <row r="134" customFormat="false" ht="15" hidden="false" customHeight="true" outlineLevel="0" collapsed="false">
      <c r="G134" s="56"/>
      <c r="H134" s="56"/>
      <c r="I134" s="56"/>
    </row>
    <row r="135" customFormat="false" ht="15" hidden="false" customHeight="true" outlineLevel="0" collapsed="false">
      <c r="G135" s="56"/>
      <c r="H135" s="56"/>
      <c r="I135" s="56"/>
    </row>
    <row r="136" customFormat="false" ht="15" hidden="false" customHeight="true" outlineLevel="0" collapsed="false">
      <c r="G136" s="56"/>
      <c r="H136" s="56"/>
      <c r="I136" s="56"/>
    </row>
    <row r="137" customFormat="false" ht="15" hidden="false" customHeight="true" outlineLevel="0" collapsed="false">
      <c r="G137" s="56"/>
      <c r="H137" s="56"/>
      <c r="I137" s="56"/>
    </row>
    <row r="138" customFormat="false" ht="15" hidden="false" customHeight="true" outlineLevel="0" collapsed="false">
      <c r="G138" s="56"/>
      <c r="H138" s="56"/>
      <c r="I138" s="56"/>
    </row>
    <row r="139" customFormat="false" ht="15" hidden="false" customHeight="true" outlineLevel="0" collapsed="false">
      <c r="G139" s="56"/>
      <c r="H139" s="56"/>
      <c r="I139" s="56"/>
    </row>
    <row r="140" customFormat="false" ht="15" hidden="false" customHeight="true" outlineLevel="0" collapsed="false">
      <c r="G140" s="56"/>
      <c r="H140" s="56"/>
      <c r="I140" s="56"/>
    </row>
    <row r="141" customFormat="false" ht="15" hidden="false" customHeight="true" outlineLevel="0" collapsed="false">
      <c r="G141" s="56"/>
      <c r="H141" s="56"/>
      <c r="I141" s="56"/>
    </row>
    <row r="142" customFormat="false" ht="15" hidden="false" customHeight="true" outlineLevel="0" collapsed="false">
      <c r="G142" s="56"/>
      <c r="H142" s="56"/>
      <c r="I142" s="56"/>
    </row>
    <row r="143" customFormat="false" ht="15" hidden="false" customHeight="true" outlineLevel="0" collapsed="false">
      <c r="G143" s="56"/>
      <c r="H143" s="56"/>
      <c r="I143" s="56"/>
    </row>
    <row r="144" customFormat="false" ht="15" hidden="false" customHeight="true" outlineLevel="0" collapsed="false">
      <c r="G144" s="56"/>
      <c r="H144" s="56"/>
      <c r="I144" s="56"/>
    </row>
    <row r="145" customFormat="false" ht="15" hidden="false" customHeight="true" outlineLevel="0" collapsed="false">
      <c r="G145" s="56"/>
      <c r="H145" s="56"/>
      <c r="I145" s="56"/>
    </row>
    <row r="146" customFormat="false" ht="15" hidden="false" customHeight="true" outlineLevel="0" collapsed="false">
      <c r="G146" s="56"/>
      <c r="H146" s="56"/>
      <c r="I146" s="56"/>
    </row>
    <row r="147" customFormat="false" ht="15" hidden="false" customHeight="true" outlineLevel="0" collapsed="false">
      <c r="G147" s="56"/>
      <c r="H147" s="56"/>
      <c r="I147" s="56"/>
    </row>
    <row r="148" customFormat="false" ht="15" hidden="false" customHeight="true" outlineLevel="0" collapsed="false">
      <c r="G148" s="56"/>
      <c r="H148" s="56"/>
      <c r="I148" s="56"/>
    </row>
    <row r="149" customFormat="false" ht="15" hidden="false" customHeight="true" outlineLevel="0" collapsed="false">
      <c r="G149" s="56"/>
      <c r="H149" s="56"/>
      <c r="I149" s="56"/>
    </row>
    <row r="150" customFormat="false" ht="15" hidden="false" customHeight="true" outlineLevel="0" collapsed="false">
      <c r="G150" s="56"/>
      <c r="H150" s="56"/>
      <c r="I150" s="56"/>
    </row>
    <row r="151" customFormat="false" ht="15" hidden="false" customHeight="true" outlineLevel="0" collapsed="false">
      <c r="G151" s="56"/>
      <c r="H151" s="56"/>
      <c r="I151" s="56"/>
    </row>
    <row r="152" customFormat="false" ht="15" hidden="false" customHeight="true" outlineLevel="0" collapsed="false">
      <c r="G152" s="56"/>
      <c r="H152" s="56"/>
      <c r="I152" s="56"/>
    </row>
    <row r="153" customFormat="false" ht="15" hidden="false" customHeight="true" outlineLevel="0" collapsed="false">
      <c r="G153" s="56"/>
      <c r="H153" s="56"/>
      <c r="I153" s="56"/>
    </row>
    <row r="154" customFormat="false" ht="15" hidden="false" customHeight="true" outlineLevel="0" collapsed="false">
      <c r="G154" s="56"/>
      <c r="H154" s="56"/>
      <c r="I154" s="56"/>
    </row>
    <row r="155" customFormat="false" ht="15" hidden="false" customHeight="true" outlineLevel="0" collapsed="false">
      <c r="G155" s="56"/>
      <c r="H155" s="56"/>
      <c r="I155" s="56"/>
    </row>
    <row r="156" customFormat="false" ht="15" hidden="false" customHeight="true" outlineLevel="0" collapsed="false">
      <c r="G156" s="56"/>
      <c r="H156" s="56"/>
      <c r="I156" s="56"/>
    </row>
    <row r="157" customFormat="false" ht="15" hidden="false" customHeight="true" outlineLevel="0" collapsed="false">
      <c r="G157" s="56"/>
      <c r="H157" s="56"/>
      <c r="I157" s="56"/>
    </row>
    <row r="158" customFormat="false" ht="15" hidden="false" customHeight="true" outlineLevel="0" collapsed="false">
      <c r="G158" s="56"/>
      <c r="H158" s="56"/>
      <c r="I158" s="56"/>
    </row>
    <row r="159" customFormat="false" ht="15" hidden="false" customHeight="true" outlineLevel="0" collapsed="false">
      <c r="G159" s="56"/>
      <c r="H159" s="56"/>
      <c r="I159" s="56"/>
    </row>
    <row r="160" customFormat="false" ht="15" hidden="false" customHeight="true" outlineLevel="0" collapsed="false">
      <c r="G160" s="56"/>
      <c r="H160" s="56"/>
      <c r="I160" s="56"/>
    </row>
    <row r="161" customFormat="false" ht="15" hidden="false" customHeight="true" outlineLevel="0" collapsed="false">
      <c r="G161" s="56"/>
      <c r="H161" s="56"/>
      <c r="I161" s="56"/>
    </row>
    <row r="162" customFormat="false" ht="15" hidden="false" customHeight="true" outlineLevel="0" collapsed="false">
      <c r="G162" s="56"/>
      <c r="H162" s="56"/>
      <c r="I162" s="56"/>
    </row>
    <row r="163" customFormat="false" ht="15" hidden="false" customHeight="true" outlineLevel="0" collapsed="false">
      <c r="G163" s="56"/>
      <c r="H163" s="56"/>
      <c r="I163" s="56"/>
    </row>
    <row r="164" customFormat="false" ht="15" hidden="false" customHeight="true" outlineLevel="0" collapsed="false">
      <c r="G164" s="56"/>
      <c r="H164" s="56"/>
      <c r="I164" s="56"/>
    </row>
    <row r="165" customFormat="false" ht="15" hidden="false" customHeight="true" outlineLevel="0" collapsed="false">
      <c r="G165" s="56"/>
      <c r="H165" s="56"/>
      <c r="I165" s="56"/>
    </row>
    <row r="166" customFormat="false" ht="15" hidden="false" customHeight="true" outlineLevel="0" collapsed="false">
      <c r="G166" s="56"/>
      <c r="H166" s="56"/>
      <c r="I166" s="56"/>
    </row>
    <row r="167" customFormat="false" ht="15" hidden="false" customHeight="true" outlineLevel="0" collapsed="false">
      <c r="G167" s="56"/>
      <c r="H167" s="56"/>
      <c r="I167" s="56"/>
    </row>
    <row r="168" customFormat="false" ht="15" hidden="false" customHeight="true" outlineLevel="0" collapsed="false">
      <c r="G168" s="56"/>
      <c r="H168" s="56"/>
      <c r="I168" s="56"/>
    </row>
    <row r="169" customFormat="false" ht="15" hidden="false" customHeight="true" outlineLevel="0" collapsed="false">
      <c r="G169" s="56"/>
      <c r="H169" s="56"/>
      <c r="I169" s="56"/>
    </row>
    <row r="170" customFormat="false" ht="15" hidden="false" customHeight="true" outlineLevel="0" collapsed="false">
      <c r="G170" s="56"/>
      <c r="H170" s="56"/>
      <c r="I170" s="56"/>
    </row>
    <row r="171" customFormat="false" ht="15" hidden="false" customHeight="true" outlineLevel="0" collapsed="false">
      <c r="G171" s="56"/>
      <c r="H171" s="56"/>
      <c r="I171" s="56"/>
    </row>
    <row r="172" customFormat="false" ht="15" hidden="false" customHeight="true" outlineLevel="0" collapsed="false">
      <c r="G172" s="56"/>
      <c r="H172" s="56"/>
      <c r="I172" s="56"/>
    </row>
    <row r="173" customFormat="false" ht="15" hidden="false" customHeight="true" outlineLevel="0" collapsed="false">
      <c r="G173" s="56"/>
      <c r="H173" s="56"/>
      <c r="I173" s="56"/>
    </row>
    <row r="174" customFormat="false" ht="15" hidden="false" customHeight="true" outlineLevel="0" collapsed="false">
      <c r="G174" s="56"/>
      <c r="H174" s="56"/>
      <c r="I174" s="56"/>
    </row>
    <row r="175" customFormat="false" ht="15" hidden="false" customHeight="true" outlineLevel="0" collapsed="false">
      <c r="G175" s="56"/>
      <c r="H175" s="56"/>
      <c r="I175" s="56"/>
    </row>
    <row r="176" customFormat="false" ht="15" hidden="false" customHeight="true" outlineLevel="0" collapsed="false">
      <c r="G176" s="56"/>
      <c r="H176" s="56"/>
      <c r="I176" s="56"/>
    </row>
    <row r="177" customFormat="false" ht="15" hidden="false" customHeight="true" outlineLevel="0" collapsed="false">
      <c r="G177" s="56"/>
      <c r="H177" s="56"/>
      <c r="I177" s="56"/>
    </row>
    <row r="178" customFormat="false" ht="15" hidden="false" customHeight="true" outlineLevel="0" collapsed="false">
      <c r="G178" s="56"/>
      <c r="H178" s="56"/>
      <c r="I178" s="56"/>
    </row>
    <row r="179" customFormat="false" ht="15" hidden="false" customHeight="true" outlineLevel="0" collapsed="false">
      <c r="G179" s="56"/>
      <c r="H179" s="56"/>
      <c r="I179" s="56"/>
    </row>
    <row r="180" customFormat="false" ht="15" hidden="false" customHeight="true" outlineLevel="0" collapsed="false">
      <c r="G180" s="56"/>
      <c r="H180" s="56"/>
      <c r="I180" s="56"/>
    </row>
    <row r="181" customFormat="false" ht="15" hidden="false" customHeight="true" outlineLevel="0" collapsed="false">
      <c r="G181" s="56"/>
      <c r="H181" s="56"/>
      <c r="I181" s="56"/>
    </row>
    <row r="182" customFormat="false" ht="15" hidden="false" customHeight="true" outlineLevel="0" collapsed="false">
      <c r="G182" s="56"/>
      <c r="H182" s="56"/>
      <c r="I182" s="56"/>
    </row>
    <row r="183" customFormat="false" ht="15" hidden="false" customHeight="true" outlineLevel="0" collapsed="false">
      <c r="G183" s="56"/>
      <c r="H183" s="56"/>
      <c r="I183" s="56"/>
    </row>
    <row r="184" customFormat="false" ht="15" hidden="false" customHeight="true" outlineLevel="0" collapsed="false">
      <c r="G184" s="56"/>
      <c r="H184" s="56"/>
      <c r="I184" s="56"/>
    </row>
    <row r="185" customFormat="false" ht="15" hidden="false" customHeight="true" outlineLevel="0" collapsed="false">
      <c r="G185" s="56"/>
      <c r="H185" s="56"/>
      <c r="I185" s="56"/>
    </row>
    <row r="186" customFormat="false" ht="15" hidden="false" customHeight="true" outlineLevel="0" collapsed="false">
      <c r="G186" s="56"/>
      <c r="H186" s="56"/>
      <c r="I186" s="56"/>
    </row>
    <row r="187" customFormat="false" ht="15" hidden="false" customHeight="true" outlineLevel="0" collapsed="false">
      <c r="G187" s="56"/>
      <c r="H187" s="56"/>
      <c r="I187" s="56"/>
    </row>
    <row r="188" customFormat="false" ht="15" hidden="false" customHeight="true" outlineLevel="0" collapsed="false">
      <c r="G188" s="56"/>
      <c r="H188" s="56"/>
      <c r="I188" s="56"/>
    </row>
    <row r="189" customFormat="false" ht="15" hidden="false" customHeight="true" outlineLevel="0" collapsed="false">
      <c r="G189" s="56"/>
      <c r="H189" s="56"/>
      <c r="I189" s="56"/>
    </row>
    <row r="190" customFormat="false" ht="15" hidden="false" customHeight="true" outlineLevel="0" collapsed="false">
      <c r="G190" s="56"/>
      <c r="H190" s="56"/>
      <c r="I190" s="56"/>
    </row>
    <row r="191" customFormat="false" ht="15" hidden="false" customHeight="true" outlineLevel="0" collapsed="false">
      <c r="G191" s="56"/>
      <c r="H191" s="56"/>
      <c r="I191" s="56"/>
    </row>
    <row r="192" customFormat="false" ht="15" hidden="false" customHeight="true" outlineLevel="0" collapsed="false">
      <c r="G192" s="56"/>
      <c r="H192" s="56"/>
      <c r="I192" s="56"/>
    </row>
    <row r="193" customFormat="false" ht="15" hidden="false" customHeight="true" outlineLevel="0" collapsed="false">
      <c r="G193" s="56"/>
      <c r="H193" s="56"/>
      <c r="I193" s="56"/>
    </row>
    <row r="194" customFormat="false" ht="15" hidden="false" customHeight="true" outlineLevel="0" collapsed="false">
      <c r="G194" s="56"/>
      <c r="H194" s="56"/>
      <c r="I194" s="56"/>
    </row>
    <row r="195" customFormat="false" ht="15" hidden="false" customHeight="true" outlineLevel="0" collapsed="false">
      <c r="G195" s="56"/>
      <c r="H195" s="56"/>
      <c r="I195" s="56"/>
    </row>
    <row r="196" customFormat="false" ht="15" hidden="false" customHeight="true" outlineLevel="0" collapsed="false">
      <c r="G196" s="56"/>
      <c r="H196" s="56"/>
      <c r="I196" s="56"/>
    </row>
    <row r="197" customFormat="false" ht="15" hidden="false" customHeight="true" outlineLevel="0" collapsed="false">
      <c r="G197" s="56"/>
      <c r="H197" s="56"/>
      <c r="I197" s="56"/>
    </row>
    <row r="198" customFormat="false" ht="15" hidden="false" customHeight="true" outlineLevel="0" collapsed="false">
      <c r="G198" s="56"/>
      <c r="H198" s="56"/>
      <c r="I198" s="56"/>
    </row>
    <row r="199" customFormat="false" ht="15" hidden="false" customHeight="true" outlineLevel="0" collapsed="false">
      <c r="G199" s="56"/>
      <c r="H199" s="56"/>
      <c r="I199" s="56"/>
    </row>
    <row r="200" customFormat="false" ht="15" hidden="false" customHeight="true" outlineLevel="0" collapsed="false">
      <c r="G200" s="56"/>
      <c r="H200" s="56"/>
      <c r="I200" s="56"/>
    </row>
  </sheetData>
  <autoFilter ref="A1:P1"/>
  <dataValidations count="3">
    <dataValidation allowBlank="true" errorStyle="stop" operator="between" showDropDown="false" showErrorMessage="false" showInputMessage="false" sqref="G2:G200" type="list">
      <formula1>"Vigente,Vencido,Completado"</formula1>
      <formula2>0</formula2>
    </dataValidation>
    <dataValidation allowBlank="true" errorStyle="stop" operator="between" showDropDown="false" showErrorMessage="false" showInputMessage="false" sqref="H2:H200" type="list">
      <formula1>"Por hacer,Completado"</formula1>
      <formula2>0</formula2>
    </dataValidation>
    <dataValidation allowBlank="true" errorStyle="stop" operator="between" showDropDown="false" showErrorMessage="false" showInputMessage="false" sqref="I2:I200" type="list">
      <formula1>"Alta,Media,Baja"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C5A8A"/>
    <pageSetUpPr fitToPage="false"/>
  </sheetPr>
  <dimension ref="B1:T53"/>
  <sheetViews>
    <sheetView showFormulas="false" showGridLines="false" showRowColHeaders="true" showZeros="true" rightToLeft="false" tabSelected="false" showOutlineSymbols="true" defaultGridColor="true" view="normal" topLeftCell="A1" colorId="64" zoomScale="215" zoomScaleNormal="215" zoomScalePageLayoutView="100" workbookViewId="0">
      <pane xSplit="0" ySplit="4" topLeftCell="A13" activePane="bottomLeft" state="frozen"/>
      <selection pane="topLeft" activeCell="A1" activeCellId="0" sqref="A1"/>
      <selection pane="bottomLeft" activeCell="B26" activeCellId="0" sqref="B26"/>
    </sheetView>
  </sheetViews>
  <sheetFormatPr defaultColWidth="9.14843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24"/>
    <col collapsed="false" customWidth="true" hidden="false" outlineLevel="0" max="4" min="4" style="0" width="21.14"/>
    <col collapsed="false" customWidth="true" hidden="false" outlineLevel="0" max="5" min="5" style="0" width="20"/>
    <col collapsed="false" customWidth="true" hidden="false" outlineLevel="0" max="7" min="6" style="0" width="22"/>
    <col collapsed="false" customWidth="true" hidden="false" outlineLevel="0" max="8" min="8" style="0" width="2"/>
    <col collapsed="false" customWidth="true" hidden="true" outlineLevel="0" max="20" min="20" style="0" width="13"/>
  </cols>
  <sheetData>
    <row r="1" customFormat="false" ht="20.25" hidden="false" customHeight="true" outlineLevel="0" collapsed="false">
      <c r="B1" s="1" t="s">
        <v>261</v>
      </c>
    </row>
    <row r="2" customFormat="false" ht="15" hidden="false" customHeight="true" outlineLevel="0" collapsed="false">
      <c r="B2" s="2" t="s">
        <v>262</v>
      </c>
    </row>
    <row r="4" customFormat="false" ht="15.75" hidden="false" customHeight="true" outlineLevel="0" collapsed="false">
      <c r="B4" s="5" t="s">
        <v>263</v>
      </c>
      <c r="C4" s="59" t="s">
        <v>264</v>
      </c>
    </row>
    <row r="6" customFormat="false" ht="15" hidden="false" customHeight="true" outlineLevel="0" collapsed="false">
      <c r="B6" s="5" t="s">
        <v>265</v>
      </c>
    </row>
    <row r="7" customFormat="false" ht="15" hidden="false" customHeight="true" outlineLevel="0" collapsed="false">
      <c r="C7" s="60" t="s">
        <v>21</v>
      </c>
      <c r="D7" s="60" t="s">
        <v>22</v>
      </c>
      <c r="E7" s="60" t="s">
        <v>266</v>
      </c>
    </row>
    <row r="8" customFormat="false" ht="15" hidden="false" customHeight="true" outlineLevel="0" collapsed="false">
      <c r="C8" s="61" t="str">
        <f aca="false">IFERROR(VLOOKUP($C$4,Equipos!$C$2:$M$967,2,FALSE()),"—")</f>
        <v>Monitor Multiparámetros</v>
      </c>
      <c r="D8" s="61" t="str">
        <f aca="false">IFERROR(VLOOKUP($C$4,Equipos!$C$2:$M$967,3,FALSE()),"—")</f>
        <v>Pabellón Quirúrgico</v>
      </c>
      <c r="E8" s="61" t="str">
        <f aca="false">IFERROR(VLOOKUP($C$4,Equipos!$C$2:$M$967,5,FALSE()),"—")</f>
        <v>Pabellón 7</v>
      </c>
    </row>
    <row r="9" customFormat="false" ht="15" hidden="false" customHeight="true" outlineLevel="0" collapsed="false">
      <c r="C9" s="60" t="s">
        <v>267</v>
      </c>
      <c r="D9" s="60" t="s">
        <v>268</v>
      </c>
      <c r="E9" s="60" t="s">
        <v>43</v>
      </c>
    </row>
    <row r="10" customFormat="false" ht="15" hidden="false" customHeight="true" outlineLevel="0" collapsed="false">
      <c r="C10" s="61" t="str">
        <f aca="false">IFERROR(VLOOKUP($C$4,Equipos!$C$2:$M$967,7,FALSE()),"—")</f>
        <v>Drager</v>
      </c>
      <c r="D10" s="61" t="str">
        <f aca="false">IFERROR(VLOOKUP($C$4,Equipos!$C$2:$M$967,8,FALSE()),"—")</f>
        <v>M540</v>
      </c>
      <c r="E10" s="61" t="str">
        <f aca="false">IFERROR(VLOOKUP($C$4,Equipos!$C$2:$M$967,9,FALSE()),"—")</f>
        <v>5613543568</v>
      </c>
    </row>
    <row r="12" customFormat="false" ht="15" hidden="false" customHeight="true" outlineLevel="0" collapsed="false">
      <c r="B12" s="5" t="s">
        <v>269</v>
      </c>
    </row>
    <row r="13" customFormat="false" ht="15" hidden="false" customHeight="true" outlineLevel="0" collapsed="false">
      <c r="B13" s="62" t="s">
        <v>270</v>
      </c>
      <c r="D13" s="63" t="str">
        <f aca="false">IF(COUNTIFS('1. Órdenes de Trabajo'!$F$2:$F$301,$C$4,'1. Órdenes de Trabajo'!$J$2:$J$301,"Abierto")&gt;0,"SÍ — en proceso","No")</f>
        <v>SÍ — en proceso</v>
      </c>
    </row>
    <row r="14" customFormat="false" ht="15" hidden="false" customHeight="true" outlineLevel="0" collapsed="false">
      <c r="B14" s="62" t="s">
        <v>271</v>
      </c>
      <c r="D14" s="63" t="str">
        <f aca="false">IF(SUMPRODUCT(('5. Servicio Técnico (Envíos)'!$C$2:$C$301=$C$4)*('5. Servicio Técnico (Envíos)'!$K$2:$K$301&lt;&gt;"Operativo"))&gt;0,"Sí","No")</f>
        <v>No</v>
      </c>
    </row>
    <row r="15" customFormat="false" ht="15" hidden="false" customHeight="true" outlineLevel="0" collapsed="false">
      <c r="B15" s="62" t="s">
        <v>272</v>
      </c>
      <c r="D15" s="63" t="n">
        <f aca="false">COUNTIFS(Pendientes!$C$2:$C$200,$C$4,Pendientes!$H$2:$H$200,"Por hacer")</f>
        <v>0</v>
      </c>
    </row>
    <row r="16" customFormat="false" ht="15" hidden="false" customHeight="true" outlineLevel="0" collapsed="false">
      <c r="B16" s="62" t="s">
        <v>273</v>
      </c>
      <c r="D16" s="63" t="str">
        <f aca="false">IFERROR(VLOOKUP($C$4,'MP Carta 2026'!$A$4:$Z$969,22,FALSE())&amp;" / "&amp;VLOOKUP($C$4,'MP Carta 2026'!$A$4:$Z$969,21,FALSE()),"—")</f>
        <v>1 / 1</v>
      </c>
    </row>
    <row r="18" customFormat="false" ht="15" hidden="false" customHeight="true" outlineLevel="0" collapsed="false">
      <c r="B18" s="16" t="s">
        <v>274</v>
      </c>
    </row>
    <row r="19" customFormat="false" ht="15" hidden="false" customHeight="true" outlineLevel="0" collapsed="false">
      <c r="B19" s="64" t="s">
        <v>275</v>
      </c>
      <c r="C19" s="64" t="s">
        <v>276</v>
      </c>
      <c r="D19" s="64" t="s">
        <v>277</v>
      </c>
      <c r="E19" s="64" t="s">
        <v>278</v>
      </c>
      <c r="F19" s="64" t="s">
        <v>279</v>
      </c>
      <c r="G19" s="64" t="s">
        <v>280</v>
      </c>
    </row>
    <row r="20" customFormat="false" ht="15" hidden="false" customHeight="true" outlineLevel="0" collapsed="false">
      <c r="B20" s="65" t="n">
        <f aca="false">IFERROR(VLOOKUP($C$4,'MP Carta 2026'!$A$4:$T$969,9,FALSE()),"")</f>
        <v>0</v>
      </c>
      <c r="C20" s="65" t="n">
        <f aca="false">IFERROR(VLOOKUP($C$4,'MP Carta 2026'!$A$4:$T$969,10,FALSE()),"")</f>
        <v>0</v>
      </c>
      <c r="D20" s="65" t="n">
        <f aca="false">IFERROR(VLOOKUP($C$4,'MP Carta 2026'!$A$4:$T$969,11,FALSE()),"")</f>
        <v>0</v>
      </c>
      <c r="E20" s="65" t="str">
        <f aca="false">IFERROR(VLOOKUP($C$4,'MP Carta 2026'!$A$4:$T$969,12,FALSE()),"")</f>
        <v>E</v>
      </c>
      <c r="F20" s="65" t="n">
        <f aca="false">IFERROR(VLOOKUP($C$4,'MP Carta 2026'!$A$4:$T$969,13,FALSE()),"")</f>
        <v>0</v>
      </c>
      <c r="G20" s="65" t="n">
        <f aca="false">IFERROR(VLOOKUP($C$4,'MP Carta 2026'!$A$4:$T$969,14,FALSE()),"")</f>
        <v>0</v>
      </c>
    </row>
    <row r="21" customFormat="false" ht="15" hidden="false" customHeight="true" outlineLevel="0" collapsed="false">
      <c r="B21" s="64" t="s">
        <v>281</v>
      </c>
      <c r="C21" s="64" t="s">
        <v>282</v>
      </c>
      <c r="D21" s="64" t="s">
        <v>283</v>
      </c>
      <c r="E21" s="64" t="s">
        <v>284</v>
      </c>
      <c r="F21" s="64" t="s">
        <v>285</v>
      </c>
      <c r="G21" s="64" t="s">
        <v>286</v>
      </c>
    </row>
    <row r="22" customFormat="false" ht="15" hidden="false" customHeight="true" outlineLevel="0" collapsed="false">
      <c r="B22" s="65" t="n">
        <f aca="false">IFERROR(VLOOKUP($C$4,'MP Carta 2026'!$A$4:$T$969,15,FALSE()),"")</f>
        <v>0</v>
      </c>
      <c r="C22" s="65" t="n">
        <f aca="false">IFERROR(VLOOKUP($C$4,'MP Carta 2026'!$A$4:$T$969,16,FALSE()),"")</f>
        <v>0</v>
      </c>
      <c r="D22" s="65" t="n">
        <f aca="false">IFERROR(VLOOKUP($C$4,'MP Carta 2026'!$A$4:$T$969,17,FALSE()),"")</f>
        <v>0</v>
      </c>
      <c r="E22" s="65" t="n">
        <f aca="false">IFERROR(VLOOKUP($C$4,'MP Carta 2026'!$A$4:$T$969,18,FALSE()),"")</f>
        <v>0</v>
      </c>
      <c r="F22" s="65" t="n">
        <f aca="false">IFERROR(VLOOKUP($C$4,'MP Carta 2026'!$A$4:$T$969,19,FALSE()),"")</f>
        <v>0</v>
      </c>
      <c r="G22" s="65" t="n">
        <f aca="false">IFERROR(VLOOKUP($C$4,'MP Carta 2026'!$A$4:$T$969,20,FALSE()),"")</f>
        <v>0</v>
      </c>
    </row>
    <row r="24" customFormat="false" ht="15" hidden="false" customHeight="true" outlineLevel="0" collapsed="false">
      <c r="B24" s="66" t="s">
        <v>287</v>
      </c>
    </row>
    <row r="25" customFormat="false" ht="15" hidden="false" customHeight="true" outlineLevel="0" collapsed="false">
      <c r="B25" s="67" t="s">
        <v>288</v>
      </c>
      <c r="C25" s="67" t="s">
        <v>289</v>
      </c>
      <c r="D25" s="67" t="s">
        <v>290</v>
      </c>
      <c r="E25" s="67" t="s">
        <v>38</v>
      </c>
      <c r="F25" s="67" t="s">
        <v>291</v>
      </c>
    </row>
    <row r="26" customFormat="false" ht="15" hidden="false" customHeight="true" outlineLevel="0" collapsed="false">
      <c r="B26" s="68" t="str">
        <f aca="false">IFERROR(INDEX('1. Órdenes de Trabajo'!$A$2:$A$301,$T26),"")</f>
        <v/>
      </c>
      <c r="C26" s="69" t="str">
        <f aca="false">IFERROR(INDEX('1. Órdenes de Trabajo'!$B$2:$B$301,$T26),"")</f>
        <v/>
      </c>
      <c r="D26" s="68" t="str">
        <f aca="false">IFERROR(INDEX('1. Órdenes de Trabajo'!$D$2:$D$301,$T26),"")</f>
        <v/>
      </c>
      <c r="E26" s="68" t="str">
        <f aca="false">IFERROR(INDEX('1. Órdenes de Trabajo'!$J$2:$J$301,$T26),"")</f>
        <v/>
      </c>
      <c r="F26" s="68" t="str">
        <f aca="false">IFERROR(INDEX('1. Órdenes de Trabajo'!$K$2:$K$301,$T26),"")</f>
        <v/>
      </c>
      <c r="T26" s="0" t="str">
        <f aca="false">IFERROR(_xludf.aggregate(15,6,(ROW('1. Órdenes de Trabajo'!$F$2:$F$301)-ROW('1. Órdenes de Trabajo'!$F$2)+1)/('1. Órdenes de Trabajo'!$F$2:$F$301=$C$4),1),"")</f>
        <v/>
      </c>
    </row>
    <row r="27" customFormat="false" ht="15" hidden="false" customHeight="true" outlineLevel="0" collapsed="false">
      <c r="B27" s="68" t="str">
        <f aca="false">IFERROR(INDEX('1. Órdenes de Trabajo'!$A$2:$A$301,$T27),"")</f>
        <v/>
      </c>
      <c r="C27" s="69" t="str">
        <f aca="false">IFERROR(INDEX('1. Órdenes de Trabajo'!$B$2:$B$301,$T27),"")</f>
        <v/>
      </c>
      <c r="D27" s="68" t="str">
        <f aca="false">IFERROR(INDEX('1. Órdenes de Trabajo'!$D$2:$D$301,$T27),"")</f>
        <v/>
      </c>
      <c r="E27" s="68" t="str">
        <f aca="false">IFERROR(INDEX('1. Órdenes de Trabajo'!$J$2:$J$301,$T27),"")</f>
        <v/>
      </c>
      <c r="F27" s="68" t="str">
        <f aca="false">IFERROR(INDEX('1. Órdenes de Trabajo'!$K$2:$K$301,$T27),"")</f>
        <v/>
      </c>
      <c r="T27" s="0" t="str">
        <f aca="false">IFERROR(_xludf.aggregate(15,6,(ROW('1. Órdenes de Trabajo'!$F$2:$F$301)-ROW('1. Órdenes de Trabajo'!$F$2)+1)/('1. Órdenes de Trabajo'!$F$2:$F$301=$C$4),2),"")</f>
        <v/>
      </c>
    </row>
    <row r="28" customFormat="false" ht="15" hidden="false" customHeight="true" outlineLevel="0" collapsed="false">
      <c r="B28" s="68" t="str">
        <f aca="false">IFERROR(INDEX('1. Órdenes de Trabajo'!$A$2:$A$301,$T28),"")</f>
        <v/>
      </c>
      <c r="C28" s="69" t="str">
        <f aca="false">IFERROR(INDEX('1. Órdenes de Trabajo'!$B$2:$B$301,$T28),"")</f>
        <v/>
      </c>
      <c r="D28" s="68" t="str">
        <f aca="false">IFERROR(INDEX('1. Órdenes de Trabajo'!$D$2:$D$301,$T28),"")</f>
        <v/>
      </c>
      <c r="E28" s="68" t="str">
        <f aca="false">IFERROR(INDEX('1. Órdenes de Trabajo'!$J$2:$J$301,$T28),"")</f>
        <v/>
      </c>
      <c r="F28" s="68" t="str">
        <f aca="false">IFERROR(INDEX('1. Órdenes de Trabajo'!$K$2:$K$301,$T28),"")</f>
        <v/>
      </c>
      <c r="T28" s="0" t="str">
        <f aca="false">IFERROR(_xludf.aggregate(15,6,(ROW('1. Órdenes de Trabajo'!$F$2:$F$301)-ROW('1. Órdenes de Trabajo'!$F$2)+1)/('1. Órdenes de Trabajo'!$F$2:$F$301=$C$4),3),"")</f>
        <v/>
      </c>
    </row>
    <row r="29" customFormat="false" ht="15" hidden="false" customHeight="true" outlineLevel="0" collapsed="false">
      <c r="B29" s="68" t="str">
        <f aca="false">IFERROR(INDEX('1. Órdenes de Trabajo'!$A$2:$A$301,$T29),"")</f>
        <v/>
      </c>
      <c r="C29" s="69" t="str">
        <f aca="false">IFERROR(INDEX('1. Órdenes de Trabajo'!$B$2:$B$301,$T29),"")</f>
        <v/>
      </c>
      <c r="D29" s="68" t="str">
        <f aca="false">IFERROR(INDEX('1. Órdenes de Trabajo'!$D$2:$D$301,$T29),"")</f>
        <v/>
      </c>
      <c r="E29" s="68" t="str">
        <f aca="false">IFERROR(INDEX('1. Órdenes de Trabajo'!$J$2:$J$301,$T29),"")</f>
        <v/>
      </c>
      <c r="F29" s="68" t="str">
        <f aca="false">IFERROR(INDEX('1. Órdenes de Trabajo'!$K$2:$K$301,$T29),"")</f>
        <v/>
      </c>
      <c r="T29" s="0" t="str">
        <f aca="false">IFERROR(_xludf.aggregate(15,6,(ROW('1. Órdenes de Trabajo'!$F$2:$F$301)-ROW('1. Órdenes de Trabajo'!$F$2)+1)/('1. Órdenes de Trabajo'!$F$2:$F$301=$C$4),4),"")</f>
        <v/>
      </c>
    </row>
    <row r="30" customFormat="false" ht="15" hidden="false" customHeight="true" outlineLevel="0" collapsed="false">
      <c r="B30" s="68" t="str">
        <f aca="false">IFERROR(INDEX('1. Órdenes de Trabajo'!$A$2:$A$301,$T30),"")</f>
        <v/>
      </c>
      <c r="C30" s="69" t="str">
        <f aca="false">IFERROR(INDEX('1. Órdenes de Trabajo'!$B$2:$B$301,$T30),"")</f>
        <v/>
      </c>
      <c r="D30" s="68" t="str">
        <f aca="false">IFERROR(INDEX('1. Órdenes de Trabajo'!$D$2:$D$301,$T30),"")</f>
        <v/>
      </c>
      <c r="E30" s="68" t="str">
        <f aca="false">IFERROR(INDEX('1. Órdenes de Trabajo'!$J$2:$J$301,$T30),"")</f>
        <v/>
      </c>
      <c r="F30" s="68" t="str">
        <f aca="false">IFERROR(INDEX('1. Órdenes de Trabajo'!$K$2:$K$301,$T30),"")</f>
        <v/>
      </c>
      <c r="T30" s="0" t="str">
        <f aca="false">IFERROR(_xludf.aggregate(15,6,(ROW('1. Órdenes de Trabajo'!$F$2:$F$301)-ROW('1. Órdenes de Trabajo'!$F$2)+1)/('1. Órdenes de Trabajo'!$F$2:$F$301=$C$4),5),"")</f>
        <v/>
      </c>
    </row>
    <row r="31" customFormat="false" ht="15" hidden="false" customHeight="true" outlineLevel="0" collapsed="false">
      <c r="B31" s="68" t="str">
        <f aca="false">IFERROR(INDEX('1. Órdenes de Trabajo'!$A$2:$A$301,$T31),"")</f>
        <v/>
      </c>
      <c r="C31" s="69" t="str">
        <f aca="false">IFERROR(INDEX('1. Órdenes de Trabajo'!$B$2:$B$301,$T31),"")</f>
        <v/>
      </c>
      <c r="D31" s="68" t="str">
        <f aca="false">IFERROR(INDEX('1. Órdenes de Trabajo'!$D$2:$D$301,$T31),"")</f>
        <v/>
      </c>
      <c r="E31" s="68" t="str">
        <f aca="false">IFERROR(INDEX('1. Órdenes de Trabajo'!$J$2:$J$301,$T31),"")</f>
        <v/>
      </c>
      <c r="F31" s="68" t="str">
        <f aca="false">IFERROR(INDEX('1. Órdenes de Trabajo'!$K$2:$K$301,$T31),"")</f>
        <v/>
      </c>
      <c r="T31" s="0" t="str">
        <f aca="false">IFERROR(_xludf.aggregate(15,6,(ROW('1. Órdenes de Trabajo'!$F$2:$F$301)-ROW('1. Órdenes de Trabajo'!$F$2)+1)/('1. Órdenes de Trabajo'!$F$2:$F$301=$C$4),6),"")</f>
        <v/>
      </c>
    </row>
    <row r="33" customFormat="false" ht="15" hidden="false" customHeight="true" outlineLevel="0" collapsed="false">
      <c r="B33" s="16" t="s">
        <v>292</v>
      </c>
    </row>
    <row r="34" customFormat="false" ht="15" hidden="false" customHeight="true" outlineLevel="0" collapsed="false">
      <c r="B34" s="70" t="s">
        <v>293</v>
      </c>
      <c r="C34" s="70" t="s">
        <v>294</v>
      </c>
      <c r="D34" s="70" t="s">
        <v>295</v>
      </c>
      <c r="E34" s="70" t="s">
        <v>296</v>
      </c>
    </row>
    <row r="35" customFormat="false" ht="15" hidden="false" customHeight="true" outlineLevel="0" collapsed="false">
      <c r="B35" s="68" t="str">
        <f aca="false">IFERROR(INDEX('Registro MP'!$G$2:$G$301,$T35),"")</f>
        <v/>
      </c>
      <c r="C35" s="68" t="str">
        <f aca="false">IFERROR(INDEX('Registro MP'!$J$2:$J$301,$T35),"")</f>
        <v/>
      </c>
      <c r="D35" s="69" t="str">
        <f aca="false">IFERROR(INDEX('Registro MP'!$L$2:$L$301,$T35),"")</f>
        <v/>
      </c>
      <c r="E35" s="68" t="str">
        <f aca="false">IFERROR(INDEX('Registro MP'!$N$2:$N$301,$T35),"")</f>
        <v/>
      </c>
      <c r="T35" s="0" t="str">
        <f aca="false">IFERROR(_xludf.aggregate(15,6,(ROW('Registro MP'!$A$2:$A$301)-ROW('Registro MP'!$A$2)+1)/('Registro MP'!$A$2:$A$301=$C$4),1),"")</f>
        <v/>
      </c>
    </row>
    <row r="36" customFormat="false" ht="15" hidden="false" customHeight="true" outlineLevel="0" collapsed="false">
      <c r="B36" s="68" t="str">
        <f aca="false">IFERROR(INDEX('Registro MP'!$G$2:$G$301,$T36),"")</f>
        <v/>
      </c>
      <c r="C36" s="68" t="str">
        <f aca="false">IFERROR(INDEX('Registro MP'!$J$2:$J$301,$T36),"")</f>
        <v/>
      </c>
      <c r="D36" s="69" t="str">
        <f aca="false">IFERROR(INDEX('Registro MP'!$L$2:$L$301,$T36),"")</f>
        <v/>
      </c>
      <c r="E36" s="68" t="str">
        <f aca="false">IFERROR(INDEX('Registro MP'!$N$2:$N$301,$T36),"")</f>
        <v/>
      </c>
      <c r="T36" s="0" t="str">
        <f aca="false">IFERROR(_xludf.aggregate(15,6,(ROW('Registro MP'!$A$2:$A$301)-ROW('Registro MP'!$A$2)+1)/('Registro MP'!$A$2:$A$301=$C$4),2),"")</f>
        <v/>
      </c>
    </row>
    <row r="37" customFormat="false" ht="15" hidden="false" customHeight="true" outlineLevel="0" collapsed="false">
      <c r="B37" s="68" t="str">
        <f aca="false">IFERROR(INDEX('Registro MP'!$G$2:$G$301,$T37),"")</f>
        <v/>
      </c>
      <c r="C37" s="68" t="str">
        <f aca="false">IFERROR(INDEX('Registro MP'!$J$2:$J$301,$T37),"")</f>
        <v/>
      </c>
      <c r="D37" s="69" t="str">
        <f aca="false">IFERROR(INDEX('Registro MP'!$L$2:$L$301,$T37),"")</f>
        <v/>
      </c>
      <c r="E37" s="68" t="str">
        <f aca="false">IFERROR(INDEX('Registro MP'!$N$2:$N$301,$T37),"")</f>
        <v/>
      </c>
      <c r="T37" s="0" t="str">
        <f aca="false">IFERROR(_xludf.aggregate(15,6,(ROW('Registro MP'!$A$2:$A$301)-ROW('Registro MP'!$A$2)+1)/('Registro MP'!$A$2:$A$301=$C$4),3),"")</f>
        <v/>
      </c>
    </row>
    <row r="38" customFormat="false" ht="15" hidden="false" customHeight="true" outlineLevel="0" collapsed="false">
      <c r="B38" s="68" t="str">
        <f aca="false">IFERROR(INDEX('Registro MP'!$G$2:$G$301,$T38),"")</f>
        <v/>
      </c>
      <c r="C38" s="68" t="str">
        <f aca="false">IFERROR(INDEX('Registro MP'!$J$2:$J$301,$T38),"")</f>
        <v/>
      </c>
      <c r="D38" s="69" t="str">
        <f aca="false">IFERROR(INDEX('Registro MP'!$L$2:$L$301,$T38),"")</f>
        <v/>
      </c>
      <c r="E38" s="68" t="str">
        <f aca="false">IFERROR(INDEX('Registro MP'!$N$2:$N$301,$T38),"")</f>
        <v/>
      </c>
      <c r="T38" s="0" t="str">
        <f aca="false">IFERROR(_xludf.aggregate(15,6,(ROW('Registro MP'!$A$2:$A$301)-ROW('Registro MP'!$A$2)+1)/('Registro MP'!$A$2:$A$301=$C$4),4),"")</f>
        <v/>
      </c>
    </row>
    <row r="39" customFormat="false" ht="15" hidden="false" customHeight="true" outlineLevel="0" collapsed="false">
      <c r="B39" s="68" t="str">
        <f aca="false">IFERROR(INDEX('Registro MP'!$G$2:$G$301,$T39),"")</f>
        <v/>
      </c>
      <c r="C39" s="68" t="str">
        <f aca="false">IFERROR(INDEX('Registro MP'!$J$2:$J$301,$T39),"")</f>
        <v/>
      </c>
      <c r="D39" s="69" t="str">
        <f aca="false">IFERROR(INDEX('Registro MP'!$L$2:$L$301,$T39),"")</f>
        <v/>
      </c>
      <c r="E39" s="68" t="str">
        <f aca="false">IFERROR(INDEX('Registro MP'!$N$2:$N$301,$T39),"")</f>
        <v/>
      </c>
      <c r="T39" s="0" t="str">
        <f aca="false">IFERROR(_xludf.aggregate(15,6,(ROW('Registro MP'!$A$2:$A$301)-ROW('Registro MP'!$A$2)+1)/('Registro MP'!$A$2:$A$301=$C$4),5),"")</f>
        <v/>
      </c>
    </row>
    <row r="40" customFormat="false" ht="15" hidden="false" customHeight="true" outlineLevel="0" collapsed="false">
      <c r="B40" s="68" t="str">
        <f aca="false">IFERROR(INDEX('Registro MP'!$G$2:$G$301,$T40),"")</f>
        <v/>
      </c>
      <c r="C40" s="68" t="str">
        <f aca="false">IFERROR(INDEX('Registro MP'!$J$2:$J$301,$T40),"")</f>
        <v/>
      </c>
      <c r="D40" s="69" t="str">
        <f aca="false">IFERROR(INDEX('Registro MP'!$L$2:$L$301,$T40),"")</f>
        <v/>
      </c>
      <c r="E40" s="68" t="str">
        <f aca="false">IFERROR(INDEX('Registro MP'!$N$2:$N$301,$T40),"")</f>
        <v/>
      </c>
      <c r="T40" s="0" t="str">
        <f aca="false">IFERROR(_xludf.aggregate(15,6,(ROW('Registro MP'!$A$2:$A$301)-ROW('Registro MP'!$A$2)+1)/('Registro MP'!$A$2:$A$301=$C$4),6),"")</f>
        <v/>
      </c>
    </row>
    <row r="41" customFormat="false" ht="15" hidden="false" customHeight="true" outlineLevel="0" collapsed="false">
      <c r="B41" s="68" t="str">
        <f aca="false">IFERROR(INDEX('Registro MP'!$G$2:$G$301,$T41),"")</f>
        <v/>
      </c>
      <c r="C41" s="68" t="str">
        <f aca="false">IFERROR(INDEX('Registro MP'!$J$2:$J$301,$T41),"")</f>
        <v/>
      </c>
      <c r="D41" s="69" t="str">
        <f aca="false">IFERROR(INDEX('Registro MP'!$L$2:$L$301,$T41),"")</f>
        <v/>
      </c>
      <c r="E41" s="68" t="str">
        <f aca="false">IFERROR(INDEX('Registro MP'!$N$2:$N$301,$T41),"")</f>
        <v/>
      </c>
      <c r="T41" s="0" t="str">
        <f aca="false">IFERROR(_xludf.aggregate(15,6,(ROW('Registro MP'!$A$2:$A$301)-ROW('Registro MP'!$A$2)+1)/('Registro MP'!$A$2:$A$301=$C$4),7),"")</f>
        <v/>
      </c>
    </row>
    <row r="42" customFormat="false" ht="15" hidden="false" customHeight="true" outlineLevel="0" collapsed="false">
      <c r="B42" s="68" t="str">
        <f aca="false">IFERROR(INDEX('Registro MP'!$G$2:$G$301,$T42),"")</f>
        <v/>
      </c>
      <c r="C42" s="68" t="str">
        <f aca="false">IFERROR(INDEX('Registro MP'!$J$2:$J$301,$T42),"")</f>
        <v/>
      </c>
      <c r="D42" s="69" t="str">
        <f aca="false">IFERROR(INDEX('Registro MP'!$L$2:$L$301,$T42),"")</f>
        <v/>
      </c>
      <c r="E42" s="68" t="str">
        <f aca="false">IFERROR(INDEX('Registro MP'!$N$2:$N$301,$T42),"")</f>
        <v/>
      </c>
      <c r="T42" s="0" t="str">
        <f aca="false">IFERROR(_xludf.aggregate(15,6,(ROW('Registro MP'!$A$2:$A$301)-ROW('Registro MP'!$A$2)+1)/('Registro MP'!$A$2:$A$301=$C$4),8),"")</f>
        <v/>
      </c>
    </row>
    <row r="43" customFormat="false" ht="15" hidden="false" customHeight="true" outlineLevel="0" collapsed="false">
      <c r="B43" s="68" t="str">
        <f aca="false">IFERROR(INDEX('Registro MP'!$G$2:$G$301,$T43),"")</f>
        <v/>
      </c>
      <c r="C43" s="68" t="str">
        <f aca="false">IFERROR(INDEX('Registro MP'!$J$2:$J$301,$T43),"")</f>
        <v/>
      </c>
      <c r="D43" s="69" t="str">
        <f aca="false">IFERROR(INDEX('Registro MP'!$L$2:$L$301,$T43),"")</f>
        <v/>
      </c>
      <c r="E43" s="68" t="str">
        <f aca="false">IFERROR(INDEX('Registro MP'!$N$2:$N$301,$T43),"")</f>
        <v/>
      </c>
      <c r="T43" s="0" t="str">
        <f aca="false">IFERROR(_xludf.aggregate(15,6,(ROW('Registro MP'!$A$2:$A$301)-ROW('Registro MP'!$A$2)+1)/('Registro MP'!$A$2:$A$301=$C$4),9),"")</f>
        <v/>
      </c>
    </row>
    <row r="44" customFormat="false" ht="15" hidden="false" customHeight="true" outlineLevel="0" collapsed="false">
      <c r="B44" s="68" t="str">
        <f aca="false">IFERROR(INDEX('Registro MP'!$G$2:$G$301,$T44),"")</f>
        <v/>
      </c>
      <c r="C44" s="68" t="str">
        <f aca="false">IFERROR(INDEX('Registro MP'!$J$2:$J$301,$T44),"")</f>
        <v/>
      </c>
      <c r="D44" s="69" t="str">
        <f aca="false">IFERROR(INDEX('Registro MP'!$L$2:$L$301,$T44),"")</f>
        <v/>
      </c>
      <c r="E44" s="68" t="str">
        <f aca="false">IFERROR(INDEX('Registro MP'!$N$2:$N$301,$T44),"")</f>
        <v/>
      </c>
      <c r="T44" s="0" t="str">
        <f aca="false">IFERROR(_xludf.aggregate(15,6,(ROW('Registro MP'!$A$2:$A$301)-ROW('Registro MP'!$A$2)+1)/('Registro MP'!$A$2:$A$301=$C$4),10),"")</f>
        <v/>
      </c>
    </row>
    <row r="46" customFormat="false" ht="15" hidden="false" customHeight="true" outlineLevel="0" collapsed="false">
      <c r="B46" s="22" t="s">
        <v>297</v>
      </c>
    </row>
    <row r="47" customFormat="false" ht="15" hidden="false" customHeight="true" outlineLevel="0" collapsed="false">
      <c r="B47" s="71" t="s">
        <v>298</v>
      </c>
      <c r="C47" s="71" t="s">
        <v>38</v>
      </c>
      <c r="D47" s="71" t="s">
        <v>299</v>
      </c>
      <c r="E47" s="71" t="s">
        <v>300</v>
      </c>
      <c r="F47" s="71" t="s">
        <v>52</v>
      </c>
    </row>
    <row r="48" customFormat="false" ht="15" hidden="false" customHeight="true" outlineLevel="0" collapsed="false">
      <c r="B48" s="68" t="str">
        <f aca="false">IFERROR(INDEX(Pendientes!$D$2:$D$301,$T48),"")</f>
        <v/>
      </c>
      <c r="C48" s="68" t="str">
        <f aca="false">IFERROR(INDEX(Pendientes!$H$2:$H$301,$T48),"")</f>
        <v/>
      </c>
      <c r="D48" s="68" t="str">
        <f aca="false">IFERROR(INDEX(Pendientes!$E$2:$E$301,$T48),"")</f>
        <v/>
      </c>
      <c r="E48" s="68" t="str">
        <f aca="false">IFERROR(INDEX(Pendientes!$J$2:$J$301,$T48),"")</f>
        <v/>
      </c>
      <c r="F48" s="68" t="str">
        <f aca="false">IFERROR(INDEX(Pendientes!$M$2:$M$301,$T48),"")</f>
        <v/>
      </c>
      <c r="T48" s="0" t="str">
        <f aca="false">IFERROR(_xludf.aggregate(15,6,(ROW(Pendientes!$C$2:$C$301)-ROW(Pendientes!$C$2)+1)/(Pendientes!$C$2:$C$301=$C$4),1),"")</f>
        <v/>
      </c>
    </row>
    <row r="49" customFormat="false" ht="15" hidden="false" customHeight="true" outlineLevel="0" collapsed="false">
      <c r="B49" s="68" t="str">
        <f aca="false">IFERROR(INDEX(Pendientes!$D$2:$D$301,$T49),"")</f>
        <v/>
      </c>
      <c r="C49" s="68" t="str">
        <f aca="false">IFERROR(INDEX(Pendientes!$H$2:$H$301,$T49),"")</f>
        <v/>
      </c>
      <c r="D49" s="68" t="str">
        <f aca="false">IFERROR(INDEX(Pendientes!$E$2:$E$301,$T49),"")</f>
        <v/>
      </c>
      <c r="E49" s="68" t="str">
        <f aca="false">IFERROR(INDEX(Pendientes!$J$2:$J$301,$T49),"")</f>
        <v/>
      </c>
      <c r="F49" s="68" t="str">
        <f aca="false">IFERROR(INDEX(Pendientes!$M$2:$M$301,$T49),"")</f>
        <v/>
      </c>
      <c r="T49" s="0" t="str">
        <f aca="false">IFERROR(_xludf.aggregate(15,6,(ROW(Pendientes!$C$2:$C$301)-ROW(Pendientes!$C$2)+1)/(Pendientes!$C$2:$C$301=$C$4),2),"")</f>
        <v/>
      </c>
    </row>
    <row r="50" customFormat="false" ht="15" hidden="false" customHeight="true" outlineLevel="0" collapsed="false">
      <c r="B50" s="68" t="str">
        <f aca="false">IFERROR(INDEX(Pendientes!$D$2:$D$301,$T50),"")</f>
        <v/>
      </c>
      <c r="C50" s="68" t="str">
        <f aca="false">IFERROR(INDEX(Pendientes!$H$2:$H$301,$T50),"")</f>
        <v/>
      </c>
      <c r="D50" s="68" t="str">
        <f aca="false">IFERROR(INDEX(Pendientes!$E$2:$E$301,$T50),"")</f>
        <v/>
      </c>
      <c r="E50" s="68" t="str">
        <f aca="false">IFERROR(INDEX(Pendientes!$J$2:$J$301,$T50),"")</f>
        <v/>
      </c>
      <c r="F50" s="68" t="str">
        <f aca="false">IFERROR(INDEX(Pendientes!$M$2:$M$301,$T50),"")</f>
        <v/>
      </c>
      <c r="T50" s="0" t="str">
        <f aca="false">IFERROR(_xludf.aggregate(15,6,(ROW(Pendientes!$C$2:$C$301)-ROW(Pendientes!$C$2)+1)/(Pendientes!$C$2:$C$301=$C$4),3),"")</f>
        <v/>
      </c>
    </row>
    <row r="51" customFormat="false" ht="15" hidden="false" customHeight="true" outlineLevel="0" collapsed="false">
      <c r="B51" s="68" t="str">
        <f aca="false">IFERROR(INDEX(Pendientes!$D$2:$D$301,$T51),"")</f>
        <v/>
      </c>
      <c r="C51" s="68" t="str">
        <f aca="false">IFERROR(INDEX(Pendientes!$H$2:$H$301,$T51),"")</f>
        <v/>
      </c>
      <c r="D51" s="68" t="str">
        <f aca="false">IFERROR(INDEX(Pendientes!$E$2:$E$301,$T51),"")</f>
        <v/>
      </c>
      <c r="E51" s="68" t="str">
        <f aca="false">IFERROR(INDEX(Pendientes!$J$2:$J$301,$T51),"")</f>
        <v/>
      </c>
      <c r="F51" s="68" t="str">
        <f aca="false">IFERROR(INDEX(Pendientes!$M$2:$M$301,$T51),"")</f>
        <v/>
      </c>
      <c r="T51" s="0" t="str">
        <f aca="false">IFERROR(_xludf.aggregate(15,6,(ROW(Pendientes!$C$2:$C$301)-ROW(Pendientes!$C$2)+1)/(Pendientes!$C$2:$C$301=$C$4),4),"")</f>
        <v/>
      </c>
    </row>
    <row r="52" customFormat="false" ht="15" hidden="false" customHeight="true" outlineLevel="0" collapsed="false">
      <c r="B52" s="68" t="str">
        <f aca="false">IFERROR(INDEX(Pendientes!$D$2:$D$301,$T52),"")</f>
        <v/>
      </c>
      <c r="C52" s="68" t="str">
        <f aca="false">IFERROR(INDEX(Pendientes!$H$2:$H$301,$T52),"")</f>
        <v/>
      </c>
      <c r="D52" s="68" t="str">
        <f aca="false">IFERROR(INDEX(Pendientes!$E$2:$E$301,$T52),"")</f>
        <v/>
      </c>
      <c r="E52" s="68" t="str">
        <f aca="false">IFERROR(INDEX(Pendientes!$J$2:$J$301,$T52),"")</f>
        <v/>
      </c>
      <c r="F52" s="68" t="str">
        <f aca="false">IFERROR(INDEX(Pendientes!$M$2:$M$301,$T52),"")</f>
        <v/>
      </c>
      <c r="T52" s="0" t="str">
        <f aca="false">IFERROR(_xludf.aggregate(15,6,(ROW(Pendientes!$C$2:$C$301)-ROW(Pendientes!$C$2)+1)/(Pendientes!$C$2:$C$301=$C$4),5),"")</f>
        <v/>
      </c>
    </row>
    <row r="53" customFormat="false" ht="15" hidden="false" customHeight="true" outlineLevel="0" collapsed="false">
      <c r="B53" s="68" t="str">
        <f aca="false">IFERROR(INDEX(Pendientes!$D$2:$D$301,$T53),"")</f>
        <v/>
      </c>
      <c r="C53" s="68" t="str">
        <f aca="false">IFERROR(INDEX(Pendientes!$H$2:$H$301,$T53),"")</f>
        <v/>
      </c>
      <c r="D53" s="68" t="str">
        <f aca="false">IFERROR(INDEX(Pendientes!$E$2:$E$301,$T53),"")</f>
        <v/>
      </c>
      <c r="E53" s="68" t="str">
        <f aca="false">IFERROR(INDEX(Pendientes!$J$2:$J$301,$T53),"")</f>
        <v/>
      </c>
      <c r="F53" s="68" t="str">
        <f aca="false">IFERROR(INDEX(Pendientes!$M$2:$M$301,$T53),"")</f>
        <v/>
      </c>
      <c r="T53" s="0" t="str">
        <f aca="false">IFERROR(_xludf.aggregate(15,6,(ROW(Pendientes!$C$2:$C$301)-ROW(Pendientes!$C$2)+1)/(Pendientes!$C$2:$C$301=$C$4),6),"")</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H1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22"/>
    <col collapsed="false" customWidth="true" hidden="false" outlineLevel="0" max="4" min="4" style="0" width="18"/>
    <col collapsed="false" customWidth="true" hidden="false" outlineLevel="0" max="5" min="5" style="0" width="22"/>
    <col collapsed="false" customWidth="true" hidden="false" outlineLevel="0" max="8" min="6" style="0" width="20"/>
  </cols>
  <sheetData>
    <row r="1" customFormat="false" ht="18" hidden="false" customHeight="true" outlineLevel="0" collapsed="false">
      <c r="A1" s="72" t="s">
        <v>301</v>
      </c>
      <c r="B1" s="72"/>
      <c r="C1" s="72"/>
      <c r="D1" s="72"/>
      <c r="E1" s="72"/>
      <c r="F1" s="72"/>
      <c r="G1" s="72"/>
      <c r="H1" s="72"/>
    </row>
    <row r="2" customFormat="false" ht="15" hidden="false" customHeight="true" outlineLevel="0" collapsed="false">
      <c r="A2" s="73" t="s">
        <v>302</v>
      </c>
      <c r="B2" s="73"/>
      <c r="C2" s="73"/>
      <c r="D2" s="73"/>
      <c r="E2" s="73"/>
      <c r="F2" s="73"/>
      <c r="G2" s="73"/>
      <c r="H2" s="73"/>
    </row>
    <row r="3" customFormat="false" ht="15" hidden="false" customHeight="true" outlineLevel="0" collapsed="false">
      <c r="A3" s="74" t="s">
        <v>2</v>
      </c>
      <c r="B3" s="75" t="n">
        <f aca="true">TODAY()</f>
        <v>46191</v>
      </c>
    </row>
    <row r="5" customFormat="false" ht="27.75" hidden="false" customHeight="true" outlineLevel="0" collapsed="false">
      <c r="A5" s="76" t="s">
        <v>4</v>
      </c>
      <c r="B5" s="77" t="s">
        <v>5</v>
      </c>
      <c r="C5" s="77" t="s">
        <v>303</v>
      </c>
      <c r="D5" s="78" t="s">
        <v>7</v>
      </c>
      <c r="E5" s="79" t="s">
        <v>304</v>
      </c>
      <c r="F5" s="80" t="s">
        <v>305</v>
      </c>
    </row>
    <row r="6" customFormat="false" ht="33.75" hidden="false" customHeight="true" outlineLevel="0" collapsed="false">
      <c r="A6" s="81" t="n">
        <f aca="false">COUNTIF('1. Órdenes de Trabajo'!$J$2:$J$301,"Abierto")</f>
        <v>11</v>
      </c>
      <c r="B6" s="82" t="n">
        <f aca="false">COUNTIFS('1. Órdenes de Trabajo'!$J$2:$J$301,"Abierto",'1. Órdenes de Trabajo'!$H$2:$H$301,"No Operativo")</f>
        <v>11</v>
      </c>
      <c r="C6" s="82" t="n">
        <f aca="false">SUMPRODUCT(('5. Servicio Técnico (Envíos)'!$A$2:$A$301&lt;&gt;"")*('5. Servicio Técnico (Envíos)'!$I$2:$I$301=""))</f>
        <v>8</v>
      </c>
      <c r="D6" s="83" t="n">
        <f aca="false">COUNTIF('6. Bajas'!$A$2:$A$301,"?*")</f>
        <v>0</v>
      </c>
      <c r="E6" s="84" t="n">
        <f aca="false">COUNTIF('1. Órdenes de Trabajo'!$J$2:$J$301,"Cerrado")</f>
        <v>4</v>
      </c>
      <c r="F6" s="85" t="n">
        <f aca="false">COUNTIF('4. Visitas Técnicas'!$L$2:$L$301,"No")+COUNTIF('5. Servicio Técnico (Envíos)'!$M$2:$M$301,"No")</f>
        <v>2</v>
      </c>
    </row>
    <row r="9" customFormat="false" ht="27.75" hidden="false" customHeight="true" outlineLevel="0" collapsed="false">
      <c r="A9" s="86" t="s">
        <v>306</v>
      </c>
      <c r="B9" s="86" t="s">
        <v>21</v>
      </c>
      <c r="C9" s="86" t="s">
        <v>22</v>
      </c>
      <c r="D9" s="86" t="s">
        <v>307</v>
      </c>
      <c r="E9" s="86" t="s">
        <v>308</v>
      </c>
      <c r="F9" s="86" t="s">
        <v>289</v>
      </c>
      <c r="G9" s="86" t="s">
        <v>309</v>
      </c>
      <c r="H9" s="86" t="s">
        <v>310</v>
      </c>
    </row>
    <row r="10" customFormat="false" ht="15" hidden="false" customHeight="true" outlineLevel="0" collapsed="false">
      <c r="A10" s="87" t="str">
        <f aca="false">IF('1. Órdenes de Trabajo'!$J2="Abierto",'1. Órdenes de Trabajo'!$A2,"")</f>
        <v/>
      </c>
      <c r="B10" s="87" t="str">
        <f aca="false">IF('1. Órdenes de Trabajo'!$J2="Abierto",'1. Órdenes de Trabajo'!$E2,"")</f>
        <v/>
      </c>
      <c r="C10" s="87" t="str">
        <f aca="false">IF('1. Órdenes de Trabajo'!$J2="Abierto",'1. Órdenes de Trabajo'!$I2,"")</f>
        <v/>
      </c>
      <c r="D10" s="87" t="str">
        <f aca="false">IF('1. Órdenes de Trabajo'!$J2="Abierto",IF(COUNTIF('6. Bajas'!$A$2:$A$301,'1. Órdenes de Trabajo'!$A2)&gt;0,"Baja",IF(SUMPRODUCT(('5. Servicio Técnico (Envíos)'!$A$2:$A$301='1. Órdenes de Trabajo'!$A2)*('5. Servicio Técnico (Envíos)'!$I$2:$I$301=""))&gt;0,"Servicio Técnico",'1. Órdenes de Trabajo'!$H2)),"")</f>
        <v/>
      </c>
      <c r="E10" s="87" t="str">
        <f aca="false">IF('1. Órdenes de Trabajo'!$J2="Abierto",'1. Órdenes de Trabajo'!$C2,"")</f>
        <v/>
      </c>
      <c r="F10" s="88" t="str">
        <f aca="false">IF('1. Órdenes de Trabajo'!$J2="Abierto",'1. Órdenes de Trabajo'!$B2,"")</f>
        <v/>
      </c>
      <c r="G10" s="89" t="str">
        <f aca="true">IFERROR(IF('1. Órdenes de Trabajo'!$J2="Abierto",IF('1. Órdenes de Trabajo'!$B2="","",TODAY()-IF(ISNUMBER('1. Órdenes de Trabajo'!$B2),'1. Órdenes de Trabajo'!$B2,DATE(VALUE(MID('1. Órdenes de Trabajo'!$B2,7,4)),VALUE(MID('1. Órdenes de Trabajo'!$B2,4,2)),VALUE(MID('1. Órdenes de Trabajo'!$B2,1,2))))),""),"")</f>
        <v/>
      </c>
      <c r="H10" s="87" t="str">
        <f aca="false">IF('1. Órdenes de Trabajo'!$J2="Abierto",'1. Órdenes de Trabajo'!$J2,"")</f>
        <v/>
      </c>
    </row>
    <row r="11" customFormat="false" ht="15" hidden="false" customHeight="true" outlineLevel="0" collapsed="false">
      <c r="A11" s="87" t="str">
        <f aca="false">IF('1. Órdenes de Trabajo'!$J3="Abierto",'1. Órdenes de Trabajo'!$A3,"")</f>
        <v>2025-121109-19-18809</v>
      </c>
      <c r="B11" s="87" t="str">
        <f aca="false">IF('1. Órdenes de Trabajo'!$J3="Abierto",'1. Órdenes de Trabajo'!$E3,"")</f>
        <v>Ventilador Mecánico </v>
      </c>
      <c r="C11" s="87" t="str">
        <f aca="false">IF('1. Órdenes de Trabajo'!$J3="Abierto",'1. Órdenes de Trabajo'!$I3,"")</f>
        <v>UPC Pediátrica </v>
      </c>
      <c r="D11" s="87" t="str">
        <f aca="false">IF('1. Órdenes de Trabajo'!$J3="Abierto",IF(COUNTIF('6. Bajas'!$A$2:$A$301,'1. Órdenes de Trabajo'!$A3)&gt;0,"Baja",IF(SUMPRODUCT(('5. Servicio Técnico (Envíos)'!$A$2:$A$301='1. Órdenes de Trabajo'!$A3)*('5. Servicio Técnico (Envíos)'!$I$2:$I$301=""))&gt;0,"Servicio Técnico",'1. Órdenes de Trabajo'!$H3)),"")</f>
        <v>No Operativo</v>
      </c>
      <c r="E11" s="87" t="str">
        <f aca="false">IF('1. Órdenes de Trabajo'!$J3="Abierto",'1. Órdenes de Trabajo'!$C3,"")</f>
        <v>Ricardo Matus Aroca</v>
      </c>
      <c r="F11" s="88" t="str">
        <f aca="false">IF('1. Órdenes de Trabajo'!$J3="Abierto",'1. Órdenes de Trabajo'!$B3,"")</f>
        <v>24-10-2025</v>
      </c>
      <c r="G11" s="89" t="n">
        <f aca="true">IFERROR(IF('1. Órdenes de Trabajo'!$J3="Abierto",IF('1. Órdenes de Trabajo'!$B3="","",TODAY()-IF(ISNUMBER('1. Órdenes de Trabajo'!$B3),'1. Órdenes de Trabajo'!$B3,DATE(VALUE(MID('1. Órdenes de Trabajo'!$B3,7,4)),VALUE(MID('1. Órdenes de Trabajo'!$B3,4,2)),VALUE(MID('1. Órdenes de Trabajo'!$B3,1,2))))),""),"")</f>
        <v>237</v>
      </c>
      <c r="H11" s="87" t="str">
        <f aca="false">IF('1. Órdenes de Trabajo'!$J3="Abierto",'1. Órdenes de Trabajo'!$J3,"")</f>
        <v>Abierto</v>
      </c>
    </row>
    <row r="12" customFormat="false" ht="15" hidden="false" customHeight="true" outlineLevel="0" collapsed="false">
      <c r="A12" s="87" t="str">
        <f aca="false">IF('1. Órdenes de Trabajo'!$J4="Abierto",'1. Órdenes de Trabajo'!$A4,"")</f>
        <v/>
      </c>
      <c r="B12" s="87" t="str">
        <f aca="false">IF('1. Órdenes de Trabajo'!$J4="Abierto",'1. Órdenes de Trabajo'!$E4,"")</f>
        <v/>
      </c>
      <c r="C12" s="87" t="str">
        <f aca="false">IF('1. Órdenes de Trabajo'!$J4="Abierto",'1. Órdenes de Trabajo'!$I4,"")</f>
        <v/>
      </c>
      <c r="D12" s="87" t="str">
        <f aca="false">IF('1. Órdenes de Trabajo'!$J4="Abierto",IF(COUNTIF('6. Bajas'!$A$2:$A$301,'1. Órdenes de Trabajo'!$A4)&gt;0,"Baja",IF(SUMPRODUCT(('5. Servicio Técnico (Envíos)'!$A$2:$A$301='1. Órdenes de Trabajo'!$A4)*('5. Servicio Técnico (Envíos)'!$I$2:$I$301=""))&gt;0,"Servicio Técnico",'1. Órdenes de Trabajo'!$H4)),"")</f>
        <v/>
      </c>
      <c r="E12" s="87" t="str">
        <f aca="false">IF('1. Órdenes de Trabajo'!$J4="Abierto",'1. Órdenes de Trabajo'!$C4,"")</f>
        <v/>
      </c>
      <c r="F12" s="88" t="str">
        <f aca="false">IF('1. Órdenes de Trabajo'!$J4="Abierto",'1. Órdenes de Trabajo'!$B4,"")</f>
        <v/>
      </c>
      <c r="G12" s="89" t="str">
        <f aca="true">IFERROR(IF('1. Órdenes de Trabajo'!$J4="Abierto",IF('1. Órdenes de Trabajo'!$B4="","",TODAY()-IF(ISNUMBER('1. Órdenes de Trabajo'!$B4),'1. Órdenes de Trabajo'!$B4,DATE(VALUE(MID('1. Órdenes de Trabajo'!$B4,7,4)),VALUE(MID('1. Órdenes de Trabajo'!$B4,4,2)),VALUE(MID('1. Órdenes de Trabajo'!$B4,1,2))))),""),"")</f>
        <v/>
      </c>
      <c r="H12" s="87" t="str">
        <f aca="false">IF('1. Órdenes de Trabajo'!$J4="Abierto",'1. Órdenes de Trabajo'!$J4,"")</f>
        <v/>
      </c>
    </row>
    <row r="13" customFormat="false" ht="15" hidden="false" customHeight="true" outlineLevel="0" collapsed="false">
      <c r="A13" s="87" t="str">
        <f aca="false">IF('1. Órdenes de Trabajo'!$J5="Abierto",'1. Órdenes de Trabajo'!$A5,"")</f>
        <v/>
      </c>
      <c r="B13" s="87" t="str">
        <f aca="false">IF('1. Órdenes de Trabajo'!$J5="Abierto",'1. Órdenes de Trabajo'!$E5,"")</f>
        <v/>
      </c>
      <c r="C13" s="87" t="str">
        <f aca="false">IF('1. Órdenes de Trabajo'!$J5="Abierto",'1. Órdenes de Trabajo'!$I5,"")</f>
        <v/>
      </c>
      <c r="D13" s="87" t="str">
        <f aca="false">IF('1. Órdenes de Trabajo'!$J5="Abierto",IF(COUNTIF('6. Bajas'!$A$2:$A$301,'1. Órdenes de Trabajo'!$A5)&gt;0,"Baja",IF(SUMPRODUCT(('5. Servicio Técnico (Envíos)'!$A$2:$A$301='1. Órdenes de Trabajo'!$A5)*('5. Servicio Técnico (Envíos)'!$I$2:$I$301=""))&gt;0,"Servicio Técnico",'1. Órdenes de Trabajo'!$H5)),"")</f>
        <v/>
      </c>
      <c r="E13" s="87" t="str">
        <f aca="false">IF('1. Órdenes de Trabajo'!$J5="Abierto",'1. Órdenes de Trabajo'!$C5,"")</f>
        <v/>
      </c>
      <c r="F13" s="88" t="str">
        <f aca="false">IF('1. Órdenes de Trabajo'!$J5="Abierto",'1. Órdenes de Trabajo'!$B5,"")</f>
        <v/>
      </c>
      <c r="G13" s="89" t="str">
        <f aca="true">IFERROR(IF('1. Órdenes de Trabajo'!$J5="Abierto",IF('1. Órdenes de Trabajo'!$B5="","",TODAY()-IF(ISNUMBER('1. Órdenes de Trabajo'!$B5),'1. Órdenes de Trabajo'!$B5,DATE(VALUE(MID('1. Órdenes de Trabajo'!$B5,7,4)),VALUE(MID('1. Órdenes de Trabajo'!$B5,4,2)),VALUE(MID('1. Órdenes de Trabajo'!$B5,1,2))))),""),"")</f>
        <v/>
      </c>
      <c r="H13" s="87" t="str">
        <f aca="false">IF('1. Órdenes de Trabajo'!$J5="Abierto",'1. Órdenes de Trabajo'!$J5,"")</f>
        <v/>
      </c>
    </row>
    <row r="14" customFormat="false" ht="15" hidden="false" customHeight="true" outlineLevel="0" collapsed="false">
      <c r="A14" s="87" t="str">
        <f aca="false">IF('1. Órdenes de Trabajo'!$J6="Abierto",'1. Órdenes de Trabajo'!$A6,"")</f>
        <v>2026-121109-19-6215</v>
      </c>
      <c r="B14" s="87" t="str">
        <f aca="false">IF('1. Órdenes de Trabajo'!$J6="Abierto",'1. Órdenes de Trabajo'!$E6,"")</f>
        <v>Máquina Diálisis</v>
      </c>
      <c r="C14" s="87" t="str">
        <f aca="false">IF('1. Órdenes de Trabajo'!$J6="Abierto",'1. Órdenes de Trabajo'!$I6,"")</f>
        <v>Hemodiálisis</v>
      </c>
      <c r="D14" s="87" t="str">
        <f aca="false">IF('1. Órdenes de Trabajo'!$J6="Abierto",IF(COUNTIF('6. Bajas'!$A$2:$A$301,'1. Órdenes de Trabajo'!$A6)&gt;0,"Baja",IF(SUMPRODUCT(('5. Servicio Técnico (Envíos)'!$A$2:$A$301='1. Órdenes de Trabajo'!$A6)*('5. Servicio Técnico (Envíos)'!$I$2:$I$301=""))&gt;0,"Servicio Técnico",'1. Órdenes de Trabajo'!$H6)),"")</f>
        <v>No Operativo</v>
      </c>
      <c r="E14" s="87" t="str">
        <f aca="false">IF('1. Órdenes de Trabajo'!$J6="Abierto",'1. Órdenes de Trabajo'!$C6,"")</f>
        <v>Cristián Beltrán Oviedo</v>
      </c>
      <c r="F14" s="88" t="str">
        <f aca="false">IF('1. Órdenes de Trabajo'!$J6="Abierto",'1. Órdenes de Trabajo'!$B6,"")</f>
        <v>06-04-2026</v>
      </c>
      <c r="G14" s="89" t="n">
        <f aca="true">IFERROR(IF('1. Órdenes de Trabajo'!$J6="Abierto",IF('1. Órdenes de Trabajo'!$B6="","",TODAY()-IF(ISNUMBER('1. Órdenes de Trabajo'!$B6),'1. Órdenes de Trabajo'!$B6,DATE(VALUE(MID('1. Órdenes de Trabajo'!$B6,7,4)),VALUE(MID('1. Órdenes de Trabajo'!$B6,4,2)),VALUE(MID('1. Órdenes de Trabajo'!$B6,1,2))))),""),"")</f>
        <v>73</v>
      </c>
      <c r="H14" s="87" t="str">
        <f aca="false">IF('1. Órdenes de Trabajo'!$J6="Abierto",'1. Órdenes de Trabajo'!$J6,"")</f>
        <v>Abierto</v>
      </c>
    </row>
    <row r="15" customFormat="false" ht="15" hidden="false" customHeight="true" outlineLevel="0" collapsed="false">
      <c r="A15" s="87" t="str">
        <f aca="false">IF('1. Órdenes de Trabajo'!$J7="Abierto",'1. Órdenes de Trabajo'!$A7,"")</f>
        <v>2026-121109-19-6271</v>
      </c>
      <c r="B15" s="87" t="str">
        <f aca="false">IF('1. Órdenes de Trabajo'!$J7="Abierto",'1. Órdenes de Trabajo'!$E7,"")</f>
        <v>Ventilador Mecánico </v>
      </c>
      <c r="C15" s="87" t="str">
        <f aca="false">IF('1. Órdenes de Trabajo'!$J7="Abierto",'1. Órdenes de Trabajo'!$I7,"")</f>
        <v>UPC 3er Piso</v>
      </c>
      <c r="D15" s="87" t="str">
        <f aca="false">IF('1. Órdenes de Trabajo'!$J7="Abierto",IF(COUNTIF('6. Bajas'!$A$2:$A$301,'1. Órdenes de Trabajo'!$A7)&gt;0,"Baja",IF(SUMPRODUCT(('5. Servicio Técnico (Envíos)'!$A$2:$A$301='1. Órdenes de Trabajo'!$A7)*('5. Servicio Técnico (Envíos)'!$I$2:$I$301=""))&gt;0,"Servicio Técnico",'1. Órdenes de Trabajo'!$H7)),"")</f>
        <v>Servicio Técnico</v>
      </c>
      <c r="E15" s="87" t="str">
        <f aca="false">IF('1. Órdenes de Trabajo'!$J7="Abierto",'1. Órdenes de Trabajo'!$C7,"")</f>
        <v>Ricardo Matus Aroca</v>
      </c>
      <c r="F15" s="88" t="str">
        <f aca="false">IF('1. Órdenes de Trabajo'!$J7="Abierto",'1. Órdenes de Trabajo'!$B7,"")</f>
        <v>07-04-2026</v>
      </c>
      <c r="G15" s="89" t="n">
        <f aca="true">IFERROR(IF('1. Órdenes de Trabajo'!$J7="Abierto",IF('1. Órdenes de Trabajo'!$B7="","",TODAY()-IF(ISNUMBER('1. Órdenes de Trabajo'!$B7),'1. Órdenes de Trabajo'!$B7,DATE(VALUE(MID('1. Órdenes de Trabajo'!$B7,7,4)),VALUE(MID('1. Órdenes de Trabajo'!$B7,4,2)),VALUE(MID('1. Órdenes de Trabajo'!$B7,1,2))))),""),"")</f>
        <v>72</v>
      </c>
      <c r="H15" s="87" t="str">
        <f aca="false">IF('1. Órdenes de Trabajo'!$J7="Abierto",'1. Órdenes de Trabajo'!$J7,"")</f>
        <v>Abierto</v>
      </c>
    </row>
    <row r="16" customFormat="false" ht="15" hidden="false" customHeight="true" outlineLevel="0" collapsed="false">
      <c r="A16" s="87" t="str">
        <f aca="false">IF('1. Órdenes de Trabajo'!$J8="Abierto",'1. Órdenes de Trabajo'!$A8,"")</f>
        <v>2026-121109-19-6374</v>
      </c>
      <c r="B16" s="87" t="str">
        <f aca="false">IF('1. Órdenes de Trabajo'!$J8="Abierto",'1. Órdenes de Trabajo'!$E8,"")</f>
        <v>Ventilador Mecánico </v>
      </c>
      <c r="C16" s="87" t="str">
        <f aca="false">IF('1. Órdenes de Trabajo'!$J8="Abierto",'1. Órdenes de Trabajo'!$I8,"")</f>
        <v>UPC 3er Piso</v>
      </c>
      <c r="D16" s="87" t="str">
        <f aca="false">IF('1. Órdenes de Trabajo'!$J8="Abierto",IF(COUNTIF('6. Bajas'!$A$2:$A$301,'1. Órdenes de Trabajo'!$A8)&gt;0,"Baja",IF(SUMPRODUCT(('5. Servicio Técnico (Envíos)'!$A$2:$A$301='1. Órdenes de Trabajo'!$A8)*('5. Servicio Técnico (Envíos)'!$I$2:$I$301=""))&gt;0,"Servicio Técnico",'1. Órdenes de Trabajo'!$H8)),"")</f>
        <v>Servicio Técnico</v>
      </c>
      <c r="E16" s="87" t="str">
        <f aca="false">IF('1. Órdenes de Trabajo'!$J8="Abierto",'1. Órdenes de Trabajo'!$C8,"")</f>
        <v>Ricardo Matus Aroca</v>
      </c>
      <c r="F16" s="88" t="str">
        <f aca="false">IF('1. Órdenes de Trabajo'!$J8="Abierto",'1. Órdenes de Trabajo'!$B8,"")</f>
        <v>08-04-2026</v>
      </c>
      <c r="G16" s="89" t="n">
        <f aca="true">IFERROR(IF('1. Órdenes de Trabajo'!$J8="Abierto",IF('1. Órdenes de Trabajo'!$B8="","",TODAY()-IF(ISNUMBER('1. Órdenes de Trabajo'!$B8),'1. Órdenes de Trabajo'!$B8,DATE(VALUE(MID('1. Órdenes de Trabajo'!$B8,7,4)),VALUE(MID('1. Órdenes de Trabajo'!$B8,4,2)),VALUE(MID('1. Órdenes de Trabajo'!$B8,1,2))))),""),"")</f>
        <v>71</v>
      </c>
      <c r="H16" s="87" t="str">
        <f aca="false">IF('1. Órdenes de Trabajo'!$J8="Abierto",'1. Órdenes de Trabajo'!$J8,"")</f>
        <v>Abierto</v>
      </c>
    </row>
    <row r="17" customFormat="false" ht="15" hidden="false" customHeight="true" outlineLevel="0" collapsed="false">
      <c r="A17" s="87" t="str">
        <f aca="false">IF('1. Órdenes de Trabajo'!$J9="Abierto",'1. Órdenes de Trabajo'!$A9,"")</f>
        <v/>
      </c>
      <c r="B17" s="87" t="str">
        <f aca="false">IF('1. Órdenes de Trabajo'!$J9="Abierto",'1. Órdenes de Trabajo'!$E9,"")</f>
        <v/>
      </c>
      <c r="C17" s="87" t="str">
        <f aca="false">IF('1. Órdenes de Trabajo'!$J9="Abierto",'1. Órdenes de Trabajo'!$I9,"")</f>
        <v/>
      </c>
      <c r="D17" s="87" t="str">
        <f aca="false">IF('1. Órdenes de Trabajo'!$J9="Abierto",IF(COUNTIF('6. Bajas'!$A$2:$A$301,'1. Órdenes de Trabajo'!$A9)&gt;0,"Baja",IF(SUMPRODUCT(('5. Servicio Técnico (Envíos)'!$A$2:$A$301='1. Órdenes de Trabajo'!$A9)*('5. Servicio Técnico (Envíos)'!$I$2:$I$301=""))&gt;0,"Servicio Técnico",'1. Órdenes de Trabajo'!$H9)),"")</f>
        <v/>
      </c>
      <c r="E17" s="87" t="str">
        <f aca="false">IF('1. Órdenes de Trabajo'!$J9="Abierto",'1. Órdenes de Trabajo'!$C9,"")</f>
        <v/>
      </c>
      <c r="F17" s="88" t="str">
        <f aca="false">IF('1. Órdenes de Trabajo'!$J9="Abierto",'1. Órdenes de Trabajo'!$B9,"")</f>
        <v/>
      </c>
      <c r="G17" s="89" t="str">
        <f aca="true">IFERROR(IF('1. Órdenes de Trabajo'!$J9="Abierto",IF('1. Órdenes de Trabajo'!$B9="","",TODAY()-IF(ISNUMBER('1. Órdenes de Trabajo'!$B9),'1. Órdenes de Trabajo'!$B9,DATE(VALUE(MID('1. Órdenes de Trabajo'!$B9,7,4)),VALUE(MID('1. Órdenes de Trabajo'!$B9,4,2)),VALUE(MID('1. Órdenes de Trabajo'!$B9,1,2))))),""),"")</f>
        <v/>
      </c>
      <c r="H17" s="87" t="str">
        <f aca="false">IF('1. Órdenes de Trabajo'!$J9="Abierto",'1. Órdenes de Trabajo'!$J9,"")</f>
        <v/>
      </c>
    </row>
    <row r="18" customFormat="false" ht="15" hidden="false" customHeight="true" outlineLevel="0" collapsed="false">
      <c r="A18" s="87" t="str">
        <f aca="false">IF('1. Órdenes de Trabajo'!$J10="Abierto",'1. Órdenes de Trabajo'!$A10,"")</f>
        <v>2026-121109-19-7762</v>
      </c>
      <c r="B18" s="87" t="str">
        <f aca="false">IF('1. Órdenes de Trabajo'!$J10="Abierto",'1. Órdenes de Trabajo'!$E10,"")</f>
        <v>Monitor Multiparámetros</v>
      </c>
      <c r="C18" s="87" t="str">
        <f aca="false">IF('1. Órdenes de Trabajo'!$J10="Abierto",'1. Órdenes de Trabajo'!$I10,"")</f>
        <v>Medicina</v>
      </c>
      <c r="D18" s="87" t="str">
        <f aca="false">IF('1. Órdenes de Trabajo'!$J10="Abierto",IF(COUNTIF('6. Bajas'!$A$2:$A$301,'1. Órdenes de Trabajo'!$A10)&gt;0,"Baja",IF(SUMPRODUCT(('5. Servicio Técnico (Envíos)'!$A$2:$A$301='1. Órdenes de Trabajo'!$A10)*('5. Servicio Técnico (Envíos)'!$I$2:$I$301=""))&gt;0,"Servicio Técnico",'1. Órdenes de Trabajo'!$H10)),"")</f>
        <v>Servicio Técnico</v>
      </c>
      <c r="E18" s="87" t="str">
        <f aca="false">IF('1. Órdenes de Trabajo'!$J10="Abierto",'1. Órdenes de Trabajo'!$C10,"")</f>
        <v>Carlos Bahamondes Seguel</v>
      </c>
      <c r="F18" s="88" t="str">
        <f aca="false">IF('1. Órdenes de Trabajo'!$J10="Abierto",'1. Órdenes de Trabajo'!$B10,"")</f>
        <v>27-04-2026</v>
      </c>
      <c r="G18" s="89" t="n">
        <f aca="true">IFERROR(IF('1. Órdenes de Trabajo'!$J10="Abierto",IF('1. Órdenes de Trabajo'!$B10="","",TODAY()-IF(ISNUMBER('1. Órdenes de Trabajo'!$B10),'1. Órdenes de Trabajo'!$B10,DATE(VALUE(MID('1. Órdenes de Trabajo'!$B10,7,4)),VALUE(MID('1. Órdenes de Trabajo'!$B10,4,2)),VALUE(MID('1. Órdenes de Trabajo'!$B10,1,2))))),""),"")</f>
        <v>52</v>
      </c>
      <c r="H18" s="87" t="str">
        <f aca="false">IF('1. Órdenes de Trabajo'!$J10="Abierto",'1. Órdenes de Trabajo'!$J10,"")</f>
        <v>Abierto</v>
      </c>
    </row>
    <row r="19" customFormat="false" ht="15" hidden="false" customHeight="true" outlineLevel="0" collapsed="false">
      <c r="A19" s="87" t="str">
        <f aca="false">IF('1. Órdenes de Trabajo'!$J11="Abierto",'1. Órdenes de Trabajo'!$A11,"")</f>
        <v>2026-121109-19-9046</v>
      </c>
      <c r="B19" s="87" t="str">
        <f aca="false">IF('1. Órdenes de Trabajo'!$J11="Abierto",'1. Órdenes de Trabajo'!$E11,"")</f>
        <v>Monitor Multiparámetros</v>
      </c>
      <c r="C19" s="87" t="str">
        <f aca="false">IF('1. Órdenes de Trabajo'!$J11="Abierto",'1. Órdenes de Trabajo'!$I11,"")</f>
        <v>Medicina</v>
      </c>
      <c r="D19" s="87" t="str">
        <f aca="false">IF('1. Órdenes de Trabajo'!$J11="Abierto",IF(COUNTIF('6. Bajas'!$A$2:$A$301,'1. Órdenes de Trabajo'!$A11)&gt;0,"Baja",IF(SUMPRODUCT(('5. Servicio Técnico (Envíos)'!$A$2:$A$301='1. Órdenes de Trabajo'!$A11)*('5. Servicio Técnico (Envíos)'!$I$2:$I$301=""))&gt;0,"Servicio Técnico",'1. Órdenes de Trabajo'!$H11)),"")</f>
        <v>Servicio Técnico</v>
      </c>
      <c r="E19" s="87" t="str">
        <f aca="false">IF('1. Órdenes de Trabajo'!$J11="Abierto",'1. Órdenes de Trabajo'!$C11,"")</f>
        <v>Carlos Bahamondes Seguel</v>
      </c>
      <c r="F19" s="88" t="str">
        <f aca="false">IF('1. Órdenes de Trabajo'!$J11="Abierto",'1. Órdenes de Trabajo'!$B11,"")</f>
        <v>14-05-2026</v>
      </c>
      <c r="G19" s="89" t="n">
        <f aca="true">IFERROR(IF('1. Órdenes de Trabajo'!$J11="Abierto",IF('1. Órdenes de Trabajo'!$B11="","",TODAY()-IF(ISNUMBER('1. Órdenes de Trabajo'!$B11),'1. Órdenes de Trabajo'!$B11,DATE(VALUE(MID('1. Órdenes de Trabajo'!$B11,7,4)),VALUE(MID('1. Órdenes de Trabajo'!$B11,4,2)),VALUE(MID('1. Órdenes de Trabajo'!$B11,1,2))))),""),"")</f>
        <v>35</v>
      </c>
      <c r="H19" s="87" t="str">
        <f aca="false">IF('1. Órdenes de Trabajo'!$J11="Abierto",'1. Órdenes de Trabajo'!$J11,"")</f>
        <v>Abierto</v>
      </c>
    </row>
    <row r="20" customFormat="false" ht="15" hidden="false" customHeight="true" outlineLevel="0" collapsed="false">
      <c r="A20" s="87" t="str">
        <f aca="false">IF('1. Órdenes de Trabajo'!$J12="Abierto",'1. Órdenes de Trabajo'!$A12,"")</f>
        <v>2026-121109-19-9887</v>
      </c>
      <c r="B20" s="87" t="str">
        <f aca="false">IF('1. Órdenes de Trabajo'!$J12="Abierto",'1. Órdenes de Trabajo'!$E12,"")</f>
        <v>Monitor Multiparámetros</v>
      </c>
      <c r="C20" s="87" t="str">
        <f aca="false">IF('1. Órdenes de Trabajo'!$J12="Abierto",'1. Órdenes de Trabajo'!$I12,"")</f>
        <v>Pabellones Gineco-Obstétricos</v>
      </c>
      <c r="D20" s="87" t="str">
        <f aca="false">IF('1. Órdenes de Trabajo'!$J12="Abierto",IF(COUNTIF('6. Bajas'!$A$2:$A$301,'1. Órdenes de Trabajo'!$A12)&gt;0,"Baja",IF(SUMPRODUCT(('5. Servicio Técnico (Envíos)'!$A$2:$A$301='1. Órdenes de Trabajo'!$A12)*('5. Servicio Técnico (Envíos)'!$I$2:$I$301=""))&gt;0,"Servicio Técnico",'1. Órdenes de Trabajo'!$H12)),"")</f>
        <v>Servicio Técnico</v>
      </c>
      <c r="E20" s="87" t="str">
        <f aca="false">IF('1. Órdenes de Trabajo'!$J12="Abierto",'1. Órdenes de Trabajo'!$C12,"")</f>
        <v>Cristina Rozas Urrutia</v>
      </c>
      <c r="F20" s="88" t="str">
        <f aca="false">IF('1. Órdenes de Trabajo'!$J12="Abierto",'1. Órdenes de Trabajo'!$B12,"")</f>
        <v>28-05-2026</v>
      </c>
      <c r="G20" s="89" t="n">
        <f aca="true">IFERROR(IF('1. Órdenes de Trabajo'!$J12="Abierto",IF('1. Órdenes de Trabajo'!$B12="","",TODAY()-IF(ISNUMBER('1. Órdenes de Trabajo'!$B12),'1. Órdenes de Trabajo'!$B12,DATE(VALUE(MID('1. Órdenes de Trabajo'!$B12,7,4)),VALUE(MID('1. Órdenes de Trabajo'!$B12,4,2)),VALUE(MID('1. Órdenes de Trabajo'!$B12,1,2))))),""),"")</f>
        <v>21</v>
      </c>
      <c r="H20" s="87" t="str">
        <f aca="false">IF('1. Órdenes de Trabajo'!$J12="Abierto",'1. Órdenes de Trabajo'!$J12,"")</f>
        <v>Abierto</v>
      </c>
    </row>
    <row r="21" customFormat="false" ht="15" hidden="false" customHeight="true" outlineLevel="0" collapsed="false">
      <c r="A21" s="87" t="str">
        <f aca="false">IF('1. Órdenes de Trabajo'!$J13="Abierto",'1. Órdenes de Trabajo'!$A13,"")</f>
        <v>2026-121109-19-10081</v>
      </c>
      <c r="B21" s="87" t="str">
        <f aca="false">IF('1. Órdenes de Trabajo'!$J13="Abierto",'1. Órdenes de Trabajo'!$E13,"")</f>
        <v>Máquina Diálisis</v>
      </c>
      <c r="C21" s="87" t="str">
        <f aca="false">IF('1. Órdenes de Trabajo'!$J13="Abierto",'1. Órdenes de Trabajo'!$I13,"")</f>
        <v>UPC Adulto</v>
      </c>
      <c r="D21" s="87" t="str">
        <f aca="false">IF('1. Órdenes de Trabajo'!$J13="Abierto",IF(COUNTIF('6. Bajas'!$A$2:$A$301,'1. Órdenes de Trabajo'!$A13)&gt;0,"Baja",IF(SUMPRODUCT(('5. Servicio Técnico (Envíos)'!$A$2:$A$301='1. Órdenes de Trabajo'!$A13)*('5. Servicio Técnico (Envíos)'!$I$2:$I$301=""))&gt;0,"Servicio Técnico",'1. Órdenes de Trabajo'!$H13)),"")</f>
        <v>No Operativo</v>
      </c>
      <c r="E21" s="87" t="str">
        <f aca="false">IF('1. Órdenes de Trabajo'!$J13="Abierto",'1. Órdenes de Trabajo'!$C13,"")</f>
        <v>Cristián Beltrán Oviedo</v>
      </c>
      <c r="F21" s="88" t="str">
        <f aca="false">IF('1. Órdenes de Trabajo'!$J13="Abierto",'1. Órdenes de Trabajo'!$B13,"")</f>
        <v>01-06-2026</v>
      </c>
      <c r="G21" s="89" t="n">
        <f aca="true">IFERROR(IF('1. Órdenes de Trabajo'!$J13="Abierto",IF('1. Órdenes de Trabajo'!$B13="","",TODAY()-IF(ISNUMBER('1. Órdenes de Trabajo'!$B13),'1. Órdenes de Trabajo'!$B13,DATE(VALUE(MID('1. Órdenes de Trabajo'!$B13,7,4)),VALUE(MID('1. Órdenes de Trabajo'!$B13,4,2)),VALUE(MID('1. Órdenes de Trabajo'!$B13,1,2))))),""),"")</f>
        <v>17</v>
      </c>
      <c r="H21" s="87" t="str">
        <f aca="false">IF('1. Órdenes de Trabajo'!$J13="Abierto",'1. Órdenes de Trabajo'!$J13,"")</f>
        <v>Abierto</v>
      </c>
    </row>
    <row r="22" customFormat="false" ht="15" hidden="false" customHeight="true" outlineLevel="0" collapsed="false">
      <c r="A22" s="87" t="str">
        <f aca="false">IF('1. Órdenes de Trabajo'!$J14="Abierto",'1. Órdenes de Trabajo'!$A14,"")</f>
        <v>2026-121109-19-10464</v>
      </c>
      <c r="B22" s="87" t="str">
        <f aca="false">IF('1. Órdenes de Trabajo'!$J14="Abierto",'1. Órdenes de Trabajo'!$E14,"")</f>
        <v>Ventilador Mecánico </v>
      </c>
      <c r="C22" s="87" t="str">
        <f aca="false">IF('1. Órdenes de Trabajo'!$J14="Abierto",'1. Órdenes de Trabajo'!$I14,"")</f>
        <v>UPC Adulto</v>
      </c>
      <c r="D22" s="87" t="str">
        <f aca="false">IF('1. Órdenes de Trabajo'!$J14="Abierto",IF(COUNTIF('6. Bajas'!$A$2:$A$301,'1. Órdenes de Trabajo'!$A14)&gt;0,"Baja",IF(SUMPRODUCT(('5. Servicio Técnico (Envíos)'!$A$2:$A$301='1. Órdenes de Trabajo'!$A14)*('5. Servicio Técnico (Envíos)'!$I$2:$I$301=""))&gt;0,"Servicio Técnico",'1. Órdenes de Trabajo'!$H14)),"")</f>
        <v>Servicio Técnico</v>
      </c>
      <c r="E22" s="87" t="str">
        <f aca="false">IF('1. Órdenes de Trabajo'!$J14="Abierto",'1. Órdenes de Trabajo'!$C14,"")</f>
        <v>Ricardo Matus Aroca</v>
      </c>
      <c r="F22" s="88" t="str">
        <f aca="false">IF('1. Órdenes de Trabajo'!$J14="Abierto",'1. Órdenes de Trabajo'!$B14,"")</f>
        <v>05-06-2026</v>
      </c>
      <c r="G22" s="89" t="n">
        <f aca="true">IFERROR(IF('1. Órdenes de Trabajo'!$J14="Abierto",IF('1. Órdenes de Trabajo'!$B14="","",TODAY()-IF(ISNUMBER('1. Órdenes de Trabajo'!$B14),'1. Órdenes de Trabajo'!$B14,DATE(VALUE(MID('1. Órdenes de Trabajo'!$B14,7,4)),VALUE(MID('1. Órdenes de Trabajo'!$B14,4,2)),VALUE(MID('1. Órdenes de Trabajo'!$B14,1,2))))),""),"")</f>
        <v>13</v>
      </c>
      <c r="H22" s="87" t="str">
        <f aca="false">IF('1. Órdenes de Trabajo'!$J14="Abierto",'1. Órdenes de Trabajo'!$J14,"")</f>
        <v>Abierto</v>
      </c>
    </row>
    <row r="23" customFormat="false" ht="15" hidden="false" customHeight="true" outlineLevel="0" collapsed="false">
      <c r="A23" s="87" t="str">
        <f aca="false">IF('1. Órdenes de Trabajo'!$J15="Abierto",'1. Órdenes de Trabajo'!$A15,"")</f>
        <v>2026-121109-19-10641</v>
      </c>
      <c r="B23" s="87" t="str">
        <f aca="false">IF('1. Órdenes de Trabajo'!$J15="Abierto",'1. Órdenes de Trabajo'!$E15,"")</f>
        <v>Ventilador Mecánico </v>
      </c>
      <c r="C23" s="87" t="str">
        <f aca="false">IF('1. Órdenes de Trabajo'!$J15="Abierto",'1. Órdenes de Trabajo'!$I15,"")</f>
        <v>UPC 3er Piso</v>
      </c>
      <c r="D23" s="87" t="str">
        <f aca="false">IF('1. Órdenes de Trabajo'!$J15="Abierto",IF(COUNTIF('6. Bajas'!$A$2:$A$301,'1. Órdenes de Trabajo'!$A15)&gt;0,"Baja",IF(SUMPRODUCT(('5. Servicio Técnico (Envíos)'!$A$2:$A$301='1. Órdenes de Trabajo'!$A15)*('5. Servicio Técnico (Envíos)'!$I$2:$I$301=""))&gt;0,"Servicio Técnico",'1. Órdenes de Trabajo'!$H15)),"")</f>
        <v>Servicio Técnico</v>
      </c>
      <c r="E23" s="87" t="str">
        <f aca="false">IF('1. Órdenes de Trabajo'!$J15="Abierto",'1. Órdenes de Trabajo'!$C15,"")</f>
        <v>Ricardo Matus Aroca</v>
      </c>
      <c r="F23" s="88" t="str">
        <f aca="false">IF('1. Órdenes de Trabajo'!$J15="Abierto",'1. Órdenes de Trabajo'!$B15,"")</f>
        <v>09-06-2026</v>
      </c>
      <c r="G23" s="89" t="n">
        <f aca="true">IFERROR(IF('1. Órdenes de Trabajo'!$J15="Abierto",IF('1. Órdenes de Trabajo'!$B15="","",TODAY()-IF(ISNUMBER('1. Órdenes de Trabajo'!$B15),'1. Órdenes de Trabajo'!$B15,DATE(VALUE(MID('1. Órdenes de Trabajo'!$B15,7,4)),VALUE(MID('1. Órdenes de Trabajo'!$B15,4,2)),VALUE(MID('1. Órdenes de Trabajo'!$B15,1,2))))),""),"")</f>
        <v>9</v>
      </c>
      <c r="H23" s="87" t="str">
        <f aca="false">IF('1. Órdenes de Trabajo'!$J15="Abierto",'1. Órdenes de Trabajo'!$J15,"")</f>
        <v>Abierto</v>
      </c>
    </row>
    <row r="24" customFormat="false" ht="15" hidden="false" customHeight="true" outlineLevel="0" collapsed="false">
      <c r="A24" s="87" t="str">
        <f aca="false">IF('1. Órdenes de Trabajo'!$J16="Abierto",'1. Órdenes de Trabajo'!$A16,"")</f>
        <v>2026-121109-19-10869</v>
      </c>
      <c r="B24" s="87" t="str">
        <f aca="false">IF('1. Órdenes de Trabajo'!$J16="Abierto",'1. Órdenes de Trabajo'!$E16,"")</f>
        <v>Monitor Multiparámetros</v>
      </c>
      <c r="C24" s="87" t="str">
        <f aca="false">IF('1. Órdenes de Trabajo'!$J16="Abierto",'1. Órdenes de Trabajo'!$I16,"")</f>
        <v>Pabellón Quirúrgico</v>
      </c>
      <c r="D24" s="87" t="str">
        <f aca="false">IF('1. Órdenes de Trabajo'!$J16="Abierto",IF(COUNTIF('6. Bajas'!$A$2:$A$301,'1. Órdenes de Trabajo'!$A16)&gt;0,"Baja",IF(SUMPRODUCT(('5. Servicio Técnico (Envíos)'!$A$2:$A$301='1. Órdenes de Trabajo'!$A16)*('5. Servicio Técnico (Envíos)'!$I$2:$I$301=""))&gt;0,"Servicio Técnico",'1. Órdenes de Trabajo'!$H16)),"")</f>
        <v>Servicio Técnico</v>
      </c>
      <c r="E24" s="87" t="str">
        <f aca="false">IF('1. Órdenes de Trabajo'!$J16="Abierto",'1. Órdenes de Trabajo'!$C16,"")</f>
        <v>Cristina Rozas Urrutia</v>
      </c>
      <c r="F24" s="88" t="n">
        <f aca="false">IF('1. Órdenes de Trabajo'!$J16="Abierto",'1. Órdenes de Trabajo'!$B16,"")</f>
        <v>46184</v>
      </c>
      <c r="G24" s="89" t="n">
        <f aca="true">IFERROR(IF('1. Órdenes de Trabajo'!$J16="Abierto",IF('1. Órdenes de Trabajo'!$B16="","",TODAY()-IF(ISNUMBER('1. Órdenes de Trabajo'!$B16),'1. Órdenes de Trabajo'!$B16,DATE(VALUE(MID('1. Órdenes de Trabajo'!$B16,7,4)),VALUE(MID('1. Órdenes de Trabajo'!$B16,4,2)),VALUE(MID('1. Órdenes de Trabajo'!$B16,1,2))))),""),"")</f>
        <v>7</v>
      </c>
      <c r="H24" s="87" t="str">
        <f aca="false">IF('1. Órdenes de Trabajo'!$J16="Abierto",'1. Órdenes de Trabajo'!$J16,"")</f>
        <v>Abierto</v>
      </c>
    </row>
    <row r="25" customFormat="false" ht="15" hidden="false" customHeight="true" outlineLevel="0" collapsed="false">
      <c r="A25" s="87" t="str">
        <f aca="false">IF('1. Órdenes de Trabajo'!$J17="Abierto",'1. Órdenes de Trabajo'!$A17,"")</f>
        <v/>
      </c>
      <c r="B25" s="87" t="str">
        <f aca="false">IF('1. Órdenes de Trabajo'!$J17="Abierto",'1. Órdenes de Trabajo'!$E17,"")</f>
        <v/>
      </c>
      <c r="C25" s="87" t="str">
        <f aca="false">IF('1. Órdenes de Trabajo'!$J17="Abierto",'1. Órdenes de Trabajo'!$I17,"")</f>
        <v/>
      </c>
      <c r="D25" s="87" t="str">
        <f aca="false">IF('1. Órdenes de Trabajo'!$J17="Abierto",IF(COUNTIF('6. Bajas'!$A$2:$A$301,'1. Órdenes de Trabajo'!$A17)&gt;0,"Baja",IF(SUMPRODUCT(('5. Servicio Técnico (Envíos)'!$A$2:$A$301='1. Órdenes de Trabajo'!$A17)*('5. Servicio Técnico (Envíos)'!$I$2:$I$301=""))&gt;0,"Servicio Técnico",'1. Órdenes de Trabajo'!$H17)),"")</f>
        <v/>
      </c>
      <c r="E25" s="87" t="str">
        <f aca="false">IF('1. Órdenes de Trabajo'!$J17="Abierto",'1. Órdenes de Trabajo'!$C17,"")</f>
        <v/>
      </c>
      <c r="F25" s="88" t="str">
        <f aca="false">IF('1. Órdenes de Trabajo'!$J17="Abierto",'1. Órdenes de Trabajo'!$B17,"")</f>
        <v/>
      </c>
      <c r="G25" s="89" t="str">
        <f aca="true">IFERROR(IF('1. Órdenes de Trabajo'!$J17="Abierto",IF('1. Órdenes de Trabajo'!$B17="","",TODAY()-IF(ISNUMBER('1. Órdenes de Trabajo'!$B17),'1. Órdenes de Trabajo'!$B17,DATE(VALUE(MID('1. Órdenes de Trabajo'!$B17,7,4)),VALUE(MID('1. Órdenes de Trabajo'!$B17,4,2)),VALUE(MID('1. Órdenes de Trabajo'!$B17,1,2))))),""),"")</f>
        <v/>
      </c>
      <c r="H25" s="87" t="str">
        <f aca="false">IF('1. Órdenes de Trabajo'!$J17="Abierto",'1. Órdenes de Trabajo'!$J17,"")</f>
        <v/>
      </c>
    </row>
    <row r="26" customFormat="false" ht="15" hidden="false" customHeight="true" outlineLevel="0" collapsed="false">
      <c r="A26" s="87" t="str">
        <f aca="false">IF('1. Órdenes de Trabajo'!$J18="Abierto",'1. Órdenes de Trabajo'!$A18,"")</f>
        <v/>
      </c>
      <c r="B26" s="87" t="str">
        <f aca="false">IF('1. Órdenes de Trabajo'!$J18="Abierto",'1. Órdenes de Trabajo'!$E18,"")</f>
        <v/>
      </c>
      <c r="C26" s="87" t="str">
        <f aca="false">IF('1. Órdenes de Trabajo'!$J18="Abierto",'1. Órdenes de Trabajo'!$I18,"")</f>
        <v/>
      </c>
      <c r="D26" s="87" t="str">
        <f aca="false">IF('1. Órdenes de Trabajo'!$J18="Abierto",IF(COUNTIF('6. Bajas'!$A$2:$A$301,'1. Órdenes de Trabajo'!$A18)&gt;0,"Baja",IF(SUMPRODUCT(('5. Servicio Técnico (Envíos)'!$A$2:$A$301='1. Órdenes de Trabajo'!$A18)*('5. Servicio Técnico (Envíos)'!$I$2:$I$301=""))&gt;0,"Servicio Técnico",'1. Órdenes de Trabajo'!$H18)),"")</f>
        <v/>
      </c>
      <c r="E26" s="87" t="str">
        <f aca="false">IF('1. Órdenes de Trabajo'!$J18="Abierto",'1. Órdenes de Trabajo'!$C18,"")</f>
        <v/>
      </c>
      <c r="F26" s="88" t="str">
        <f aca="false">IF('1. Órdenes de Trabajo'!$J18="Abierto",'1. Órdenes de Trabajo'!$B18,"")</f>
        <v/>
      </c>
      <c r="G26" s="89" t="str">
        <f aca="true">IFERROR(IF('1. Órdenes de Trabajo'!$J18="Abierto",IF('1. Órdenes de Trabajo'!$B18="","",TODAY()-IF(ISNUMBER('1. Órdenes de Trabajo'!$B18),'1. Órdenes de Trabajo'!$B18,DATE(VALUE(MID('1. Órdenes de Trabajo'!$B18,7,4)),VALUE(MID('1. Órdenes de Trabajo'!$B18,4,2)),VALUE(MID('1. Órdenes de Trabajo'!$B18,1,2))))),""),"")</f>
        <v/>
      </c>
      <c r="H26" s="87" t="str">
        <f aca="false">IF('1. Órdenes de Trabajo'!$J18="Abierto",'1. Órdenes de Trabajo'!$J18,"")</f>
        <v/>
      </c>
    </row>
    <row r="27" customFormat="false" ht="15" hidden="false" customHeight="true" outlineLevel="0" collapsed="false">
      <c r="A27" s="87" t="str">
        <f aca="false">IF('1. Órdenes de Trabajo'!$J19="Abierto",'1. Órdenes de Trabajo'!$A19,"")</f>
        <v/>
      </c>
      <c r="B27" s="87" t="str">
        <f aca="false">IF('1. Órdenes de Trabajo'!$J19="Abierto",'1. Órdenes de Trabajo'!$E19,"")</f>
        <v/>
      </c>
      <c r="C27" s="87" t="str">
        <f aca="false">IF('1. Órdenes de Trabajo'!$J19="Abierto",'1. Órdenes de Trabajo'!$I19,"")</f>
        <v/>
      </c>
      <c r="D27" s="87" t="str">
        <f aca="false">IF('1. Órdenes de Trabajo'!$J19="Abierto",IF(COUNTIF('6. Bajas'!$A$2:$A$301,'1. Órdenes de Trabajo'!$A19)&gt;0,"Baja",IF(SUMPRODUCT(('5. Servicio Técnico (Envíos)'!$A$2:$A$301='1. Órdenes de Trabajo'!$A19)*('5. Servicio Técnico (Envíos)'!$I$2:$I$301=""))&gt;0,"Servicio Técnico",'1. Órdenes de Trabajo'!$H19)),"")</f>
        <v/>
      </c>
      <c r="E27" s="87" t="str">
        <f aca="false">IF('1. Órdenes de Trabajo'!$J19="Abierto",'1. Órdenes de Trabajo'!$C19,"")</f>
        <v/>
      </c>
      <c r="F27" s="88" t="str">
        <f aca="false">IF('1. Órdenes de Trabajo'!$J19="Abierto",'1. Órdenes de Trabajo'!$B19,"")</f>
        <v/>
      </c>
      <c r="G27" s="89" t="str">
        <f aca="true">IFERROR(IF('1. Órdenes de Trabajo'!$J19="Abierto",IF('1. Órdenes de Trabajo'!$B19="","",TODAY()-IF(ISNUMBER('1. Órdenes de Trabajo'!$B19),'1. Órdenes de Trabajo'!$B19,DATE(VALUE(MID('1. Órdenes de Trabajo'!$B19,7,4)),VALUE(MID('1. Órdenes de Trabajo'!$B19,4,2)),VALUE(MID('1. Órdenes de Trabajo'!$B19,1,2))))),""),"")</f>
        <v/>
      </c>
      <c r="H27" s="87" t="str">
        <f aca="false">IF('1. Órdenes de Trabajo'!$J19="Abierto",'1. Órdenes de Trabajo'!$J19,"")</f>
        <v/>
      </c>
    </row>
    <row r="28" customFormat="false" ht="15" hidden="false" customHeight="true" outlineLevel="0" collapsed="false">
      <c r="A28" s="87" t="str">
        <f aca="false">IF('1. Órdenes de Trabajo'!$J20="Abierto",'1. Órdenes de Trabajo'!$A20,"")</f>
        <v/>
      </c>
      <c r="B28" s="87" t="str">
        <f aca="false">IF('1. Órdenes de Trabajo'!$J20="Abierto",'1. Órdenes de Trabajo'!$E20,"")</f>
        <v/>
      </c>
      <c r="C28" s="87" t="str">
        <f aca="false">IF('1. Órdenes de Trabajo'!$J20="Abierto",'1. Órdenes de Trabajo'!$I20,"")</f>
        <v/>
      </c>
      <c r="D28" s="87" t="str">
        <f aca="false">IF('1. Órdenes de Trabajo'!$J20="Abierto",IF(COUNTIF('6. Bajas'!$A$2:$A$301,'1. Órdenes de Trabajo'!$A20)&gt;0,"Baja",IF(SUMPRODUCT(('5. Servicio Técnico (Envíos)'!$A$2:$A$301='1. Órdenes de Trabajo'!$A20)*('5. Servicio Técnico (Envíos)'!$I$2:$I$301=""))&gt;0,"Servicio Técnico",'1. Órdenes de Trabajo'!$H20)),"")</f>
        <v/>
      </c>
      <c r="E28" s="87" t="str">
        <f aca="false">IF('1. Órdenes de Trabajo'!$J20="Abierto",'1. Órdenes de Trabajo'!$C20,"")</f>
        <v/>
      </c>
      <c r="F28" s="88" t="str">
        <f aca="false">IF('1. Órdenes de Trabajo'!$J20="Abierto",'1. Órdenes de Trabajo'!$B20,"")</f>
        <v/>
      </c>
      <c r="G28" s="89" t="str">
        <f aca="true">IFERROR(IF('1. Órdenes de Trabajo'!$J20="Abierto",IF('1. Órdenes de Trabajo'!$B20="","",TODAY()-IF(ISNUMBER('1. Órdenes de Trabajo'!$B20),'1. Órdenes de Trabajo'!$B20,DATE(VALUE(MID('1. Órdenes de Trabajo'!$B20,7,4)),VALUE(MID('1. Órdenes de Trabajo'!$B20,4,2)),VALUE(MID('1. Órdenes de Trabajo'!$B20,1,2))))),""),"")</f>
        <v/>
      </c>
      <c r="H28" s="87" t="str">
        <f aca="false">IF('1. Órdenes de Trabajo'!$J20="Abierto",'1. Órdenes de Trabajo'!$J20,"")</f>
        <v/>
      </c>
    </row>
    <row r="29" customFormat="false" ht="15" hidden="false" customHeight="true" outlineLevel="0" collapsed="false">
      <c r="A29" s="87" t="str">
        <f aca="false">IF('1. Órdenes de Trabajo'!$J21="Abierto",'1. Órdenes de Trabajo'!$A21,"")</f>
        <v/>
      </c>
      <c r="B29" s="87" t="str">
        <f aca="false">IF('1. Órdenes de Trabajo'!$J21="Abierto",'1. Órdenes de Trabajo'!$E21,"")</f>
        <v/>
      </c>
      <c r="C29" s="87" t="str">
        <f aca="false">IF('1. Órdenes de Trabajo'!$J21="Abierto",'1. Órdenes de Trabajo'!$I21,"")</f>
        <v/>
      </c>
      <c r="D29" s="87" t="str">
        <f aca="false">IF('1. Órdenes de Trabajo'!$J21="Abierto",IF(COUNTIF('6. Bajas'!$A$2:$A$301,'1. Órdenes de Trabajo'!$A21)&gt;0,"Baja",IF(SUMPRODUCT(('5. Servicio Técnico (Envíos)'!$A$2:$A$301='1. Órdenes de Trabajo'!$A21)*('5. Servicio Técnico (Envíos)'!$I$2:$I$301=""))&gt;0,"Servicio Técnico",'1. Órdenes de Trabajo'!$H21)),"")</f>
        <v/>
      </c>
      <c r="E29" s="87" t="str">
        <f aca="false">IF('1. Órdenes de Trabajo'!$J21="Abierto",'1. Órdenes de Trabajo'!$C21,"")</f>
        <v/>
      </c>
      <c r="F29" s="88" t="str">
        <f aca="false">IF('1. Órdenes de Trabajo'!$J21="Abierto",'1. Órdenes de Trabajo'!$B21,"")</f>
        <v/>
      </c>
      <c r="G29" s="89" t="str">
        <f aca="true">IFERROR(IF('1. Órdenes de Trabajo'!$J21="Abierto",IF('1. Órdenes de Trabajo'!$B21="","",TODAY()-IF(ISNUMBER('1. Órdenes de Trabajo'!$B21),'1. Órdenes de Trabajo'!$B21,DATE(VALUE(MID('1. Órdenes de Trabajo'!$B21,7,4)),VALUE(MID('1. Órdenes de Trabajo'!$B21,4,2)),VALUE(MID('1. Órdenes de Trabajo'!$B21,1,2))))),""),"")</f>
        <v/>
      </c>
      <c r="H29" s="87" t="str">
        <f aca="false">IF('1. Órdenes de Trabajo'!$J21="Abierto",'1. Órdenes de Trabajo'!$J21,"")</f>
        <v/>
      </c>
    </row>
    <row r="30" customFormat="false" ht="15" hidden="false" customHeight="true" outlineLevel="0" collapsed="false">
      <c r="A30" s="87" t="str">
        <f aca="false">IF('1. Órdenes de Trabajo'!$J22="Abierto",'1. Órdenes de Trabajo'!$A22,"")</f>
        <v/>
      </c>
      <c r="B30" s="87" t="str">
        <f aca="false">IF('1. Órdenes de Trabajo'!$J22="Abierto",'1. Órdenes de Trabajo'!$E22,"")</f>
        <v/>
      </c>
      <c r="C30" s="87" t="str">
        <f aca="false">IF('1. Órdenes de Trabajo'!$J22="Abierto",'1. Órdenes de Trabajo'!$I22,"")</f>
        <v/>
      </c>
      <c r="D30" s="87" t="str">
        <f aca="false">IF('1. Órdenes de Trabajo'!$J22="Abierto",IF(COUNTIF('6. Bajas'!$A$2:$A$301,'1. Órdenes de Trabajo'!$A22)&gt;0,"Baja",IF(SUMPRODUCT(('5. Servicio Técnico (Envíos)'!$A$2:$A$301='1. Órdenes de Trabajo'!$A22)*('5. Servicio Técnico (Envíos)'!$I$2:$I$301=""))&gt;0,"Servicio Técnico",'1. Órdenes de Trabajo'!$H22)),"")</f>
        <v/>
      </c>
      <c r="E30" s="87" t="str">
        <f aca="false">IF('1. Órdenes de Trabajo'!$J22="Abierto",'1. Órdenes de Trabajo'!$C22,"")</f>
        <v/>
      </c>
      <c r="F30" s="88" t="str">
        <f aca="false">IF('1. Órdenes de Trabajo'!$J22="Abierto",'1. Órdenes de Trabajo'!$B22,"")</f>
        <v/>
      </c>
      <c r="G30" s="89" t="str">
        <f aca="true">IFERROR(IF('1. Órdenes de Trabajo'!$J22="Abierto",IF('1. Órdenes de Trabajo'!$B22="","",TODAY()-IF(ISNUMBER('1. Órdenes de Trabajo'!$B22),'1. Órdenes de Trabajo'!$B22,DATE(VALUE(MID('1. Órdenes de Trabajo'!$B22,7,4)),VALUE(MID('1. Órdenes de Trabajo'!$B22,4,2)),VALUE(MID('1. Órdenes de Trabajo'!$B22,1,2))))),""),"")</f>
        <v/>
      </c>
      <c r="H30" s="87" t="str">
        <f aca="false">IF('1. Órdenes de Trabajo'!$J22="Abierto",'1. Órdenes de Trabajo'!$J22,"")</f>
        <v/>
      </c>
    </row>
    <row r="31" customFormat="false" ht="15" hidden="false" customHeight="true" outlineLevel="0" collapsed="false">
      <c r="A31" s="87" t="str">
        <f aca="false">IF('1. Órdenes de Trabajo'!$J23="Abierto",'1. Órdenes de Trabajo'!$A23,"")</f>
        <v/>
      </c>
      <c r="B31" s="87" t="str">
        <f aca="false">IF('1. Órdenes de Trabajo'!$J23="Abierto",'1. Órdenes de Trabajo'!$E23,"")</f>
        <v/>
      </c>
      <c r="C31" s="87" t="str">
        <f aca="false">IF('1. Órdenes de Trabajo'!$J23="Abierto",'1. Órdenes de Trabajo'!$I23,"")</f>
        <v/>
      </c>
      <c r="D31" s="87" t="str">
        <f aca="false">IF('1. Órdenes de Trabajo'!$J23="Abierto",IF(COUNTIF('6. Bajas'!$A$2:$A$301,'1. Órdenes de Trabajo'!$A23)&gt;0,"Baja",IF(SUMPRODUCT(('5. Servicio Técnico (Envíos)'!$A$2:$A$301='1. Órdenes de Trabajo'!$A23)*('5. Servicio Técnico (Envíos)'!$I$2:$I$301=""))&gt;0,"Servicio Técnico",'1. Órdenes de Trabajo'!$H23)),"")</f>
        <v/>
      </c>
      <c r="E31" s="87" t="str">
        <f aca="false">IF('1. Órdenes de Trabajo'!$J23="Abierto",'1. Órdenes de Trabajo'!$C23,"")</f>
        <v/>
      </c>
      <c r="F31" s="88" t="str">
        <f aca="false">IF('1. Órdenes de Trabajo'!$J23="Abierto",'1. Órdenes de Trabajo'!$B23,"")</f>
        <v/>
      </c>
      <c r="G31" s="89" t="str">
        <f aca="true">IFERROR(IF('1. Órdenes de Trabajo'!$J23="Abierto",IF('1. Órdenes de Trabajo'!$B23="","",TODAY()-IF(ISNUMBER('1. Órdenes de Trabajo'!$B23),'1. Órdenes de Trabajo'!$B23,DATE(VALUE(MID('1. Órdenes de Trabajo'!$B23,7,4)),VALUE(MID('1. Órdenes de Trabajo'!$B23,4,2)),VALUE(MID('1. Órdenes de Trabajo'!$B23,1,2))))),""),"")</f>
        <v/>
      </c>
      <c r="H31" s="87" t="str">
        <f aca="false">IF('1. Órdenes de Trabajo'!$J23="Abierto",'1. Órdenes de Trabajo'!$J23,"")</f>
        <v/>
      </c>
    </row>
    <row r="32" customFormat="false" ht="15" hidden="false" customHeight="true" outlineLevel="0" collapsed="false">
      <c r="A32" s="87" t="str">
        <f aca="false">IF('1. Órdenes de Trabajo'!$J24="Abierto",'1. Órdenes de Trabajo'!$A24,"")</f>
        <v/>
      </c>
      <c r="B32" s="87" t="str">
        <f aca="false">IF('1. Órdenes de Trabajo'!$J24="Abierto",'1. Órdenes de Trabajo'!$E24,"")</f>
        <v/>
      </c>
      <c r="C32" s="87" t="str">
        <f aca="false">IF('1. Órdenes de Trabajo'!$J24="Abierto",'1. Órdenes de Trabajo'!$I24,"")</f>
        <v/>
      </c>
      <c r="D32" s="87" t="str">
        <f aca="false">IF('1. Órdenes de Trabajo'!$J24="Abierto",IF(COUNTIF('6. Bajas'!$A$2:$A$301,'1. Órdenes de Trabajo'!$A24)&gt;0,"Baja",IF(SUMPRODUCT(('5. Servicio Técnico (Envíos)'!$A$2:$A$301='1. Órdenes de Trabajo'!$A24)*('5. Servicio Técnico (Envíos)'!$I$2:$I$301=""))&gt;0,"Servicio Técnico",'1. Órdenes de Trabajo'!$H24)),"")</f>
        <v/>
      </c>
      <c r="E32" s="87" t="str">
        <f aca="false">IF('1. Órdenes de Trabajo'!$J24="Abierto",'1. Órdenes de Trabajo'!$C24,"")</f>
        <v/>
      </c>
      <c r="F32" s="88" t="str">
        <f aca="false">IF('1. Órdenes de Trabajo'!$J24="Abierto",'1. Órdenes de Trabajo'!$B24,"")</f>
        <v/>
      </c>
      <c r="G32" s="89" t="str">
        <f aca="true">IFERROR(IF('1. Órdenes de Trabajo'!$J24="Abierto",IF('1. Órdenes de Trabajo'!$B24="","",TODAY()-IF(ISNUMBER('1. Órdenes de Trabajo'!$B24),'1. Órdenes de Trabajo'!$B24,DATE(VALUE(MID('1. Órdenes de Trabajo'!$B24,7,4)),VALUE(MID('1. Órdenes de Trabajo'!$B24,4,2)),VALUE(MID('1. Órdenes de Trabajo'!$B24,1,2))))),""),"")</f>
        <v/>
      </c>
      <c r="H32" s="87" t="str">
        <f aca="false">IF('1. Órdenes de Trabajo'!$J24="Abierto",'1. Órdenes de Trabajo'!$J24,"")</f>
        <v/>
      </c>
    </row>
    <row r="33" customFormat="false" ht="15" hidden="false" customHeight="true" outlineLevel="0" collapsed="false">
      <c r="A33" s="87" t="str">
        <f aca="false">IF('1. Órdenes de Trabajo'!$J25="Abierto",'1. Órdenes de Trabajo'!$A25,"")</f>
        <v/>
      </c>
      <c r="B33" s="87" t="str">
        <f aca="false">IF('1. Órdenes de Trabajo'!$J25="Abierto",'1. Órdenes de Trabajo'!$E25,"")</f>
        <v/>
      </c>
      <c r="C33" s="87" t="str">
        <f aca="false">IF('1. Órdenes de Trabajo'!$J25="Abierto",'1. Órdenes de Trabajo'!$I25,"")</f>
        <v/>
      </c>
      <c r="D33" s="87" t="str">
        <f aca="false">IF('1. Órdenes de Trabajo'!$J25="Abierto",IF(COUNTIF('6. Bajas'!$A$2:$A$301,'1. Órdenes de Trabajo'!$A25)&gt;0,"Baja",IF(SUMPRODUCT(('5. Servicio Técnico (Envíos)'!$A$2:$A$301='1. Órdenes de Trabajo'!$A25)*('5. Servicio Técnico (Envíos)'!$I$2:$I$301=""))&gt;0,"Servicio Técnico",'1. Órdenes de Trabajo'!$H25)),"")</f>
        <v/>
      </c>
      <c r="E33" s="87" t="str">
        <f aca="false">IF('1. Órdenes de Trabajo'!$J25="Abierto",'1. Órdenes de Trabajo'!$C25,"")</f>
        <v/>
      </c>
      <c r="F33" s="88" t="str">
        <f aca="false">IF('1. Órdenes de Trabajo'!$J25="Abierto",'1. Órdenes de Trabajo'!$B25,"")</f>
        <v/>
      </c>
      <c r="G33" s="89" t="str">
        <f aca="true">IFERROR(IF('1. Órdenes de Trabajo'!$J25="Abierto",IF('1. Órdenes de Trabajo'!$B25="","",TODAY()-IF(ISNUMBER('1. Órdenes de Trabajo'!$B25),'1. Órdenes de Trabajo'!$B25,DATE(VALUE(MID('1. Órdenes de Trabajo'!$B25,7,4)),VALUE(MID('1. Órdenes de Trabajo'!$B25,4,2)),VALUE(MID('1. Órdenes de Trabajo'!$B25,1,2))))),""),"")</f>
        <v/>
      </c>
      <c r="H33" s="87" t="str">
        <f aca="false">IF('1. Órdenes de Trabajo'!$J25="Abierto",'1. Órdenes de Trabajo'!$J25,"")</f>
        <v/>
      </c>
    </row>
    <row r="34" customFormat="false" ht="15" hidden="false" customHeight="true" outlineLevel="0" collapsed="false">
      <c r="A34" s="87" t="str">
        <f aca="false">IF('1. Órdenes de Trabajo'!$J26="Abierto",'1. Órdenes de Trabajo'!$A26,"")</f>
        <v/>
      </c>
      <c r="B34" s="87" t="str">
        <f aca="false">IF('1. Órdenes de Trabajo'!$J26="Abierto",'1. Órdenes de Trabajo'!$E26,"")</f>
        <v/>
      </c>
      <c r="C34" s="87" t="str">
        <f aca="false">IF('1. Órdenes de Trabajo'!$J26="Abierto",'1. Órdenes de Trabajo'!$I26,"")</f>
        <v/>
      </c>
      <c r="D34" s="87" t="str">
        <f aca="false">IF('1. Órdenes de Trabajo'!$J26="Abierto",IF(COUNTIF('6. Bajas'!$A$2:$A$301,'1. Órdenes de Trabajo'!$A26)&gt;0,"Baja",IF(SUMPRODUCT(('5. Servicio Técnico (Envíos)'!$A$2:$A$301='1. Órdenes de Trabajo'!$A26)*('5. Servicio Técnico (Envíos)'!$I$2:$I$301=""))&gt;0,"Servicio Técnico",'1. Órdenes de Trabajo'!$H26)),"")</f>
        <v/>
      </c>
      <c r="E34" s="87" t="str">
        <f aca="false">IF('1. Órdenes de Trabajo'!$J26="Abierto",'1. Órdenes de Trabajo'!$C26,"")</f>
        <v/>
      </c>
      <c r="F34" s="88" t="str">
        <f aca="false">IF('1. Órdenes de Trabajo'!$J26="Abierto",'1. Órdenes de Trabajo'!$B26,"")</f>
        <v/>
      </c>
      <c r="G34" s="89" t="str">
        <f aca="true">IFERROR(IF('1. Órdenes de Trabajo'!$J26="Abierto",IF('1. Órdenes de Trabajo'!$B26="","",TODAY()-IF(ISNUMBER('1. Órdenes de Trabajo'!$B26),'1. Órdenes de Trabajo'!$B26,DATE(VALUE(MID('1. Órdenes de Trabajo'!$B26,7,4)),VALUE(MID('1. Órdenes de Trabajo'!$B26,4,2)),VALUE(MID('1. Órdenes de Trabajo'!$B26,1,2))))),""),"")</f>
        <v/>
      </c>
      <c r="H34" s="87" t="str">
        <f aca="false">IF('1. Órdenes de Trabajo'!$J26="Abierto",'1. Órdenes de Trabajo'!$J26,"")</f>
        <v/>
      </c>
    </row>
    <row r="35" customFormat="false" ht="15" hidden="false" customHeight="true" outlineLevel="0" collapsed="false">
      <c r="A35" s="87" t="str">
        <f aca="false">IF('1. Órdenes de Trabajo'!$J27="Abierto",'1. Órdenes de Trabajo'!$A27,"")</f>
        <v/>
      </c>
      <c r="B35" s="87" t="str">
        <f aca="false">IF('1. Órdenes de Trabajo'!$J27="Abierto",'1. Órdenes de Trabajo'!$E27,"")</f>
        <v/>
      </c>
      <c r="C35" s="87" t="str">
        <f aca="false">IF('1. Órdenes de Trabajo'!$J27="Abierto",'1. Órdenes de Trabajo'!$I27,"")</f>
        <v/>
      </c>
      <c r="D35" s="87" t="str">
        <f aca="false">IF('1. Órdenes de Trabajo'!$J27="Abierto",IF(COUNTIF('6. Bajas'!$A$2:$A$301,'1. Órdenes de Trabajo'!$A27)&gt;0,"Baja",IF(SUMPRODUCT(('5. Servicio Técnico (Envíos)'!$A$2:$A$301='1. Órdenes de Trabajo'!$A27)*('5. Servicio Técnico (Envíos)'!$I$2:$I$301=""))&gt;0,"Servicio Técnico",'1. Órdenes de Trabajo'!$H27)),"")</f>
        <v/>
      </c>
      <c r="E35" s="87" t="str">
        <f aca="false">IF('1. Órdenes de Trabajo'!$J27="Abierto",'1. Órdenes de Trabajo'!$C27,"")</f>
        <v/>
      </c>
      <c r="F35" s="88" t="str">
        <f aca="false">IF('1. Órdenes de Trabajo'!$J27="Abierto",'1. Órdenes de Trabajo'!$B27,"")</f>
        <v/>
      </c>
      <c r="G35" s="89" t="str">
        <f aca="true">IFERROR(IF('1. Órdenes de Trabajo'!$J27="Abierto",IF('1. Órdenes de Trabajo'!$B27="","",TODAY()-IF(ISNUMBER('1. Órdenes de Trabajo'!$B27),'1. Órdenes de Trabajo'!$B27,DATE(VALUE(MID('1. Órdenes de Trabajo'!$B27,7,4)),VALUE(MID('1. Órdenes de Trabajo'!$B27,4,2)),VALUE(MID('1. Órdenes de Trabajo'!$B27,1,2))))),""),"")</f>
        <v/>
      </c>
      <c r="H35" s="87" t="str">
        <f aca="false">IF('1. Órdenes de Trabajo'!$J27="Abierto",'1. Órdenes de Trabajo'!$J27,"")</f>
        <v/>
      </c>
    </row>
    <row r="36" customFormat="false" ht="15" hidden="false" customHeight="true" outlineLevel="0" collapsed="false">
      <c r="A36" s="87" t="str">
        <f aca="false">IF('1. Órdenes de Trabajo'!$J28="Abierto",'1. Órdenes de Trabajo'!$A28,"")</f>
        <v/>
      </c>
      <c r="B36" s="87" t="str">
        <f aca="false">IF('1. Órdenes de Trabajo'!$J28="Abierto",'1. Órdenes de Trabajo'!$E28,"")</f>
        <v/>
      </c>
      <c r="C36" s="87" t="str">
        <f aca="false">IF('1. Órdenes de Trabajo'!$J28="Abierto",'1. Órdenes de Trabajo'!$I28,"")</f>
        <v/>
      </c>
      <c r="D36" s="87" t="str">
        <f aca="false">IF('1. Órdenes de Trabajo'!$J28="Abierto",IF(COUNTIF('6. Bajas'!$A$2:$A$301,'1. Órdenes de Trabajo'!$A28)&gt;0,"Baja",IF(SUMPRODUCT(('5. Servicio Técnico (Envíos)'!$A$2:$A$301='1. Órdenes de Trabajo'!$A28)*('5. Servicio Técnico (Envíos)'!$I$2:$I$301=""))&gt;0,"Servicio Técnico",'1. Órdenes de Trabajo'!$H28)),"")</f>
        <v/>
      </c>
      <c r="E36" s="87" t="str">
        <f aca="false">IF('1. Órdenes de Trabajo'!$J28="Abierto",'1. Órdenes de Trabajo'!$C28,"")</f>
        <v/>
      </c>
      <c r="F36" s="88" t="str">
        <f aca="false">IF('1. Órdenes de Trabajo'!$J28="Abierto",'1. Órdenes de Trabajo'!$B28,"")</f>
        <v/>
      </c>
      <c r="G36" s="89" t="str">
        <f aca="true">IFERROR(IF('1. Órdenes de Trabajo'!$J28="Abierto",IF('1. Órdenes de Trabajo'!$B28="","",TODAY()-IF(ISNUMBER('1. Órdenes de Trabajo'!$B28),'1. Órdenes de Trabajo'!$B28,DATE(VALUE(MID('1. Órdenes de Trabajo'!$B28,7,4)),VALUE(MID('1. Órdenes de Trabajo'!$B28,4,2)),VALUE(MID('1. Órdenes de Trabajo'!$B28,1,2))))),""),"")</f>
        <v/>
      </c>
      <c r="H36" s="87" t="str">
        <f aca="false">IF('1. Órdenes de Trabajo'!$J28="Abierto",'1. Órdenes de Trabajo'!$J28,"")</f>
        <v/>
      </c>
    </row>
    <row r="37" customFormat="false" ht="15" hidden="false" customHeight="true" outlineLevel="0" collapsed="false">
      <c r="A37" s="87" t="str">
        <f aca="false">IF('1. Órdenes de Trabajo'!$J29="Abierto",'1. Órdenes de Trabajo'!$A29,"")</f>
        <v/>
      </c>
      <c r="B37" s="87" t="str">
        <f aca="false">IF('1. Órdenes de Trabajo'!$J29="Abierto",'1. Órdenes de Trabajo'!$E29,"")</f>
        <v/>
      </c>
      <c r="C37" s="87" t="str">
        <f aca="false">IF('1. Órdenes de Trabajo'!$J29="Abierto",'1. Órdenes de Trabajo'!$I29,"")</f>
        <v/>
      </c>
      <c r="D37" s="87" t="str">
        <f aca="false">IF('1. Órdenes de Trabajo'!$J29="Abierto",IF(COUNTIF('6. Bajas'!$A$2:$A$301,'1. Órdenes de Trabajo'!$A29)&gt;0,"Baja",IF(SUMPRODUCT(('5. Servicio Técnico (Envíos)'!$A$2:$A$301='1. Órdenes de Trabajo'!$A29)*('5. Servicio Técnico (Envíos)'!$I$2:$I$301=""))&gt;0,"Servicio Técnico",'1. Órdenes de Trabajo'!$H29)),"")</f>
        <v/>
      </c>
      <c r="E37" s="87" t="str">
        <f aca="false">IF('1. Órdenes de Trabajo'!$J29="Abierto",'1. Órdenes de Trabajo'!$C29,"")</f>
        <v/>
      </c>
      <c r="F37" s="88" t="str">
        <f aca="false">IF('1. Órdenes de Trabajo'!$J29="Abierto",'1. Órdenes de Trabajo'!$B29,"")</f>
        <v/>
      </c>
      <c r="G37" s="89" t="str">
        <f aca="true">IFERROR(IF('1. Órdenes de Trabajo'!$J29="Abierto",IF('1. Órdenes de Trabajo'!$B29="","",TODAY()-IF(ISNUMBER('1. Órdenes de Trabajo'!$B29),'1. Órdenes de Trabajo'!$B29,DATE(VALUE(MID('1. Órdenes de Trabajo'!$B29,7,4)),VALUE(MID('1. Órdenes de Trabajo'!$B29,4,2)),VALUE(MID('1. Órdenes de Trabajo'!$B29,1,2))))),""),"")</f>
        <v/>
      </c>
      <c r="H37" s="87" t="str">
        <f aca="false">IF('1. Órdenes de Trabajo'!$J29="Abierto",'1. Órdenes de Trabajo'!$J29,"")</f>
        <v/>
      </c>
    </row>
    <row r="38" customFormat="false" ht="15" hidden="false" customHeight="true" outlineLevel="0" collapsed="false">
      <c r="A38" s="87" t="str">
        <f aca="false">IF('1. Órdenes de Trabajo'!$J30="Abierto",'1. Órdenes de Trabajo'!$A30,"")</f>
        <v/>
      </c>
      <c r="B38" s="87" t="str">
        <f aca="false">IF('1. Órdenes de Trabajo'!$J30="Abierto",'1. Órdenes de Trabajo'!$E30,"")</f>
        <v/>
      </c>
      <c r="C38" s="87" t="str">
        <f aca="false">IF('1. Órdenes de Trabajo'!$J30="Abierto",'1. Órdenes de Trabajo'!$I30,"")</f>
        <v/>
      </c>
      <c r="D38" s="87" t="str">
        <f aca="false">IF('1. Órdenes de Trabajo'!$J30="Abierto",IF(COUNTIF('6. Bajas'!$A$2:$A$301,'1. Órdenes de Trabajo'!$A30)&gt;0,"Baja",IF(SUMPRODUCT(('5. Servicio Técnico (Envíos)'!$A$2:$A$301='1. Órdenes de Trabajo'!$A30)*('5. Servicio Técnico (Envíos)'!$I$2:$I$301=""))&gt;0,"Servicio Técnico",'1. Órdenes de Trabajo'!$H30)),"")</f>
        <v/>
      </c>
      <c r="E38" s="87" t="str">
        <f aca="false">IF('1. Órdenes de Trabajo'!$J30="Abierto",'1. Órdenes de Trabajo'!$C30,"")</f>
        <v/>
      </c>
      <c r="F38" s="88" t="str">
        <f aca="false">IF('1. Órdenes de Trabajo'!$J30="Abierto",'1. Órdenes de Trabajo'!$B30,"")</f>
        <v/>
      </c>
      <c r="G38" s="89" t="str">
        <f aca="true">IFERROR(IF('1. Órdenes de Trabajo'!$J30="Abierto",IF('1. Órdenes de Trabajo'!$B30="","",TODAY()-IF(ISNUMBER('1. Órdenes de Trabajo'!$B30),'1. Órdenes de Trabajo'!$B30,DATE(VALUE(MID('1. Órdenes de Trabajo'!$B30,7,4)),VALUE(MID('1. Órdenes de Trabajo'!$B30,4,2)),VALUE(MID('1. Órdenes de Trabajo'!$B30,1,2))))),""),"")</f>
        <v/>
      </c>
      <c r="H38" s="87" t="str">
        <f aca="false">IF('1. Órdenes de Trabajo'!$J30="Abierto",'1. Órdenes de Trabajo'!$J30,"")</f>
        <v/>
      </c>
    </row>
    <row r="39" customFormat="false" ht="15" hidden="false" customHeight="true" outlineLevel="0" collapsed="false">
      <c r="A39" s="87" t="str">
        <f aca="false">IF('1. Órdenes de Trabajo'!$J31="Abierto",'1. Órdenes de Trabajo'!$A31,"")</f>
        <v/>
      </c>
      <c r="B39" s="87" t="str">
        <f aca="false">IF('1. Órdenes de Trabajo'!$J31="Abierto",'1. Órdenes de Trabajo'!$E31,"")</f>
        <v/>
      </c>
      <c r="C39" s="87" t="str">
        <f aca="false">IF('1. Órdenes de Trabajo'!$J31="Abierto",'1. Órdenes de Trabajo'!$I31,"")</f>
        <v/>
      </c>
      <c r="D39" s="87" t="str">
        <f aca="false">IF('1. Órdenes de Trabajo'!$J31="Abierto",IF(COUNTIF('6. Bajas'!$A$2:$A$301,'1. Órdenes de Trabajo'!$A31)&gt;0,"Baja",IF(SUMPRODUCT(('5. Servicio Técnico (Envíos)'!$A$2:$A$301='1. Órdenes de Trabajo'!$A31)*('5. Servicio Técnico (Envíos)'!$I$2:$I$301=""))&gt;0,"Servicio Técnico",'1. Órdenes de Trabajo'!$H31)),"")</f>
        <v/>
      </c>
      <c r="E39" s="87" t="str">
        <f aca="false">IF('1. Órdenes de Trabajo'!$J31="Abierto",'1. Órdenes de Trabajo'!$C31,"")</f>
        <v/>
      </c>
      <c r="F39" s="88" t="str">
        <f aca="false">IF('1. Órdenes de Trabajo'!$J31="Abierto",'1. Órdenes de Trabajo'!$B31,"")</f>
        <v/>
      </c>
      <c r="G39" s="89" t="str">
        <f aca="true">IFERROR(IF('1. Órdenes de Trabajo'!$J31="Abierto",IF('1. Órdenes de Trabajo'!$B31="","",TODAY()-IF(ISNUMBER('1. Órdenes de Trabajo'!$B31),'1. Órdenes de Trabajo'!$B31,DATE(VALUE(MID('1. Órdenes de Trabajo'!$B31,7,4)),VALUE(MID('1. Órdenes de Trabajo'!$B31,4,2)),VALUE(MID('1. Órdenes de Trabajo'!$B31,1,2))))),""),"")</f>
        <v/>
      </c>
      <c r="H39" s="87" t="str">
        <f aca="false">IF('1. Órdenes de Trabajo'!$J31="Abierto",'1. Órdenes de Trabajo'!$J31,"")</f>
        <v/>
      </c>
    </row>
    <row r="40" customFormat="false" ht="15" hidden="false" customHeight="true" outlineLevel="0" collapsed="false">
      <c r="A40" s="87" t="str">
        <f aca="false">IF('1. Órdenes de Trabajo'!$J32="Abierto",'1. Órdenes de Trabajo'!$A32,"")</f>
        <v/>
      </c>
      <c r="B40" s="87" t="str">
        <f aca="false">IF('1. Órdenes de Trabajo'!$J32="Abierto",'1. Órdenes de Trabajo'!$E32,"")</f>
        <v/>
      </c>
      <c r="C40" s="87" t="str">
        <f aca="false">IF('1. Órdenes de Trabajo'!$J32="Abierto",'1. Órdenes de Trabajo'!$I32,"")</f>
        <v/>
      </c>
      <c r="D40" s="87" t="str">
        <f aca="false">IF('1. Órdenes de Trabajo'!$J32="Abierto",IF(COUNTIF('6. Bajas'!$A$2:$A$301,'1. Órdenes de Trabajo'!$A32)&gt;0,"Baja",IF(SUMPRODUCT(('5. Servicio Técnico (Envíos)'!$A$2:$A$301='1. Órdenes de Trabajo'!$A32)*('5. Servicio Técnico (Envíos)'!$I$2:$I$301=""))&gt;0,"Servicio Técnico",'1. Órdenes de Trabajo'!$H32)),"")</f>
        <v/>
      </c>
      <c r="E40" s="87" t="str">
        <f aca="false">IF('1. Órdenes de Trabajo'!$J32="Abierto",'1. Órdenes de Trabajo'!$C32,"")</f>
        <v/>
      </c>
      <c r="F40" s="88" t="str">
        <f aca="false">IF('1. Órdenes de Trabajo'!$J32="Abierto",'1. Órdenes de Trabajo'!$B32,"")</f>
        <v/>
      </c>
      <c r="G40" s="89" t="str">
        <f aca="true">IFERROR(IF('1. Órdenes de Trabajo'!$J32="Abierto",IF('1. Órdenes de Trabajo'!$B32="","",TODAY()-IF(ISNUMBER('1. Órdenes de Trabajo'!$B32),'1. Órdenes de Trabajo'!$B32,DATE(VALUE(MID('1. Órdenes de Trabajo'!$B32,7,4)),VALUE(MID('1. Órdenes de Trabajo'!$B32,4,2)),VALUE(MID('1. Órdenes de Trabajo'!$B32,1,2))))),""),"")</f>
        <v/>
      </c>
      <c r="H40" s="87" t="str">
        <f aca="false">IF('1. Órdenes de Trabajo'!$J32="Abierto",'1. Órdenes de Trabajo'!$J32,"")</f>
        <v/>
      </c>
    </row>
    <row r="41" customFormat="false" ht="15" hidden="false" customHeight="true" outlineLevel="0" collapsed="false">
      <c r="A41" s="87" t="str">
        <f aca="false">IF('1. Órdenes de Trabajo'!$J33="Abierto",'1. Órdenes de Trabajo'!$A33,"")</f>
        <v/>
      </c>
      <c r="B41" s="87" t="str">
        <f aca="false">IF('1. Órdenes de Trabajo'!$J33="Abierto",'1. Órdenes de Trabajo'!$E33,"")</f>
        <v/>
      </c>
      <c r="C41" s="87" t="str">
        <f aca="false">IF('1. Órdenes de Trabajo'!$J33="Abierto",'1. Órdenes de Trabajo'!$I33,"")</f>
        <v/>
      </c>
      <c r="D41" s="87" t="str">
        <f aca="false">IF('1. Órdenes de Trabajo'!$J33="Abierto",IF(COUNTIF('6. Bajas'!$A$2:$A$301,'1. Órdenes de Trabajo'!$A33)&gt;0,"Baja",IF(SUMPRODUCT(('5. Servicio Técnico (Envíos)'!$A$2:$A$301='1. Órdenes de Trabajo'!$A33)*('5. Servicio Técnico (Envíos)'!$I$2:$I$301=""))&gt;0,"Servicio Técnico",'1. Órdenes de Trabajo'!$H33)),"")</f>
        <v/>
      </c>
      <c r="E41" s="87" t="str">
        <f aca="false">IF('1. Órdenes de Trabajo'!$J33="Abierto",'1. Órdenes de Trabajo'!$C33,"")</f>
        <v/>
      </c>
      <c r="F41" s="88" t="str">
        <f aca="false">IF('1. Órdenes de Trabajo'!$J33="Abierto",'1. Órdenes de Trabajo'!$B33,"")</f>
        <v/>
      </c>
      <c r="G41" s="89" t="str">
        <f aca="true">IFERROR(IF('1. Órdenes de Trabajo'!$J33="Abierto",IF('1. Órdenes de Trabajo'!$B33="","",TODAY()-IF(ISNUMBER('1. Órdenes de Trabajo'!$B33),'1. Órdenes de Trabajo'!$B33,DATE(VALUE(MID('1. Órdenes de Trabajo'!$B33,7,4)),VALUE(MID('1. Órdenes de Trabajo'!$B33,4,2)),VALUE(MID('1. Órdenes de Trabajo'!$B33,1,2))))),""),"")</f>
        <v/>
      </c>
      <c r="H41" s="87" t="str">
        <f aca="false">IF('1. Órdenes de Trabajo'!$J33="Abierto",'1. Órdenes de Trabajo'!$J33,"")</f>
        <v/>
      </c>
    </row>
    <row r="42" customFormat="false" ht="15" hidden="false" customHeight="true" outlineLevel="0" collapsed="false">
      <c r="A42" s="87" t="str">
        <f aca="false">IF('1. Órdenes de Trabajo'!$J34="Abierto",'1. Órdenes de Trabajo'!$A34,"")</f>
        <v/>
      </c>
      <c r="B42" s="87" t="str">
        <f aca="false">IF('1. Órdenes de Trabajo'!$J34="Abierto",'1. Órdenes de Trabajo'!$E34,"")</f>
        <v/>
      </c>
      <c r="C42" s="87" t="str">
        <f aca="false">IF('1. Órdenes de Trabajo'!$J34="Abierto",'1. Órdenes de Trabajo'!$I34,"")</f>
        <v/>
      </c>
      <c r="D42" s="87" t="str">
        <f aca="false">IF('1. Órdenes de Trabajo'!$J34="Abierto",IF(COUNTIF('6. Bajas'!$A$2:$A$301,'1. Órdenes de Trabajo'!$A34)&gt;0,"Baja",IF(SUMPRODUCT(('5. Servicio Técnico (Envíos)'!$A$2:$A$301='1. Órdenes de Trabajo'!$A34)*('5. Servicio Técnico (Envíos)'!$I$2:$I$301=""))&gt;0,"Servicio Técnico",'1. Órdenes de Trabajo'!$H34)),"")</f>
        <v/>
      </c>
      <c r="E42" s="87" t="str">
        <f aca="false">IF('1. Órdenes de Trabajo'!$J34="Abierto",'1. Órdenes de Trabajo'!$C34,"")</f>
        <v/>
      </c>
      <c r="F42" s="88" t="str">
        <f aca="false">IF('1. Órdenes de Trabajo'!$J34="Abierto",'1. Órdenes de Trabajo'!$B34,"")</f>
        <v/>
      </c>
      <c r="G42" s="89" t="str">
        <f aca="true">IFERROR(IF('1. Órdenes de Trabajo'!$J34="Abierto",IF('1. Órdenes de Trabajo'!$B34="","",TODAY()-IF(ISNUMBER('1. Órdenes de Trabajo'!$B34),'1. Órdenes de Trabajo'!$B34,DATE(VALUE(MID('1. Órdenes de Trabajo'!$B34,7,4)),VALUE(MID('1. Órdenes de Trabajo'!$B34,4,2)),VALUE(MID('1. Órdenes de Trabajo'!$B34,1,2))))),""),"")</f>
        <v/>
      </c>
      <c r="H42" s="87" t="str">
        <f aca="false">IF('1. Órdenes de Trabajo'!$J34="Abierto",'1. Órdenes de Trabajo'!$J34,"")</f>
        <v/>
      </c>
    </row>
    <row r="43" customFormat="false" ht="15" hidden="false" customHeight="true" outlineLevel="0" collapsed="false">
      <c r="A43" s="87" t="str">
        <f aca="false">IF('1. Órdenes de Trabajo'!$J35="Abierto",'1. Órdenes de Trabajo'!$A35,"")</f>
        <v/>
      </c>
      <c r="B43" s="87" t="str">
        <f aca="false">IF('1. Órdenes de Trabajo'!$J35="Abierto",'1. Órdenes de Trabajo'!$E35,"")</f>
        <v/>
      </c>
      <c r="C43" s="87" t="str">
        <f aca="false">IF('1. Órdenes de Trabajo'!$J35="Abierto",'1. Órdenes de Trabajo'!$I35,"")</f>
        <v/>
      </c>
      <c r="D43" s="87" t="str">
        <f aca="false">IF('1. Órdenes de Trabajo'!$J35="Abierto",IF(COUNTIF('6. Bajas'!$A$2:$A$301,'1. Órdenes de Trabajo'!$A35)&gt;0,"Baja",IF(SUMPRODUCT(('5. Servicio Técnico (Envíos)'!$A$2:$A$301='1. Órdenes de Trabajo'!$A35)*('5. Servicio Técnico (Envíos)'!$I$2:$I$301=""))&gt;0,"Servicio Técnico",'1. Órdenes de Trabajo'!$H35)),"")</f>
        <v/>
      </c>
      <c r="E43" s="87" t="str">
        <f aca="false">IF('1. Órdenes de Trabajo'!$J35="Abierto",'1. Órdenes de Trabajo'!$C35,"")</f>
        <v/>
      </c>
      <c r="F43" s="88" t="str">
        <f aca="false">IF('1. Órdenes de Trabajo'!$J35="Abierto",'1. Órdenes de Trabajo'!$B35,"")</f>
        <v/>
      </c>
      <c r="G43" s="89" t="str">
        <f aca="true">IFERROR(IF('1. Órdenes de Trabajo'!$J35="Abierto",IF('1. Órdenes de Trabajo'!$B35="","",TODAY()-IF(ISNUMBER('1. Órdenes de Trabajo'!$B35),'1. Órdenes de Trabajo'!$B35,DATE(VALUE(MID('1. Órdenes de Trabajo'!$B35,7,4)),VALUE(MID('1. Órdenes de Trabajo'!$B35,4,2)),VALUE(MID('1. Órdenes de Trabajo'!$B35,1,2))))),""),"")</f>
        <v/>
      </c>
      <c r="H43" s="87" t="str">
        <f aca="false">IF('1. Órdenes de Trabajo'!$J35="Abierto",'1. Órdenes de Trabajo'!$J35,"")</f>
        <v/>
      </c>
    </row>
    <row r="44" customFormat="false" ht="15" hidden="false" customHeight="true" outlineLevel="0" collapsed="false">
      <c r="A44" s="87" t="str">
        <f aca="false">IF('1. Órdenes de Trabajo'!$J36="Abierto",'1. Órdenes de Trabajo'!$A36,"")</f>
        <v/>
      </c>
      <c r="B44" s="87" t="str">
        <f aca="false">IF('1. Órdenes de Trabajo'!$J36="Abierto",'1. Órdenes de Trabajo'!$E36,"")</f>
        <v/>
      </c>
      <c r="C44" s="87" t="str">
        <f aca="false">IF('1. Órdenes de Trabajo'!$J36="Abierto",'1. Órdenes de Trabajo'!$I36,"")</f>
        <v/>
      </c>
      <c r="D44" s="87" t="str">
        <f aca="false">IF('1. Órdenes de Trabajo'!$J36="Abierto",IF(COUNTIF('6. Bajas'!$A$2:$A$301,'1. Órdenes de Trabajo'!$A36)&gt;0,"Baja",IF(SUMPRODUCT(('5. Servicio Técnico (Envíos)'!$A$2:$A$301='1. Órdenes de Trabajo'!$A36)*('5. Servicio Técnico (Envíos)'!$I$2:$I$301=""))&gt;0,"Servicio Técnico",'1. Órdenes de Trabajo'!$H36)),"")</f>
        <v/>
      </c>
      <c r="E44" s="87" t="str">
        <f aca="false">IF('1. Órdenes de Trabajo'!$J36="Abierto",'1. Órdenes de Trabajo'!$C36,"")</f>
        <v/>
      </c>
      <c r="F44" s="88" t="str">
        <f aca="false">IF('1. Órdenes de Trabajo'!$J36="Abierto",'1. Órdenes de Trabajo'!$B36,"")</f>
        <v/>
      </c>
      <c r="G44" s="89" t="str">
        <f aca="true">IFERROR(IF('1. Órdenes de Trabajo'!$J36="Abierto",IF('1. Órdenes de Trabajo'!$B36="","",TODAY()-IF(ISNUMBER('1. Órdenes de Trabajo'!$B36),'1. Órdenes de Trabajo'!$B36,DATE(VALUE(MID('1. Órdenes de Trabajo'!$B36,7,4)),VALUE(MID('1. Órdenes de Trabajo'!$B36,4,2)),VALUE(MID('1. Órdenes de Trabajo'!$B36,1,2))))),""),"")</f>
        <v/>
      </c>
      <c r="H44" s="87" t="str">
        <f aca="false">IF('1. Órdenes de Trabajo'!$J36="Abierto",'1. Órdenes de Trabajo'!$J36,"")</f>
        <v/>
      </c>
    </row>
    <row r="45" customFormat="false" ht="15" hidden="false" customHeight="true" outlineLevel="0" collapsed="false">
      <c r="A45" s="87" t="str">
        <f aca="false">IF('1. Órdenes de Trabajo'!$J37="Abierto",'1. Órdenes de Trabajo'!$A37,"")</f>
        <v/>
      </c>
      <c r="B45" s="87" t="str">
        <f aca="false">IF('1. Órdenes de Trabajo'!$J37="Abierto",'1. Órdenes de Trabajo'!$E37,"")</f>
        <v/>
      </c>
      <c r="C45" s="87" t="str">
        <f aca="false">IF('1. Órdenes de Trabajo'!$J37="Abierto",'1. Órdenes de Trabajo'!$I37,"")</f>
        <v/>
      </c>
      <c r="D45" s="87" t="str">
        <f aca="false">IF('1. Órdenes de Trabajo'!$J37="Abierto",IF(COUNTIF('6. Bajas'!$A$2:$A$301,'1. Órdenes de Trabajo'!$A37)&gt;0,"Baja",IF(SUMPRODUCT(('5. Servicio Técnico (Envíos)'!$A$2:$A$301='1. Órdenes de Trabajo'!$A37)*('5. Servicio Técnico (Envíos)'!$I$2:$I$301=""))&gt;0,"Servicio Técnico",'1. Órdenes de Trabajo'!$H37)),"")</f>
        <v/>
      </c>
      <c r="E45" s="87" t="str">
        <f aca="false">IF('1. Órdenes de Trabajo'!$J37="Abierto",'1. Órdenes de Trabajo'!$C37,"")</f>
        <v/>
      </c>
      <c r="F45" s="88" t="str">
        <f aca="false">IF('1. Órdenes de Trabajo'!$J37="Abierto",'1. Órdenes de Trabajo'!$B37,"")</f>
        <v/>
      </c>
      <c r="G45" s="89" t="str">
        <f aca="true">IFERROR(IF('1. Órdenes de Trabajo'!$J37="Abierto",IF('1. Órdenes de Trabajo'!$B37="","",TODAY()-IF(ISNUMBER('1. Órdenes de Trabajo'!$B37),'1. Órdenes de Trabajo'!$B37,DATE(VALUE(MID('1. Órdenes de Trabajo'!$B37,7,4)),VALUE(MID('1. Órdenes de Trabajo'!$B37,4,2)),VALUE(MID('1. Órdenes de Trabajo'!$B37,1,2))))),""),"")</f>
        <v/>
      </c>
      <c r="H45" s="87" t="str">
        <f aca="false">IF('1. Órdenes de Trabajo'!$J37="Abierto",'1. Órdenes de Trabajo'!$J37,"")</f>
        <v/>
      </c>
    </row>
    <row r="46" customFormat="false" ht="15" hidden="false" customHeight="true" outlineLevel="0" collapsed="false">
      <c r="A46" s="87" t="str">
        <f aca="false">IF('1. Órdenes de Trabajo'!$J38="Abierto",'1. Órdenes de Trabajo'!$A38,"")</f>
        <v/>
      </c>
      <c r="B46" s="87" t="str">
        <f aca="false">IF('1. Órdenes de Trabajo'!$J38="Abierto",'1. Órdenes de Trabajo'!$E38,"")</f>
        <v/>
      </c>
      <c r="C46" s="87" t="str">
        <f aca="false">IF('1. Órdenes de Trabajo'!$J38="Abierto",'1. Órdenes de Trabajo'!$I38,"")</f>
        <v/>
      </c>
      <c r="D46" s="87" t="str">
        <f aca="false">IF('1. Órdenes de Trabajo'!$J38="Abierto",IF(COUNTIF('6. Bajas'!$A$2:$A$301,'1. Órdenes de Trabajo'!$A38)&gt;0,"Baja",IF(SUMPRODUCT(('5. Servicio Técnico (Envíos)'!$A$2:$A$301='1. Órdenes de Trabajo'!$A38)*('5. Servicio Técnico (Envíos)'!$I$2:$I$301=""))&gt;0,"Servicio Técnico",'1. Órdenes de Trabajo'!$H38)),"")</f>
        <v/>
      </c>
      <c r="E46" s="87" t="str">
        <f aca="false">IF('1. Órdenes de Trabajo'!$J38="Abierto",'1. Órdenes de Trabajo'!$C38,"")</f>
        <v/>
      </c>
      <c r="F46" s="88" t="str">
        <f aca="false">IF('1. Órdenes de Trabajo'!$J38="Abierto",'1. Órdenes de Trabajo'!$B38,"")</f>
        <v/>
      </c>
      <c r="G46" s="89" t="str">
        <f aca="true">IFERROR(IF('1. Órdenes de Trabajo'!$J38="Abierto",IF('1. Órdenes de Trabajo'!$B38="","",TODAY()-IF(ISNUMBER('1. Órdenes de Trabajo'!$B38),'1. Órdenes de Trabajo'!$B38,DATE(VALUE(MID('1. Órdenes de Trabajo'!$B38,7,4)),VALUE(MID('1. Órdenes de Trabajo'!$B38,4,2)),VALUE(MID('1. Órdenes de Trabajo'!$B38,1,2))))),""),"")</f>
        <v/>
      </c>
      <c r="H46" s="87" t="str">
        <f aca="false">IF('1. Órdenes de Trabajo'!$J38="Abierto",'1. Órdenes de Trabajo'!$J38,"")</f>
        <v/>
      </c>
    </row>
    <row r="47" customFormat="false" ht="15" hidden="false" customHeight="true" outlineLevel="0" collapsed="false">
      <c r="A47" s="87" t="str">
        <f aca="false">IF('1. Órdenes de Trabajo'!$J39="Abierto",'1. Órdenes de Trabajo'!$A39,"")</f>
        <v/>
      </c>
      <c r="B47" s="87" t="str">
        <f aca="false">IF('1. Órdenes de Trabajo'!$J39="Abierto",'1. Órdenes de Trabajo'!$E39,"")</f>
        <v/>
      </c>
      <c r="C47" s="87" t="str">
        <f aca="false">IF('1. Órdenes de Trabajo'!$J39="Abierto",'1. Órdenes de Trabajo'!$I39,"")</f>
        <v/>
      </c>
      <c r="D47" s="87" t="str">
        <f aca="false">IF('1. Órdenes de Trabajo'!$J39="Abierto",IF(COUNTIF('6. Bajas'!$A$2:$A$301,'1. Órdenes de Trabajo'!$A39)&gt;0,"Baja",IF(SUMPRODUCT(('5. Servicio Técnico (Envíos)'!$A$2:$A$301='1. Órdenes de Trabajo'!$A39)*('5. Servicio Técnico (Envíos)'!$I$2:$I$301=""))&gt;0,"Servicio Técnico",'1. Órdenes de Trabajo'!$H39)),"")</f>
        <v/>
      </c>
      <c r="E47" s="87" t="str">
        <f aca="false">IF('1. Órdenes de Trabajo'!$J39="Abierto",'1. Órdenes de Trabajo'!$C39,"")</f>
        <v/>
      </c>
      <c r="F47" s="88" t="str">
        <f aca="false">IF('1. Órdenes de Trabajo'!$J39="Abierto",'1. Órdenes de Trabajo'!$B39,"")</f>
        <v/>
      </c>
      <c r="G47" s="89" t="str">
        <f aca="true">IFERROR(IF('1. Órdenes de Trabajo'!$J39="Abierto",IF('1. Órdenes de Trabajo'!$B39="","",TODAY()-IF(ISNUMBER('1. Órdenes de Trabajo'!$B39),'1. Órdenes de Trabajo'!$B39,DATE(VALUE(MID('1. Órdenes de Trabajo'!$B39,7,4)),VALUE(MID('1. Órdenes de Trabajo'!$B39,4,2)),VALUE(MID('1. Órdenes de Trabajo'!$B39,1,2))))),""),"")</f>
        <v/>
      </c>
      <c r="H47" s="87" t="str">
        <f aca="false">IF('1. Órdenes de Trabajo'!$J39="Abierto",'1. Órdenes de Trabajo'!$J39,"")</f>
        <v/>
      </c>
    </row>
    <row r="48" customFormat="false" ht="15" hidden="false" customHeight="true" outlineLevel="0" collapsed="false">
      <c r="A48" s="87" t="str">
        <f aca="false">IF('1. Órdenes de Trabajo'!$J40="Abierto",'1. Órdenes de Trabajo'!$A40,"")</f>
        <v/>
      </c>
      <c r="B48" s="87" t="str">
        <f aca="false">IF('1. Órdenes de Trabajo'!$J40="Abierto",'1. Órdenes de Trabajo'!$E40,"")</f>
        <v/>
      </c>
      <c r="C48" s="87" t="str">
        <f aca="false">IF('1. Órdenes de Trabajo'!$J40="Abierto",'1. Órdenes de Trabajo'!$I40,"")</f>
        <v/>
      </c>
      <c r="D48" s="87" t="str">
        <f aca="false">IF('1. Órdenes de Trabajo'!$J40="Abierto",IF(COUNTIF('6. Bajas'!$A$2:$A$301,'1. Órdenes de Trabajo'!$A40)&gt;0,"Baja",IF(SUMPRODUCT(('5. Servicio Técnico (Envíos)'!$A$2:$A$301='1. Órdenes de Trabajo'!$A40)*('5. Servicio Técnico (Envíos)'!$I$2:$I$301=""))&gt;0,"Servicio Técnico",'1. Órdenes de Trabajo'!$H40)),"")</f>
        <v/>
      </c>
      <c r="E48" s="87" t="str">
        <f aca="false">IF('1. Órdenes de Trabajo'!$J40="Abierto",'1. Órdenes de Trabajo'!$C40,"")</f>
        <v/>
      </c>
      <c r="F48" s="88" t="str">
        <f aca="false">IF('1. Órdenes de Trabajo'!$J40="Abierto",'1. Órdenes de Trabajo'!$B40,"")</f>
        <v/>
      </c>
      <c r="G48" s="89" t="str">
        <f aca="true">IFERROR(IF('1. Órdenes de Trabajo'!$J40="Abierto",IF('1. Órdenes de Trabajo'!$B40="","",TODAY()-IF(ISNUMBER('1. Órdenes de Trabajo'!$B40),'1. Órdenes de Trabajo'!$B40,DATE(VALUE(MID('1. Órdenes de Trabajo'!$B40,7,4)),VALUE(MID('1. Órdenes de Trabajo'!$B40,4,2)),VALUE(MID('1. Órdenes de Trabajo'!$B40,1,2))))),""),"")</f>
        <v/>
      </c>
      <c r="H48" s="87" t="str">
        <f aca="false">IF('1. Órdenes de Trabajo'!$J40="Abierto",'1. Órdenes de Trabajo'!$J40,"")</f>
        <v/>
      </c>
    </row>
    <row r="49" customFormat="false" ht="15" hidden="false" customHeight="true" outlineLevel="0" collapsed="false">
      <c r="A49" s="87" t="str">
        <f aca="false">IF('1. Órdenes de Trabajo'!$J41="Abierto",'1. Órdenes de Trabajo'!$A41,"")</f>
        <v/>
      </c>
      <c r="B49" s="87" t="str">
        <f aca="false">IF('1. Órdenes de Trabajo'!$J41="Abierto",'1. Órdenes de Trabajo'!$E41,"")</f>
        <v/>
      </c>
      <c r="C49" s="87" t="str">
        <f aca="false">IF('1. Órdenes de Trabajo'!$J41="Abierto",'1. Órdenes de Trabajo'!$I41,"")</f>
        <v/>
      </c>
      <c r="D49" s="87" t="str">
        <f aca="false">IF('1. Órdenes de Trabajo'!$J41="Abierto",IF(COUNTIF('6. Bajas'!$A$2:$A$301,'1. Órdenes de Trabajo'!$A41)&gt;0,"Baja",IF(SUMPRODUCT(('5. Servicio Técnico (Envíos)'!$A$2:$A$301='1. Órdenes de Trabajo'!$A41)*('5. Servicio Técnico (Envíos)'!$I$2:$I$301=""))&gt;0,"Servicio Técnico",'1. Órdenes de Trabajo'!$H41)),"")</f>
        <v/>
      </c>
      <c r="E49" s="87" t="str">
        <f aca="false">IF('1. Órdenes de Trabajo'!$J41="Abierto",'1. Órdenes de Trabajo'!$C41,"")</f>
        <v/>
      </c>
      <c r="F49" s="88" t="str">
        <f aca="false">IF('1. Órdenes de Trabajo'!$J41="Abierto",'1. Órdenes de Trabajo'!$B41,"")</f>
        <v/>
      </c>
      <c r="G49" s="89" t="str">
        <f aca="true">IFERROR(IF('1. Órdenes de Trabajo'!$J41="Abierto",IF('1. Órdenes de Trabajo'!$B41="","",TODAY()-IF(ISNUMBER('1. Órdenes de Trabajo'!$B41),'1. Órdenes de Trabajo'!$B41,DATE(VALUE(MID('1. Órdenes de Trabajo'!$B41,7,4)),VALUE(MID('1. Órdenes de Trabajo'!$B41,4,2)),VALUE(MID('1. Órdenes de Trabajo'!$B41,1,2))))),""),"")</f>
        <v/>
      </c>
      <c r="H49" s="87" t="str">
        <f aca="false">IF('1. Órdenes de Trabajo'!$J41="Abierto",'1. Órdenes de Trabajo'!$J41,"")</f>
        <v/>
      </c>
    </row>
    <row r="50" customFormat="false" ht="15" hidden="false" customHeight="true" outlineLevel="0" collapsed="false">
      <c r="A50" s="87" t="str">
        <f aca="false">IF('1. Órdenes de Trabajo'!$J42="Abierto",'1. Órdenes de Trabajo'!$A42,"")</f>
        <v/>
      </c>
      <c r="B50" s="87" t="str">
        <f aca="false">IF('1. Órdenes de Trabajo'!$J42="Abierto",'1. Órdenes de Trabajo'!$E42,"")</f>
        <v/>
      </c>
      <c r="C50" s="87" t="str">
        <f aca="false">IF('1. Órdenes de Trabajo'!$J42="Abierto",'1. Órdenes de Trabajo'!$I42,"")</f>
        <v/>
      </c>
      <c r="D50" s="87" t="str">
        <f aca="false">IF('1. Órdenes de Trabajo'!$J42="Abierto",IF(COUNTIF('6. Bajas'!$A$2:$A$301,'1. Órdenes de Trabajo'!$A42)&gt;0,"Baja",IF(SUMPRODUCT(('5. Servicio Técnico (Envíos)'!$A$2:$A$301='1. Órdenes de Trabajo'!$A42)*('5. Servicio Técnico (Envíos)'!$I$2:$I$301=""))&gt;0,"Servicio Técnico",'1. Órdenes de Trabajo'!$H42)),"")</f>
        <v/>
      </c>
      <c r="E50" s="87" t="str">
        <f aca="false">IF('1. Órdenes de Trabajo'!$J42="Abierto",'1. Órdenes de Trabajo'!$C42,"")</f>
        <v/>
      </c>
      <c r="F50" s="88" t="str">
        <f aca="false">IF('1. Órdenes de Trabajo'!$J42="Abierto",'1. Órdenes de Trabajo'!$B42,"")</f>
        <v/>
      </c>
      <c r="G50" s="89" t="str">
        <f aca="true">IFERROR(IF('1. Órdenes de Trabajo'!$J42="Abierto",IF('1. Órdenes de Trabajo'!$B42="","",TODAY()-IF(ISNUMBER('1. Órdenes de Trabajo'!$B42),'1. Órdenes de Trabajo'!$B42,DATE(VALUE(MID('1. Órdenes de Trabajo'!$B42,7,4)),VALUE(MID('1. Órdenes de Trabajo'!$B42,4,2)),VALUE(MID('1. Órdenes de Trabajo'!$B42,1,2))))),""),"")</f>
        <v/>
      </c>
      <c r="H50" s="87" t="str">
        <f aca="false">IF('1. Órdenes de Trabajo'!$J42="Abierto",'1. Órdenes de Trabajo'!$J42,"")</f>
        <v/>
      </c>
    </row>
    <row r="51" customFormat="false" ht="15" hidden="false" customHeight="true" outlineLevel="0" collapsed="false">
      <c r="A51" s="87" t="str">
        <f aca="false">IF('1. Órdenes de Trabajo'!$J43="Abierto",'1. Órdenes de Trabajo'!$A43,"")</f>
        <v/>
      </c>
      <c r="B51" s="87" t="str">
        <f aca="false">IF('1. Órdenes de Trabajo'!$J43="Abierto",'1. Órdenes de Trabajo'!$E43,"")</f>
        <v/>
      </c>
      <c r="C51" s="87" t="str">
        <f aca="false">IF('1. Órdenes de Trabajo'!$J43="Abierto",'1. Órdenes de Trabajo'!$I43,"")</f>
        <v/>
      </c>
      <c r="D51" s="87" t="str">
        <f aca="false">IF('1. Órdenes de Trabajo'!$J43="Abierto",IF(COUNTIF('6. Bajas'!$A$2:$A$301,'1. Órdenes de Trabajo'!$A43)&gt;0,"Baja",IF(SUMPRODUCT(('5. Servicio Técnico (Envíos)'!$A$2:$A$301='1. Órdenes de Trabajo'!$A43)*('5. Servicio Técnico (Envíos)'!$I$2:$I$301=""))&gt;0,"Servicio Técnico",'1. Órdenes de Trabajo'!$H43)),"")</f>
        <v/>
      </c>
      <c r="E51" s="87" t="str">
        <f aca="false">IF('1. Órdenes de Trabajo'!$J43="Abierto",'1. Órdenes de Trabajo'!$C43,"")</f>
        <v/>
      </c>
      <c r="F51" s="88" t="str">
        <f aca="false">IF('1. Órdenes de Trabajo'!$J43="Abierto",'1. Órdenes de Trabajo'!$B43,"")</f>
        <v/>
      </c>
      <c r="G51" s="89" t="str">
        <f aca="true">IFERROR(IF('1. Órdenes de Trabajo'!$J43="Abierto",IF('1. Órdenes de Trabajo'!$B43="","",TODAY()-IF(ISNUMBER('1. Órdenes de Trabajo'!$B43),'1. Órdenes de Trabajo'!$B43,DATE(VALUE(MID('1. Órdenes de Trabajo'!$B43,7,4)),VALUE(MID('1. Órdenes de Trabajo'!$B43,4,2)),VALUE(MID('1. Órdenes de Trabajo'!$B43,1,2))))),""),"")</f>
        <v/>
      </c>
      <c r="H51" s="87" t="str">
        <f aca="false">IF('1. Órdenes de Trabajo'!$J43="Abierto",'1. Órdenes de Trabajo'!$J43,"")</f>
        <v/>
      </c>
    </row>
    <row r="52" customFormat="false" ht="15" hidden="false" customHeight="true" outlineLevel="0" collapsed="false">
      <c r="A52" s="87" t="str">
        <f aca="false">IF('1. Órdenes de Trabajo'!$J44="Abierto",'1. Órdenes de Trabajo'!$A44,"")</f>
        <v/>
      </c>
      <c r="B52" s="87" t="str">
        <f aca="false">IF('1. Órdenes de Trabajo'!$J44="Abierto",'1. Órdenes de Trabajo'!$E44,"")</f>
        <v/>
      </c>
      <c r="C52" s="87" t="str">
        <f aca="false">IF('1. Órdenes de Trabajo'!$J44="Abierto",'1. Órdenes de Trabajo'!$I44,"")</f>
        <v/>
      </c>
      <c r="D52" s="87" t="str">
        <f aca="false">IF('1. Órdenes de Trabajo'!$J44="Abierto",IF(COUNTIF('6. Bajas'!$A$2:$A$301,'1. Órdenes de Trabajo'!$A44)&gt;0,"Baja",IF(SUMPRODUCT(('5. Servicio Técnico (Envíos)'!$A$2:$A$301='1. Órdenes de Trabajo'!$A44)*('5. Servicio Técnico (Envíos)'!$I$2:$I$301=""))&gt;0,"Servicio Técnico",'1. Órdenes de Trabajo'!$H44)),"")</f>
        <v/>
      </c>
      <c r="E52" s="87" t="str">
        <f aca="false">IF('1. Órdenes de Trabajo'!$J44="Abierto",'1. Órdenes de Trabajo'!$C44,"")</f>
        <v/>
      </c>
      <c r="F52" s="88" t="str">
        <f aca="false">IF('1. Órdenes de Trabajo'!$J44="Abierto",'1. Órdenes de Trabajo'!$B44,"")</f>
        <v/>
      </c>
      <c r="G52" s="89" t="str">
        <f aca="true">IFERROR(IF('1. Órdenes de Trabajo'!$J44="Abierto",IF('1. Órdenes de Trabajo'!$B44="","",TODAY()-IF(ISNUMBER('1. Órdenes de Trabajo'!$B44),'1. Órdenes de Trabajo'!$B44,DATE(VALUE(MID('1. Órdenes de Trabajo'!$B44,7,4)),VALUE(MID('1. Órdenes de Trabajo'!$B44,4,2)),VALUE(MID('1. Órdenes de Trabajo'!$B44,1,2))))),""),"")</f>
        <v/>
      </c>
      <c r="H52" s="87" t="str">
        <f aca="false">IF('1. Órdenes de Trabajo'!$J44="Abierto",'1. Órdenes de Trabajo'!$J44,"")</f>
        <v/>
      </c>
    </row>
    <row r="53" customFormat="false" ht="15" hidden="false" customHeight="true" outlineLevel="0" collapsed="false">
      <c r="A53" s="87" t="str">
        <f aca="false">IF('1. Órdenes de Trabajo'!$J45="Abierto",'1. Órdenes de Trabajo'!$A45,"")</f>
        <v/>
      </c>
      <c r="B53" s="87" t="str">
        <f aca="false">IF('1. Órdenes de Trabajo'!$J45="Abierto",'1. Órdenes de Trabajo'!$E45,"")</f>
        <v/>
      </c>
      <c r="C53" s="87" t="str">
        <f aca="false">IF('1. Órdenes de Trabajo'!$J45="Abierto",'1. Órdenes de Trabajo'!$I45,"")</f>
        <v/>
      </c>
      <c r="D53" s="87" t="str">
        <f aca="false">IF('1. Órdenes de Trabajo'!$J45="Abierto",IF(COUNTIF('6. Bajas'!$A$2:$A$301,'1. Órdenes de Trabajo'!$A45)&gt;0,"Baja",IF(SUMPRODUCT(('5. Servicio Técnico (Envíos)'!$A$2:$A$301='1. Órdenes de Trabajo'!$A45)*('5. Servicio Técnico (Envíos)'!$I$2:$I$301=""))&gt;0,"Servicio Técnico",'1. Órdenes de Trabajo'!$H45)),"")</f>
        <v/>
      </c>
      <c r="E53" s="87" t="str">
        <f aca="false">IF('1. Órdenes de Trabajo'!$J45="Abierto",'1. Órdenes de Trabajo'!$C45,"")</f>
        <v/>
      </c>
      <c r="F53" s="88" t="str">
        <f aca="false">IF('1. Órdenes de Trabajo'!$J45="Abierto",'1. Órdenes de Trabajo'!$B45,"")</f>
        <v/>
      </c>
      <c r="G53" s="89" t="str">
        <f aca="true">IFERROR(IF('1. Órdenes de Trabajo'!$J45="Abierto",IF('1. Órdenes de Trabajo'!$B45="","",TODAY()-IF(ISNUMBER('1. Órdenes de Trabajo'!$B45),'1. Órdenes de Trabajo'!$B45,DATE(VALUE(MID('1. Órdenes de Trabajo'!$B45,7,4)),VALUE(MID('1. Órdenes de Trabajo'!$B45,4,2)),VALUE(MID('1. Órdenes de Trabajo'!$B45,1,2))))),""),"")</f>
        <v/>
      </c>
      <c r="H53" s="87" t="str">
        <f aca="false">IF('1. Órdenes de Trabajo'!$J45="Abierto",'1. Órdenes de Trabajo'!$J45,"")</f>
        <v/>
      </c>
    </row>
    <row r="54" customFormat="false" ht="15" hidden="false" customHeight="true" outlineLevel="0" collapsed="false">
      <c r="A54" s="87" t="str">
        <f aca="false">IF('1. Órdenes de Trabajo'!$J46="Abierto",'1. Órdenes de Trabajo'!$A46,"")</f>
        <v/>
      </c>
      <c r="B54" s="87" t="str">
        <f aca="false">IF('1. Órdenes de Trabajo'!$J46="Abierto",'1. Órdenes de Trabajo'!$E46,"")</f>
        <v/>
      </c>
      <c r="C54" s="87" t="str">
        <f aca="false">IF('1. Órdenes de Trabajo'!$J46="Abierto",'1. Órdenes de Trabajo'!$I46,"")</f>
        <v/>
      </c>
      <c r="D54" s="87" t="str">
        <f aca="false">IF('1. Órdenes de Trabajo'!$J46="Abierto",IF(COUNTIF('6. Bajas'!$A$2:$A$301,'1. Órdenes de Trabajo'!$A46)&gt;0,"Baja",IF(SUMPRODUCT(('5. Servicio Técnico (Envíos)'!$A$2:$A$301='1. Órdenes de Trabajo'!$A46)*('5. Servicio Técnico (Envíos)'!$I$2:$I$301=""))&gt;0,"Servicio Técnico",'1. Órdenes de Trabajo'!$H46)),"")</f>
        <v/>
      </c>
      <c r="E54" s="87" t="str">
        <f aca="false">IF('1. Órdenes de Trabajo'!$J46="Abierto",'1. Órdenes de Trabajo'!$C46,"")</f>
        <v/>
      </c>
      <c r="F54" s="88" t="str">
        <f aca="false">IF('1. Órdenes de Trabajo'!$J46="Abierto",'1. Órdenes de Trabajo'!$B46,"")</f>
        <v/>
      </c>
      <c r="G54" s="89" t="str">
        <f aca="true">IFERROR(IF('1. Órdenes de Trabajo'!$J46="Abierto",IF('1. Órdenes de Trabajo'!$B46="","",TODAY()-IF(ISNUMBER('1. Órdenes de Trabajo'!$B46),'1. Órdenes de Trabajo'!$B46,DATE(VALUE(MID('1. Órdenes de Trabajo'!$B46,7,4)),VALUE(MID('1. Órdenes de Trabajo'!$B46,4,2)),VALUE(MID('1. Órdenes de Trabajo'!$B46,1,2))))),""),"")</f>
        <v/>
      </c>
      <c r="H54" s="87" t="str">
        <f aca="false">IF('1. Órdenes de Trabajo'!$J46="Abierto",'1. Órdenes de Trabajo'!$J46,"")</f>
        <v/>
      </c>
    </row>
    <row r="55" customFormat="false" ht="15" hidden="false" customHeight="true" outlineLevel="0" collapsed="false">
      <c r="A55" s="87" t="str">
        <f aca="false">IF('1. Órdenes de Trabajo'!$J47="Abierto",'1. Órdenes de Trabajo'!$A47,"")</f>
        <v/>
      </c>
      <c r="B55" s="87" t="str">
        <f aca="false">IF('1. Órdenes de Trabajo'!$J47="Abierto",'1. Órdenes de Trabajo'!$E47,"")</f>
        <v/>
      </c>
      <c r="C55" s="87" t="str">
        <f aca="false">IF('1. Órdenes de Trabajo'!$J47="Abierto",'1. Órdenes de Trabajo'!$I47,"")</f>
        <v/>
      </c>
      <c r="D55" s="87" t="str">
        <f aca="false">IF('1. Órdenes de Trabajo'!$J47="Abierto",IF(COUNTIF('6. Bajas'!$A$2:$A$301,'1. Órdenes de Trabajo'!$A47)&gt;0,"Baja",IF(SUMPRODUCT(('5. Servicio Técnico (Envíos)'!$A$2:$A$301='1. Órdenes de Trabajo'!$A47)*('5. Servicio Técnico (Envíos)'!$I$2:$I$301=""))&gt;0,"Servicio Técnico",'1. Órdenes de Trabajo'!$H47)),"")</f>
        <v/>
      </c>
      <c r="E55" s="87" t="str">
        <f aca="false">IF('1. Órdenes de Trabajo'!$J47="Abierto",'1. Órdenes de Trabajo'!$C47,"")</f>
        <v/>
      </c>
      <c r="F55" s="88" t="str">
        <f aca="false">IF('1. Órdenes de Trabajo'!$J47="Abierto",'1. Órdenes de Trabajo'!$B47,"")</f>
        <v/>
      </c>
      <c r="G55" s="89" t="str">
        <f aca="true">IFERROR(IF('1. Órdenes de Trabajo'!$J47="Abierto",IF('1. Órdenes de Trabajo'!$B47="","",TODAY()-IF(ISNUMBER('1. Órdenes de Trabajo'!$B47),'1. Órdenes de Trabajo'!$B47,DATE(VALUE(MID('1. Órdenes de Trabajo'!$B47,7,4)),VALUE(MID('1. Órdenes de Trabajo'!$B47,4,2)),VALUE(MID('1. Órdenes de Trabajo'!$B47,1,2))))),""),"")</f>
        <v/>
      </c>
      <c r="H55" s="87" t="str">
        <f aca="false">IF('1. Órdenes de Trabajo'!$J47="Abierto",'1. Órdenes de Trabajo'!$J47,"")</f>
        <v/>
      </c>
    </row>
    <row r="56" customFormat="false" ht="15" hidden="false" customHeight="true" outlineLevel="0" collapsed="false">
      <c r="A56" s="87" t="str">
        <f aca="false">IF('1. Órdenes de Trabajo'!$J48="Abierto",'1. Órdenes de Trabajo'!$A48,"")</f>
        <v/>
      </c>
      <c r="B56" s="87" t="str">
        <f aca="false">IF('1. Órdenes de Trabajo'!$J48="Abierto",'1. Órdenes de Trabajo'!$E48,"")</f>
        <v/>
      </c>
      <c r="C56" s="87" t="str">
        <f aca="false">IF('1. Órdenes de Trabajo'!$J48="Abierto",'1. Órdenes de Trabajo'!$I48,"")</f>
        <v/>
      </c>
      <c r="D56" s="87" t="str">
        <f aca="false">IF('1. Órdenes de Trabajo'!$J48="Abierto",IF(COUNTIF('6. Bajas'!$A$2:$A$301,'1. Órdenes de Trabajo'!$A48)&gt;0,"Baja",IF(SUMPRODUCT(('5. Servicio Técnico (Envíos)'!$A$2:$A$301='1. Órdenes de Trabajo'!$A48)*('5. Servicio Técnico (Envíos)'!$I$2:$I$301=""))&gt;0,"Servicio Técnico",'1. Órdenes de Trabajo'!$H48)),"")</f>
        <v/>
      </c>
      <c r="E56" s="87" t="str">
        <f aca="false">IF('1. Órdenes de Trabajo'!$J48="Abierto",'1. Órdenes de Trabajo'!$C48,"")</f>
        <v/>
      </c>
      <c r="F56" s="88" t="str">
        <f aca="false">IF('1. Órdenes de Trabajo'!$J48="Abierto",'1. Órdenes de Trabajo'!$B48,"")</f>
        <v/>
      </c>
      <c r="G56" s="89" t="str">
        <f aca="true">IFERROR(IF('1. Órdenes de Trabajo'!$J48="Abierto",IF('1. Órdenes de Trabajo'!$B48="","",TODAY()-IF(ISNUMBER('1. Órdenes de Trabajo'!$B48),'1. Órdenes de Trabajo'!$B48,DATE(VALUE(MID('1. Órdenes de Trabajo'!$B48,7,4)),VALUE(MID('1. Órdenes de Trabajo'!$B48,4,2)),VALUE(MID('1. Órdenes de Trabajo'!$B48,1,2))))),""),"")</f>
        <v/>
      </c>
      <c r="H56" s="87" t="str">
        <f aca="false">IF('1. Órdenes de Trabajo'!$J48="Abierto",'1. Órdenes de Trabajo'!$J48,"")</f>
        <v/>
      </c>
    </row>
    <row r="57" customFormat="false" ht="15" hidden="false" customHeight="true" outlineLevel="0" collapsed="false">
      <c r="A57" s="87" t="str">
        <f aca="false">IF('1. Órdenes de Trabajo'!$J49="Abierto",'1. Órdenes de Trabajo'!$A49,"")</f>
        <v/>
      </c>
      <c r="B57" s="87" t="str">
        <f aca="false">IF('1. Órdenes de Trabajo'!$J49="Abierto",'1. Órdenes de Trabajo'!$E49,"")</f>
        <v/>
      </c>
      <c r="C57" s="87" t="str">
        <f aca="false">IF('1. Órdenes de Trabajo'!$J49="Abierto",'1. Órdenes de Trabajo'!$I49,"")</f>
        <v/>
      </c>
      <c r="D57" s="87" t="str">
        <f aca="false">IF('1. Órdenes de Trabajo'!$J49="Abierto",IF(COUNTIF('6. Bajas'!$A$2:$A$301,'1. Órdenes de Trabajo'!$A49)&gt;0,"Baja",IF(SUMPRODUCT(('5. Servicio Técnico (Envíos)'!$A$2:$A$301='1. Órdenes de Trabajo'!$A49)*('5. Servicio Técnico (Envíos)'!$I$2:$I$301=""))&gt;0,"Servicio Técnico",'1. Órdenes de Trabajo'!$H49)),"")</f>
        <v/>
      </c>
      <c r="E57" s="87" t="str">
        <f aca="false">IF('1. Órdenes de Trabajo'!$J49="Abierto",'1. Órdenes de Trabajo'!$C49,"")</f>
        <v/>
      </c>
      <c r="F57" s="88" t="str">
        <f aca="false">IF('1. Órdenes de Trabajo'!$J49="Abierto",'1. Órdenes de Trabajo'!$B49,"")</f>
        <v/>
      </c>
      <c r="G57" s="89" t="str">
        <f aca="true">IFERROR(IF('1. Órdenes de Trabajo'!$J49="Abierto",IF('1. Órdenes de Trabajo'!$B49="","",TODAY()-IF(ISNUMBER('1. Órdenes de Trabajo'!$B49),'1. Órdenes de Trabajo'!$B49,DATE(VALUE(MID('1. Órdenes de Trabajo'!$B49,7,4)),VALUE(MID('1. Órdenes de Trabajo'!$B49,4,2)),VALUE(MID('1. Órdenes de Trabajo'!$B49,1,2))))),""),"")</f>
        <v/>
      </c>
      <c r="H57" s="87" t="str">
        <f aca="false">IF('1. Órdenes de Trabajo'!$J49="Abierto",'1. Órdenes de Trabajo'!$J49,"")</f>
        <v/>
      </c>
    </row>
    <row r="58" customFormat="false" ht="15" hidden="false" customHeight="true" outlineLevel="0" collapsed="false">
      <c r="A58" s="87" t="str">
        <f aca="false">IF('1. Órdenes de Trabajo'!$J50="Abierto",'1. Órdenes de Trabajo'!$A50,"")</f>
        <v/>
      </c>
      <c r="B58" s="87" t="str">
        <f aca="false">IF('1. Órdenes de Trabajo'!$J50="Abierto",'1. Órdenes de Trabajo'!$E50,"")</f>
        <v/>
      </c>
      <c r="C58" s="87" t="str">
        <f aca="false">IF('1. Órdenes de Trabajo'!$J50="Abierto",'1. Órdenes de Trabajo'!$I50,"")</f>
        <v/>
      </c>
      <c r="D58" s="87" t="str">
        <f aca="false">IF('1. Órdenes de Trabajo'!$J50="Abierto",IF(COUNTIF('6. Bajas'!$A$2:$A$301,'1. Órdenes de Trabajo'!$A50)&gt;0,"Baja",IF(SUMPRODUCT(('5. Servicio Técnico (Envíos)'!$A$2:$A$301='1. Órdenes de Trabajo'!$A50)*('5. Servicio Técnico (Envíos)'!$I$2:$I$301=""))&gt;0,"Servicio Técnico",'1. Órdenes de Trabajo'!$H50)),"")</f>
        <v/>
      </c>
      <c r="E58" s="87" t="str">
        <f aca="false">IF('1. Órdenes de Trabajo'!$J50="Abierto",'1. Órdenes de Trabajo'!$C50,"")</f>
        <v/>
      </c>
      <c r="F58" s="88" t="str">
        <f aca="false">IF('1. Órdenes de Trabajo'!$J50="Abierto",'1. Órdenes de Trabajo'!$B50,"")</f>
        <v/>
      </c>
      <c r="G58" s="89" t="str">
        <f aca="true">IFERROR(IF('1. Órdenes de Trabajo'!$J50="Abierto",IF('1. Órdenes de Trabajo'!$B50="","",TODAY()-IF(ISNUMBER('1. Órdenes de Trabajo'!$B50),'1. Órdenes de Trabajo'!$B50,DATE(VALUE(MID('1. Órdenes de Trabajo'!$B50,7,4)),VALUE(MID('1. Órdenes de Trabajo'!$B50,4,2)),VALUE(MID('1. Órdenes de Trabajo'!$B50,1,2))))),""),"")</f>
        <v/>
      </c>
      <c r="H58" s="87" t="str">
        <f aca="false">IF('1. Órdenes de Trabajo'!$J50="Abierto",'1. Órdenes de Trabajo'!$J50,"")</f>
        <v/>
      </c>
    </row>
    <row r="59" customFormat="false" ht="15" hidden="false" customHeight="true" outlineLevel="0" collapsed="false">
      <c r="A59" s="87" t="str">
        <f aca="false">IF('1. Órdenes de Trabajo'!$J51="Abierto",'1. Órdenes de Trabajo'!$A51,"")</f>
        <v/>
      </c>
      <c r="B59" s="87" t="str">
        <f aca="false">IF('1. Órdenes de Trabajo'!$J51="Abierto",'1. Órdenes de Trabajo'!$E51,"")</f>
        <v/>
      </c>
      <c r="C59" s="87" t="str">
        <f aca="false">IF('1. Órdenes de Trabajo'!$J51="Abierto",'1. Órdenes de Trabajo'!$I51,"")</f>
        <v/>
      </c>
      <c r="D59" s="87" t="str">
        <f aca="false">IF('1. Órdenes de Trabajo'!$J51="Abierto",IF(COUNTIF('6. Bajas'!$A$2:$A$301,'1. Órdenes de Trabajo'!$A51)&gt;0,"Baja",IF(SUMPRODUCT(('5. Servicio Técnico (Envíos)'!$A$2:$A$301='1. Órdenes de Trabajo'!$A51)*('5. Servicio Técnico (Envíos)'!$I$2:$I$301=""))&gt;0,"Servicio Técnico",'1. Órdenes de Trabajo'!$H51)),"")</f>
        <v/>
      </c>
      <c r="E59" s="87" t="str">
        <f aca="false">IF('1. Órdenes de Trabajo'!$J51="Abierto",'1. Órdenes de Trabajo'!$C51,"")</f>
        <v/>
      </c>
      <c r="F59" s="88" t="str">
        <f aca="false">IF('1. Órdenes de Trabajo'!$J51="Abierto",'1. Órdenes de Trabajo'!$B51,"")</f>
        <v/>
      </c>
      <c r="G59" s="89" t="str">
        <f aca="true">IFERROR(IF('1. Órdenes de Trabajo'!$J51="Abierto",IF('1. Órdenes de Trabajo'!$B51="","",TODAY()-IF(ISNUMBER('1. Órdenes de Trabajo'!$B51),'1. Órdenes de Trabajo'!$B51,DATE(VALUE(MID('1. Órdenes de Trabajo'!$B51,7,4)),VALUE(MID('1. Órdenes de Trabajo'!$B51,4,2)),VALUE(MID('1. Órdenes de Trabajo'!$B51,1,2))))),""),"")</f>
        <v/>
      </c>
      <c r="H59" s="87" t="str">
        <f aca="false">IF('1. Órdenes de Trabajo'!$J51="Abierto",'1. Órdenes de Trabajo'!$J51,"")</f>
        <v/>
      </c>
    </row>
    <row r="60" customFormat="false" ht="15" hidden="false" customHeight="true" outlineLevel="0" collapsed="false">
      <c r="A60" s="87" t="str">
        <f aca="false">IF('1. Órdenes de Trabajo'!$J52="Abierto",'1. Órdenes de Trabajo'!$A52,"")</f>
        <v/>
      </c>
      <c r="B60" s="87" t="str">
        <f aca="false">IF('1. Órdenes de Trabajo'!$J52="Abierto",'1. Órdenes de Trabajo'!$E52,"")</f>
        <v/>
      </c>
      <c r="C60" s="87" t="str">
        <f aca="false">IF('1. Órdenes de Trabajo'!$J52="Abierto",'1. Órdenes de Trabajo'!$I52,"")</f>
        <v/>
      </c>
      <c r="D60" s="87" t="str">
        <f aca="false">IF('1. Órdenes de Trabajo'!$J52="Abierto",IF(COUNTIF('6. Bajas'!$A$2:$A$301,'1. Órdenes de Trabajo'!$A52)&gt;0,"Baja",IF(SUMPRODUCT(('5. Servicio Técnico (Envíos)'!$A$2:$A$301='1. Órdenes de Trabajo'!$A52)*('5. Servicio Técnico (Envíos)'!$I$2:$I$301=""))&gt;0,"Servicio Técnico",'1. Órdenes de Trabajo'!$H52)),"")</f>
        <v/>
      </c>
      <c r="E60" s="87" t="str">
        <f aca="false">IF('1. Órdenes de Trabajo'!$J52="Abierto",'1. Órdenes de Trabajo'!$C52,"")</f>
        <v/>
      </c>
      <c r="F60" s="88" t="str">
        <f aca="false">IF('1. Órdenes de Trabajo'!$J52="Abierto",'1. Órdenes de Trabajo'!$B52,"")</f>
        <v/>
      </c>
      <c r="G60" s="89" t="str">
        <f aca="true">IFERROR(IF('1. Órdenes de Trabajo'!$J52="Abierto",IF('1. Órdenes de Trabajo'!$B52="","",TODAY()-IF(ISNUMBER('1. Órdenes de Trabajo'!$B52),'1. Órdenes de Trabajo'!$B52,DATE(VALUE(MID('1. Órdenes de Trabajo'!$B52,7,4)),VALUE(MID('1. Órdenes de Trabajo'!$B52,4,2)),VALUE(MID('1. Órdenes de Trabajo'!$B52,1,2))))),""),"")</f>
        <v/>
      </c>
      <c r="H60" s="87" t="str">
        <f aca="false">IF('1. Órdenes de Trabajo'!$J52="Abierto",'1. Órdenes de Trabajo'!$J52,"")</f>
        <v/>
      </c>
    </row>
    <row r="61" customFormat="false" ht="15" hidden="false" customHeight="true" outlineLevel="0" collapsed="false">
      <c r="A61" s="87" t="str">
        <f aca="false">IF('1. Órdenes de Trabajo'!$J53="Abierto",'1. Órdenes de Trabajo'!$A53,"")</f>
        <v/>
      </c>
      <c r="B61" s="87" t="str">
        <f aca="false">IF('1. Órdenes de Trabajo'!$J53="Abierto",'1. Órdenes de Trabajo'!$E53,"")</f>
        <v/>
      </c>
      <c r="C61" s="87" t="str">
        <f aca="false">IF('1. Órdenes de Trabajo'!$J53="Abierto",'1. Órdenes de Trabajo'!$I53,"")</f>
        <v/>
      </c>
      <c r="D61" s="87" t="str">
        <f aca="false">IF('1. Órdenes de Trabajo'!$J53="Abierto",IF(COUNTIF('6. Bajas'!$A$2:$A$301,'1. Órdenes de Trabajo'!$A53)&gt;0,"Baja",IF(SUMPRODUCT(('5. Servicio Técnico (Envíos)'!$A$2:$A$301='1. Órdenes de Trabajo'!$A53)*('5. Servicio Técnico (Envíos)'!$I$2:$I$301=""))&gt;0,"Servicio Técnico",'1. Órdenes de Trabajo'!$H53)),"")</f>
        <v/>
      </c>
      <c r="E61" s="87" t="str">
        <f aca="false">IF('1. Órdenes de Trabajo'!$J53="Abierto",'1. Órdenes de Trabajo'!$C53,"")</f>
        <v/>
      </c>
      <c r="F61" s="88" t="str">
        <f aca="false">IF('1. Órdenes de Trabajo'!$J53="Abierto",'1. Órdenes de Trabajo'!$B53,"")</f>
        <v/>
      </c>
      <c r="G61" s="89" t="str">
        <f aca="true">IFERROR(IF('1. Órdenes de Trabajo'!$J53="Abierto",IF('1. Órdenes de Trabajo'!$B53="","",TODAY()-IF(ISNUMBER('1. Órdenes de Trabajo'!$B53),'1. Órdenes de Trabajo'!$B53,DATE(VALUE(MID('1. Órdenes de Trabajo'!$B53,7,4)),VALUE(MID('1. Órdenes de Trabajo'!$B53,4,2)),VALUE(MID('1. Órdenes de Trabajo'!$B53,1,2))))),""),"")</f>
        <v/>
      </c>
      <c r="H61" s="87" t="str">
        <f aca="false">IF('1. Órdenes de Trabajo'!$J53="Abierto",'1. Órdenes de Trabajo'!$J53,"")</f>
        <v/>
      </c>
    </row>
    <row r="62" customFormat="false" ht="15" hidden="false" customHeight="true" outlineLevel="0" collapsed="false">
      <c r="A62" s="87" t="str">
        <f aca="false">IF('1. Órdenes de Trabajo'!$J54="Abierto",'1. Órdenes de Trabajo'!$A54,"")</f>
        <v/>
      </c>
      <c r="B62" s="87" t="str">
        <f aca="false">IF('1. Órdenes de Trabajo'!$J54="Abierto",'1. Órdenes de Trabajo'!$E54,"")</f>
        <v/>
      </c>
      <c r="C62" s="87" t="str">
        <f aca="false">IF('1. Órdenes de Trabajo'!$J54="Abierto",'1. Órdenes de Trabajo'!$I54,"")</f>
        <v/>
      </c>
      <c r="D62" s="87" t="str">
        <f aca="false">IF('1. Órdenes de Trabajo'!$J54="Abierto",IF(COUNTIF('6. Bajas'!$A$2:$A$301,'1. Órdenes de Trabajo'!$A54)&gt;0,"Baja",IF(SUMPRODUCT(('5. Servicio Técnico (Envíos)'!$A$2:$A$301='1. Órdenes de Trabajo'!$A54)*('5. Servicio Técnico (Envíos)'!$I$2:$I$301=""))&gt;0,"Servicio Técnico",'1. Órdenes de Trabajo'!$H54)),"")</f>
        <v/>
      </c>
      <c r="E62" s="87" t="str">
        <f aca="false">IF('1. Órdenes de Trabajo'!$J54="Abierto",'1. Órdenes de Trabajo'!$C54,"")</f>
        <v/>
      </c>
      <c r="F62" s="88" t="str">
        <f aca="false">IF('1. Órdenes de Trabajo'!$J54="Abierto",'1. Órdenes de Trabajo'!$B54,"")</f>
        <v/>
      </c>
      <c r="G62" s="89" t="str">
        <f aca="true">IFERROR(IF('1. Órdenes de Trabajo'!$J54="Abierto",IF('1. Órdenes de Trabajo'!$B54="","",TODAY()-IF(ISNUMBER('1. Órdenes de Trabajo'!$B54),'1. Órdenes de Trabajo'!$B54,DATE(VALUE(MID('1. Órdenes de Trabajo'!$B54,7,4)),VALUE(MID('1. Órdenes de Trabajo'!$B54,4,2)),VALUE(MID('1. Órdenes de Trabajo'!$B54,1,2))))),""),"")</f>
        <v/>
      </c>
      <c r="H62" s="87" t="str">
        <f aca="false">IF('1. Órdenes de Trabajo'!$J54="Abierto",'1. Órdenes de Trabajo'!$J54,"")</f>
        <v/>
      </c>
    </row>
    <row r="63" customFormat="false" ht="15" hidden="false" customHeight="true" outlineLevel="0" collapsed="false">
      <c r="A63" s="87" t="str">
        <f aca="false">IF('1. Órdenes de Trabajo'!$J55="Abierto",'1. Órdenes de Trabajo'!$A55,"")</f>
        <v/>
      </c>
      <c r="B63" s="87" t="str">
        <f aca="false">IF('1. Órdenes de Trabajo'!$J55="Abierto",'1. Órdenes de Trabajo'!$E55,"")</f>
        <v/>
      </c>
      <c r="C63" s="87" t="str">
        <f aca="false">IF('1. Órdenes de Trabajo'!$J55="Abierto",'1. Órdenes de Trabajo'!$I55,"")</f>
        <v/>
      </c>
      <c r="D63" s="87" t="str">
        <f aca="false">IF('1. Órdenes de Trabajo'!$J55="Abierto",IF(COUNTIF('6. Bajas'!$A$2:$A$301,'1. Órdenes de Trabajo'!$A55)&gt;0,"Baja",IF(SUMPRODUCT(('5. Servicio Técnico (Envíos)'!$A$2:$A$301='1. Órdenes de Trabajo'!$A55)*('5. Servicio Técnico (Envíos)'!$I$2:$I$301=""))&gt;0,"Servicio Técnico",'1. Órdenes de Trabajo'!$H55)),"")</f>
        <v/>
      </c>
      <c r="E63" s="87" t="str">
        <f aca="false">IF('1. Órdenes de Trabajo'!$J55="Abierto",'1. Órdenes de Trabajo'!$C55,"")</f>
        <v/>
      </c>
      <c r="F63" s="88" t="str">
        <f aca="false">IF('1. Órdenes de Trabajo'!$J55="Abierto",'1. Órdenes de Trabajo'!$B55,"")</f>
        <v/>
      </c>
      <c r="G63" s="89" t="str">
        <f aca="true">IFERROR(IF('1. Órdenes de Trabajo'!$J55="Abierto",IF('1. Órdenes de Trabajo'!$B55="","",TODAY()-IF(ISNUMBER('1. Órdenes de Trabajo'!$B55),'1. Órdenes de Trabajo'!$B55,DATE(VALUE(MID('1. Órdenes de Trabajo'!$B55,7,4)),VALUE(MID('1. Órdenes de Trabajo'!$B55,4,2)),VALUE(MID('1. Órdenes de Trabajo'!$B55,1,2))))),""),"")</f>
        <v/>
      </c>
      <c r="H63" s="87" t="str">
        <f aca="false">IF('1. Órdenes de Trabajo'!$J55="Abierto",'1. Órdenes de Trabajo'!$J55,"")</f>
        <v/>
      </c>
    </row>
    <row r="64" customFormat="false" ht="15" hidden="false" customHeight="true" outlineLevel="0" collapsed="false">
      <c r="A64" s="87" t="str">
        <f aca="false">IF('1. Órdenes de Trabajo'!$J56="Abierto",'1. Órdenes de Trabajo'!$A56,"")</f>
        <v/>
      </c>
      <c r="B64" s="87" t="str">
        <f aca="false">IF('1. Órdenes de Trabajo'!$J56="Abierto",'1. Órdenes de Trabajo'!$E56,"")</f>
        <v/>
      </c>
      <c r="C64" s="87" t="str">
        <f aca="false">IF('1. Órdenes de Trabajo'!$J56="Abierto",'1. Órdenes de Trabajo'!$I56,"")</f>
        <v/>
      </c>
      <c r="D64" s="87" t="str">
        <f aca="false">IF('1. Órdenes de Trabajo'!$J56="Abierto",IF(COUNTIF('6. Bajas'!$A$2:$A$301,'1. Órdenes de Trabajo'!$A56)&gt;0,"Baja",IF(SUMPRODUCT(('5. Servicio Técnico (Envíos)'!$A$2:$A$301='1. Órdenes de Trabajo'!$A56)*('5. Servicio Técnico (Envíos)'!$I$2:$I$301=""))&gt;0,"Servicio Técnico",'1. Órdenes de Trabajo'!$H56)),"")</f>
        <v/>
      </c>
      <c r="E64" s="87" t="str">
        <f aca="false">IF('1. Órdenes de Trabajo'!$J56="Abierto",'1. Órdenes de Trabajo'!$C56,"")</f>
        <v/>
      </c>
      <c r="F64" s="88" t="str">
        <f aca="false">IF('1. Órdenes de Trabajo'!$J56="Abierto",'1. Órdenes de Trabajo'!$B56,"")</f>
        <v/>
      </c>
      <c r="G64" s="89" t="str">
        <f aca="true">IFERROR(IF('1. Órdenes de Trabajo'!$J56="Abierto",IF('1. Órdenes de Trabajo'!$B56="","",TODAY()-IF(ISNUMBER('1. Órdenes de Trabajo'!$B56),'1. Órdenes de Trabajo'!$B56,DATE(VALUE(MID('1. Órdenes de Trabajo'!$B56,7,4)),VALUE(MID('1. Órdenes de Trabajo'!$B56,4,2)),VALUE(MID('1. Órdenes de Trabajo'!$B56,1,2))))),""),"")</f>
        <v/>
      </c>
      <c r="H64" s="87" t="str">
        <f aca="false">IF('1. Órdenes de Trabajo'!$J56="Abierto",'1. Órdenes de Trabajo'!$J56,"")</f>
        <v/>
      </c>
    </row>
    <row r="65" customFormat="false" ht="15" hidden="false" customHeight="true" outlineLevel="0" collapsed="false">
      <c r="A65" s="87" t="str">
        <f aca="false">IF('1. Órdenes de Trabajo'!$J57="Abierto",'1. Órdenes de Trabajo'!$A57,"")</f>
        <v/>
      </c>
      <c r="B65" s="87" t="str">
        <f aca="false">IF('1. Órdenes de Trabajo'!$J57="Abierto",'1. Órdenes de Trabajo'!$E57,"")</f>
        <v/>
      </c>
      <c r="C65" s="87" t="str">
        <f aca="false">IF('1. Órdenes de Trabajo'!$J57="Abierto",'1. Órdenes de Trabajo'!$I57,"")</f>
        <v/>
      </c>
      <c r="D65" s="87" t="str">
        <f aca="false">IF('1. Órdenes de Trabajo'!$J57="Abierto",IF(COUNTIF('6. Bajas'!$A$2:$A$301,'1. Órdenes de Trabajo'!$A57)&gt;0,"Baja",IF(SUMPRODUCT(('5. Servicio Técnico (Envíos)'!$A$2:$A$301='1. Órdenes de Trabajo'!$A57)*('5. Servicio Técnico (Envíos)'!$I$2:$I$301=""))&gt;0,"Servicio Técnico",'1. Órdenes de Trabajo'!$H57)),"")</f>
        <v/>
      </c>
      <c r="E65" s="87" t="str">
        <f aca="false">IF('1. Órdenes de Trabajo'!$J57="Abierto",'1. Órdenes de Trabajo'!$C57,"")</f>
        <v/>
      </c>
      <c r="F65" s="88" t="str">
        <f aca="false">IF('1. Órdenes de Trabajo'!$J57="Abierto",'1. Órdenes de Trabajo'!$B57,"")</f>
        <v/>
      </c>
      <c r="G65" s="89" t="str">
        <f aca="true">IFERROR(IF('1. Órdenes de Trabajo'!$J57="Abierto",IF('1. Órdenes de Trabajo'!$B57="","",TODAY()-IF(ISNUMBER('1. Órdenes de Trabajo'!$B57),'1. Órdenes de Trabajo'!$B57,DATE(VALUE(MID('1. Órdenes de Trabajo'!$B57,7,4)),VALUE(MID('1. Órdenes de Trabajo'!$B57,4,2)),VALUE(MID('1. Órdenes de Trabajo'!$B57,1,2))))),""),"")</f>
        <v/>
      </c>
      <c r="H65" s="87" t="str">
        <f aca="false">IF('1. Órdenes de Trabajo'!$J57="Abierto",'1. Órdenes de Trabajo'!$J57,"")</f>
        <v/>
      </c>
    </row>
    <row r="66" customFormat="false" ht="15" hidden="false" customHeight="true" outlineLevel="0" collapsed="false">
      <c r="A66" s="87" t="str">
        <f aca="false">IF('1. Órdenes de Trabajo'!$J58="Abierto",'1. Órdenes de Trabajo'!$A58,"")</f>
        <v/>
      </c>
      <c r="B66" s="87" t="str">
        <f aca="false">IF('1. Órdenes de Trabajo'!$J58="Abierto",'1. Órdenes de Trabajo'!$E58,"")</f>
        <v/>
      </c>
      <c r="C66" s="87" t="str">
        <f aca="false">IF('1. Órdenes de Trabajo'!$J58="Abierto",'1. Órdenes de Trabajo'!$I58,"")</f>
        <v/>
      </c>
      <c r="D66" s="87" t="str">
        <f aca="false">IF('1. Órdenes de Trabajo'!$J58="Abierto",IF(COUNTIF('6. Bajas'!$A$2:$A$301,'1. Órdenes de Trabajo'!$A58)&gt;0,"Baja",IF(SUMPRODUCT(('5. Servicio Técnico (Envíos)'!$A$2:$A$301='1. Órdenes de Trabajo'!$A58)*('5. Servicio Técnico (Envíos)'!$I$2:$I$301=""))&gt;0,"Servicio Técnico",'1. Órdenes de Trabajo'!$H58)),"")</f>
        <v/>
      </c>
      <c r="E66" s="87" t="str">
        <f aca="false">IF('1. Órdenes de Trabajo'!$J58="Abierto",'1. Órdenes de Trabajo'!$C58,"")</f>
        <v/>
      </c>
      <c r="F66" s="88" t="str">
        <f aca="false">IF('1. Órdenes de Trabajo'!$J58="Abierto",'1. Órdenes de Trabajo'!$B58,"")</f>
        <v/>
      </c>
      <c r="G66" s="89" t="str">
        <f aca="true">IFERROR(IF('1. Órdenes de Trabajo'!$J58="Abierto",IF('1. Órdenes de Trabajo'!$B58="","",TODAY()-IF(ISNUMBER('1. Órdenes de Trabajo'!$B58),'1. Órdenes de Trabajo'!$B58,DATE(VALUE(MID('1. Órdenes de Trabajo'!$B58,7,4)),VALUE(MID('1. Órdenes de Trabajo'!$B58,4,2)),VALUE(MID('1. Órdenes de Trabajo'!$B58,1,2))))),""),"")</f>
        <v/>
      </c>
      <c r="H66" s="87" t="str">
        <f aca="false">IF('1. Órdenes de Trabajo'!$J58="Abierto",'1. Órdenes de Trabajo'!$J58,"")</f>
        <v/>
      </c>
    </row>
    <row r="67" customFormat="false" ht="15" hidden="false" customHeight="true" outlineLevel="0" collapsed="false">
      <c r="A67" s="87" t="str">
        <f aca="false">IF('1. Órdenes de Trabajo'!$J59="Abierto",'1. Órdenes de Trabajo'!$A59,"")</f>
        <v/>
      </c>
      <c r="B67" s="87" t="str">
        <f aca="false">IF('1. Órdenes de Trabajo'!$J59="Abierto",'1. Órdenes de Trabajo'!$E59,"")</f>
        <v/>
      </c>
      <c r="C67" s="87" t="str">
        <f aca="false">IF('1. Órdenes de Trabajo'!$J59="Abierto",'1. Órdenes de Trabajo'!$I59,"")</f>
        <v/>
      </c>
      <c r="D67" s="87" t="str">
        <f aca="false">IF('1. Órdenes de Trabajo'!$J59="Abierto",IF(COUNTIF('6. Bajas'!$A$2:$A$301,'1. Órdenes de Trabajo'!$A59)&gt;0,"Baja",IF(SUMPRODUCT(('5. Servicio Técnico (Envíos)'!$A$2:$A$301='1. Órdenes de Trabajo'!$A59)*('5. Servicio Técnico (Envíos)'!$I$2:$I$301=""))&gt;0,"Servicio Técnico",'1. Órdenes de Trabajo'!$H59)),"")</f>
        <v/>
      </c>
      <c r="E67" s="87" t="str">
        <f aca="false">IF('1. Órdenes de Trabajo'!$J59="Abierto",'1. Órdenes de Trabajo'!$C59,"")</f>
        <v/>
      </c>
      <c r="F67" s="88" t="str">
        <f aca="false">IF('1. Órdenes de Trabajo'!$J59="Abierto",'1. Órdenes de Trabajo'!$B59,"")</f>
        <v/>
      </c>
      <c r="G67" s="89" t="str">
        <f aca="true">IFERROR(IF('1. Órdenes de Trabajo'!$J59="Abierto",IF('1. Órdenes de Trabajo'!$B59="","",TODAY()-IF(ISNUMBER('1. Órdenes de Trabajo'!$B59),'1. Órdenes de Trabajo'!$B59,DATE(VALUE(MID('1. Órdenes de Trabajo'!$B59,7,4)),VALUE(MID('1. Órdenes de Trabajo'!$B59,4,2)),VALUE(MID('1. Órdenes de Trabajo'!$B59,1,2))))),""),"")</f>
        <v/>
      </c>
      <c r="H67" s="87" t="str">
        <f aca="false">IF('1. Órdenes de Trabajo'!$J59="Abierto",'1. Órdenes de Trabajo'!$J59,"")</f>
        <v/>
      </c>
    </row>
    <row r="68" customFormat="false" ht="15" hidden="false" customHeight="true" outlineLevel="0" collapsed="false">
      <c r="A68" s="87" t="str">
        <f aca="false">IF('1. Órdenes de Trabajo'!$J60="Abierto",'1. Órdenes de Trabajo'!$A60,"")</f>
        <v/>
      </c>
      <c r="B68" s="87" t="str">
        <f aca="false">IF('1. Órdenes de Trabajo'!$J60="Abierto",'1. Órdenes de Trabajo'!$E60,"")</f>
        <v/>
      </c>
      <c r="C68" s="87" t="str">
        <f aca="false">IF('1. Órdenes de Trabajo'!$J60="Abierto",'1. Órdenes de Trabajo'!$I60,"")</f>
        <v/>
      </c>
      <c r="D68" s="87" t="str">
        <f aca="false">IF('1. Órdenes de Trabajo'!$J60="Abierto",IF(COUNTIF('6. Bajas'!$A$2:$A$301,'1. Órdenes de Trabajo'!$A60)&gt;0,"Baja",IF(SUMPRODUCT(('5. Servicio Técnico (Envíos)'!$A$2:$A$301='1. Órdenes de Trabajo'!$A60)*('5. Servicio Técnico (Envíos)'!$I$2:$I$301=""))&gt;0,"Servicio Técnico",'1. Órdenes de Trabajo'!$H60)),"")</f>
        <v/>
      </c>
      <c r="E68" s="87" t="str">
        <f aca="false">IF('1. Órdenes de Trabajo'!$J60="Abierto",'1. Órdenes de Trabajo'!$C60,"")</f>
        <v/>
      </c>
      <c r="F68" s="88" t="str">
        <f aca="false">IF('1. Órdenes de Trabajo'!$J60="Abierto",'1. Órdenes de Trabajo'!$B60,"")</f>
        <v/>
      </c>
      <c r="G68" s="89" t="str">
        <f aca="true">IFERROR(IF('1. Órdenes de Trabajo'!$J60="Abierto",IF('1. Órdenes de Trabajo'!$B60="","",TODAY()-IF(ISNUMBER('1. Órdenes de Trabajo'!$B60),'1. Órdenes de Trabajo'!$B60,DATE(VALUE(MID('1. Órdenes de Trabajo'!$B60,7,4)),VALUE(MID('1. Órdenes de Trabajo'!$B60,4,2)),VALUE(MID('1. Órdenes de Trabajo'!$B60,1,2))))),""),"")</f>
        <v/>
      </c>
      <c r="H68" s="87" t="str">
        <f aca="false">IF('1. Órdenes de Trabajo'!$J60="Abierto",'1. Órdenes de Trabajo'!$J60,"")</f>
        <v/>
      </c>
    </row>
    <row r="69" customFormat="false" ht="15" hidden="false" customHeight="true" outlineLevel="0" collapsed="false">
      <c r="A69" s="87" t="str">
        <f aca="false">IF('1. Órdenes de Trabajo'!$J61="Abierto",'1. Órdenes de Trabajo'!$A61,"")</f>
        <v/>
      </c>
      <c r="B69" s="87" t="str">
        <f aca="false">IF('1. Órdenes de Trabajo'!$J61="Abierto",'1. Órdenes de Trabajo'!$E61,"")</f>
        <v/>
      </c>
      <c r="C69" s="87" t="str">
        <f aca="false">IF('1. Órdenes de Trabajo'!$J61="Abierto",'1. Órdenes de Trabajo'!$I61,"")</f>
        <v/>
      </c>
      <c r="D69" s="87" t="str">
        <f aca="false">IF('1. Órdenes de Trabajo'!$J61="Abierto",IF(COUNTIF('6. Bajas'!$A$2:$A$301,'1. Órdenes de Trabajo'!$A61)&gt;0,"Baja",IF(SUMPRODUCT(('5. Servicio Técnico (Envíos)'!$A$2:$A$301='1. Órdenes de Trabajo'!$A61)*('5. Servicio Técnico (Envíos)'!$I$2:$I$301=""))&gt;0,"Servicio Técnico",'1. Órdenes de Trabajo'!$H61)),"")</f>
        <v/>
      </c>
      <c r="E69" s="87" t="str">
        <f aca="false">IF('1. Órdenes de Trabajo'!$J61="Abierto",'1. Órdenes de Trabajo'!$C61,"")</f>
        <v/>
      </c>
      <c r="F69" s="88" t="str">
        <f aca="false">IF('1. Órdenes de Trabajo'!$J61="Abierto",'1. Órdenes de Trabajo'!$B61,"")</f>
        <v/>
      </c>
      <c r="G69" s="89" t="str">
        <f aca="true">IFERROR(IF('1. Órdenes de Trabajo'!$J61="Abierto",IF('1. Órdenes de Trabajo'!$B61="","",TODAY()-IF(ISNUMBER('1. Órdenes de Trabajo'!$B61),'1. Órdenes de Trabajo'!$B61,DATE(VALUE(MID('1. Órdenes de Trabajo'!$B61,7,4)),VALUE(MID('1. Órdenes de Trabajo'!$B61,4,2)),VALUE(MID('1. Órdenes de Trabajo'!$B61,1,2))))),""),"")</f>
        <v/>
      </c>
      <c r="H69" s="87" t="str">
        <f aca="false">IF('1. Órdenes de Trabajo'!$J61="Abierto",'1. Órdenes de Trabajo'!$J61,"")</f>
        <v/>
      </c>
    </row>
    <row r="70" customFormat="false" ht="15" hidden="false" customHeight="true" outlineLevel="0" collapsed="false">
      <c r="A70" s="87" t="str">
        <f aca="false">IF('1. Órdenes de Trabajo'!$J62="Abierto",'1. Órdenes de Trabajo'!$A62,"")</f>
        <v/>
      </c>
      <c r="B70" s="87" t="str">
        <f aca="false">IF('1. Órdenes de Trabajo'!$J62="Abierto",'1. Órdenes de Trabajo'!$E62,"")</f>
        <v/>
      </c>
      <c r="C70" s="87" t="str">
        <f aca="false">IF('1. Órdenes de Trabajo'!$J62="Abierto",'1. Órdenes de Trabajo'!$I62,"")</f>
        <v/>
      </c>
      <c r="D70" s="87" t="str">
        <f aca="false">IF('1. Órdenes de Trabajo'!$J62="Abierto",IF(COUNTIF('6. Bajas'!$A$2:$A$301,'1. Órdenes de Trabajo'!$A62)&gt;0,"Baja",IF(SUMPRODUCT(('5. Servicio Técnico (Envíos)'!$A$2:$A$301='1. Órdenes de Trabajo'!$A62)*('5. Servicio Técnico (Envíos)'!$I$2:$I$301=""))&gt;0,"Servicio Técnico",'1. Órdenes de Trabajo'!$H62)),"")</f>
        <v/>
      </c>
      <c r="E70" s="87" t="str">
        <f aca="false">IF('1. Órdenes de Trabajo'!$J62="Abierto",'1. Órdenes de Trabajo'!$C62,"")</f>
        <v/>
      </c>
      <c r="F70" s="88" t="str">
        <f aca="false">IF('1. Órdenes de Trabajo'!$J62="Abierto",'1. Órdenes de Trabajo'!$B62,"")</f>
        <v/>
      </c>
      <c r="G70" s="89" t="str">
        <f aca="true">IFERROR(IF('1. Órdenes de Trabajo'!$J62="Abierto",IF('1. Órdenes de Trabajo'!$B62="","",TODAY()-IF(ISNUMBER('1. Órdenes de Trabajo'!$B62),'1. Órdenes de Trabajo'!$B62,DATE(VALUE(MID('1. Órdenes de Trabajo'!$B62,7,4)),VALUE(MID('1. Órdenes de Trabajo'!$B62,4,2)),VALUE(MID('1. Órdenes de Trabajo'!$B62,1,2))))),""),"")</f>
        <v/>
      </c>
      <c r="H70" s="87" t="str">
        <f aca="false">IF('1. Órdenes de Trabajo'!$J62="Abierto",'1. Órdenes de Trabajo'!$J62,"")</f>
        <v/>
      </c>
    </row>
    <row r="71" customFormat="false" ht="15" hidden="false" customHeight="true" outlineLevel="0" collapsed="false">
      <c r="A71" s="87" t="str">
        <f aca="false">IF('1. Órdenes de Trabajo'!$J63="Abierto",'1. Órdenes de Trabajo'!$A63,"")</f>
        <v/>
      </c>
      <c r="B71" s="87" t="str">
        <f aca="false">IF('1. Órdenes de Trabajo'!$J63="Abierto",'1. Órdenes de Trabajo'!$E63,"")</f>
        <v/>
      </c>
      <c r="C71" s="87" t="str">
        <f aca="false">IF('1. Órdenes de Trabajo'!$J63="Abierto",'1. Órdenes de Trabajo'!$I63,"")</f>
        <v/>
      </c>
      <c r="D71" s="87" t="str">
        <f aca="false">IF('1. Órdenes de Trabajo'!$J63="Abierto",IF(COUNTIF('6. Bajas'!$A$2:$A$301,'1. Órdenes de Trabajo'!$A63)&gt;0,"Baja",IF(SUMPRODUCT(('5. Servicio Técnico (Envíos)'!$A$2:$A$301='1. Órdenes de Trabajo'!$A63)*('5. Servicio Técnico (Envíos)'!$I$2:$I$301=""))&gt;0,"Servicio Técnico",'1. Órdenes de Trabajo'!$H63)),"")</f>
        <v/>
      </c>
      <c r="E71" s="87" t="str">
        <f aca="false">IF('1. Órdenes de Trabajo'!$J63="Abierto",'1. Órdenes de Trabajo'!$C63,"")</f>
        <v/>
      </c>
      <c r="F71" s="88" t="str">
        <f aca="false">IF('1. Órdenes de Trabajo'!$J63="Abierto",'1. Órdenes de Trabajo'!$B63,"")</f>
        <v/>
      </c>
      <c r="G71" s="89" t="str">
        <f aca="true">IFERROR(IF('1. Órdenes de Trabajo'!$J63="Abierto",IF('1. Órdenes de Trabajo'!$B63="","",TODAY()-IF(ISNUMBER('1. Órdenes de Trabajo'!$B63),'1. Órdenes de Trabajo'!$B63,DATE(VALUE(MID('1. Órdenes de Trabajo'!$B63,7,4)),VALUE(MID('1. Órdenes de Trabajo'!$B63,4,2)),VALUE(MID('1. Órdenes de Trabajo'!$B63,1,2))))),""),"")</f>
        <v/>
      </c>
      <c r="H71" s="87" t="str">
        <f aca="false">IF('1. Órdenes de Trabajo'!$J63="Abierto",'1. Órdenes de Trabajo'!$J63,"")</f>
        <v/>
      </c>
    </row>
    <row r="72" customFormat="false" ht="15" hidden="false" customHeight="true" outlineLevel="0" collapsed="false">
      <c r="A72" s="87" t="str">
        <f aca="false">IF('1. Órdenes de Trabajo'!$J64="Abierto",'1. Órdenes de Trabajo'!$A64,"")</f>
        <v/>
      </c>
      <c r="B72" s="87" t="str">
        <f aca="false">IF('1. Órdenes de Trabajo'!$J64="Abierto",'1. Órdenes de Trabajo'!$E64,"")</f>
        <v/>
      </c>
      <c r="C72" s="87" t="str">
        <f aca="false">IF('1. Órdenes de Trabajo'!$J64="Abierto",'1. Órdenes de Trabajo'!$I64,"")</f>
        <v/>
      </c>
      <c r="D72" s="87" t="str">
        <f aca="false">IF('1. Órdenes de Trabajo'!$J64="Abierto",IF(COUNTIF('6. Bajas'!$A$2:$A$301,'1. Órdenes de Trabajo'!$A64)&gt;0,"Baja",IF(SUMPRODUCT(('5. Servicio Técnico (Envíos)'!$A$2:$A$301='1. Órdenes de Trabajo'!$A64)*('5. Servicio Técnico (Envíos)'!$I$2:$I$301=""))&gt;0,"Servicio Técnico",'1. Órdenes de Trabajo'!$H64)),"")</f>
        <v/>
      </c>
      <c r="E72" s="87" t="str">
        <f aca="false">IF('1. Órdenes de Trabajo'!$J64="Abierto",'1. Órdenes de Trabajo'!$C64,"")</f>
        <v/>
      </c>
      <c r="F72" s="88" t="str">
        <f aca="false">IF('1. Órdenes de Trabajo'!$J64="Abierto",'1. Órdenes de Trabajo'!$B64,"")</f>
        <v/>
      </c>
      <c r="G72" s="89" t="str">
        <f aca="true">IFERROR(IF('1. Órdenes de Trabajo'!$J64="Abierto",IF('1. Órdenes de Trabajo'!$B64="","",TODAY()-IF(ISNUMBER('1. Órdenes de Trabajo'!$B64),'1. Órdenes de Trabajo'!$B64,DATE(VALUE(MID('1. Órdenes de Trabajo'!$B64,7,4)),VALUE(MID('1. Órdenes de Trabajo'!$B64,4,2)),VALUE(MID('1. Órdenes de Trabajo'!$B64,1,2))))),""),"")</f>
        <v/>
      </c>
      <c r="H72" s="87" t="str">
        <f aca="false">IF('1. Órdenes de Trabajo'!$J64="Abierto",'1. Órdenes de Trabajo'!$J64,"")</f>
        <v/>
      </c>
    </row>
    <row r="73" customFormat="false" ht="15" hidden="false" customHeight="true" outlineLevel="0" collapsed="false">
      <c r="A73" s="87" t="str">
        <f aca="false">IF('1. Órdenes de Trabajo'!$J65="Abierto",'1. Órdenes de Trabajo'!$A65,"")</f>
        <v/>
      </c>
      <c r="B73" s="87" t="str">
        <f aca="false">IF('1. Órdenes de Trabajo'!$J65="Abierto",'1. Órdenes de Trabajo'!$E65,"")</f>
        <v/>
      </c>
      <c r="C73" s="87" t="str">
        <f aca="false">IF('1. Órdenes de Trabajo'!$J65="Abierto",'1. Órdenes de Trabajo'!$I65,"")</f>
        <v/>
      </c>
      <c r="D73" s="87" t="str">
        <f aca="false">IF('1. Órdenes de Trabajo'!$J65="Abierto",IF(COUNTIF('6. Bajas'!$A$2:$A$301,'1. Órdenes de Trabajo'!$A65)&gt;0,"Baja",IF(SUMPRODUCT(('5. Servicio Técnico (Envíos)'!$A$2:$A$301='1. Órdenes de Trabajo'!$A65)*('5. Servicio Técnico (Envíos)'!$I$2:$I$301=""))&gt;0,"Servicio Técnico",'1. Órdenes de Trabajo'!$H65)),"")</f>
        <v/>
      </c>
      <c r="E73" s="87" t="str">
        <f aca="false">IF('1. Órdenes de Trabajo'!$J65="Abierto",'1. Órdenes de Trabajo'!$C65,"")</f>
        <v/>
      </c>
      <c r="F73" s="88" t="str">
        <f aca="false">IF('1. Órdenes de Trabajo'!$J65="Abierto",'1. Órdenes de Trabajo'!$B65,"")</f>
        <v/>
      </c>
      <c r="G73" s="89" t="str">
        <f aca="true">IFERROR(IF('1. Órdenes de Trabajo'!$J65="Abierto",IF('1. Órdenes de Trabajo'!$B65="","",TODAY()-IF(ISNUMBER('1. Órdenes de Trabajo'!$B65),'1. Órdenes de Trabajo'!$B65,DATE(VALUE(MID('1. Órdenes de Trabajo'!$B65,7,4)),VALUE(MID('1. Órdenes de Trabajo'!$B65,4,2)),VALUE(MID('1. Órdenes de Trabajo'!$B65,1,2))))),""),"")</f>
        <v/>
      </c>
      <c r="H73" s="87" t="str">
        <f aca="false">IF('1. Órdenes de Trabajo'!$J65="Abierto",'1. Órdenes de Trabajo'!$J65,"")</f>
        <v/>
      </c>
    </row>
    <row r="74" customFormat="false" ht="15" hidden="false" customHeight="true" outlineLevel="0" collapsed="false">
      <c r="A74" s="87" t="str">
        <f aca="false">IF('1. Órdenes de Trabajo'!$J66="Abierto",'1. Órdenes de Trabajo'!$A66,"")</f>
        <v/>
      </c>
      <c r="B74" s="87" t="str">
        <f aca="false">IF('1. Órdenes de Trabajo'!$J66="Abierto",'1. Órdenes de Trabajo'!$E66,"")</f>
        <v/>
      </c>
      <c r="C74" s="87" t="str">
        <f aca="false">IF('1. Órdenes de Trabajo'!$J66="Abierto",'1. Órdenes de Trabajo'!$I66,"")</f>
        <v/>
      </c>
      <c r="D74" s="87" t="str">
        <f aca="false">IF('1. Órdenes de Trabajo'!$J66="Abierto",IF(COUNTIF('6. Bajas'!$A$2:$A$301,'1. Órdenes de Trabajo'!$A66)&gt;0,"Baja",IF(SUMPRODUCT(('5. Servicio Técnico (Envíos)'!$A$2:$A$301='1. Órdenes de Trabajo'!$A66)*('5. Servicio Técnico (Envíos)'!$I$2:$I$301=""))&gt;0,"Servicio Técnico",'1. Órdenes de Trabajo'!$H66)),"")</f>
        <v/>
      </c>
      <c r="E74" s="87" t="str">
        <f aca="false">IF('1. Órdenes de Trabajo'!$J66="Abierto",'1. Órdenes de Trabajo'!$C66,"")</f>
        <v/>
      </c>
      <c r="F74" s="88" t="str">
        <f aca="false">IF('1. Órdenes de Trabajo'!$J66="Abierto",'1. Órdenes de Trabajo'!$B66,"")</f>
        <v/>
      </c>
      <c r="G74" s="89" t="str">
        <f aca="true">IFERROR(IF('1. Órdenes de Trabajo'!$J66="Abierto",IF('1. Órdenes de Trabajo'!$B66="","",TODAY()-IF(ISNUMBER('1. Órdenes de Trabajo'!$B66),'1. Órdenes de Trabajo'!$B66,DATE(VALUE(MID('1. Órdenes de Trabajo'!$B66,7,4)),VALUE(MID('1. Órdenes de Trabajo'!$B66,4,2)),VALUE(MID('1. Órdenes de Trabajo'!$B66,1,2))))),""),"")</f>
        <v/>
      </c>
      <c r="H74" s="87" t="str">
        <f aca="false">IF('1. Órdenes de Trabajo'!$J66="Abierto",'1. Órdenes de Trabajo'!$J66,"")</f>
        <v/>
      </c>
    </row>
    <row r="75" customFormat="false" ht="15" hidden="false" customHeight="true" outlineLevel="0" collapsed="false">
      <c r="A75" s="87" t="str">
        <f aca="false">IF('1. Órdenes de Trabajo'!$J67="Abierto",'1. Órdenes de Trabajo'!$A67,"")</f>
        <v/>
      </c>
      <c r="B75" s="87" t="str">
        <f aca="false">IF('1. Órdenes de Trabajo'!$J67="Abierto",'1. Órdenes de Trabajo'!$E67,"")</f>
        <v/>
      </c>
      <c r="C75" s="87" t="str">
        <f aca="false">IF('1. Órdenes de Trabajo'!$J67="Abierto",'1. Órdenes de Trabajo'!$I67,"")</f>
        <v/>
      </c>
      <c r="D75" s="87" t="str">
        <f aca="false">IF('1. Órdenes de Trabajo'!$J67="Abierto",IF(COUNTIF('6. Bajas'!$A$2:$A$301,'1. Órdenes de Trabajo'!$A67)&gt;0,"Baja",IF(SUMPRODUCT(('5. Servicio Técnico (Envíos)'!$A$2:$A$301='1. Órdenes de Trabajo'!$A67)*('5. Servicio Técnico (Envíos)'!$I$2:$I$301=""))&gt;0,"Servicio Técnico",'1. Órdenes de Trabajo'!$H67)),"")</f>
        <v/>
      </c>
      <c r="E75" s="87" t="str">
        <f aca="false">IF('1. Órdenes de Trabajo'!$J67="Abierto",'1. Órdenes de Trabajo'!$C67,"")</f>
        <v/>
      </c>
      <c r="F75" s="88" t="str">
        <f aca="false">IF('1. Órdenes de Trabajo'!$J67="Abierto",'1. Órdenes de Trabajo'!$B67,"")</f>
        <v/>
      </c>
      <c r="G75" s="89" t="str">
        <f aca="true">IFERROR(IF('1. Órdenes de Trabajo'!$J67="Abierto",IF('1. Órdenes de Trabajo'!$B67="","",TODAY()-IF(ISNUMBER('1. Órdenes de Trabajo'!$B67),'1. Órdenes de Trabajo'!$B67,DATE(VALUE(MID('1. Órdenes de Trabajo'!$B67,7,4)),VALUE(MID('1. Órdenes de Trabajo'!$B67,4,2)),VALUE(MID('1. Órdenes de Trabajo'!$B67,1,2))))),""),"")</f>
        <v/>
      </c>
      <c r="H75" s="87" t="str">
        <f aca="false">IF('1. Órdenes de Trabajo'!$J67="Abierto",'1. Órdenes de Trabajo'!$J67,"")</f>
        <v/>
      </c>
    </row>
    <row r="76" customFormat="false" ht="15" hidden="false" customHeight="true" outlineLevel="0" collapsed="false">
      <c r="A76" s="87" t="str">
        <f aca="false">IF('1. Órdenes de Trabajo'!$J68="Abierto",'1. Órdenes de Trabajo'!$A68,"")</f>
        <v/>
      </c>
      <c r="B76" s="87" t="str">
        <f aca="false">IF('1. Órdenes de Trabajo'!$J68="Abierto",'1. Órdenes de Trabajo'!$E68,"")</f>
        <v/>
      </c>
      <c r="C76" s="87" t="str">
        <f aca="false">IF('1. Órdenes de Trabajo'!$J68="Abierto",'1. Órdenes de Trabajo'!$I68,"")</f>
        <v/>
      </c>
      <c r="D76" s="87" t="str">
        <f aca="false">IF('1. Órdenes de Trabajo'!$J68="Abierto",IF(COUNTIF('6. Bajas'!$A$2:$A$301,'1. Órdenes de Trabajo'!$A68)&gt;0,"Baja",IF(SUMPRODUCT(('5. Servicio Técnico (Envíos)'!$A$2:$A$301='1. Órdenes de Trabajo'!$A68)*('5. Servicio Técnico (Envíos)'!$I$2:$I$301=""))&gt;0,"Servicio Técnico",'1. Órdenes de Trabajo'!$H68)),"")</f>
        <v/>
      </c>
      <c r="E76" s="87" t="str">
        <f aca="false">IF('1. Órdenes de Trabajo'!$J68="Abierto",'1. Órdenes de Trabajo'!$C68,"")</f>
        <v/>
      </c>
      <c r="F76" s="88" t="str">
        <f aca="false">IF('1. Órdenes de Trabajo'!$J68="Abierto",'1. Órdenes de Trabajo'!$B68,"")</f>
        <v/>
      </c>
      <c r="G76" s="89" t="str">
        <f aca="true">IFERROR(IF('1. Órdenes de Trabajo'!$J68="Abierto",IF('1. Órdenes de Trabajo'!$B68="","",TODAY()-IF(ISNUMBER('1. Órdenes de Trabajo'!$B68),'1. Órdenes de Trabajo'!$B68,DATE(VALUE(MID('1. Órdenes de Trabajo'!$B68,7,4)),VALUE(MID('1. Órdenes de Trabajo'!$B68,4,2)),VALUE(MID('1. Órdenes de Trabajo'!$B68,1,2))))),""),"")</f>
        <v/>
      </c>
      <c r="H76" s="87" t="str">
        <f aca="false">IF('1. Órdenes de Trabajo'!$J68="Abierto",'1. Órdenes de Trabajo'!$J68,"")</f>
        <v/>
      </c>
    </row>
    <row r="77" customFormat="false" ht="15" hidden="false" customHeight="true" outlineLevel="0" collapsed="false">
      <c r="A77" s="87" t="str">
        <f aca="false">IF('1. Órdenes de Trabajo'!$J69="Abierto",'1. Órdenes de Trabajo'!$A69,"")</f>
        <v/>
      </c>
      <c r="B77" s="87" t="str">
        <f aca="false">IF('1. Órdenes de Trabajo'!$J69="Abierto",'1. Órdenes de Trabajo'!$E69,"")</f>
        <v/>
      </c>
      <c r="C77" s="87" t="str">
        <f aca="false">IF('1. Órdenes de Trabajo'!$J69="Abierto",'1. Órdenes de Trabajo'!$I69,"")</f>
        <v/>
      </c>
      <c r="D77" s="87" t="str">
        <f aca="false">IF('1. Órdenes de Trabajo'!$J69="Abierto",IF(COUNTIF('6. Bajas'!$A$2:$A$301,'1. Órdenes de Trabajo'!$A69)&gt;0,"Baja",IF(SUMPRODUCT(('5. Servicio Técnico (Envíos)'!$A$2:$A$301='1. Órdenes de Trabajo'!$A69)*('5. Servicio Técnico (Envíos)'!$I$2:$I$301=""))&gt;0,"Servicio Técnico",'1. Órdenes de Trabajo'!$H69)),"")</f>
        <v/>
      </c>
      <c r="E77" s="87" t="str">
        <f aca="false">IF('1. Órdenes de Trabajo'!$J69="Abierto",'1. Órdenes de Trabajo'!$C69,"")</f>
        <v/>
      </c>
      <c r="F77" s="88" t="str">
        <f aca="false">IF('1. Órdenes de Trabajo'!$J69="Abierto",'1. Órdenes de Trabajo'!$B69,"")</f>
        <v/>
      </c>
      <c r="G77" s="89" t="str">
        <f aca="true">IFERROR(IF('1. Órdenes de Trabajo'!$J69="Abierto",IF('1. Órdenes de Trabajo'!$B69="","",TODAY()-IF(ISNUMBER('1. Órdenes de Trabajo'!$B69),'1. Órdenes de Trabajo'!$B69,DATE(VALUE(MID('1. Órdenes de Trabajo'!$B69,7,4)),VALUE(MID('1. Órdenes de Trabajo'!$B69,4,2)),VALUE(MID('1. Órdenes de Trabajo'!$B69,1,2))))),""),"")</f>
        <v/>
      </c>
      <c r="H77" s="87" t="str">
        <f aca="false">IF('1. Órdenes de Trabajo'!$J69="Abierto",'1. Órdenes de Trabajo'!$J69,"")</f>
        <v/>
      </c>
    </row>
    <row r="78" customFormat="false" ht="15" hidden="false" customHeight="true" outlineLevel="0" collapsed="false">
      <c r="A78" s="87" t="str">
        <f aca="false">IF('1. Órdenes de Trabajo'!$J70="Abierto",'1. Órdenes de Trabajo'!$A70,"")</f>
        <v/>
      </c>
      <c r="B78" s="87" t="str">
        <f aca="false">IF('1. Órdenes de Trabajo'!$J70="Abierto",'1. Órdenes de Trabajo'!$E70,"")</f>
        <v/>
      </c>
      <c r="C78" s="87" t="str">
        <f aca="false">IF('1. Órdenes de Trabajo'!$J70="Abierto",'1. Órdenes de Trabajo'!$I70,"")</f>
        <v/>
      </c>
      <c r="D78" s="87" t="str">
        <f aca="false">IF('1. Órdenes de Trabajo'!$J70="Abierto",IF(COUNTIF('6. Bajas'!$A$2:$A$301,'1. Órdenes de Trabajo'!$A70)&gt;0,"Baja",IF(SUMPRODUCT(('5. Servicio Técnico (Envíos)'!$A$2:$A$301='1. Órdenes de Trabajo'!$A70)*('5. Servicio Técnico (Envíos)'!$I$2:$I$301=""))&gt;0,"Servicio Técnico",'1. Órdenes de Trabajo'!$H70)),"")</f>
        <v/>
      </c>
      <c r="E78" s="87" t="str">
        <f aca="false">IF('1. Órdenes de Trabajo'!$J70="Abierto",'1. Órdenes de Trabajo'!$C70,"")</f>
        <v/>
      </c>
      <c r="F78" s="88" t="str">
        <f aca="false">IF('1. Órdenes de Trabajo'!$J70="Abierto",'1. Órdenes de Trabajo'!$B70,"")</f>
        <v/>
      </c>
      <c r="G78" s="89" t="str">
        <f aca="true">IFERROR(IF('1. Órdenes de Trabajo'!$J70="Abierto",IF('1. Órdenes de Trabajo'!$B70="","",TODAY()-IF(ISNUMBER('1. Órdenes de Trabajo'!$B70),'1. Órdenes de Trabajo'!$B70,DATE(VALUE(MID('1. Órdenes de Trabajo'!$B70,7,4)),VALUE(MID('1. Órdenes de Trabajo'!$B70,4,2)),VALUE(MID('1. Órdenes de Trabajo'!$B70,1,2))))),""),"")</f>
        <v/>
      </c>
      <c r="H78" s="87" t="str">
        <f aca="false">IF('1. Órdenes de Trabajo'!$J70="Abierto",'1. Órdenes de Trabajo'!$J70,"")</f>
        <v/>
      </c>
    </row>
    <row r="79" customFormat="false" ht="15" hidden="false" customHeight="true" outlineLevel="0" collapsed="false">
      <c r="A79" s="87" t="str">
        <f aca="false">IF('1. Órdenes de Trabajo'!$J71="Abierto",'1. Órdenes de Trabajo'!$A71,"")</f>
        <v/>
      </c>
      <c r="B79" s="87" t="str">
        <f aca="false">IF('1. Órdenes de Trabajo'!$J71="Abierto",'1. Órdenes de Trabajo'!$E71,"")</f>
        <v/>
      </c>
      <c r="C79" s="87" t="str">
        <f aca="false">IF('1. Órdenes de Trabajo'!$J71="Abierto",'1. Órdenes de Trabajo'!$I71,"")</f>
        <v/>
      </c>
      <c r="D79" s="87" t="str">
        <f aca="false">IF('1. Órdenes de Trabajo'!$J71="Abierto",IF(COUNTIF('6. Bajas'!$A$2:$A$301,'1. Órdenes de Trabajo'!$A71)&gt;0,"Baja",IF(SUMPRODUCT(('5. Servicio Técnico (Envíos)'!$A$2:$A$301='1. Órdenes de Trabajo'!$A71)*('5. Servicio Técnico (Envíos)'!$I$2:$I$301=""))&gt;0,"Servicio Técnico",'1. Órdenes de Trabajo'!$H71)),"")</f>
        <v/>
      </c>
      <c r="E79" s="87" t="str">
        <f aca="false">IF('1. Órdenes de Trabajo'!$J71="Abierto",'1. Órdenes de Trabajo'!$C71,"")</f>
        <v/>
      </c>
      <c r="F79" s="88" t="str">
        <f aca="false">IF('1. Órdenes de Trabajo'!$J71="Abierto",'1. Órdenes de Trabajo'!$B71,"")</f>
        <v/>
      </c>
      <c r="G79" s="89" t="str">
        <f aca="true">IFERROR(IF('1. Órdenes de Trabajo'!$J71="Abierto",IF('1. Órdenes de Trabajo'!$B71="","",TODAY()-IF(ISNUMBER('1. Órdenes de Trabajo'!$B71),'1. Órdenes de Trabajo'!$B71,DATE(VALUE(MID('1. Órdenes de Trabajo'!$B71,7,4)),VALUE(MID('1. Órdenes de Trabajo'!$B71,4,2)),VALUE(MID('1. Órdenes de Trabajo'!$B71,1,2))))),""),"")</f>
        <v/>
      </c>
      <c r="H79" s="87" t="str">
        <f aca="false">IF('1. Órdenes de Trabajo'!$J71="Abierto",'1. Órdenes de Trabajo'!$J71,"")</f>
        <v/>
      </c>
    </row>
    <row r="80" customFormat="false" ht="15" hidden="false" customHeight="true" outlineLevel="0" collapsed="false">
      <c r="A80" s="87" t="str">
        <f aca="false">IF('1. Órdenes de Trabajo'!$J72="Abierto",'1. Órdenes de Trabajo'!$A72,"")</f>
        <v/>
      </c>
      <c r="B80" s="87" t="str">
        <f aca="false">IF('1. Órdenes de Trabajo'!$J72="Abierto",'1. Órdenes de Trabajo'!$E72,"")</f>
        <v/>
      </c>
      <c r="C80" s="87" t="str">
        <f aca="false">IF('1. Órdenes de Trabajo'!$J72="Abierto",'1. Órdenes de Trabajo'!$I72,"")</f>
        <v/>
      </c>
      <c r="D80" s="87" t="str">
        <f aca="false">IF('1. Órdenes de Trabajo'!$J72="Abierto",IF(COUNTIF('6. Bajas'!$A$2:$A$301,'1. Órdenes de Trabajo'!$A72)&gt;0,"Baja",IF(SUMPRODUCT(('5. Servicio Técnico (Envíos)'!$A$2:$A$301='1. Órdenes de Trabajo'!$A72)*('5. Servicio Técnico (Envíos)'!$I$2:$I$301=""))&gt;0,"Servicio Técnico",'1. Órdenes de Trabajo'!$H72)),"")</f>
        <v/>
      </c>
      <c r="E80" s="87" t="str">
        <f aca="false">IF('1. Órdenes de Trabajo'!$J72="Abierto",'1. Órdenes de Trabajo'!$C72,"")</f>
        <v/>
      </c>
      <c r="F80" s="88" t="str">
        <f aca="false">IF('1. Órdenes de Trabajo'!$J72="Abierto",'1. Órdenes de Trabajo'!$B72,"")</f>
        <v/>
      </c>
      <c r="G80" s="89" t="str">
        <f aca="true">IFERROR(IF('1. Órdenes de Trabajo'!$J72="Abierto",IF('1. Órdenes de Trabajo'!$B72="","",TODAY()-IF(ISNUMBER('1. Órdenes de Trabajo'!$B72),'1. Órdenes de Trabajo'!$B72,DATE(VALUE(MID('1. Órdenes de Trabajo'!$B72,7,4)),VALUE(MID('1. Órdenes de Trabajo'!$B72,4,2)),VALUE(MID('1. Órdenes de Trabajo'!$B72,1,2))))),""),"")</f>
        <v/>
      </c>
      <c r="H80" s="87" t="str">
        <f aca="false">IF('1. Órdenes de Trabajo'!$J72="Abierto",'1. Órdenes de Trabajo'!$J72,"")</f>
        <v/>
      </c>
    </row>
    <row r="81" customFormat="false" ht="15" hidden="false" customHeight="true" outlineLevel="0" collapsed="false">
      <c r="A81" s="87" t="str">
        <f aca="false">IF('1. Órdenes de Trabajo'!$J73="Abierto",'1. Órdenes de Trabajo'!$A73,"")</f>
        <v/>
      </c>
      <c r="B81" s="87" t="str">
        <f aca="false">IF('1. Órdenes de Trabajo'!$J73="Abierto",'1. Órdenes de Trabajo'!$E73,"")</f>
        <v/>
      </c>
      <c r="C81" s="87" t="str">
        <f aca="false">IF('1. Órdenes de Trabajo'!$J73="Abierto",'1. Órdenes de Trabajo'!$I73,"")</f>
        <v/>
      </c>
      <c r="D81" s="87" t="str">
        <f aca="false">IF('1. Órdenes de Trabajo'!$J73="Abierto",IF(COUNTIF('6. Bajas'!$A$2:$A$301,'1. Órdenes de Trabajo'!$A73)&gt;0,"Baja",IF(SUMPRODUCT(('5. Servicio Técnico (Envíos)'!$A$2:$A$301='1. Órdenes de Trabajo'!$A73)*('5. Servicio Técnico (Envíos)'!$I$2:$I$301=""))&gt;0,"Servicio Técnico",'1. Órdenes de Trabajo'!$H73)),"")</f>
        <v/>
      </c>
      <c r="E81" s="87" t="str">
        <f aca="false">IF('1. Órdenes de Trabajo'!$J73="Abierto",'1. Órdenes de Trabajo'!$C73,"")</f>
        <v/>
      </c>
      <c r="F81" s="88" t="str">
        <f aca="false">IF('1. Órdenes de Trabajo'!$J73="Abierto",'1. Órdenes de Trabajo'!$B73,"")</f>
        <v/>
      </c>
      <c r="G81" s="89" t="str">
        <f aca="true">IFERROR(IF('1. Órdenes de Trabajo'!$J73="Abierto",IF('1. Órdenes de Trabajo'!$B73="","",TODAY()-IF(ISNUMBER('1. Órdenes de Trabajo'!$B73),'1. Órdenes de Trabajo'!$B73,DATE(VALUE(MID('1. Órdenes de Trabajo'!$B73,7,4)),VALUE(MID('1. Órdenes de Trabajo'!$B73,4,2)),VALUE(MID('1. Órdenes de Trabajo'!$B73,1,2))))),""),"")</f>
        <v/>
      </c>
      <c r="H81" s="87" t="str">
        <f aca="false">IF('1. Órdenes de Trabajo'!$J73="Abierto",'1. Órdenes de Trabajo'!$J73,"")</f>
        <v/>
      </c>
    </row>
    <row r="82" customFormat="false" ht="15" hidden="false" customHeight="true" outlineLevel="0" collapsed="false">
      <c r="A82" s="87" t="str">
        <f aca="false">IF('1. Órdenes de Trabajo'!$J74="Abierto",'1. Órdenes de Trabajo'!$A74,"")</f>
        <v/>
      </c>
      <c r="B82" s="87" t="str">
        <f aca="false">IF('1. Órdenes de Trabajo'!$J74="Abierto",'1. Órdenes de Trabajo'!$E74,"")</f>
        <v/>
      </c>
      <c r="C82" s="87" t="str">
        <f aca="false">IF('1. Órdenes de Trabajo'!$J74="Abierto",'1. Órdenes de Trabajo'!$I74,"")</f>
        <v/>
      </c>
      <c r="D82" s="87" t="str">
        <f aca="false">IF('1. Órdenes de Trabajo'!$J74="Abierto",IF(COUNTIF('6. Bajas'!$A$2:$A$301,'1. Órdenes de Trabajo'!$A74)&gt;0,"Baja",IF(SUMPRODUCT(('5. Servicio Técnico (Envíos)'!$A$2:$A$301='1. Órdenes de Trabajo'!$A74)*('5. Servicio Técnico (Envíos)'!$I$2:$I$301=""))&gt;0,"Servicio Técnico",'1. Órdenes de Trabajo'!$H74)),"")</f>
        <v/>
      </c>
      <c r="E82" s="87" t="str">
        <f aca="false">IF('1. Órdenes de Trabajo'!$J74="Abierto",'1. Órdenes de Trabajo'!$C74,"")</f>
        <v/>
      </c>
      <c r="F82" s="88" t="str">
        <f aca="false">IF('1. Órdenes de Trabajo'!$J74="Abierto",'1. Órdenes de Trabajo'!$B74,"")</f>
        <v/>
      </c>
      <c r="G82" s="89" t="str">
        <f aca="true">IFERROR(IF('1. Órdenes de Trabajo'!$J74="Abierto",IF('1. Órdenes de Trabajo'!$B74="","",TODAY()-IF(ISNUMBER('1. Órdenes de Trabajo'!$B74),'1. Órdenes de Trabajo'!$B74,DATE(VALUE(MID('1. Órdenes de Trabajo'!$B74,7,4)),VALUE(MID('1. Órdenes de Trabajo'!$B74,4,2)),VALUE(MID('1. Órdenes de Trabajo'!$B74,1,2))))),""),"")</f>
        <v/>
      </c>
      <c r="H82" s="87" t="str">
        <f aca="false">IF('1. Órdenes de Trabajo'!$J74="Abierto",'1. Órdenes de Trabajo'!$J74,"")</f>
        <v/>
      </c>
    </row>
    <row r="83" customFormat="false" ht="15" hidden="false" customHeight="true" outlineLevel="0" collapsed="false">
      <c r="A83" s="87" t="str">
        <f aca="false">IF('1. Órdenes de Trabajo'!$J75="Abierto",'1. Órdenes de Trabajo'!$A75,"")</f>
        <v/>
      </c>
      <c r="B83" s="87" t="str">
        <f aca="false">IF('1. Órdenes de Trabajo'!$J75="Abierto",'1. Órdenes de Trabajo'!$E75,"")</f>
        <v/>
      </c>
      <c r="C83" s="87" t="str">
        <f aca="false">IF('1. Órdenes de Trabajo'!$J75="Abierto",'1. Órdenes de Trabajo'!$I75,"")</f>
        <v/>
      </c>
      <c r="D83" s="87" t="str">
        <f aca="false">IF('1. Órdenes de Trabajo'!$J75="Abierto",IF(COUNTIF('6. Bajas'!$A$2:$A$301,'1. Órdenes de Trabajo'!$A75)&gt;0,"Baja",IF(SUMPRODUCT(('5. Servicio Técnico (Envíos)'!$A$2:$A$301='1. Órdenes de Trabajo'!$A75)*('5. Servicio Técnico (Envíos)'!$I$2:$I$301=""))&gt;0,"Servicio Técnico",'1. Órdenes de Trabajo'!$H75)),"")</f>
        <v/>
      </c>
      <c r="E83" s="87" t="str">
        <f aca="false">IF('1. Órdenes de Trabajo'!$J75="Abierto",'1. Órdenes de Trabajo'!$C75,"")</f>
        <v/>
      </c>
      <c r="F83" s="88" t="str">
        <f aca="false">IF('1. Órdenes de Trabajo'!$J75="Abierto",'1. Órdenes de Trabajo'!$B75,"")</f>
        <v/>
      </c>
      <c r="G83" s="89" t="str">
        <f aca="true">IFERROR(IF('1. Órdenes de Trabajo'!$J75="Abierto",IF('1. Órdenes de Trabajo'!$B75="","",TODAY()-IF(ISNUMBER('1. Órdenes de Trabajo'!$B75),'1. Órdenes de Trabajo'!$B75,DATE(VALUE(MID('1. Órdenes de Trabajo'!$B75,7,4)),VALUE(MID('1. Órdenes de Trabajo'!$B75,4,2)),VALUE(MID('1. Órdenes de Trabajo'!$B75,1,2))))),""),"")</f>
        <v/>
      </c>
      <c r="H83" s="87" t="str">
        <f aca="false">IF('1. Órdenes de Trabajo'!$J75="Abierto",'1. Órdenes de Trabajo'!$J75,"")</f>
        <v/>
      </c>
    </row>
    <row r="84" customFormat="false" ht="15" hidden="false" customHeight="true" outlineLevel="0" collapsed="false">
      <c r="A84" s="87" t="str">
        <f aca="false">IF('1. Órdenes de Trabajo'!$J76="Abierto",'1. Órdenes de Trabajo'!$A76,"")</f>
        <v/>
      </c>
      <c r="B84" s="87" t="str">
        <f aca="false">IF('1. Órdenes de Trabajo'!$J76="Abierto",'1. Órdenes de Trabajo'!$E76,"")</f>
        <v/>
      </c>
      <c r="C84" s="87" t="str">
        <f aca="false">IF('1. Órdenes de Trabajo'!$J76="Abierto",'1. Órdenes de Trabajo'!$I76,"")</f>
        <v/>
      </c>
      <c r="D84" s="87" t="str">
        <f aca="false">IF('1. Órdenes de Trabajo'!$J76="Abierto",IF(COUNTIF('6. Bajas'!$A$2:$A$301,'1. Órdenes de Trabajo'!$A76)&gt;0,"Baja",IF(SUMPRODUCT(('5. Servicio Técnico (Envíos)'!$A$2:$A$301='1. Órdenes de Trabajo'!$A76)*('5. Servicio Técnico (Envíos)'!$I$2:$I$301=""))&gt;0,"Servicio Técnico",'1. Órdenes de Trabajo'!$H76)),"")</f>
        <v/>
      </c>
      <c r="E84" s="87" t="str">
        <f aca="false">IF('1. Órdenes de Trabajo'!$J76="Abierto",'1. Órdenes de Trabajo'!$C76,"")</f>
        <v/>
      </c>
      <c r="F84" s="88" t="str">
        <f aca="false">IF('1. Órdenes de Trabajo'!$J76="Abierto",'1. Órdenes de Trabajo'!$B76,"")</f>
        <v/>
      </c>
      <c r="G84" s="89" t="str">
        <f aca="true">IFERROR(IF('1. Órdenes de Trabajo'!$J76="Abierto",IF('1. Órdenes de Trabajo'!$B76="","",TODAY()-IF(ISNUMBER('1. Órdenes de Trabajo'!$B76),'1. Órdenes de Trabajo'!$B76,DATE(VALUE(MID('1. Órdenes de Trabajo'!$B76,7,4)),VALUE(MID('1. Órdenes de Trabajo'!$B76,4,2)),VALUE(MID('1. Órdenes de Trabajo'!$B76,1,2))))),""),"")</f>
        <v/>
      </c>
      <c r="H84" s="87" t="str">
        <f aca="false">IF('1. Órdenes de Trabajo'!$J76="Abierto",'1. Órdenes de Trabajo'!$J76,"")</f>
        <v/>
      </c>
    </row>
    <row r="85" customFormat="false" ht="15" hidden="false" customHeight="true" outlineLevel="0" collapsed="false">
      <c r="A85" s="87" t="str">
        <f aca="false">IF('1. Órdenes de Trabajo'!$J77="Abierto",'1. Órdenes de Trabajo'!$A77,"")</f>
        <v/>
      </c>
      <c r="B85" s="87" t="str">
        <f aca="false">IF('1. Órdenes de Trabajo'!$J77="Abierto",'1. Órdenes de Trabajo'!$E77,"")</f>
        <v/>
      </c>
      <c r="C85" s="87" t="str">
        <f aca="false">IF('1. Órdenes de Trabajo'!$J77="Abierto",'1. Órdenes de Trabajo'!$I77,"")</f>
        <v/>
      </c>
      <c r="D85" s="87" t="str">
        <f aca="false">IF('1. Órdenes de Trabajo'!$J77="Abierto",IF(COUNTIF('6. Bajas'!$A$2:$A$301,'1. Órdenes de Trabajo'!$A77)&gt;0,"Baja",IF(SUMPRODUCT(('5. Servicio Técnico (Envíos)'!$A$2:$A$301='1. Órdenes de Trabajo'!$A77)*('5. Servicio Técnico (Envíos)'!$I$2:$I$301=""))&gt;0,"Servicio Técnico",'1. Órdenes de Trabajo'!$H77)),"")</f>
        <v/>
      </c>
      <c r="E85" s="87" t="str">
        <f aca="false">IF('1. Órdenes de Trabajo'!$J77="Abierto",'1. Órdenes de Trabajo'!$C77,"")</f>
        <v/>
      </c>
      <c r="F85" s="88" t="str">
        <f aca="false">IF('1. Órdenes de Trabajo'!$J77="Abierto",'1. Órdenes de Trabajo'!$B77,"")</f>
        <v/>
      </c>
      <c r="G85" s="89" t="str">
        <f aca="true">IFERROR(IF('1. Órdenes de Trabajo'!$J77="Abierto",IF('1. Órdenes de Trabajo'!$B77="","",TODAY()-IF(ISNUMBER('1. Órdenes de Trabajo'!$B77),'1. Órdenes de Trabajo'!$B77,DATE(VALUE(MID('1. Órdenes de Trabajo'!$B77,7,4)),VALUE(MID('1. Órdenes de Trabajo'!$B77,4,2)),VALUE(MID('1. Órdenes de Trabajo'!$B77,1,2))))),""),"")</f>
        <v/>
      </c>
      <c r="H85" s="87" t="str">
        <f aca="false">IF('1. Órdenes de Trabajo'!$J77="Abierto",'1. Órdenes de Trabajo'!$J77,"")</f>
        <v/>
      </c>
    </row>
    <row r="86" customFormat="false" ht="15" hidden="false" customHeight="true" outlineLevel="0" collapsed="false">
      <c r="A86" s="87" t="str">
        <f aca="false">IF('1. Órdenes de Trabajo'!$J78="Abierto",'1. Órdenes de Trabajo'!$A78,"")</f>
        <v/>
      </c>
      <c r="B86" s="87" t="str">
        <f aca="false">IF('1. Órdenes de Trabajo'!$J78="Abierto",'1. Órdenes de Trabajo'!$E78,"")</f>
        <v/>
      </c>
      <c r="C86" s="87" t="str">
        <f aca="false">IF('1. Órdenes de Trabajo'!$J78="Abierto",'1. Órdenes de Trabajo'!$I78,"")</f>
        <v/>
      </c>
      <c r="D86" s="87" t="str">
        <f aca="false">IF('1. Órdenes de Trabajo'!$J78="Abierto",IF(COUNTIF('6. Bajas'!$A$2:$A$301,'1. Órdenes de Trabajo'!$A78)&gt;0,"Baja",IF(SUMPRODUCT(('5. Servicio Técnico (Envíos)'!$A$2:$A$301='1. Órdenes de Trabajo'!$A78)*('5. Servicio Técnico (Envíos)'!$I$2:$I$301=""))&gt;0,"Servicio Técnico",'1. Órdenes de Trabajo'!$H78)),"")</f>
        <v/>
      </c>
      <c r="E86" s="87" t="str">
        <f aca="false">IF('1. Órdenes de Trabajo'!$J78="Abierto",'1. Órdenes de Trabajo'!$C78,"")</f>
        <v/>
      </c>
      <c r="F86" s="88" t="str">
        <f aca="false">IF('1. Órdenes de Trabajo'!$J78="Abierto",'1. Órdenes de Trabajo'!$B78,"")</f>
        <v/>
      </c>
      <c r="G86" s="89" t="str">
        <f aca="true">IFERROR(IF('1. Órdenes de Trabajo'!$J78="Abierto",IF('1. Órdenes de Trabajo'!$B78="","",TODAY()-IF(ISNUMBER('1. Órdenes de Trabajo'!$B78),'1. Órdenes de Trabajo'!$B78,DATE(VALUE(MID('1. Órdenes de Trabajo'!$B78,7,4)),VALUE(MID('1. Órdenes de Trabajo'!$B78,4,2)),VALUE(MID('1. Órdenes de Trabajo'!$B78,1,2))))),""),"")</f>
        <v/>
      </c>
      <c r="H86" s="87" t="str">
        <f aca="false">IF('1. Órdenes de Trabajo'!$J78="Abierto",'1. Órdenes de Trabajo'!$J78,"")</f>
        <v/>
      </c>
    </row>
    <row r="87" customFormat="false" ht="15" hidden="false" customHeight="true" outlineLevel="0" collapsed="false">
      <c r="A87" s="87" t="str">
        <f aca="false">IF('1. Órdenes de Trabajo'!$J79="Abierto",'1. Órdenes de Trabajo'!$A79,"")</f>
        <v/>
      </c>
      <c r="B87" s="87" t="str">
        <f aca="false">IF('1. Órdenes de Trabajo'!$J79="Abierto",'1. Órdenes de Trabajo'!$E79,"")</f>
        <v/>
      </c>
      <c r="C87" s="87" t="str">
        <f aca="false">IF('1. Órdenes de Trabajo'!$J79="Abierto",'1. Órdenes de Trabajo'!$I79,"")</f>
        <v/>
      </c>
      <c r="D87" s="87" t="str">
        <f aca="false">IF('1. Órdenes de Trabajo'!$J79="Abierto",IF(COUNTIF('6. Bajas'!$A$2:$A$301,'1. Órdenes de Trabajo'!$A79)&gt;0,"Baja",IF(SUMPRODUCT(('5. Servicio Técnico (Envíos)'!$A$2:$A$301='1. Órdenes de Trabajo'!$A79)*('5. Servicio Técnico (Envíos)'!$I$2:$I$301=""))&gt;0,"Servicio Técnico",'1. Órdenes de Trabajo'!$H79)),"")</f>
        <v/>
      </c>
      <c r="E87" s="87" t="str">
        <f aca="false">IF('1. Órdenes de Trabajo'!$J79="Abierto",'1. Órdenes de Trabajo'!$C79,"")</f>
        <v/>
      </c>
      <c r="F87" s="88" t="str">
        <f aca="false">IF('1. Órdenes de Trabajo'!$J79="Abierto",'1. Órdenes de Trabajo'!$B79,"")</f>
        <v/>
      </c>
      <c r="G87" s="89" t="str">
        <f aca="true">IFERROR(IF('1. Órdenes de Trabajo'!$J79="Abierto",IF('1. Órdenes de Trabajo'!$B79="","",TODAY()-IF(ISNUMBER('1. Órdenes de Trabajo'!$B79),'1. Órdenes de Trabajo'!$B79,DATE(VALUE(MID('1. Órdenes de Trabajo'!$B79,7,4)),VALUE(MID('1. Órdenes de Trabajo'!$B79,4,2)),VALUE(MID('1. Órdenes de Trabajo'!$B79,1,2))))),""),"")</f>
        <v/>
      </c>
      <c r="H87" s="87" t="str">
        <f aca="false">IF('1. Órdenes de Trabajo'!$J79="Abierto",'1. Órdenes de Trabajo'!$J79,"")</f>
        <v/>
      </c>
    </row>
    <row r="88" customFormat="false" ht="15" hidden="false" customHeight="true" outlineLevel="0" collapsed="false">
      <c r="A88" s="87" t="str">
        <f aca="false">IF('1. Órdenes de Trabajo'!$J80="Abierto",'1. Órdenes de Trabajo'!$A80,"")</f>
        <v/>
      </c>
      <c r="B88" s="87" t="str">
        <f aca="false">IF('1. Órdenes de Trabajo'!$J80="Abierto",'1. Órdenes de Trabajo'!$E80,"")</f>
        <v/>
      </c>
      <c r="C88" s="87" t="str">
        <f aca="false">IF('1. Órdenes de Trabajo'!$J80="Abierto",'1. Órdenes de Trabajo'!$I80,"")</f>
        <v/>
      </c>
      <c r="D88" s="87" t="str">
        <f aca="false">IF('1. Órdenes de Trabajo'!$J80="Abierto",IF(COUNTIF('6. Bajas'!$A$2:$A$301,'1. Órdenes de Trabajo'!$A80)&gt;0,"Baja",IF(SUMPRODUCT(('5. Servicio Técnico (Envíos)'!$A$2:$A$301='1. Órdenes de Trabajo'!$A80)*('5. Servicio Técnico (Envíos)'!$I$2:$I$301=""))&gt;0,"Servicio Técnico",'1. Órdenes de Trabajo'!$H80)),"")</f>
        <v/>
      </c>
      <c r="E88" s="87" t="str">
        <f aca="false">IF('1. Órdenes de Trabajo'!$J80="Abierto",'1. Órdenes de Trabajo'!$C80,"")</f>
        <v/>
      </c>
      <c r="F88" s="88" t="str">
        <f aca="false">IF('1. Órdenes de Trabajo'!$J80="Abierto",'1. Órdenes de Trabajo'!$B80,"")</f>
        <v/>
      </c>
      <c r="G88" s="89" t="str">
        <f aca="true">IFERROR(IF('1. Órdenes de Trabajo'!$J80="Abierto",IF('1. Órdenes de Trabajo'!$B80="","",TODAY()-IF(ISNUMBER('1. Órdenes de Trabajo'!$B80),'1. Órdenes de Trabajo'!$B80,DATE(VALUE(MID('1. Órdenes de Trabajo'!$B80,7,4)),VALUE(MID('1. Órdenes de Trabajo'!$B80,4,2)),VALUE(MID('1. Órdenes de Trabajo'!$B80,1,2))))),""),"")</f>
        <v/>
      </c>
      <c r="H88" s="87" t="str">
        <f aca="false">IF('1. Órdenes de Trabajo'!$J80="Abierto",'1. Órdenes de Trabajo'!$J80,"")</f>
        <v/>
      </c>
    </row>
    <row r="89" customFormat="false" ht="15" hidden="false" customHeight="true" outlineLevel="0" collapsed="false">
      <c r="A89" s="87" t="str">
        <f aca="false">IF('1. Órdenes de Trabajo'!$J81="Abierto",'1. Órdenes de Trabajo'!$A81,"")</f>
        <v/>
      </c>
      <c r="B89" s="87" t="str">
        <f aca="false">IF('1. Órdenes de Trabajo'!$J81="Abierto",'1. Órdenes de Trabajo'!$E81,"")</f>
        <v/>
      </c>
      <c r="C89" s="87" t="str">
        <f aca="false">IF('1. Órdenes de Trabajo'!$J81="Abierto",'1. Órdenes de Trabajo'!$I81,"")</f>
        <v/>
      </c>
      <c r="D89" s="87" t="str">
        <f aca="false">IF('1. Órdenes de Trabajo'!$J81="Abierto",IF(COUNTIF('6. Bajas'!$A$2:$A$301,'1. Órdenes de Trabajo'!$A81)&gt;0,"Baja",IF(SUMPRODUCT(('5. Servicio Técnico (Envíos)'!$A$2:$A$301='1. Órdenes de Trabajo'!$A81)*('5. Servicio Técnico (Envíos)'!$I$2:$I$301=""))&gt;0,"Servicio Técnico",'1. Órdenes de Trabajo'!$H81)),"")</f>
        <v/>
      </c>
      <c r="E89" s="87" t="str">
        <f aca="false">IF('1. Órdenes de Trabajo'!$J81="Abierto",'1. Órdenes de Trabajo'!$C81,"")</f>
        <v/>
      </c>
      <c r="F89" s="88" t="str">
        <f aca="false">IF('1. Órdenes de Trabajo'!$J81="Abierto",'1. Órdenes de Trabajo'!$B81,"")</f>
        <v/>
      </c>
      <c r="G89" s="89" t="str">
        <f aca="true">IFERROR(IF('1. Órdenes de Trabajo'!$J81="Abierto",IF('1. Órdenes de Trabajo'!$B81="","",TODAY()-IF(ISNUMBER('1. Órdenes de Trabajo'!$B81),'1. Órdenes de Trabajo'!$B81,DATE(VALUE(MID('1. Órdenes de Trabajo'!$B81,7,4)),VALUE(MID('1. Órdenes de Trabajo'!$B81,4,2)),VALUE(MID('1. Órdenes de Trabajo'!$B81,1,2))))),""),"")</f>
        <v/>
      </c>
      <c r="H89" s="87" t="str">
        <f aca="false">IF('1. Órdenes de Trabajo'!$J81="Abierto",'1. Órdenes de Trabajo'!$J81,"")</f>
        <v/>
      </c>
    </row>
    <row r="91" customFormat="false" ht="42" hidden="false" customHeight="true" outlineLevel="0" collapsed="false">
      <c r="A91" s="90" t="s">
        <v>311</v>
      </c>
      <c r="B91" s="90"/>
      <c r="C91" s="90"/>
      <c r="D91" s="90"/>
      <c r="E91" s="90"/>
      <c r="F91" s="90"/>
      <c r="G91" s="90"/>
      <c r="H91" s="90"/>
    </row>
    <row r="93" customFormat="false" ht="15" hidden="false" customHeight="true" outlineLevel="0" collapsed="false">
      <c r="A93" s="91" t="s">
        <v>312</v>
      </c>
      <c r="B93" s="91"/>
      <c r="C93" s="91"/>
      <c r="D93" s="91"/>
      <c r="E93" s="91"/>
      <c r="F93" s="91"/>
      <c r="G93" s="91"/>
    </row>
    <row r="94" customFormat="false" ht="15" hidden="false" customHeight="true" outlineLevel="0" collapsed="false">
      <c r="A94" s="92" t="s">
        <v>313</v>
      </c>
      <c r="B94" s="92"/>
      <c r="C94" s="92"/>
      <c r="D94" s="92"/>
      <c r="E94" s="92"/>
      <c r="F94" s="92"/>
      <c r="G94" s="92"/>
    </row>
    <row r="95" customFormat="false" ht="27.75" hidden="false" customHeight="true" outlineLevel="0" collapsed="false">
      <c r="A95" s="86" t="s">
        <v>306</v>
      </c>
      <c r="B95" s="86" t="s">
        <v>21</v>
      </c>
      <c r="C95" s="86" t="s">
        <v>314</v>
      </c>
      <c r="D95" s="86" t="s">
        <v>315</v>
      </c>
      <c r="E95" s="86" t="s">
        <v>316</v>
      </c>
      <c r="F95" s="86" t="s">
        <v>317</v>
      </c>
      <c r="G95" s="86" t="s">
        <v>318</v>
      </c>
    </row>
    <row r="96" customFormat="false" ht="15" hidden="false" customHeight="true" outlineLevel="0" collapsed="false">
      <c r="A96" s="87" t="str">
        <f aca="false">IF('5. Servicio Técnico (Envíos)'!$M2="No",'5. Servicio Técnico (Envíos)'!$A2,"")</f>
        <v>2025-121109-19-10024</v>
      </c>
      <c r="B96" s="87" t="str">
        <f aca="false">IF('5. Servicio Técnico (Envíos)'!$M2="No",IFERROR(VLOOKUP('5. Servicio Técnico (Envíos)'!$A2,'1. Órdenes de Trabajo'!$A$2:$E$301,5,FALSE()),""),"")</f>
        <v>Ventilador Mecánico </v>
      </c>
      <c r="C96" s="87" t="str">
        <f aca="false">IF('5. Servicio Técnico (Envíos)'!$M2="No","Servicio técnico","")</f>
        <v>Servicio técnico</v>
      </c>
      <c r="D96" s="87" t="str">
        <f aca="false">IF('5. Servicio Técnico (Envíos)'!$M2="No",'5. Servicio Técnico (Envíos)'!$E2,"")</f>
        <v>DRAGER CHILE LIMITADA</v>
      </c>
      <c r="E96" s="88" t="str">
        <f aca="false">IF('5. Servicio Técnico (Envíos)'!$M2="No",'5. Servicio Técnico (Envíos)'!$N2,"")</f>
        <v>Ricardo Matus Aroca</v>
      </c>
      <c r="F96" s="87" t="str">
        <f aca="false">IF('5. Servicio Técnico (Envíos)'!$M2="No",'5. Servicio Técnico (Envíos)'!$O2,"")</f>
        <v>Cristián Beltrán Oviedo</v>
      </c>
      <c r="G96" s="87" t="str">
        <f aca="false">IF('5. Servicio Técnico (Envíos)'!$M2="No",IFERROR(VLOOKUP('5. Servicio Técnico (Envíos)'!$A2,'1. Órdenes de Trabajo'!$A$2:$J$301,10,FALSE()),""),"")</f>
        <v>Cerrado</v>
      </c>
      <c r="H96" s="93"/>
    </row>
    <row r="97" customFormat="false" ht="15" hidden="false" customHeight="true" outlineLevel="0" collapsed="false">
      <c r="A97" s="87" t="str">
        <f aca="false">IF('5. Servicio Técnico (Envíos)'!$M3="No",'5. Servicio Técnico (Envíos)'!$A3,"")</f>
        <v/>
      </c>
      <c r="B97" s="87" t="str">
        <f aca="false">IF('5. Servicio Técnico (Envíos)'!$M3="No",IFERROR(VLOOKUP('5. Servicio Técnico (Envíos)'!$A3,'1. Órdenes de Trabajo'!$A$2:$E$301,5,FALSE()),""),"")</f>
        <v/>
      </c>
      <c r="C97" s="87" t="str">
        <f aca="false">IF('5. Servicio Técnico (Envíos)'!$M3="No","Servicio técnico","")</f>
        <v/>
      </c>
      <c r="D97" s="87" t="str">
        <f aca="false">IF('5. Servicio Técnico (Envíos)'!$M3="No",'5. Servicio Técnico (Envíos)'!$E3,"")</f>
        <v/>
      </c>
      <c r="E97" s="88" t="str">
        <f aca="false">IF('5. Servicio Técnico (Envíos)'!$M3="No",'5. Servicio Técnico (Envíos)'!$N3,"")</f>
        <v/>
      </c>
      <c r="F97" s="87" t="str">
        <f aca="false">IF('5. Servicio Técnico (Envíos)'!$M3="No",'5. Servicio Técnico (Envíos)'!$O3,"")</f>
        <v/>
      </c>
      <c r="G97" s="87" t="str">
        <f aca="false">IF('5. Servicio Técnico (Envíos)'!$M3="No",IFERROR(VLOOKUP('5. Servicio Técnico (Envíos)'!$A3,'1. Órdenes de Trabajo'!$A$2:$J$301,10,FALSE()),""),"")</f>
        <v/>
      </c>
      <c r="H97" s="93"/>
    </row>
    <row r="98" customFormat="false" ht="15" hidden="false" customHeight="true" outlineLevel="0" collapsed="false">
      <c r="A98" s="87" t="str">
        <f aca="false">IF('5. Servicio Técnico (Envíos)'!$M4="No",'5. Servicio Técnico (Envíos)'!$A4,"")</f>
        <v/>
      </c>
      <c r="B98" s="87" t="str">
        <f aca="false">IF('5. Servicio Técnico (Envíos)'!$M4="No",IFERROR(VLOOKUP('5. Servicio Técnico (Envíos)'!$A4,'1. Órdenes de Trabajo'!$A$2:$E$301,5,FALSE()),""),"")</f>
        <v/>
      </c>
      <c r="C98" s="87" t="str">
        <f aca="false">IF('5. Servicio Técnico (Envíos)'!$M4="No","Servicio técnico","")</f>
        <v/>
      </c>
      <c r="D98" s="87" t="str">
        <f aca="false">IF('5. Servicio Técnico (Envíos)'!$M4="No",'5. Servicio Técnico (Envíos)'!$E4,"")</f>
        <v/>
      </c>
      <c r="E98" s="88" t="str">
        <f aca="false">IF('5. Servicio Técnico (Envíos)'!$M4="No",'5. Servicio Técnico (Envíos)'!$N4,"")</f>
        <v/>
      </c>
      <c r="F98" s="87" t="str">
        <f aca="false">IF('5. Servicio Técnico (Envíos)'!$M4="No",'5. Servicio Técnico (Envíos)'!$O4,"")</f>
        <v/>
      </c>
      <c r="G98" s="87" t="str">
        <f aca="false">IF('5. Servicio Técnico (Envíos)'!$M4="No",IFERROR(VLOOKUP('5. Servicio Técnico (Envíos)'!$A4,'1. Órdenes de Trabajo'!$A$2:$J$301,10,FALSE()),""),"")</f>
        <v/>
      </c>
      <c r="H98" s="93"/>
    </row>
    <row r="99" customFormat="false" ht="15" hidden="false" customHeight="true" outlineLevel="0" collapsed="false">
      <c r="A99" s="87" t="str">
        <f aca="false">IF('5. Servicio Técnico (Envíos)'!$M5="No",'5. Servicio Técnico (Envíos)'!$A5,"")</f>
        <v/>
      </c>
      <c r="B99" s="87" t="str">
        <f aca="false">IF('5. Servicio Técnico (Envíos)'!$M5="No",IFERROR(VLOOKUP('5. Servicio Técnico (Envíos)'!$A5,'1. Órdenes de Trabajo'!$A$2:$E$301,5,FALSE()),""),"")</f>
        <v/>
      </c>
      <c r="C99" s="87" t="str">
        <f aca="false">IF('5. Servicio Técnico (Envíos)'!$M5="No","Servicio técnico","")</f>
        <v/>
      </c>
      <c r="D99" s="87" t="str">
        <f aca="false">IF('5. Servicio Técnico (Envíos)'!$M5="No",'5. Servicio Técnico (Envíos)'!$E5,"")</f>
        <v/>
      </c>
      <c r="E99" s="88" t="str">
        <f aca="false">IF('5. Servicio Técnico (Envíos)'!$M5="No",'5. Servicio Técnico (Envíos)'!$N5,"")</f>
        <v/>
      </c>
      <c r="F99" s="87" t="str">
        <f aca="false">IF('5. Servicio Técnico (Envíos)'!$M5="No",'5. Servicio Técnico (Envíos)'!$O5,"")</f>
        <v/>
      </c>
      <c r="G99" s="87" t="str">
        <f aca="false">IF('5. Servicio Técnico (Envíos)'!$M5="No",IFERROR(VLOOKUP('5. Servicio Técnico (Envíos)'!$A5,'1. Órdenes de Trabajo'!$A$2:$J$301,10,FALSE()),""),"")</f>
        <v/>
      </c>
      <c r="H99" s="93"/>
    </row>
    <row r="100" customFormat="false" ht="15" hidden="false" customHeight="true" outlineLevel="0" collapsed="false">
      <c r="A100" s="87" t="str">
        <f aca="false">IF('5. Servicio Técnico (Envíos)'!$M6="No",'5. Servicio Técnico (Envíos)'!$A6,"")</f>
        <v/>
      </c>
      <c r="B100" s="87" t="str">
        <f aca="false">IF('5. Servicio Técnico (Envíos)'!$M6="No",IFERROR(VLOOKUP('5. Servicio Técnico (Envíos)'!$A6,'1. Órdenes de Trabajo'!$A$2:$E$301,5,FALSE()),""),"")</f>
        <v/>
      </c>
      <c r="C100" s="87" t="str">
        <f aca="false">IF('5. Servicio Técnico (Envíos)'!$M6="No","Servicio técnico","")</f>
        <v/>
      </c>
      <c r="D100" s="87" t="str">
        <f aca="false">IF('5. Servicio Técnico (Envíos)'!$M6="No",'5. Servicio Técnico (Envíos)'!$E6,"")</f>
        <v/>
      </c>
      <c r="E100" s="88" t="str">
        <f aca="false">IF('5. Servicio Técnico (Envíos)'!$M6="No",'5. Servicio Técnico (Envíos)'!$N6,"")</f>
        <v/>
      </c>
      <c r="F100" s="87" t="str">
        <f aca="false">IF('5. Servicio Técnico (Envíos)'!$M6="No",'5. Servicio Técnico (Envíos)'!$O6,"")</f>
        <v/>
      </c>
      <c r="G100" s="87" t="str">
        <f aca="false">IF('5. Servicio Técnico (Envíos)'!$M6="No",IFERROR(VLOOKUP('5. Servicio Técnico (Envíos)'!$A6,'1. Órdenes de Trabajo'!$A$2:$J$301,10,FALSE()),""),"")</f>
        <v/>
      </c>
      <c r="H100" s="93"/>
    </row>
    <row r="101" customFormat="false" ht="15" hidden="false" customHeight="true" outlineLevel="0" collapsed="false">
      <c r="A101" s="87" t="str">
        <f aca="false">IF('5. Servicio Técnico (Envíos)'!$M7="No",'5. Servicio Técnico (Envíos)'!$A7,"")</f>
        <v/>
      </c>
      <c r="B101" s="87" t="str">
        <f aca="false">IF('5. Servicio Técnico (Envíos)'!$M7="No",IFERROR(VLOOKUP('5. Servicio Técnico (Envíos)'!$A7,'1. Órdenes de Trabajo'!$A$2:$E$301,5,FALSE()),""),"")</f>
        <v/>
      </c>
      <c r="C101" s="87" t="str">
        <f aca="false">IF('5. Servicio Técnico (Envíos)'!$M7="No","Servicio técnico","")</f>
        <v/>
      </c>
      <c r="D101" s="87" t="str">
        <f aca="false">IF('5. Servicio Técnico (Envíos)'!$M7="No",'5. Servicio Técnico (Envíos)'!$E7,"")</f>
        <v/>
      </c>
      <c r="E101" s="88" t="str">
        <f aca="false">IF('5. Servicio Técnico (Envíos)'!$M7="No",'5. Servicio Técnico (Envíos)'!$N7,"")</f>
        <v/>
      </c>
      <c r="F101" s="87" t="str">
        <f aca="false">IF('5. Servicio Técnico (Envíos)'!$M7="No",'5. Servicio Técnico (Envíos)'!$O7,"")</f>
        <v/>
      </c>
      <c r="G101" s="87" t="str">
        <f aca="false">IF('5. Servicio Técnico (Envíos)'!$M7="No",IFERROR(VLOOKUP('5. Servicio Técnico (Envíos)'!$A7,'1. Órdenes de Trabajo'!$A$2:$J$301,10,FALSE()),""),"")</f>
        <v/>
      </c>
      <c r="H101" s="93"/>
    </row>
    <row r="102" customFormat="false" ht="15" hidden="false" customHeight="true" outlineLevel="0" collapsed="false">
      <c r="A102" s="87" t="str">
        <f aca="false">IF('5. Servicio Técnico (Envíos)'!$M8="No",'5. Servicio Técnico (Envíos)'!$A8,"")</f>
        <v/>
      </c>
      <c r="B102" s="87" t="str">
        <f aca="false">IF('5. Servicio Técnico (Envíos)'!$M8="No",IFERROR(VLOOKUP('5. Servicio Técnico (Envíos)'!$A8,'1. Órdenes de Trabajo'!$A$2:$E$301,5,FALSE()),""),"")</f>
        <v/>
      </c>
      <c r="C102" s="87" t="str">
        <f aca="false">IF('5. Servicio Técnico (Envíos)'!$M8="No","Servicio técnico","")</f>
        <v/>
      </c>
      <c r="D102" s="87" t="str">
        <f aca="false">IF('5. Servicio Técnico (Envíos)'!$M8="No",'5. Servicio Técnico (Envíos)'!$E8,"")</f>
        <v/>
      </c>
      <c r="E102" s="88" t="str">
        <f aca="false">IF('5. Servicio Técnico (Envíos)'!$M8="No",'5. Servicio Técnico (Envíos)'!$N8,"")</f>
        <v/>
      </c>
      <c r="F102" s="87" t="str">
        <f aca="false">IF('5. Servicio Técnico (Envíos)'!$M8="No",'5. Servicio Técnico (Envíos)'!$O8,"")</f>
        <v/>
      </c>
      <c r="G102" s="87" t="str">
        <f aca="false">IF('5. Servicio Técnico (Envíos)'!$M8="No",IFERROR(VLOOKUP('5. Servicio Técnico (Envíos)'!$A8,'1. Órdenes de Trabajo'!$A$2:$J$301,10,FALSE()),""),"")</f>
        <v/>
      </c>
      <c r="H102" s="93"/>
    </row>
    <row r="103" customFormat="false" ht="15" hidden="false" customHeight="true" outlineLevel="0" collapsed="false">
      <c r="A103" s="87" t="str">
        <f aca="false">IF('5. Servicio Técnico (Envíos)'!$M9="No",'5. Servicio Técnico (Envíos)'!$A9,"")</f>
        <v/>
      </c>
      <c r="B103" s="87" t="str">
        <f aca="false">IF('5. Servicio Técnico (Envíos)'!$M9="No",IFERROR(VLOOKUP('5. Servicio Técnico (Envíos)'!$A9,'1. Órdenes de Trabajo'!$A$2:$E$301,5,FALSE()),""),"")</f>
        <v/>
      </c>
      <c r="C103" s="87" t="str">
        <f aca="false">IF('5. Servicio Técnico (Envíos)'!$M9="No","Servicio técnico","")</f>
        <v/>
      </c>
      <c r="D103" s="87" t="str">
        <f aca="false">IF('5. Servicio Técnico (Envíos)'!$M9="No",'5. Servicio Técnico (Envíos)'!$E9,"")</f>
        <v/>
      </c>
      <c r="E103" s="88" t="str">
        <f aca="false">IF('5. Servicio Técnico (Envíos)'!$M9="No",'5. Servicio Técnico (Envíos)'!$N9,"")</f>
        <v/>
      </c>
      <c r="F103" s="87" t="str">
        <f aca="false">IF('5. Servicio Técnico (Envíos)'!$M9="No",'5. Servicio Técnico (Envíos)'!$O9,"")</f>
        <v/>
      </c>
      <c r="G103" s="87" t="str">
        <f aca="false">IF('5. Servicio Técnico (Envíos)'!$M9="No",IFERROR(VLOOKUP('5. Servicio Técnico (Envíos)'!$A9,'1. Órdenes de Trabajo'!$A$2:$J$301,10,FALSE()),""),"")</f>
        <v/>
      </c>
      <c r="H103" s="93"/>
    </row>
    <row r="104" customFormat="false" ht="15" hidden="false" customHeight="true" outlineLevel="0" collapsed="false">
      <c r="A104" s="87" t="str">
        <f aca="false">IF('5. Servicio Técnico (Envíos)'!$M10="No",'5. Servicio Técnico (Envíos)'!$A10,"")</f>
        <v/>
      </c>
      <c r="B104" s="87" t="str">
        <f aca="false">IF('5. Servicio Técnico (Envíos)'!$M10="No",IFERROR(VLOOKUP('5. Servicio Técnico (Envíos)'!$A10,'1. Órdenes de Trabajo'!$A$2:$E$301,5,FALSE()),""),"")</f>
        <v/>
      </c>
      <c r="C104" s="87" t="str">
        <f aca="false">IF('5. Servicio Técnico (Envíos)'!$M10="No","Servicio técnico","")</f>
        <v/>
      </c>
      <c r="D104" s="87" t="str">
        <f aca="false">IF('5. Servicio Técnico (Envíos)'!$M10="No",'5. Servicio Técnico (Envíos)'!$E10,"")</f>
        <v/>
      </c>
      <c r="E104" s="88" t="str">
        <f aca="false">IF('5. Servicio Técnico (Envíos)'!$M10="No",'5. Servicio Técnico (Envíos)'!$N10,"")</f>
        <v/>
      </c>
      <c r="F104" s="87" t="str">
        <f aca="false">IF('5. Servicio Técnico (Envíos)'!$M10="No",'5. Servicio Técnico (Envíos)'!$O10,"")</f>
        <v/>
      </c>
      <c r="G104" s="87" t="str">
        <f aca="false">IF('5. Servicio Técnico (Envíos)'!$M10="No",IFERROR(VLOOKUP('5. Servicio Técnico (Envíos)'!$A10,'1. Órdenes de Trabajo'!$A$2:$J$301,10,FALSE()),""),"")</f>
        <v/>
      </c>
      <c r="H104" s="93"/>
    </row>
    <row r="105" customFormat="false" ht="15" hidden="false" customHeight="true" outlineLevel="0" collapsed="false">
      <c r="A105" s="87" t="str">
        <f aca="false">IF('5. Servicio Técnico (Envíos)'!$M11="No",'5. Servicio Técnico (Envíos)'!$A11,"")</f>
        <v/>
      </c>
      <c r="B105" s="87" t="str">
        <f aca="false">IF('5. Servicio Técnico (Envíos)'!$M11="No",IFERROR(VLOOKUP('5. Servicio Técnico (Envíos)'!$A11,'1. Órdenes de Trabajo'!$A$2:$E$301,5,FALSE()),""),"")</f>
        <v/>
      </c>
      <c r="C105" s="87" t="str">
        <f aca="false">IF('5. Servicio Técnico (Envíos)'!$M11="No","Servicio técnico","")</f>
        <v/>
      </c>
      <c r="D105" s="87" t="str">
        <f aca="false">IF('5. Servicio Técnico (Envíos)'!$M11="No",'5. Servicio Técnico (Envíos)'!$E11,"")</f>
        <v/>
      </c>
      <c r="E105" s="88" t="str">
        <f aca="false">IF('5. Servicio Técnico (Envíos)'!$M11="No",'5. Servicio Técnico (Envíos)'!$N11,"")</f>
        <v/>
      </c>
      <c r="F105" s="87" t="str">
        <f aca="false">IF('5. Servicio Técnico (Envíos)'!$M11="No",'5. Servicio Técnico (Envíos)'!$O11,"")</f>
        <v/>
      </c>
      <c r="G105" s="87" t="str">
        <f aca="false">IF('5. Servicio Técnico (Envíos)'!$M11="No",IFERROR(VLOOKUP('5. Servicio Técnico (Envíos)'!$A11,'1. Órdenes de Trabajo'!$A$2:$J$301,10,FALSE()),""),"")</f>
        <v/>
      </c>
      <c r="H105" s="93"/>
    </row>
    <row r="106" customFormat="false" ht="15" hidden="false" customHeight="true" outlineLevel="0" collapsed="false">
      <c r="A106" s="87" t="str">
        <f aca="false">IF('5. Servicio Técnico (Envíos)'!$M12="No",'5. Servicio Técnico (Envíos)'!$A12,"")</f>
        <v/>
      </c>
      <c r="B106" s="87" t="str">
        <f aca="false">IF('5. Servicio Técnico (Envíos)'!$M12="No",IFERROR(VLOOKUP('5. Servicio Técnico (Envíos)'!$A12,'1. Órdenes de Trabajo'!$A$2:$E$301,5,FALSE()),""),"")</f>
        <v/>
      </c>
      <c r="C106" s="87" t="str">
        <f aca="false">IF('5. Servicio Técnico (Envíos)'!$M12="No","Servicio técnico","")</f>
        <v/>
      </c>
      <c r="D106" s="87" t="str">
        <f aca="false">IF('5. Servicio Técnico (Envíos)'!$M12="No",'5. Servicio Técnico (Envíos)'!$E12,"")</f>
        <v/>
      </c>
      <c r="E106" s="88" t="str">
        <f aca="false">IF('5. Servicio Técnico (Envíos)'!$M12="No",'5. Servicio Técnico (Envíos)'!$N12,"")</f>
        <v/>
      </c>
      <c r="F106" s="87" t="str">
        <f aca="false">IF('5. Servicio Técnico (Envíos)'!$M12="No",'5. Servicio Técnico (Envíos)'!$O12,"")</f>
        <v/>
      </c>
      <c r="G106" s="87" t="str">
        <f aca="false">IF('5. Servicio Técnico (Envíos)'!$M12="No",IFERROR(VLOOKUP('5. Servicio Técnico (Envíos)'!$A12,'1. Órdenes de Trabajo'!$A$2:$J$301,10,FALSE()),""),"")</f>
        <v/>
      </c>
      <c r="H106" s="93"/>
    </row>
    <row r="107" customFormat="false" ht="15" hidden="false" customHeight="true" outlineLevel="0" collapsed="false">
      <c r="A107" s="87" t="str">
        <f aca="false">IF('5. Servicio Técnico (Envíos)'!$M13="No",'5. Servicio Técnico (Envíos)'!$A13,"")</f>
        <v/>
      </c>
      <c r="B107" s="87" t="str">
        <f aca="false">IF('5. Servicio Técnico (Envíos)'!$M13="No",IFERROR(VLOOKUP('5. Servicio Técnico (Envíos)'!$A13,'1. Órdenes de Trabajo'!$A$2:$E$301,5,FALSE()),""),"")</f>
        <v/>
      </c>
      <c r="C107" s="87" t="str">
        <f aca="false">IF('5. Servicio Técnico (Envíos)'!$M13="No","Servicio técnico","")</f>
        <v/>
      </c>
      <c r="D107" s="87" t="str">
        <f aca="false">IF('5. Servicio Técnico (Envíos)'!$M13="No",'5. Servicio Técnico (Envíos)'!$E13,"")</f>
        <v/>
      </c>
      <c r="E107" s="88" t="str">
        <f aca="false">IF('5. Servicio Técnico (Envíos)'!$M13="No",'5. Servicio Técnico (Envíos)'!$N13,"")</f>
        <v/>
      </c>
      <c r="F107" s="87" t="str">
        <f aca="false">IF('5. Servicio Técnico (Envíos)'!$M13="No",'5. Servicio Técnico (Envíos)'!$O13,"")</f>
        <v/>
      </c>
      <c r="G107" s="87" t="str">
        <f aca="false">IF('5. Servicio Técnico (Envíos)'!$M13="No",IFERROR(VLOOKUP('5. Servicio Técnico (Envíos)'!$A13,'1. Órdenes de Trabajo'!$A$2:$J$301,10,FALSE()),""),"")</f>
        <v/>
      </c>
      <c r="H107" s="93"/>
    </row>
    <row r="108" customFormat="false" ht="15" hidden="false" customHeight="true" outlineLevel="0" collapsed="false">
      <c r="A108" s="87" t="str">
        <f aca="false">IF('5. Servicio Técnico (Envíos)'!$M14="No",'5. Servicio Técnico (Envíos)'!$A14,"")</f>
        <v/>
      </c>
      <c r="B108" s="87" t="str">
        <f aca="false">IF('5. Servicio Técnico (Envíos)'!$M14="No",IFERROR(VLOOKUP('5. Servicio Técnico (Envíos)'!$A14,'1. Órdenes de Trabajo'!$A$2:$E$301,5,FALSE()),""),"")</f>
        <v/>
      </c>
      <c r="C108" s="87" t="str">
        <f aca="false">IF('5. Servicio Técnico (Envíos)'!$M14="No","Servicio técnico","")</f>
        <v/>
      </c>
      <c r="D108" s="87" t="str">
        <f aca="false">IF('5. Servicio Técnico (Envíos)'!$M14="No",'5. Servicio Técnico (Envíos)'!$E14,"")</f>
        <v/>
      </c>
      <c r="E108" s="88" t="str">
        <f aca="false">IF('5. Servicio Técnico (Envíos)'!$M14="No",'5. Servicio Técnico (Envíos)'!$N14,"")</f>
        <v/>
      </c>
      <c r="F108" s="87" t="str">
        <f aca="false">IF('5. Servicio Técnico (Envíos)'!$M14="No",'5. Servicio Técnico (Envíos)'!$O14,"")</f>
        <v/>
      </c>
      <c r="G108" s="87" t="str">
        <f aca="false">IF('5. Servicio Técnico (Envíos)'!$M14="No",IFERROR(VLOOKUP('5. Servicio Técnico (Envíos)'!$A14,'1. Órdenes de Trabajo'!$A$2:$J$301,10,FALSE()),""),"")</f>
        <v/>
      </c>
      <c r="H108" s="93"/>
    </row>
    <row r="109" customFormat="false" ht="15" hidden="false" customHeight="true" outlineLevel="0" collapsed="false">
      <c r="A109" s="87" t="str">
        <f aca="false">IF('5. Servicio Técnico (Envíos)'!$M15="No",'5. Servicio Técnico (Envíos)'!$A15,"")</f>
        <v/>
      </c>
      <c r="B109" s="87" t="str">
        <f aca="false">IF('5. Servicio Técnico (Envíos)'!$M15="No",IFERROR(VLOOKUP('5. Servicio Técnico (Envíos)'!$A15,'1. Órdenes de Trabajo'!$A$2:$E$301,5,FALSE()),""),"")</f>
        <v/>
      </c>
      <c r="C109" s="87" t="str">
        <f aca="false">IF('5. Servicio Técnico (Envíos)'!$M15="No","Servicio técnico","")</f>
        <v/>
      </c>
      <c r="D109" s="87" t="str">
        <f aca="false">IF('5. Servicio Técnico (Envíos)'!$M15="No",'5. Servicio Técnico (Envíos)'!$E15,"")</f>
        <v/>
      </c>
      <c r="E109" s="88" t="str">
        <f aca="false">IF('5. Servicio Técnico (Envíos)'!$M15="No",'5. Servicio Técnico (Envíos)'!$N15,"")</f>
        <v/>
      </c>
      <c r="F109" s="87" t="str">
        <f aca="false">IF('5. Servicio Técnico (Envíos)'!$M15="No",'5. Servicio Técnico (Envíos)'!$O15,"")</f>
        <v/>
      </c>
      <c r="G109" s="87" t="str">
        <f aca="false">IF('5. Servicio Técnico (Envíos)'!$M15="No",IFERROR(VLOOKUP('5. Servicio Técnico (Envíos)'!$A15,'1. Órdenes de Trabajo'!$A$2:$J$301,10,FALSE()),""),"")</f>
        <v/>
      </c>
      <c r="H109" s="93"/>
    </row>
    <row r="110" customFormat="false" ht="15" hidden="false" customHeight="true" outlineLevel="0" collapsed="false">
      <c r="A110" s="87" t="str">
        <f aca="false">IF('5. Servicio Técnico (Envíos)'!$M16="No",'5. Servicio Técnico (Envíos)'!$A16,"")</f>
        <v/>
      </c>
      <c r="B110" s="87" t="str">
        <f aca="false">IF('5. Servicio Técnico (Envíos)'!$M16="No",IFERROR(VLOOKUP('5. Servicio Técnico (Envíos)'!$A16,'1. Órdenes de Trabajo'!$A$2:$E$301,5,FALSE()),""),"")</f>
        <v/>
      </c>
      <c r="C110" s="87" t="str">
        <f aca="false">IF('5. Servicio Técnico (Envíos)'!$M16="No","Servicio técnico","")</f>
        <v/>
      </c>
      <c r="D110" s="87" t="str">
        <f aca="false">IF('5. Servicio Técnico (Envíos)'!$M16="No",'5. Servicio Técnico (Envíos)'!$E16,"")</f>
        <v/>
      </c>
      <c r="E110" s="88" t="str">
        <f aca="false">IF('5. Servicio Técnico (Envíos)'!$M16="No",'5. Servicio Técnico (Envíos)'!$N16,"")</f>
        <v/>
      </c>
      <c r="F110" s="87" t="str">
        <f aca="false">IF('5. Servicio Técnico (Envíos)'!$M16="No",'5. Servicio Técnico (Envíos)'!$O16,"")</f>
        <v/>
      </c>
      <c r="G110" s="87" t="str">
        <f aca="false">IF('5. Servicio Técnico (Envíos)'!$M16="No",IFERROR(VLOOKUP('5. Servicio Técnico (Envíos)'!$A16,'1. Órdenes de Trabajo'!$A$2:$J$301,10,FALSE()),""),"")</f>
        <v/>
      </c>
      <c r="H110" s="93"/>
    </row>
    <row r="111" customFormat="false" ht="15" hidden="false" customHeight="true" outlineLevel="0" collapsed="false">
      <c r="A111" s="87" t="str">
        <f aca="false">IF('5. Servicio Técnico (Envíos)'!$M17="No",'5. Servicio Técnico (Envíos)'!$A17,"")</f>
        <v/>
      </c>
      <c r="B111" s="87" t="str">
        <f aca="false">IF('5. Servicio Técnico (Envíos)'!$M17="No",IFERROR(VLOOKUP('5. Servicio Técnico (Envíos)'!$A17,'1. Órdenes de Trabajo'!$A$2:$E$301,5,FALSE()),""),"")</f>
        <v/>
      </c>
      <c r="C111" s="87" t="str">
        <f aca="false">IF('5. Servicio Técnico (Envíos)'!$M17="No","Servicio técnico","")</f>
        <v/>
      </c>
      <c r="D111" s="87" t="str">
        <f aca="false">IF('5. Servicio Técnico (Envíos)'!$M17="No",'5. Servicio Técnico (Envíos)'!$E17,"")</f>
        <v/>
      </c>
      <c r="E111" s="88" t="str">
        <f aca="false">IF('5. Servicio Técnico (Envíos)'!$M17="No",'5. Servicio Técnico (Envíos)'!$N17,"")</f>
        <v/>
      </c>
      <c r="F111" s="87" t="str">
        <f aca="false">IF('5. Servicio Técnico (Envíos)'!$M17="No",'5. Servicio Técnico (Envíos)'!$O17,"")</f>
        <v/>
      </c>
      <c r="G111" s="87" t="str">
        <f aca="false">IF('5. Servicio Técnico (Envíos)'!$M17="No",IFERROR(VLOOKUP('5. Servicio Técnico (Envíos)'!$A17,'1. Órdenes de Trabajo'!$A$2:$J$301,10,FALSE()),""),"")</f>
        <v/>
      </c>
      <c r="H111" s="93"/>
    </row>
    <row r="112" customFormat="false" ht="15" hidden="false" customHeight="true" outlineLevel="0" collapsed="false">
      <c r="A112" s="87" t="str">
        <f aca="false">IF('5. Servicio Técnico (Envíos)'!$M18="No",'5. Servicio Técnico (Envíos)'!$A18,"")</f>
        <v/>
      </c>
      <c r="B112" s="87" t="str">
        <f aca="false">IF('5. Servicio Técnico (Envíos)'!$M18="No",IFERROR(VLOOKUP('5. Servicio Técnico (Envíos)'!$A18,'1. Órdenes de Trabajo'!$A$2:$E$301,5,FALSE()),""),"")</f>
        <v/>
      </c>
      <c r="C112" s="87" t="str">
        <f aca="false">IF('5. Servicio Técnico (Envíos)'!$M18="No","Servicio técnico","")</f>
        <v/>
      </c>
      <c r="D112" s="87" t="str">
        <f aca="false">IF('5. Servicio Técnico (Envíos)'!$M18="No",'5. Servicio Técnico (Envíos)'!$E18,"")</f>
        <v/>
      </c>
      <c r="E112" s="88" t="str">
        <f aca="false">IF('5. Servicio Técnico (Envíos)'!$M18="No",'5. Servicio Técnico (Envíos)'!$N18,"")</f>
        <v/>
      </c>
      <c r="F112" s="87" t="str">
        <f aca="false">IF('5. Servicio Técnico (Envíos)'!$M18="No",'5. Servicio Técnico (Envíos)'!$O18,"")</f>
        <v/>
      </c>
      <c r="G112" s="87" t="str">
        <f aca="false">IF('5. Servicio Técnico (Envíos)'!$M18="No",IFERROR(VLOOKUP('5. Servicio Técnico (Envíos)'!$A18,'1. Órdenes de Trabajo'!$A$2:$J$301,10,FALSE()),""),"")</f>
        <v/>
      </c>
      <c r="H112" s="93"/>
    </row>
    <row r="113" customFormat="false" ht="15" hidden="false" customHeight="true" outlineLevel="0" collapsed="false">
      <c r="A113" s="87" t="str">
        <f aca="false">IF('5. Servicio Técnico (Envíos)'!$M19="No",'5. Servicio Técnico (Envíos)'!$A19,"")</f>
        <v/>
      </c>
      <c r="B113" s="87" t="str">
        <f aca="false">IF('5. Servicio Técnico (Envíos)'!$M19="No",IFERROR(VLOOKUP('5. Servicio Técnico (Envíos)'!$A19,'1. Órdenes de Trabajo'!$A$2:$E$301,5,FALSE()),""),"")</f>
        <v/>
      </c>
      <c r="C113" s="87" t="str">
        <f aca="false">IF('5. Servicio Técnico (Envíos)'!$M19="No","Servicio técnico","")</f>
        <v/>
      </c>
      <c r="D113" s="87" t="str">
        <f aca="false">IF('5. Servicio Técnico (Envíos)'!$M19="No",'5. Servicio Técnico (Envíos)'!$E19,"")</f>
        <v/>
      </c>
      <c r="E113" s="88" t="str">
        <f aca="false">IF('5. Servicio Técnico (Envíos)'!$M19="No",'5. Servicio Técnico (Envíos)'!$N19,"")</f>
        <v/>
      </c>
      <c r="F113" s="87" t="str">
        <f aca="false">IF('5. Servicio Técnico (Envíos)'!$M19="No",'5. Servicio Técnico (Envíos)'!$O19,"")</f>
        <v/>
      </c>
      <c r="G113" s="87" t="str">
        <f aca="false">IF('5. Servicio Técnico (Envíos)'!$M19="No",IFERROR(VLOOKUP('5. Servicio Técnico (Envíos)'!$A19,'1. Órdenes de Trabajo'!$A$2:$J$301,10,FALSE()),""),"")</f>
        <v/>
      </c>
      <c r="H113" s="93"/>
    </row>
    <row r="114" customFormat="false" ht="15" hidden="false" customHeight="true" outlineLevel="0" collapsed="false">
      <c r="A114" s="87" t="str">
        <f aca="false">IF('5. Servicio Técnico (Envíos)'!$M20="No",'5. Servicio Técnico (Envíos)'!$A20,"")</f>
        <v/>
      </c>
      <c r="B114" s="87" t="str">
        <f aca="false">IF('5. Servicio Técnico (Envíos)'!$M20="No",IFERROR(VLOOKUP('5. Servicio Técnico (Envíos)'!$A20,'1. Órdenes de Trabajo'!$A$2:$E$301,5,FALSE()),""),"")</f>
        <v/>
      </c>
      <c r="C114" s="87" t="str">
        <f aca="false">IF('5. Servicio Técnico (Envíos)'!$M20="No","Servicio técnico","")</f>
        <v/>
      </c>
      <c r="D114" s="87" t="str">
        <f aca="false">IF('5. Servicio Técnico (Envíos)'!$M20="No",'5. Servicio Técnico (Envíos)'!$E20,"")</f>
        <v/>
      </c>
      <c r="E114" s="88" t="str">
        <f aca="false">IF('5. Servicio Técnico (Envíos)'!$M20="No",'5. Servicio Técnico (Envíos)'!$N20,"")</f>
        <v/>
      </c>
      <c r="F114" s="87" t="str">
        <f aca="false">IF('5. Servicio Técnico (Envíos)'!$M20="No",'5. Servicio Técnico (Envíos)'!$O20,"")</f>
        <v/>
      </c>
      <c r="G114" s="87" t="str">
        <f aca="false">IF('5. Servicio Técnico (Envíos)'!$M20="No",IFERROR(VLOOKUP('5. Servicio Técnico (Envíos)'!$A20,'1. Órdenes de Trabajo'!$A$2:$J$301,10,FALSE()),""),"")</f>
        <v/>
      </c>
      <c r="H114" s="93"/>
    </row>
    <row r="115" customFormat="false" ht="15" hidden="false" customHeight="true" outlineLevel="0" collapsed="false">
      <c r="A115" s="87" t="str">
        <f aca="false">IF('5. Servicio Técnico (Envíos)'!$M21="No",'5. Servicio Técnico (Envíos)'!$A21,"")</f>
        <v/>
      </c>
      <c r="B115" s="87" t="str">
        <f aca="false">IF('5. Servicio Técnico (Envíos)'!$M21="No",IFERROR(VLOOKUP('5. Servicio Técnico (Envíos)'!$A21,'1. Órdenes de Trabajo'!$A$2:$E$301,5,FALSE()),""),"")</f>
        <v/>
      </c>
      <c r="C115" s="87" t="str">
        <f aca="false">IF('5. Servicio Técnico (Envíos)'!$M21="No","Servicio técnico","")</f>
        <v/>
      </c>
      <c r="D115" s="87" t="str">
        <f aca="false">IF('5. Servicio Técnico (Envíos)'!$M21="No",'5. Servicio Técnico (Envíos)'!$E21,"")</f>
        <v/>
      </c>
      <c r="E115" s="88" t="str">
        <f aca="false">IF('5. Servicio Técnico (Envíos)'!$M21="No",'5. Servicio Técnico (Envíos)'!$N21,"")</f>
        <v/>
      </c>
      <c r="F115" s="87" t="str">
        <f aca="false">IF('5. Servicio Técnico (Envíos)'!$M21="No",'5. Servicio Técnico (Envíos)'!$O21,"")</f>
        <v/>
      </c>
      <c r="G115" s="87" t="str">
        <f aca="false">IF('5. Servicio Técnico (Envíos)'!$M21="No",IFERROR(VLOOKUP('5. Servicio Técnico (Envíos)'!$A21,'1. Órdenes de Trabajo'!$A$2:$J$301,10,FALSE()),""),"")</f>
        <v/>
      </c>
      <c r="H115" s="93"/>
    </row>
    <row r="116" customFormat="false" ht="15" hidden="false" customHeight="true" outlineLevel="0" collapsed="false">
      <c r="A116" s="87" t="str">
        <f aca="false">IF('5. Servicio Técnico (Envíos)'!$M22="No",'5. Servicio Técnico (Envíos)'!$A22,"")</f>
        <v/>
      </c>
      <c r="B116" s="87" t="str">
        <f aca="false">IF('5. Servicio Técnico (Envíos)'!$M22="No",IFERROR(VLOOKUP('5. Servicio Técnico (Envíos)'!$A22,'1. Órdenes de Trabajo'!$A$2:$E$301,5,FALSE()),""),"")</f>
        <v/>
      </c>
      <c r="C116" s="87" t="str">
        <f aca="false">IF('5. Servicio Técnico (Envíos)'!$M22="No","Servicio técnico","")</f>
        <v/>
      </c>
      <c r="D116" s="87" t="str">
        <f aca="false">IF('5. Servicio Técnico (Envíos)'!$M22="No",'5. Servicio Técnico (Envíos)'!$E22,"")</f>
        <v/>
      </c>
      <c r="E116" s="88" t="str">
        <f aca="false">IF('5. Servicio Técnico (Envíos)'!$M22="No",'5. Servicio Técnico (Envíos)'!$N22,"")</f>
        <v/>
      </c>
      <c r="F116" s="87" t="str">
        <f aca="false">IF('5. Servicio Técnico (Envíos)'!$M22="No",'5. Servicio Técnico (Envíos)'!$O22,"")</f>
        <v/>
      </c>
      <c r="G116" s="87" t="str">
        <f aca="false">IF('5. Servicio Técnico (Envíos)'!$M22="No",IFERROR(VLOOKUP('5. Servicio Técnico (Envíos)'!$A22,'1. Órdenes de Trabajo'!$A$2:$J$301,10,FALSE()),""),"")</f>
        <v/>
      </c>
      <c r="H116" s="93"/>
    </row>
    <row r="117" customFormat="false" ht="15" hidden="false" customHeight="true" outlineLevel="0" collapsed="false">
      <c r="A117" s="87" t="str">
        <f aca="false">IF('5. Servicio Técnico (Envíos)'!$M23="No",'5. Servicio Técnico (Envíos)'!$A23,"")</f>
        <v/>
      </c>
      <c r="B117" s="87" t="str">
        <f aca="false">IF('5. Servicio Técnico (Envíos)'!$M23="No",IFERROR(VLOOKUP('5. Servicio Técnico (Envíos)'!$A23,'1. Órdenes de Trabajo'!$A$2:$E$301,5,FALSE()),""),"")</f>
        <v/>
      </c>
      <c r="C117" s="87" t="str">
        <f aca="false">IF('5. Servicio Técnico (Envíos)'!$M23="No","Servicio técnico","")</f>
        <v/>
      </c>
      <c r="D117" s="87" t="str">
        <f aca="false">IF('5. Servicio Técnico (Envíos)'!$M23="No",'5. Servicio Técnico (Envíos)'!$E23,"")</f>
        <v/>
      </c>
      <c r="E117" s="88" t="str">
        <f aca="false">IF('5. Servicio Técnico (Envíos)'!$M23="No",'5. Servicio Técnico (Envíos)'!$N23,"")</f>
        <v/>
      </c>
      <c r="F117" s="87" t="str">
        <f aca="false">IF('5. Servicio Técnico (Envíos)'!$M23="No",'5. Servicio Técnico (Envíos)'!$O23,"")</f>
        <v/>
      </c>
      <c r="G117" s="87" t="str">
        <f aca="false">IF('5. Servicio Técnico (Envíos)'!$M23="No",IFERROR(VLOOKUP('5. Servicio Técnico (Envíos)'!$A23,'1. Órdenes de Trabajo'!$A$2:$J$301,10,FALSE()),""),"")</f>
        <v/>
      </c>
      <c r="H117" s="93"/>
    </row>
    <row r="118" customFormat="false" ht="15" hidden="false" customHeight="true" outlineLevel="0" collapsed="false">
      <c r="A118" s="87" t="str">
        <f aca="false">IF('5. Servicio Técnico (Envíos)'!$M24="No",'5. Servicio Técnico (Envíos)'!$A24,"")</f>
        <v/>
      </c>
      <c r="B118" s="87" t="str">
        <f aca="false">IF('5. Servicio Técnico (Envíos)'!$M24="No",IFERROR(VLOOKUP('5. Servicio Técnico (Envíos)'!$A24,'1. Órdenes de Trabajo'!$A$2:$E$301,5,FALSE()),""),"")</f>
        <v/>
      </c>
      <c r="C118" s="87" t="str">
        <f aca="false">IF('5. Servicio Técnico (Envíos)'!$M24="No","Servicio técnico","")</f>
        <v/>
      </c>
      <c r="D118" s="87" t="str">
        <f aca="false">IF('5. Servicio Técnico (Envíos)'!$M24="No",'5. Servicio Técnico (Envíos)'!$E24,"")</f>
        <v/>
      </c>
      <c r="E118" s="88" t="str">
        <f aca="false">IF('5. Servicio Técnico (Envíos)'!$M24="No",'5. Servicio Técnico (Envíos)'!$N24,"")</f>
        <v/>
      </c>
      <c r="F118" s="87" t="str">
        <f aca="false">IF('5. Servicio Técnico (Envíos)'!$M24="No",'5. Servicio Técnico (Envíos)'!$O24,"")</f>
        <v/>
      </c>
      <c r="G118" s="87" t="str">
        <f aca="false">IF('5. Servicio Técnico (Envíos)'!$M24="No",IFERROR(VLOOKUP('5. Servicio Técnico (Envíos)'!$A24,'1. Órdenes de Trabajo'!$A$2:$J$301,10,FALSE()),""),"")</f>
        <v/>
      </c>
      <c r="H118" s="93"/>
    </row>
    <row r="119" customFormat="false" ht="15" hidden="false" customHeight="true" outlineLevel="0" collapsed="false">
      <c r="A119" s="87" t="str">
        <f aca="false">IF('5. Servicio Técnico (Envíos)'!$M25="No",'5. Servicio Técnico (Envíos)'!$A25,"")</f>
        <v/>
      </c>
      <c r="B119" s="87" t="str">
        <f aca="false">IF('5. Servicio Técnico (Envíos)'!$M25="No",IFERROR(VLOOKUP('5. Servicio Técnico (Envíos)'!$A25,'1. Órdenes de Trabajo'!$A$2:$E$301,5,FALSE()),""),"")</f>
        <v/>
      </c>
      <c r="C119" s="87" t="str">
        <f aca="false">IF('5. Servicio Técnico (Envíos)'!$M25="No","Servicio técnico","")</f>
        <v/>
      </c>
      <c r="D119" s="87" t="str">
        <f aca="false">IF('5. Servicio Técnico (Envíos)'!$M25="No",'5. Servicio Técnico (Envíos)'!$E25,"")</f>
        <v/>
      </c>
      <c r="E119" s="88" t="str">
        <f aca="false">IF('5. Servicio Técnico (Envíos)'!$M25="No",'5. Servicio Técnico (Envíos)'!$N25,"")</f>
        <v/>
      </c>
      <c r="F119" s="87" t="str">
        <f aca="false">IF('5. Servicio Técnico (Envíos)'!$M25="No",'5. Servicio Técnico (Envíos)'!$O25,"")</f>
        <v/>
      </c>
      <c r="G119" s="87" t="str">
        <f aca="false">IF('5. Servicio Técnico (Envíos)'!$M25="No",IFERROR(VLOOKUP('5. Servicio Técnico (Envíos)'!$A25,'1. Órdenes de Trabajo'!$A$2:$J$301,10,FALSE()),""),"")</f>
        <v/>
      </c>
      <c r="H119" s="93"/>
    </row>
    <row r="120" customFormat="false" ht="15" hidden="false" customHeight="true" outlineLevel="0" collapsed="false">
      <c r="A120" s="87" t="str">
        <f aca="false">IF('5. Servicio Técnico (Envíos)'!$M26="No",'5. Servicio Técnico (Envíos)'!$A26,"")</f>
        <v/>
      </c>
      <c r="B120" s="87" t="str">
        <f aca="false">IF('5. Servicio Técnico (Envíos)'!$M26="No",IFERROR(VLOOKUP('5. Servicio Técnico (Envíos)'!$A26,'1. Órdenes de Trabajo'!$A$2:$E$301,5,FALSE()),""),"")</f>
        <v/>
      </c>
      <c r="C120" s="87" t="str">
        <f aca="false">IF('5. Servicio Técnico (Envíos)'!$M26="No","Servicio técnico","")</f>
        <v/>
      </c>
      <c r="D120" s="87" t="str">
        <f aca="false">IF('5. Servicio Técnico (Envíos)'!$M26="No",'5. Servicio Técnico (Envíos)'!$E26,"")</f>
        <v/>
      </c>
      <c r="E120" s="88" t="str">
        <f aca="false">IF('5. Servicio Técnico (Envíos)'!$M26="No",'5. Servicio Técnico (Envíos)'!$N26,"")</f>
        <v/>
      </c>
      <c r="F120" s="87" t="str">
        <f aca="false">IF('5. Servicio Técnico (Envíos)'!$M26="No",'5. Servicio Técnico (Envíos)'!$O26,"")</f>
        <v/>
      </c>
      <c r="G120" s="87" t="str">
        <f aca="false">IF('5. Servicio Técnico (Envíos)'!$M26="No",IFERROR(VLOOKUP('5. Servicio Técnico (Envíos)'!$A26,'1. Órdenes de Trabajo'!$A$2:$J$301,10,FALSE()),""),"")</f>
        <v/>
      </c>
      <c r="H120" s="93"/>
    </row>
    <row r="121" customFormat="false" ht="15" hidden="false" customHeight="true" outlineLevel="0" collapsed="false">
      <c r="A121" s="87" t="str">
        <f aca="false">IF('5. Servicio Técnico (Envíos)'!$M27="No",'5. Servicio Técnico (Envíos)'!$A27,"")</f>
        <v/>
      </c>
      <c r="B121" s="87" t="str">
        <f aca="false">IF('5. Servicio Técnico (Envíos)'!$M27="No",IFERROR(VLOOKUP('5. Servicio Técnico (Envíos)'!$A27,'1. Órdenes de Trabajo'!$A$2:$E$301,5,FALSE()),""),"")</f>
        <v/>
      </c>
      <c r="C121" s="87" t="str">
        <f aca="false">IF('5. Servicio Técnico (Envíos)'!$M27="No","Servicio técnico","")</f>
        <v/>
      </c>
      <c r="D121" s="87" t="str">
        <f aca="false">IF('5. Servicio Técnico (Envíos)'!$M27="No",'5. Servicio Técnico (Envíos)'!$E27,"")</f>
        <v/>
      </c>
      <c r="E121" s="88" t="str">
        <f aca="false">IF('5. Servicio Técnico (Envíos)'!$M27="No",'5. Servicio Técnico (Envíos)'!$N27,"")</f>
        <v/>
      </c>
      <c r="F121" s="87" t="str">
        <f aca="false">IF('5. Servicio Técnico (Envíos)'!$M27="No",'5. Servicio Técnico (Envíos)'!$O27,"")</f>
        <v/>
      </c>
      <c r="G121" s="87" t="str">
        <f aca="false">IF('5. Servicio Técnico (Envíos)'!$M27="No",IFERROR(VLOOKUP('5. Servicio Técnico (Envíos)'!$A27,'1. Órdenes de Trabajo'!$A$2:$J$301,10,FALSE()),""),"")</f>
        <v/>
      </c>
      <c r="H121" s="93"/>
    </row>
    <row r="122" customFormat="false" ht="15" hidden="false" customHeight="true" outlineLevel="0" collapsed="false">
      <c r="A122" s="87" t="str">
        <f aca="false">IF('5. Servicio Técnico (Envíos)'!$M28="No",'5. Servicio Técnico (Envíos)'!$A28,"")</f>
        <v/>
      </c>
      <c r="B122" s="87" t="str">
        <f aca="false">IF('5. Servicio Técnico (Envíos)'!$M28="No",IFERROR(VLOOKUP('5. Servicio Técnico (Envíos)'!$A28,'1. Órdenes de Trabajo'!$A$2:$E$301,5,FALSE()),""),"")</f>
        <v/>
      </c>
      <c r="C122" s="87" t="str">
        <f aca="false">IF('5. Servicio Técnico (Envíos)'!$M28="No","Servicio técnico","")</f>
        <v/>
      </c>
      <c r="D122" s="87" t="str">
        <f aca="false">IF('5. Servicio Técnico (Envíos)'!$M28="No",'5. Servicio Técnico (Envíos)'!$E28,"")</f>
        <v/>
      </c>
      <c r="E122" s="88" t="str">
        <f aca="false">IF('5. Servicio Técnico (Envíos)'!$M28="No",'5. Servicio Técnico (Envíos)'!$N28,"")</f>
        <v/>
      </c>
      <c r="F122" s="87" t="str">
        <f aca="false">IF('5. Servicio Técnico (Envíos)'!$M28="No",'5. Servicio Técnico (Envíos)'!$O28,"")</f>
        <v/>
      </c>
      <c r="G122" s="87" t="str">
        <f aca="false">IF('5. Servicio Técnico (Envíos)'!$M28="No",IFERROR(VLOOKUP('5. Servicio Técnico (Envíos)'!$A28,'1. Órdenes de Trabajo'!$A$2:$J$301,10,FALSE()),""),"")</f>
        <v/>
      </c>
      <c r="H122" s="93"/>
    </row>
    <row r="123" customFormat="false" ht="15" hidden="false" customHeight="true" outlineLevel="0" collapsed="false">
      <c r="A123" s="87" t="str">
        <f aca="false">IF('5. Servicio Técnico (Envíos)'!$M29="No",'5. Servicio Técnico (Envíos)'!$A29,"")</f>
        <v/>
      </c>
      <c r="B123" s="87" t="str">
        <f aca="false">IF('5. Servicio Técnico (Envíos)'!$M29="No",IFERROR(VLOOKUP('5. Servicio Técnico (Envíos)'!$A29,'1. Órdenes de Trabajo'!$A$2:$E$301,5,FALSE()),""),"")</f>
        <v/>
      </c>
      <c r="C123" s="87" t="str">
        <f aca="false">IF('5. Servicio Técnico (Envíos)'!$M29="No","Servicio técnico","")</f>
        <v/>
      </c>
      <c r="D123" s="87" t="str">
        <f aca="false">IF('5. Servicio Técnico (Envíos)'!$M29="No",'5. Servicio Técnico (Envíos)'!$E29,"")</f>
        <v/>
      </c>
      <c r="E123" s="88" t="str">
        <f aca="false">IF('5. Servicio Técnico (Envíos)'!$M29="No",'5. Servicio Técnico (Envíos)'!$N29,"")</f>
        <v/>
      </c>
      <c r="F123" s="87" t="str">
        <f aca="false">IF('5. Servicio Técnico (Envíos)'!$M29="No",'5. Servicio Técnico (Envíos)'!$O29,"")</f>
        <v/>
      </c>
      <c r="G123" s="87" t="str">
        <f aca="false">IF('5. Servicio Técnico (Envíos)'!$M29="No",IFERROR(VLOOKUP('5. Servicio Técnico (Envíos)'!$A29,'1. Órdenes de Trabajo'!$A$2:$J$301,10,FALSE()),""),"")</f>
        <v/>
      </c>
      <c r="H123" s="93"/>
    </row>
    <row r="124" customFormat="false" ht="15" hidden="false" customHeight="true" outlineLevel="0" collapsed="false">
      <c r="A124" s="87" t="str">
        <f aca="false">IF('5. Servicio Técnico (Envíos)'!$M30="No",'5. Servicio Técnico (Envíos)'!$A30,"")</f>
        <v/>
      </c>
      <c r="B124" s="87" t="str">
        <f aca="false">IF('5. Servicio Técnico (Envíos)'!$M30="No",IFERROR(VLOOKUP('5. Servicio Técnico (Envíos)'!$A30,'1. Órdenes de Trabajo'!$A$2:$E$301,5,FALSE()),""),"")</f>
        <v/>
      </c>
      <c r="C124" s="87" t="str">
        <f aca="false">IF('5. Servicio Técnico (Envíos)'!$M30="No","Servicio técnico","")</f>
        <v/>
      </c>
      <c r="D124" s="87" t="str">
        <f aca="false">IF('5. Servicio Técnico (Envíos)'!$M30="No",'5. Servicio Técnico (Envíos)'!$E30,"")</f>
        <v/>
      </c>
      <c r="E124" s="88" t="str">
        <f aca="false">IF('5. Servicio Técnico (Envíos)'!$M30="No",'5. Servicio Técnico (Envíos)'!$N30,"")</f>
        <v/>
      </c>
      <c r="F124" s="87" t="str">
        <f aca="false">IF('5. Servicio Técnico (Envíos)'!$M30="No",'5. Servicio Técnico (Envíos)'!$O30,"")</f>
        <v/>
      </c>
      <c r="G124" s="87" t="str">
        <f aca="false">IF('5. Servicio Técnico (Envíos)'!$M30="No",IFERROR(VLOOKUP('5. Servicio Técnico (Envíos)'!$A30,'1. Órdenes de Trabajo'!$A$2:$J$301,10,FALSE()),""),"")</f>
        <v/>
      </c>
      <c r="H124" s="93"/>
    </row>
    <row r="125" customFormat="false" ht="15" hidden="false" customHeight="true" outlineLevel="0" collapsed="false">
      <c r="A125" s="87" t="str">
        <f aca="false">IF('5. Servicio Técnico (Envíos)'!$M31="No",'5. Servicio Técnico (Envíos)'!$A31,"")</f>
        <v/>
      </c>
      <c r="B125" s="87" t="str">
        <f aca="false">IF('5. Servicio Técnico (Envíos)'!$M31="No",IFERROR(VLOOKUP('5. Servicio Técnico (Envíos)'!$A31,'1. Órdenes de Trabajo'!$A$2:$E$301,5,FALSE()),""),"")</f>
        <v/>
      </c>
      <c r="C125" s="87" t="str">
        <f aca="false">IF('5. Servicio Técnico (Envíos)'!$M31="No","Servicio técnico","")</f>
        <v/>
      </c>
      <c r="D125" s="87" t="str">
        <f aca="false">IF('5. Servicio Técnico (Envíos)'!$M31="No",'5. Servicio Técnico (Envíos)'!$E31,"")</f>
        <v/>
      </c>
      <c r="E125" s="88" t="str">
        <f aca="false">IF('5. Servicio Técnico (Envíos)'!$M31="No",'5. Servicio Técnico (Envíos)'!$N31,"")</f>
        <v/>
      </c>
      <c r="F125" s="87" t="str">
        <f aca="false">IF('5. Servicio Técnico (Envíos)'!$M31="No",'5. Servicio Técnico (Envíos)'!$O31,"")</f>
        <v/>
      </c>
      <c r="G125" s="87" t="str">
        <f aca="false">IF('5. Servicio Técnico (Envíos)'!$M31="No",IFERROR(VLOOKUP('5. Servicio Técnico (Envíos)'!$A31,'1. Órdenes de Trabajo'!$A$2:$J$301,10,FALSE()),""),"")</f>
        <v/>
      </c>
      <c r="H125" s="93"/>
    </row>
    <row r="126" customFormat="false" ht="15" hidden="false" customHeight="true" outlineLevel="0" collapsed="false">
      <c r="A126" s="87" t="str">
        <f aca="false">IF('5. Servicio Técnico (Envíos)'!$M32="No",'5. Servicio Técnico (Envíos)'!$A32,"")</f>
        <v/>
      </c>
      <c r="B126" s="87" t="str">
        <f aca="false">IF('5. Servicio Técnico (Envíos)'!$M32="No",IFERROR(VLOOKUP('5. Servicio Técnico (Envíos)'!$A32,'1. Órdenes de Trabajo'!$A$2:$E$301,5,FALSE()),""),"")</f>
        <v/>
      </c>
      <c r="C126" s="87" t="str">
        <f aca="false">IF('5. Servicio Técnico (Envíos)'!$M32="No","Servicio técnico","")</f>
        <v/>
      </c>
      <c r="D126" s="87" t="str">
        <f aca="false">IF('5. Servicio Técnico (Envíos)'!$M32="No",'5. Servicio Técnico (Envíos)'!$E32,"")</f>
        <v/>
      </c>
      <c r="E126" s="88" t="str">
        <f aca="false">IF('5. Servicio Técnico (Envíos)'!$M32="No",'5. Servicio Técnico (Envíos)'!$N32,"")</f>
        <v/>
      </c>
      <c r="F126" s="87" t="str">
        <f aca="false">IF('5. Servicio Técnico (Envíos)'!$M32="No",'5. Servicio Técnico (Envíos)'!$O32,"")</f>
        <v/>
      </c>
      <c r="G126" s="87" t="str">
        <f aca="false">IF('5. Servicio Técnico (Envíos)'!$M32="No",IFERROR(VLOOKUP('5. Servicio Técnico (Envíos)'!$A32,'1. Órdenes de Trabajo'!$A$2:$J$301,10,FALSE()),""),"")</f>
        <v/>
      </c>
      <c r="H126" s="93"/>
    </row>
    <row r="127" customFormat="false" ht="15" hidden="false" customHeight="true" outlineLevel="0" collapsed="false">
      <c r="A127" s="87" t="str">
        <f aca="false">IF('5. Servicio Técnico (Envíos)'!$M33="No",'5. Servicio Técnico (Envíos)'!$A33,"")</f>
        <v/>
      </c>
      <c r="B127" s="87" t="str">
        <f aca="false">IF('5. Servicio Técnico (Envíos)'!$M33="No",IFERROR(VLOOKUP('5. Servicio Técnico (Envíos)'!$A33,'1. Órdenes de Trabajo'!$A$2:$E$301,5,FALSE()),""),"")</f>
        <v/>
      </c>
      <c r="C127" s="87" t="str">
        <f aca="false">IF('5. Servicio Técnico (Envíos)'!$M33="No","Servicio técnico","")</f>
        <v/>
      </c>
      <c r="D127" s="87" t="str">
        <f aca="false">IF('5. Servicio Técnico (Envíos)'!$M33="No",'5. Servicio Técnico (Envíos)'!$E33,"")</f>
        <v/>
      </c>
      <c r="E127" s="88" t="str">
        <f aca="false">IF('5. Servicio Técnico (Envíos)'!$M33="No",'5. Servicio Técnico (Envíos)'!$N33,"")</f>
        <v/>
      </c>
      <c r="F127" s="87" t="str">
        <f aca="false">IF('5. Servicio Técnico (Envíos)'!$M33="No",'5. Servicio Técnico (Envíos)'!$O33,"")</f>
        <v/>
      </c>
      <c r="G127" s="87" t="str">
        <f aca="false">IF('5. Servicio Técnico (Envíos)'!$M33="No",IFERROR(VLOOKUP('5. Servicio Técnico (Envíos)'!$A33,'1. Órdenes de Trabajo'!$A$2:$J$301,10,FALSE()),""),"")</f>
        <v/>
      </c>
      <c r="H127" s="93"/>
    </row>
    <row r="128" customFormat="false" ht="15" hidden="false" customHeight="true" outlineLevel="0" collapsed="false">
      <c r="A128" s="87" t="str">
        <f aca="false">IF('5. Servicio Técnico (Envíos)'!$M34="No",'5. Servicio Técnico (Envíos)'!$A34,"")</f>
        <v/>
      </c>
      <c r="B128" s="87" t="str">
        <f aca="false">IF('5. Servicio Técnico (Envíos)'!$M34="No",IFERROR(VLOOKUP('5. Servicio Técnico (Envíos)'!$A34,'1. Órdenes de Trabajo'!$A$2:$E$301,5,FALSE()),""),"")</f>
        <v/>
      </c>
      <c r="C128" s="87" t="str">
        <f aca="false">IF('5. Servicio Técnico (Envíos)'!$M34="No","Servicio técnico","")</f>
        <v/>
      </c>
      <c r="D128" s="87" t="str">
        <f aca="false">IF('5. Servicio Técnico (Envíos)'!$M34="No",'5. Servicio Técnico (Envíos)'!$E34,"")</f>
        <v/>
      </c>
      <c r="E128" s="88" t="str">
        <f aca="false">IF('5. Servicio Técnico (Envíos)'!$M34="No",'5. Servicio Técnico (Envíos)'!$N34,"")</f>
        <v/>
      </c>
      <c r="F128" s="87" t="str">
        <f aca="false">IF('5. Servicio Técnico (Envíos)'!$M34="No",'5. Servicio Técnico (Envíos)'!$O34,"")</f>
        <v/>
      </c>
      <c r="G128" s="87" t="str">
        <f aca="false">IF('5. Servicio Técnico (Envíos)'!$M34="No",IFERROR(VLOOKUP('5. Servicio Técnico (Envíos)'!$A34,'1. Órdenes de Trabajo'!$A$2:$J$301,10,FALSE()),""),"")</f>
        <v/>
      </c>
      <c r="H128" s="93"/>
    </row>
    <row r="129" customFormat="false" ht="15" hidden="false" customHeight="true" outlineLevel="0" collapsed="false">
      <c r="A129" s="87" t="str">
        <f aca="false">IF('5. Servicio Técnico (Envíos)'!$M35="No",'5. Servicio Técnico (Envíos)'!$A35,"")</f>
        <v/>
      </c>
      <c r="B129" s="87" t="str">
        <f aca="false">IF('5. Servicio Técnico (Envíos)'!$M35="No",IFERROR(VLOOKUP('5. Servicio Técnico (Envíos)'!$A35,'1. Órdenes de Trabajo'!$A$2:$E$301,5,FALSE()),""),"")</f>
        <v/>
      </c>
      <c r="C129" s="87" t="str">
        <f aca="false">IF('5. Servicio Técnico (Envíos)'!$M35="No","Servicio técnico","")</f>
        <v/>
      </c>
      <c r="D129" s="87" t="str">
        <f aca="false">IF('5. Servicio Técnico (Envíos)'!$M35="No",'5. Servicio Técnico (Envíos)'!$E35,"")</f>
        <v/>
      </c>
      <c r="E129" s="88" t="str">
        <f aca="false">IF('5. Servicio Técnico (Envíos)'!$M35="No",'5. Servicio Técnico (Envíos)'!$N35,"")</f>
        <v/>
      </c>
      <c r="F129" s="87" t="str">
        <f aca="false">IF('5. Servicio Técnico (Envíos)'!$M35="No",'5. Servicio Técnico (Envíos)'!$O35,"")</f>
        <v/>
      </c>
      <c r="G129" s="87" t="str">
        <f aca="false">IF('5. Servicio Técnico (Envíos)'!$M35="No",IFERROR(VLOOKUP('5. Servicio Técnico (Envíos)'!$A35,'1. Órdenes de Trabajo'!$A$2:$J$301,10,FALSE()),""),"")</f>
        <v/>
      </c>
      <c r="H129" s="93"/>
    </row>
    <row r="130" customFormat="false" ht="15" hidden="false" customHeight="true" outlineLevel="0" collapsed="false">
      <c r="A130" s="87" t="str">
        <f aca="false">IF('5. Servicio Técnico (Envíos)'!$M36="No",'5. Servicio Técnico (Envíos)'!$A36,"")</f>
        <v/>
      </c>
      <c r="B130" s="87" t="str">
        <f aca="false">IF('5. Servicio Técnico (Envíos)'!$M36="No",IFERROR(VLOOKUP('5. Servicio Técnico (Envíos)'!$A36,'1. Órdenes de Trabajo'!$A$2:$E$301,5,FALSE()),""),"")</f>
        <v/>
      </c>
      <c r="C130" s="87" t="str">
        <f aca="false">IF('5. Servicio Técnico (Envíos)'!$M36="No","Servicio técnico","")</f>
        <v/>
      </c>
      <c r="D130" s="87" t="str">
        <f aca="false">IF('5. Servicio Técnico (Envíos)'!$M36="No",'5. Servicio Técnico (Envíos)'!$E36,"")</f>
        <v/>
      </c>
      <c r="E130" s="88" t="str">
        <f aca="false">IF('5. Servicio Técnico (Envíos)'!$M36="No",'5. Servicio Técnico (Envíos)'!$N36,"")</f>
        <v/>
      </c>
      <c r="F130" s="87" t="str">
        <f aca="false">IF('5. Servicio Técnico (Envíos)'!$M36="No",'5. Servicio Técnico (Envíos)'!$O36,"")</f>
        <v/>
      </c>
      <c r="G130" s="87" t="str">
        <f aca="false">IF('5. Servicio Técnico (Envíos)'!$M36="No",IFERROR(VLOOKUP('5. Servicio Técnico (Envíos)'!$A36,'1. Órdenes de Trabajo'!$A$2:$J$301,10,FALSE()),""),"")</f>
        <v/>
      </c>
      <c r="H130" s="93"/>
    </row>
    <row r="131" customFormat="false" ht="15" hidden="false" customHeight="true" outlineLevel="0" collapsed="false">
      <c r="A131" s="87" t="str">
        <f aca="false">IF('5. Servicio Técnico (Envíos)'!$M37="No",'5. Servicio Técnico (Envíos)'!$A37,"")</f>
        <v/>
      </c>
      <c r="B131" s="87" t="str">
        <f aca="false">IF('5. Servicio Técnico (Envíos)'!$M37="No",IFERROR(VLOOKUP('5. Servicio Técnico (Envíos)'!$A37,'1. Órdenes de Trabajo'!$A$2:$E$301,5,FALSE()),""),"")</f>
        <v/>
      </c>
      <c r="C131" s="87" t="str">
        <f aca="false">IF('5. Servicio Técnico (Envíos)'!$M37="No","Servicio técnico","")</f>
        <v/>
      </c>
      <c r="D131" s="87" t="str">
        <f aca="false">IF('5. Servicio Técnico (Envíos)'!$M37="No",'5. Servicio Técnico (Envíos)'!$E37,"")</f>
        <v/>
      </c>
      <c r="E131" s="88" t="str">
        <f aca="false">IF('5. Servicio Técnico (Envíos)'!$M37="No",'5. Servicio Técnico (Envíos)'!$N37,"")</f>
        <v/>
      </c>
      <c r="F131" s="87" t="str">
        <f aca="false">IF('5. Servicio Técnico (Envíos)'!$M37="No",'5. Servicio Técnico (Envíos)'!$O37,"")</f>
        <v/>
      </c>
      <c r="G131" s="87" t="str">
        <f aca="false">IF('5. Servicio Técnico (Envíos)'!$M37="No",IFERROR(VLOOKUP('5. Servicio Técnico (Envíos)'!$A37,'1. Órdenes de Trabajo'!$A$2:$J$301,10,FALSE()),""),"")</f>
        <v/>
      </c>
      <c r="H131" s="93"/>
    </row>
    <row r="132" customFormat="false" ht="15" hidden="false" customHeight="true" outlineLevel="0" collapsed="false">
      <c r="A132" s="87" t="str">
        <f aca="false">IF('5. Servicio Técnico (Envíos)'!$M38="No",'5. Servicio Técnico (Envíos)'!$A38,"")</f>
        <v/>
      </c>
      <c r="B132" s="87" t="str">
        <f aca="false">IF('5. Servicio Técnico (Envíos)'!$M38="No",IFERROR(VLOOKUP('5. Servicio Técnico (Envíos)'!$A38,'1. Órdenes de Trabajo'!$A$2:$E$301,5,FALSE()),""),"")</f>
        <v/>
      </c>
      <c r="C132" s="87" t="str">
        <f aca="false">IF('5. Servicio Técnico (Envíos)'!$M38="No","Servicio técnico","")</f>
        <v/>
      </c>
      <c r="D132" s="87" t="str">
        <f aca="false">IF('5. Servicio Técnico (Envíos)'!$M38="No",'5. Servicio Técnico (Envíos)'!$E38,"")</f>
        <v/>
      </c>
      <c r="E132" s="88" t="str">
        <f aca="false">IF('5. Servicio Técnico (Envíos)'!$M38="No",'5. Servicio Técnico (Envíos)'!$N38,"")</f>
        <v/>
      </c>
      <c r="F132" s="87" t="str">
        <f aca="false">IF('5. Servicio Técnico (Envíos)'!$M38="No",'5. Servicio Técnico (Envíos)'!$O38,"")</f>
        <v/>
      </c>
      <c r="G132" s="87" t="str">
        <f aca="false">IF('5. Servicio Técnico (Envíos)'!$M38="No",IFERROR(VLOOKUP('5. Servicio Técnico (Envíos)'!$A38,'1. Órdenes de Trabajo'!$A$2:$J$301,10,FALSE()),""),"")</f>
        <v/>
      </c>
      <c r="H132" s="93"/>
    </row>
    <row r="133" customFormat="false" ht="15" hidden="false" customHeight="true" outlineLevel="0" collapsed="false">
      <c r="A133" s="87" t="str">
        <f aca="false">IF('5. Servicio Técnico (Envíos)'!$M39="No",'5. Servicio Técnico (Envíos)'!$A39,"")</f>
        <v/>
      </c>
      <c r="B133" s="87" t="str">
        <f aca="false">IF('5. Servicio Técnico (Envíos)'!$M39="No",IFERROR(VLOOKUP('5. Servicio Técnico (Envíos)'!$A39,'1. Órdenes de Trabajo'!$A$2:$E$301,5,FALSE()),""),"")</f>
        <v/>
      </c>
      <c r="C133" s="87" t="str">
        <f aca="false">IF('5. Servicio Técnico (Envíos)'!$M39="No","Servicio técnico","")</f>
        <v/>
      </c>
      <c r="D133" s="87" t="str">
        <f aca="false">IF('5. Servicio Técnico (Envíos)'!$M39="No",'5. Servicio Técnico (Envíos)'!$E39,"")</f>
        <v/>
      </c>
      <c r="E133" s="88" t="str">
        <f aca="false">IF('5. Servicio Técnico (Envíos)'!$M39="No",'5. Servicio Técnico (Envíos)'!$N39,"")</f>
        <v/>
      </c>
      <c r="F133" s="87" t="str">
        <f aca="false">IF('5. Servicio Técnico (Envíos)'!$M39="No",'5. Servicio Técnico (Envíos)'!$O39,"")</f>
        <v/>
      </c>
      <c r="G133" s="87" t="str">
        <f aca="false">IF('5. Servicio Técnico (Envíos)'!$M39="No",IFERROR(VLOOKUP('5. Servicio Técnico (Envíos)'!$A39,'1. Órdenes de Trabajo'!$A$2:$J$301,10,FALSE()),""),"")</f>
        <v/>
      </c>
      <c r="H133" s="93"/>
    </row>
    <row r="134" customFormat="false" ht="15" hidden="false" customHeight="true" outlineLevel="0" collapsed="false">
      <c r="A134" s="87" t="str">
        <f aca="false">IF('5. Servicio Técnico (Envíos)'!$M40="No",'5. Servicio Técnico (Envíos)'!$A40,"")</f>
        <v/>
      </c>
      <c r="B134" s="87" t="str">
        <f aca="false">IF('5. Servicio Técnico (Envíos)'!$M40="No",IFERROR(VLOOKUP('5. Servicio Técnico (Envíos)'!$A40,'1. Órdenes de Trabajo'!$A$2:$E$301,5,FALSE()),""),"")</f>
        <v/>
      </c>
      <c r="C134" s="87" t="str">
        <f aca="false">IF('5. Servicio Técnico (Envíos)'!$M40="No","Servicio técnico","")</f>
        <v/>
      </c>
      <c r="D134" s="87" t="str">
        <f aca="false">IF('5. Servicio Técnico (Envíos)'!$M40="No",'5. Servicio Técnico (Envíos)'!$E40,"")</f>
        <v/>
      </c>
      <c r="E134" s="88" t="str">
        <f aca="false">IF('5. Servicio Técnico (Envíos)'!$M40="No",'5. Servicio Técnico (Envíos)'!$N40,"")</f>
        <v/>
      </c>
      <c r="F134" s="87" t="str">
        <f aca="false">IF('5. Servicio Técnico (Envíos)'!$M40="No",'5. Servicio Técnico (Envíos)'!$O40,"")</f>
        <v/>
      </c>
      <c r="G134" s="87" t="str">
        <f aca="false">IF('5. Servicio Técnico (Envíos)'!$M40="No",IFERROR(VLOOKUP('5. Servicio Técnico (Envíos)'!$A40,'1. Órdenes de Trabajo'!$A$2:$J$301,10,FALSE()),""),"")</f>
        <v/>
      </c>
      <c r="H134" s="93"/>
    </row>
    <row r="135" customFormat="false" ht="15" hidden="false" customHeight="true" outlineLevel="0" collapsed="false">
      <c r="A135" s="87" t="str">
        <f aca="false">IF('5. Servicio Técnico (Envíos)'!$M41="No",'5. Servicio Técnico (Envíos)'!$A41,"")</f>
        <v/>
      </c>
      <c r="B135" s="87" t="str">
        <f aca="false">IF('5. Servicio Técnico (Envíos)'!$M41="No",IFERROR(VLOOKUP('5. Servicio Técnico (Envíos)'!$A41,'1. Órdenes de Trabajo'!$A$2:$E$301,5,FALSE()),""),"")</f>
        <v/>
      </c>
      <c r="C135" s="87" t="str">
        <f aca="false">IF('5. Servicio Técnico (Envíos)'!$M41="No","Servicio técnico","")</f>
        <v/>
      </c>
      <c r="D135" s="87" t="str">
        <f aca="false">IF('5. Servicio Técnico (Envíos)'!$M41="No",'5. Servicio Técnico (Envíos)'!$E41,"")</f>
        <v/>
      </c>
      <c r="E135" s="88" t="str">
        <f aca="false">IF('5. Servicio Técnico (Envíos)'!$M41="No",'5. Servicio Técnico (Envíos)'!$N41,"")</f>
        <v/>
      </c>
      <c r="F135" s="87" t="str">
        <f aca="false">IF('5. Servicio Técnico (Envíos)'!$M41="No",'5. Servicio Técnico (Envíos)'!$O41,"")</f>
        <v/>
      </c>
      <c r="G135" s="87" t="str">
        <f aca="false">IF('5. Servicio Técnico (Envíos)'!$M41="No",IFERROR(VLOOKUP('5. Servicio Técnico (Envíos)'!$A41,'1. Órdenes de Trabajo'!$A$2:$J$301,10,FALSE()),""),"")</f>
        <v/>
      </c>
      <c r="H135" s="93"/>
    </row>
    <row r="136" customFormat="false" ht="15" hidden="false" customHeight="true" outlineLevel="0" collapsed="false">
      <c r="A136" s="87" t="str">
        <f aca="false">IF('4. Visitas Técnicas'!$L2="No",'4. Visitas Técnicas'!$A2,"")</f>
        <v>2025-121109-19-10024</v>
      </c>
      <c r="B136" s="87" t="str">
        <f aca="false">IF('4. Visitas Técnicas'!$L2="No",IFERROR(VLOOKUP('4. Visitas Técnicas'!$A2,'1. Órdenes de Trabajo'!$A$2:$E$301,5,FALSE()),""),"")</f>
        <v>Ventilador Mecánico </v>
      </c>
      <c r="C136" s="87" t="str">
        <f aca="false">IF('4. Visitas Técnicas'!$L2="No","Visita técnica","")</f>
        <v>Visita técnica</v>
      </c>
      <c r="D136" s="87" t="str">
        <f aca="false">IF('4. Visitas Técnicas'!$L2="No",'4. Visitas Técnicas'!$C2,"")</f>
        <v>DRAGER CHILE LIMITADA</v>
      </c>
      <c r="E136" s="88" t="str">
        <f aca="false">IF('4. Visitas Técnicas'!$L2="No",'4. Visitas Técnicas'!$M2,"")</f>
        <v>Ricardo Matus Aroca</v>
      </c>
      <c r="F136" s="87" t="str">
        <f aca="false">IF('4. Visitas Técnicas'!$L2="No",'4. Visitas Técnicas'!$N2,"")</f>
        <v>Cristián Beltrán Oviedo</v>
      </c>
      <c r="G136" s="87" t="str">
        <f aca="false">IF('4. Visitas Técnicas'!$L2="No",IFERROR(VLOOKUP('4. Visitas Técnicas'!$A2,'1. Órdenes de Trabajo'!$A$2:$J$301,10,FALSE()),""),"")</f>
        <v>Cerrado</v>
      </c>
      <c r="H136" s="93"/>
    </row>
    <row r="137" customFormat="false" ht="15" hidden="false" customHeight="true" outlineLevel="0" collapsed="false">
      <c r="A137" s="87" t="str">
        <f aca="false">IF('4. Visitas Técnicas'!$L3="No",'4. Visitas Técnicas'!$A3,"")</f>
        <v/>
      </c>
      <c r="B137" s="87" t="str">
        <f aca="false">IF('4. Visitas Técnicas'!$L3="No",IFERROR(VLOOKUP('4. Visitas Técnicas'!$A3,'1. Órdenes de Trabajo'!$A$2:$E$301,5,FALSE()),""),"")</f>
        <v/>
      </c>
      <c r="C137" s="87" t="str">
        <f aca="false">IF('4. Visitas Técnicas'!$L3="No","Visita técnica","")</f>
        <v/>
      </c>
      <c r="D137" s="87" t="str">
        <f aca="false">IF('4. Visitas Técnicas'!$L3="No",'4. Visitas Técnicas'!$C3,"")</f>
        <v/>
      </c>
      <c r="E137" s="88" t="str">
        <f aca="false">IF('4. Visitas Técnicas'!$L3="No",'4. Visitas Técnicas'!$M3,"")</f>
        <v/>
      </c>
      <c r="F137" s="87" t="str">
        <f aca="false">IF('4. Visitas Técnicas'!$L3="No",'4. Visitas Técnicas'!$N3,"")</f>
        <v/>
      </c>
      <c r="G137" s="87" t="str">
        <f aca="false">IF('4. Visitas Técnicas'!$L3="No",IFERROR(VLOOKUP('4. Visitas Técnicas'!$A3,'1. Órdenes de Trabajo'!$A$2:$J$301,10,FALSE()),""),"")</f>
        <v/>
      </c>
      <c r="H137" s="93"/>
    </row>
    <row r="138" customFormat="false" ht="15" hidden="false" customHeight="true" outlineLevel="0" collapsed="false">
      <c r="A138" s="87" t="str">
        <f aca="false">IF('4. Visitas Técnicas'!$L4="No",'4. Visitas Técnicas'!$A4,"")</f>
        <v/>
      </c>
      <c r="B138" s="87" t="str">
        <f aca="false">IF('4. Visitas Técnicas'!$L4="No",IFERROR(VLOOKUP('4. Visitas Técnicas'!$A4,'1. Órdenes de Trabajo'!$A$2:$E$301,5,FALSE()),""),"")</f>
        <v/>
      </c>
      <c r="C138" s="87" t="str">
        <f aca="false">IF('4. Visitas Técnicas'!$L4="No","Visita técnica","")</f>
        <v/>
      </c>
      <c r="D138" s="87" t="str">
        <f aca="false">IF('4. Visitas Técnicas'!$L4="No",'4. Visitas Técnicas'!$C4,"")</f>
        <v/>
      </c>
      <c r="E138" s="88" t="str">
        <f aca="false">IF('4. Visitas Técnicas'!$L4="No",'4. Visitas Técnicas'!$M4,"")</f>
        <v/>
      </c>
      <c r="F138" s="87" t="str">
        <f aca="false">IF('4. Visitas Técnicas'!$L4="No",'4. Visitas Técnicas'!$N4,"")</f>
        <v/>
      </c>
      <c r="G138" s="87" t="str">
        <f aca="false">IF('4. Visitas Técnicas'!$L4="No",IFERROR(VLOOKUP('4. Visitas Técnicas'!$A4,'1. Órdenes de Trabajo'!$A$2:$J$301,10,FALSE()),""),"")</f>
        <v/>
      </c>
      <c r="H138" s="93"/>
    </row>
    <row r="139" customFormat="false" ht="15" hidden="false" customHeight="true" outlineLevel="0" collapsed="false">
      <c r="A139" s="87" t="str">
        <f aca="false">IF('4. Visitas Técnicas'!$L5="No",'4. Visitas Técnicas'!$A5,"")</f>
        <v/>
      </c>
      <c r="B139" s="87" t="str">
        <f aca="false">IF('4. Visitas Técnicas'!$L5="No",IFERROR(VLOOKUP('4. Visitas Técnicas'!$A5,'1. Órdenes de Trabajo'!$A$2:$E$301,5,FALSE()),""),"")</f>
        <v/>
      </c>
      <c r="C139" s="87" t="str">
        <f aca="false">IF('4. Visitas Técnicas'!$L5="No","Visita técnica","")</f>
        <v/>
      </c>
      <c r="D139" s="87" t="str">
        <f aca="false">IF('4. Visitas Técnicas'!$L5="No",'4. Visitas Técnicas'!$C5,"")</f>
        <v/>
      </c>
      <c r="E139" s="88" t="str">
        <f aca="false">IF('4. Visitas Técnicas'!$L5="No",'4. Visitas Técnicas'!$M5,"")</f>
        <v/>
      </c>
      <c r="F139" s="87" t="str">
        <f aca="false">IF('4. Visitas Técnicas'!$L5="No",'4. Visitas Técnicas'!$N5,"")</f>
        <v/>
      </c>
      <c r="G139" s="87" t="str">
        <f aca="false">IF('4. Visitas Técnicas'!$L5="No",IFERROR(VLOOKUP('4. Visitas Técnicas'!$A5,'1. Órdenes de Trabajo'!$A$2:$J$301,10,FALSE()),""),"")</f>
        <v/>
      </c>
      <c r="H139" s="93"/>
    </row>
    <row r="140" customFormat="false" ht="15" hidden="false" customHeight="true" outlineLevel="0" collapsed="false">
      <c r="A140" s="87" t="str">
        <f aca="false">IF('4. Visitas Técnicas'!$L6="No",'4. Visitas Técnicas'!$A6,"")</f>
        <v/>
      </c>
      <c r="B140" s="87" t="str">
        <f aca="false">IF('4. Visitas Técnicas'!$L6="No",IFERROR(VLOOKUP('4. Visitas Técnicas'!$A6,'1. Órdenes de Trabajo'!$A$2:$E$301,5,FALSE()),""),"")</f>
        <v/>
      </c>
      <c r="C140" s="87" t="str">
        <f aca="false">IF('4. Visitas Técnicas'!$L6="No","Visita técnica","")</f>
        <v/>
      </c>
      <c r="D140" s="87" t="str">
        <f aca="false">IF('4. Visitas Técnicas'!$L6="No",'4. Visitas Técnicas'!$C6,"")</f>
        <v/>
      </c>
      <c r="E140" s="88" t="str">
        <f aca="false">IF('4. Visitas Técnicas'!$L6="No",'4. Visitas Técnicas'!$M6,"")</f>
        <v/>
      </c>
      <c r="F140" s="87" t="str">
        <f aca="false">IF('4. Visitas Técnicas'!$L6="No",'4. Visitas Técnicas'!$N6,"")</f>
        <v/>
      </c>
      <c r="G140" s="87" t="str">
        <f aca="false">IF('4. Visitas Técnicas'!$L6="No",IFERROR(VLOOKUP('4. Visitas Técnicas'!$A6,'1. Órdenes de Trabajo'!$A$2:$J$301,10,FALSE()),""),"")</f>
        <v/>
      </c>
      <c r="H140" s="93"/>
    </row>
    <row r="141" customFormat="false" ht="15" hidden="false" customHeight="true" outlineLevel="0" collapsed="false">
      <c r="A141" s="87" t="str">
        <f aca="false">IF('4. Visitas Técnicas'!$L7="No",'4. Visitas Técnicas'!$A7,"")</f>
        <v/>
      </c>
      <c r="B141" s="87" t="str">
        <f aca="false">IF('4. Visitas Técnicas'!$L7="No",IFERROR(VLOOKUP('4. Visitas Técnicas'!$A7,'1. Órdenes de Trabajo'!$A$2:$E$301,5,FALSE()),""),"")</f>
        <v/>
      </c>
      <c r="C141" s="87" t="str">
        <f aca="false">IF('4. Visitas Técnicas'!$L7="No","Visita técnica","")</f>
        <v/>
      </c>
      <c r="D141" s="87" t="str">
        <f aca="false">IF('4. Visitas Técnicas'!$L7="No",'4. Visitas Técnicas'!$C7,"")</f>
        <v/>
      </c>
      <c r="E141" s="88" t="str">
        <f aca="false">IF('4. Visitas Técnicas'!$L7="No",'4. Visitas Técnicas'!$M7,"")</f>
        <v/>
      </c>
      <c r="F141" s="87" t="str">
        <f aca="false">IF('4. Visitas Técnicas'!$L7="No",'4. Visitas Técnicas'!$N7,"")</f>
        <v/>
      </c>
      <c r="G141" s="87" t="str">
        <f aca="false">IF('4. Visitas Técnicas'!$L7="No",IFERROR(VLOOKUP('4. Visitas Técnicas'!$A7,'1. Órdenes de Trabajo'!$A$2:$J$301,10,FALSE()),""),"")</f>
        <v/>
      </c>
      <c r="H141" s="93"/>
    </row>
    <row r="142" customFormat="false" ht="15" hidden="false" customHeight="true" outlineLevel="0" collapsed="false">
      <c r="A142" s="87" t="str">
        <f aca="false">IF('4. Visitas Técnicas'!$L8="No",'4. Visitas Técnicas'!$A8,"")</f>
        <v/>
      </c>
      <c r="B142" s="87" t="str">
        <f aca="false">IF('4. Visitas Técnicas'!$L8="No",IFERROR(VLOOKUP('4. Visitas Técnicas'!$A8,'1. Órdenes de Trabajo'!$A$2:$E$301,5,FALSE()),""),"")</f>
        <v/>
      </c>
      <c r="C142" s="87" t="str">
        <f aca="false">IF('4. Visitas Técnicas'!$L8="No","Visita técnica","")</f>
        <v/>
      </c>
      <c r="D142" s="87" t="str">
        <f aca="false">IF('4. Visitas Técnicas'!$L8="No",'4. Visitas Técnicas'!$C8,"")</f>
        <v/>
      </c>
      <c r="E142" s="88" t="str">
        <f aca="false">IF('4. Visitas Técnicas'!$L8="No",'4. Visitas Técnicas'!$M8,"")</f>
        <v/>
      </c>
      <c r="F142" s="87" t="str">
        <f aca="false">IF('4. Visitas Técnicas'!$L8="No",'4. Visitas Técnicas'!$N8,"")</f>
        <v/>
      </c>
      <c r="G142" s="87" t="str">
        <f aca="false">IF('4. Visitas Técnicas'!$L8="No",IFERROR(VLOOKUP('4. Visitas Técnicas'!$A8,'1. Órdenes de Trabajo'!$A$2:$J$301,10,FALSE()),""),"")</f>
        <v/>
      </c>
      <c r="H142" s="93"/>
    </row>
    <row r="143" customFormat="false" ht="15" hidden="false" customHeight="true" outlineLevel="0" collapsed="false">
      <c r="A143" s="87" t="str">
        <f aca="false">IF('4. Visitas Técnicas'!$L9="No",'4. Visitas Técnicas'!$A9,"")</f>
        <v/>
      </c>
      <c r="B143" s="87" t="str">
        <f aca="false">IF('4. Visitas Técnicas'!$L9="No",IFERROR(VLOOKUP('4. Visitas Técnicas'!$A9,'1. Órdenes de Trabajo'!$A$2:$E$301,5,FALSE()),""),"")</f>
        <v/>
      </c>
      <c r="C143" s="87" t="str">
        <f aca="false">IF('4. Visitas Técnicas'!$L9="No","Visita técnica","")</f>
        <v/>
      </c>
      <c r="D143" s="87" t="str">
        <f aca="false">IF('4. Visitas Técnicas'!$L9="No",'4. Visitas Técnicas'!$C9,"")</f>
        <v/>
      </c>
      <c r="E143" s="88" t="str">
        <f aca="false">IF('4. Visitas Técnicas'!$L9="No",'4. Visitas Técnicas'!$M9,"")</f>
        <v/>
      </c>
      <c r="F143" s="87" t="str">
        <f aca="false">IF('4. Visitas Técnicas'!$L9="No",'4. Visitas Técnicas'!$N9,"")</f>
        <v/>
      </c>
      <c r="G143" s="87" t="str">
        <f aca="false">IF('4. Visitas Técnicas'!$L9="No",IFERROR(VLOOKUP('4. Visitas Técnicas'!$A9,'1. Órdenes de Trabajo'!$A$2:$J$301,10,FALSE()),""),"")</f>
        <v/>
      </c>
      <c r="H143" s="93"/>
    </row>
    <row r="144" customFormat="false" ht="15" hidden="false" customHeight="true" outlineLevel="0" collapsed="false">
      <c r="A144" s="87" t="str">
        <f aca="false">IF('4. Visitas Técnicas'!$L10="No",'4. Visitas Técnicas'!$A10,"")</f>
        <v/>
      </c>
      <c r="B144" s="87" t="str">
        <f aca="false">IF('4. Visitas Técnicas'!$L10="No",IFERROR(VLOOKUP('4. Visitas Técnicas'!$A10,'1. Órdenes de Trabajo'!$A$2:$E$301,5,FALSE()),""),"")</f>
        <v/>
      </c>
      <c r="C144" s="87" t="str">
        <f aca="false">IF('4. Visitas Técnicas'!$L10="No","Visita técnica","")</f>
        <v/>
      </c>
      <c r="D144" s="87" t="str">
        <f aca="false">IF('4. Visitas Técnicas'!$L10="No",'4. Visitas Técnicas'!$C10,"")</f>
        <v/>
      </c>
      <c r="E144" s="88" t="str">
        <f aca="false">IF('4. Visitas Técnicas'!$L10="No",'4. Visitas Técnicas'!$M10,"")</f>
        <v/>
      </c>
      <c r="F144" s="87" t="str">
        <f aca="false">IF('4. Visitas Técnicas'!$L10="No",'4. Visitas Técnicas'!$N10,"")</f>
        <v/>
      </c>
      <c r="G144" s="87" t="str">
        <f aca="false">IF('4. Visitas Técnicas'!$L10="No",IFERROR(VLOOKUP('4. Visitas Técnicas'!$A10,'1. Órdenes de Trabajo'!$A$2:$J$301,10,FALSE()),""),"")</f>
        <v/>
      </c>
      <c r="H144" s="93"/>
    </row>
    <row r="145" customFormat="false" ht="15" hidden="false" customHeight="true" outlineLevel="0" collapsed="false">
      <c r="A145" s="87" t="str">
        <f aca="false">IF('4. Visitas Técnicas'!$L11="No",'4. Visitas Técnicas'!$A11,"")</f>
        <v/>
      </c>
      <c r="B145" s="87" t="str">
        <f aca="false">IF('4. Visitas Técnicas'!$L11="No",IFERROR(VLOOKUP('4. Visitas Técnicas'!$A11,'1. Órdenes de Trabajo'!$A$2:$E$301,5,FALSE()),""),"")</f>
        <v/>
      </c>
      <c r="C145" s="87" t="str">
        <f aca="false">IF('4. Visitas Técnicas'!$L11="No","Visita técnica","")</f>
        <v/>
      </c>
      <c r="D145" s="87" t="str">
        <f aca="false">IF('4. Visitas Técnicas'!$L11="No",'4. Visitas Técnicas'!$C11,"")</f>
        <v/>
      </c>
      <c r="E145" s="88" t="str">
        <f aca="false">IF('4. Visitas Técnicas'!$L11="No",'4. Visitas Técnicas'!$M11,"")</f>
        <v/>
      </c>
      <c r="F145" s="87" t="str">
        <f aca="false">IF('4. Visitas Técnicas'!$L11="No",'4. Visitas Técnicas'!$N11,"")</f>
        <v/>
      </c>
      <c r="G145" s="87" t="str">
        <f aca="false">IF('4. Visitas Técnicas'!$L11="No",IFERROR(VLOOKUP('4. Visitas Técnicas'!$A11,'1. Órdenes de Trabajo'!$A$2:$J$301,10,FALSE()),""),"")</f>
        <v/>
      </c>
      <c r="H145" s="93"/>
    </row>
    <row r="146" customFormat="false" ht="15" hidden="false" customHeight="true" outlineLevel="0" collapsed="false">
      <c r="A146" s="87" t="str">
        <f aca="false">IF('4. Visitas Técnicas'!$L12="No",'4. Visitas Técnicas'!$A12,"")</f>
        <v/>
      </c>
      <c r="B146" s="87" t="str">
        <f aca="false">IF('4. Visitas Técnicas'!$L12="No",IFERROR(VLOOKUP('4. Visitas Técnicas'!$A12,'1. Órdenes de Trabajo'!$A$2:$E$301,5,FALSE()),""),"")</f>
        <v/>
      </c>
      <c r="C146" s="87" t="str">
        <f aca="false">IF('4. Visitas Técnicas'!$L12="No","Visita técnica","")</f>
        <v/>
      </c>
      <c r="D146" s="87" t="str">
        <f aca="false">IF('4. Visitas Técnicas'!$L12="No",'4. Visitas Técnicas'!$C12,"")</f>
        <v/>
      </c>
      <c r="E146" s="88" t="str">
        <f aca="false">IF('4. Visitas Técnicas'!$L12="No",'4. Visitas Técnicas'!$M12,"")</f>
        <v/>
      </c>
      <c r="F146" s="87" t="str">
        <f aca="false">IF('4. Visitas Técnicas'!$L12="No",'4. Visitas Técnicas'!$N12,"")</f>
        <v/>
      </c>
      <c r="G146" s="87" t="str">
        <f aca="false">IF('4. Visitas Técnicas'!$L12="No",IFERROR(VLOOKUP('4. Visitas Técnicas'!$A12,'1. Órdenes de Trabajo'!$A$2:$J$301,10,FALSE()),""),"")</f>
        <v/>
      </c>
      <c r="H146" s="93"/>
    </row>
    <row r="147" customFormat="false" ht="15" hidden="false" customHeight="true" outlineLevel="0" collapsed="false">
      <c r="A147" s="87" t="str">
        <f aca="false">IF('4. Visitas Técnicas'!$L13="No",'4. Visitas Técnicas'!$A13,"")</f>
        <v/>
      </c>
      <c r="B147" s="87" t="str">
        <f aca="false">IF('4. Visitas Técnicas'!$L13="No",IFERROR(VLOOKUP('4. Visitas Técnicas'!$A13,'1. Órdenes de Trabajo'!$A$2:$E$301,5,FALSE()),""),"")</f>
        <v/>
      </c>
      <c r="C147" s="87" t="str">
        <f aca="false">IF('4. Visitas Técnicas'!$L13="No","Visita técnica","")</f>
        <v/>
      </c>
      <c r="D147" s="87" t="str">
        <f aca="false">IF('4. Visitas Técnicas'!$L13="No",'4. Visitas Técnicas'!$C13,"")</f>
        <v/>
      </c>
      <c r="E147" s="88" t="str">
        <f aca="false">IF('4. Visitas Técnicas'!$L13="No",'4. Visitas Técnicas'!$M13,"")</f>
        <v/>
      </c>
      <c r="F147" s="87" t="str">
        <f aca="false">IF('4. Visitas Técnicas'!$L13="No",'4. Visitas Técnicas'!$N13,"")</f>
        <v/>
      </c>
      <c r="G147" s="87" t="str">
        <f aca="false">IF('4. Visitas Técnicas'!$L13="No",IFERROR(VLOOKUP('4. Visitas Técnicas'!$A13,'1. Órdenes de Trabajo'!$A$2:$J$301,10,FALSE()),""),"")</f>
        <v/>
      </c>
      <c r="H147" s="93"/>
    </row>
    <row r="148" customFormat="false" ht="15" hidden="false" customHeight="true" outlineLevel="0" collapsed="false">
      <c r="A148" s="87" t="str">
        <f aca="false">IF('4. Visitas Técnicas'!$L14="No",'4. Visitas Técnicas'!$A14,"")</f>
        <v/>
      </c>
      <c r="B148" s="87" t="str">
        <f aca="false">IF('4. Visitas Técnicas'!$L14="No",IFERROR(VLOOKUP('4. Visitas Técnicas'!$A14,'1. Órdenes de Trabajo'!$A$2:$E$301,5,FALSE()),""),"")</f>
        <v/>
      </c>
      <c r="C148" s="87" t="str">
        <f aca="false">IF('4. Visitas Técnicas'!$L14="No","Visita técnica","")</f>
        <v/>
      </c>
      <c r="D148" s="87" t="str">
        <f aca="false">IF('4. Visitas Técnicas'!$L14="No",'4. Visitas Técnicas'!$C14,"")</f>
        <v/>
      </c>
      <c r="E148" s="88" t="str">
        <f aca="false">IF('4. Visitas Técnicas'!$L14="No",'4. Visitas Técnicas'!$M14,"")</f>
        <v/>
      </c>
      <c r="F148" s="87" t="str">
        <f aca="false">IF('4. Visitas Técnicas'!$L14="No",'4. Visitas Técnicas'!$N14,"")</f>
        <v/>
      </c>
      <c r="G148" s="87" t="str">
        <f aca="false">IF('4. Visitas Técnicas'!$L14="No",IFERROR(VLOOKUP('4. Visitas Técnicas'!$A14,'1. Órdenes de Trabajo'!$A$2:$J$301,10,FALSE()),""),"")</f>
        <v/>
      </c>
      <c r="H148" s="93"/>
    </row>
    <row r="149" customFormat="false" ht="15" hidden="false" customHeight="true" outlineLevel="0" collapsed="false">
      <c r="A149" s="87" t="str">
        <f aca="false">IF('4. Visitas Técnicas'!$L15="No",'4. Visitas Técnicas'!$A15,"")</f>
        <v/>
      </c>
      <c r="B149" s="87" t="str">
        <f aca="false">IF('4. Visitas Técnicas'!$L15="No",IFERROR(VLOOKUP('4. Visitas Técnicas'!$A15,'1. Órdenes de Trabajo'!$A$2:$E$301,5,FALSE()),""),"")</f>
        <v/>
      </c>
      <c r="C149" s="87" t="str">
        <f aca="false">IF('4. Visitas Técnicas'!$L15="No","Visita técnica","")</f>
        <v/>
      </c>
      <c r="D149" s="87" t="str">
        <f aca="false">IF('4. Visitas Técnicas'!$L15="No",'4. Visitas Técnicas'!$C15,"")</f>
        <v/>
      </c>
      <c r="E149" s="88" t="str">
        <f aca="false">IF('4. Visitas Técnicas'!$L15="No",'4. Visitas Técnicas'!$M15,"")</f>
        <v/>
      </c>
      <c r="F149" s="87" t="str">
        <f aca="false">IF('4. Visitas Técnicas'!$L15="No",'4. Visitas Técnicas'!$N15,"")</f>
        <v/>
      </c>
      <c r="G149" s="87" t="str">
        <f aca="false">IF('4. Visitas Técnicas'!$L15="No",IFERROR(VLOOKUP('4. Visitas Técnicas'!$A15,'1. Órdenes de Trabajo'!$A$2:$J$301,10,FALSE()),""),"")</f>
        <v/>
      </c>
      <c r="H149" s="93"/>
    </row>
    <row r="150" customFormat="false" ht="15" hidden="false" customHeight="true" outlineLevel="0" collapsed="false">
      <c r="A150" s="87" t="str">
        <f aca="false">IF('4. Visitas Técnicas'!$L16="No",'4. Visitas Técnicas'!$A16,"")</f>
        <v/>
      </c>
      <c r="B150" s="87" t="str">
        <f aca="false">IF('4. Visitas Técnicas'!$L16="No",IFERROR(VLOOKUP('4. Visitas Técnicas'!$A16,'1. Órdenes de Trabajo'!$A$2:$E$301,5,FALSE()),""),"")</f>
        <v/>
      </c>
      <c r="C150" s="87" t="str">
        <f aca="false">IF('4. Visitas Técnicas'!$L16="No","Visita técnica","")</f>
        <v/>
      </c>
      <c r="D150" s="87" t="str">
        <f aca="false">IF('4. Visitas Técnicas'!$L16="No",'4. Visitas Técnicas'!$C16,"")</f>
        <v/>
      </c>
      <c r="E150" s="88" t="str">
        <f aca="false">IF('4. Visitas Técnicas'!$L16="No",'4. Visitas Técnicas'!$M16,"")</f>
        <v/>
      </c>
      <c r="F150" s="87" t="str">
        <f aca="false">IF('4. Visitas Técnicas'!$L16="No",'4. Visitas Técnicas'!$N16,"")</f>
        <v/>
      </c>
      <c r="G150" s="87" t="str">
        <f aca="false">IF('4. Visitas Técnicas'!$L16="No",IFERROR(VLOOKUP('4. Visitas Técnicas'!$A16,'1. Órdenes de Trabajo'!$A$2:$J$301,10,FALSE()),""),"")</f>
        <v/>
      </c>
      <c r="H150" s="93"/>
    </row>
    <row r="151" customFormat="false" ht="15" hidden="false" customHeight="true" outlineLevel="0" collapsed="false">
      <c r="A151" s="87" t="str">
        <f aca="false">IF('4. Visitas Técnicas'!$L17="No",'4. Visitas Técnicas'!$A17,"")</f>
        <v/>
      </c>
      <c r="B151" s="87" t="str">
        <f aca="false">IF('4. Visitas Técnicas'!$L17="No",IFERROR(VLOOKUP('4. Visitas Técnicas'!$A17,'1. Órdenes de Trabajo'!$A$2:$E$301,5,FALSE()),""),"")</f>
        <v/>
      </c>
      <c r="C151" s="87" t="str">
        <f aca="false">IF('4. Visitas Técnicas'!$L17="No","Visita técnica","")</f>
        <v/>
      </c>
      <c r="D151" s="87" t="str">
        <f aca="false">IF('4. Visitas Técnicas'!$L17="No",'4. Visitas Técnicas'!$C17,"")</f>
        <v/>
      </c>
      <c r="E151" s="88" t="str">
        <f aca="false">IF('4. Visitas Técnicas'!$L17="No",'4. Visitas Técnicas'!$M17,"")</f>
        <v/>
      </c>
      <c r="F151" s="87" t="str">
        <f aca="false">IF('4. Visitas Técnicas'!$L17="No",'4. Visitas Técnicas'!$N17,"")</f>
        <v/>
      </c>
      <c r="G151" s="87" t="str">
        <f aca="false">IF('4. Visitas Técnicas'!$L17="No",IFERROR(VLOOKUP('4. Visitas Técnicas'!$A17,'1. Órdenes de Trabajo'!$A$2:$J$301,10,FALSE()),""),"")</f>
        <v/>
      </c>
      <c r="H151" s="93"/>
    </row>
    <row r="152" customFormat="false" ht="15" hidden="false" customHeight="true" outlineLevel="0" collapsed="false">
      <c r="A152" s="87" t="str">
        <f aca="false">IF('4. Visitas Técnicas'!$L18="No",'4. Visitas Técnicas'!$A18,"")</f>
        <v/>
      </c>
      <c r="B152" s="87" t="str">
        <f aca="false">IF('4. Visitas Técnicas'!$L18="No",IFERROR(VLOOKUP('4. Visitas Técnicas'!$A18,'1. Órdenes de Trabajo'!$A$2:$E$301,5,FALSE()),""),"")</f>
        <v/>
      </c>
      <c r="C152" s="87" t="str">
        <f aca="false">IF('4. Visitas Técnicas'!$L18="No","Visita técnica","")</f>
        <v/>
      </c>
      <c r="D152" s="87" t="str">
        <f aca="false">IF('4. Visitas Técnicas'!$L18="No",'4. Visitas Técnicas'!$C18,"")</f>
        <v/>
      </c>
      <c r="E152" s="88" t="str">
        <f aca="false">IF('4. Visitas Técnicas'!$L18="No",'4. Visitas Técnicas'!$M18,"")</f>
        <v/>
      </c>
      <c r="F152" s="87" t="str">
        <f aca="false">IF('4. Visitas Técnicas'!$L18="No",'4. Visitas Técnicas'!$N18,"")</f>
        <v/>
      </c>
      <c r="G152" s="87" t="str">
        <f aca="false">IF('4. Visitas Técnicas'!$L18="No",IFERROR(VLOOKUP('4. Visitas Técnicas'!$A18,'1. Órdenes de Trabajo'!$A$2:$J$301,10,FALSE()),""),"")</f>
        <v/>
      </c>
      <c r="H152" s="93"/>
    </row>
    <row r="153" customFormat="false" ht="15" hidden="false" customHeight="true" outlineLevel="0" collapsed="false">
      <c r="A153" s="87" t="str">
        <f aca="false">IF('4. Visitas Técnicas'!$L19="No",'4. Visitas Técnicas'!$A19,"")</f>
        <v/>
      </c>
      <c r="B153" s="87" t="str">
        <f aca="false">IF('4. Visitas Técnicas'!$L19="No",IFERROR(VLOOKUP('4. Visitas Técnicas'!$A19,'1. Órdenes de Trabajo'!$A$2:$E$301,5,FALSE()),""),"")</f>
        <v/>
      </c>
      <c r="C153" s="87" t="str">
        <f aca="false">IF('4. Visitas Técnicas'!$L19="No","Visita técnica","")</f>
        <v/>
      </c>
      <c r="D153" s="87" t="str">
        <f aca="false">IF('4. Visitas Técnicas'!$L19="No",'4. Visitas Técnicas'!$C19,"")</f>
        <v/>
      </c>
      <c r="E153" s="88" t="str">
        <f aca="false">IF('4. Visitas Técnicas'!$L19="No",'4. Visitas Técnicas'!$M19,"")</f>
        <v/>
      </c>
      <c r="F153" s="87" t="str">
        <f aca="false">IF('4. Visitas Técnicas'!$L19="No",'4. Visitas Técnicas'!$N19,"")</f>
        <v/>
      </c>
      <c r="G153" s="87" t="str">
        <f aca="false">IF('4. Visitas Técnicas'!$L19="No",IFERROR(VLOOKUP('4. Visitas Técnicas'!$A19,'1. Órdenes de Trabajo'!$A$2:$J$301,10,FALSE()),""),"")</f>
        <v/>
      </c>
      <c r="H153" s="93"/>
    </row>
    <row r="154" customFormat="false" ht="15" hidden="false" customHeight="true" outlineLevel="0" collapsed="false">
      <c r="A154" s="87" t="str">
        <f aca="false">IF('4. Visitas Técnicas'!$L20="No",'4. Visitas Técnicas'!$A20,"")</f>
        <v/>
      </c>
      <c r="B154" s="87" t="str">
        <f aca="false">IF('4. Visitas Técnicas'!$L20="No",IFERROR(VLOOKUP('4. Visitas Técnicas'!$A20,'1. Órdenes de Trabajo'!$A$2:$E$301,5,FALSE()),""),"")</f>
        <v/>
      </c>
      <c r="C154" s="87" t="str">
        <f aca="false">IF('4. Visitas Técnicas'!$L20="No","Visita técnica","")</f>
        <v/>
      </c>
      <c r="D154" s="87" t="str">
        <f aca="false">IF('4. Visitas Técnicas'!$L20="No",'4. Visitas Técnicas'!$C20,"")</f>
        <v/>
      </c>
      <c r="E154" s="88" t="str">
        <f aca="false">IF('4. Visitas Técnicas'!$L20="No",'4. Visitas Técnicas'!$M20,"")</f>
        <v/>
      </c>
      <c r="F154" s="87" t="str">
        <f aca="false">IF('4. Visitas Técnicas'!$L20="No",'4. Visitas Técnicas'!$N20,"")</f>
        <v/>
      </c>
      <c r="G154" s="87" t="str">
        <f aca="false">IF('4. Visitas Técnicas'!$L20="No",IFERROR(VLOOKUP('4. Visitas Técnicas'!$A20,'1. Órdenes de Trabajo'!$A$2:$J$301,10,FALSE()),""),"")</f>
        <v/>
      </c>
      <c r="H154" s="93"/>
    </row>
    <row r="155" customFormat="false" ht="15" hidden="false" customHeight="true" outlineLevel="0" collapsed="false">
      <c r="A155" s="87" t="str">
        <f aca="false">IF('4. Visitas Técnicas'!$L21="No",'4. Visitas Técnicas'!$A21,"")</f>
        <v/>
      </c>
      <c r="B155" s="87" t="str">
        <f aca="false">IF('4. Visitas Técnicas'!$L21="No",IFERROR(VLOOKUP('4. Visitas Técnicas'!$A21,'1. Órdenes de Trabajo'!$A$2:$E$301,5,FALSE()),""),"")</f>
        <v/>
      </c>
      <c r="C155" s="87" t="str">
        <f aca="false">IF('4. Visitas Técnicas'!$L21="No","Visita técnica","")</f>
        <v/>
      </c>
      <c r="D155" s="87" t="str">
        <f aca="false">IF('4. Visitas Técnicas'!$L21="No",'4. Visitas Técnicas'!$C21,"")</f>
        <v/>
      </c>
      <c r="E155" s="88" t="str">
        <f aca="false">IF('4. Visitas Técnicas'!$L21="No",'4. Visitas Técnicas'!$M21,"")</f>
        <v/>
      </c>
      <c r="F155" s="87" t="str">
        <f aca="false">IF('4. Visitas Técnicas'!$L21="No",'4. Visitas Técnicas'!$N21,"")</f>
        <v/>
      </c>
      <c r="G155" s="87" t="str">
        <f aca="false">IF('4. Visitas Técnicas'!$L21="No",IFERROR(VLOOKUP('4. Visitas Técnicas'!$A21,'1. Órdenes de Trabajo'!$A$2:$J$301,10,FALSE()),""),"")</f>
        <v/>
      </c>
      <c r="H155" s="93"/>
    </row>
    <row r="156" customFormat="false" ht="15" hidden="false" customHeight="true" outlineLevel="0" collapsed="false">
      <c r="A156" s="87" t="str">
        <f aca="false">IF('4. Visitas Técnicas'!$L22="No",'4. Visitas Técnicas'!$A22,"")</f>
        <v/>
      </c>
      <c r="B156" s="87" t="str">
        <f aca="false">IF('4. Visitas Técnicas'!$L22="No",IFERROR(VLOOKUP('4. Visitas Técnicas'!$A22,'1. Órdenes de Trabajo'!$A$2:$E$301,5,FALSE()),""),"")</f>
        <v/>
      </c>
      <c r="C156" s="87" t="str">
        <f aca="false">IF('4. Visitas Técnicas'!$L22="No","Visita técnica","")</f>
        <v/>
      </c>
      <c r="D156" s="87" t="str">
        <f aca="false">IF('4. Visitas Técnicas'!$L22="No",'4. Visitas Técnicas'!$C22,"")</f>
        <v/>
      </c>
      <c r="E156" s="88" t="str">
        <f aca="false">IF('4. Visitas Técnicas'!$L22="No",'4. Visitas Técnicas'!$M22,"")</f>
        <v/>
      </c>
      <c r="F156" s="87" t="str">
        <f aca="false">IF('4. Visitas Técnicas'!$L22="No",'4. Visitas Técnicas'!$N22,"")</f>
        <v/>
      </c>
      <c r="G156" s="87" t="str">
        <f aca="false">IF('4. Visitas Técnicas'!$L22="No",IFERROR(VLOOKUP('4. Visitas Técnicas'!$A22,'1. Órdenes de Trabajo'!$A$2:$J$301,10,FALSE()),""),"")</f>
        <v/>
      </c>
      <c r="H156" s="93"/>
    </row>
    <row r="157" customFormat="false" ht="15" hidden="false" customHeight="true" outlineLevel="0" collapsed="false">
      <c r="A157" s="87" t="str">
        <f aca="false">IF('4. Visitas Técnicas'!$L23="No",'4. Visitas Técnicas'!$A23,"")</f>
        <v/>
      </c>
      <c r="B157" s="87" t="str">
        <f aca="false">IF('4. Visitas Técnicas'!$L23="No",IFERROR(VLOOKUP('4. Visitas Técnicas'!$A23,'1. Órdenes de Trabajo'!$A$2:$E$301,5,FALSE()),""),"")</f>
        <v/>
      </c>
      <c r="C157" s="87" t="str">
        <f aca="false">IF('4. Visitas Técnicas'!$L23="No","Visita técnica","")</f>
        <v/>
      </c>
      <c r="D157" s="87" t="str">
        <f aca="false">IF('4. Visitas Técnicas'!$L23="No",'4. Visitas Técnicas'!$C23,"")</f>
        <v/>
      </c>
      <c r="E157" s="88" t="str">
        <f aca="false">IF('4. Visitas Técnicas'!$L23="No",'4. Visitas Técnicas'!$M23,"")</f>
        <v/>
      </c>
      <c r="F157" s="87" t="str">
        <f aca="false">IF('4. Visitas Técnicas'!$L23="No",'4. Visitas Técnicas'!$N23,"")</f>
        <v/>
      </c>
      <c r="G157" s="87" t="str">
        <f aca="false">IF('4. Visitas Técnicas'!$L23="No",IFERROR(VLOOKUP('4. Visitas Técnicas'!$A23,'1. Órdenes de Trabajo'!$A$2:$J$301,10,FALSE()),""),"")</f>
        <v/>
      </c>
      <c r="H157" s="93"/>
    </row>
    <row r="158" customFormat="false" ht="15" hidden="false" customHeight="true" outlineLevel="0" collapsed="false">
      <c r="A158" s="87" t="str">
        <f aca="false">IF('4. Visitas Técnicas'!$L24="No",'4. Visitas Técnicas'!$A24,"")</f>
        <v/>
      </c>
      <c r="B158" s="87" t="str">
        <f aca="false">IF('4. Visitas Técnicas'!$L24="No",IFERROR(VLOOKUP('4. Visitas Técnicas'!$A24,'1. Órdenes de Trabajo'!$A$2:$E$301,5,FALSE()),""),"")</f>
        <v/>
      </c>
      <c r="C158" s="87" t="str">
        <f aca="false">IF('4. Visitas Técnicas'!$L24="No","Visita técnica","")</f>
        <v/>
      </c>
      <c r="D158" s="87" t="str">
        <f aca="false">IF('4. Visitas Técnicas'!$L24="No",'4. Visitas Técnicas'!$C24,"")</f>
        <v/>
      </c>
      <c r="E158" s="88" t="str">
        <f aca="false">IF('4. Visitas Técnicas'!$L24="No",'4. Visitas Técnicas'!$M24,"")</f>
        <v/>
      </c>
      <c r="F158" s="87" t="str">
        <f aca="false">IF('4. Visitas Técnicas'!$L24="No",'4. Visitas Técnicas'!$N24,"")</f>
        <v/>
      </c>
      <c r="G158" s="87" t="str">
        <f aca="false">IF('4. Visitas Técnicas'!$L24="No",IFERROR(VLOOKUP('4. Visitas Técnicas'!$A24,'1. Órdenes de Trabajo'!$A$2:$J$301,10,FALSE()),""),"")</f>
        <v/>
      </c>
      <c r="H158" s="93"/>
    </row>
    <row r="159" customFormat="false" ht="15" hidden="false" customHeight="true" outlineLevel="0" collapsed="false">
      <c r="A159" s="87" t="str">
        <f aca="false">IF('4. Visitas Técnicas'!$L25="No",'4. Visitas Técnicas'!$A25,"")</f>
        <v/>
      </c>
      <c r="B159" s="87" t="str">
        <f aca="false">IF('4. Visitas Técnicas'!$L25="No",IFERROR(VLOOKUP('4. Visitas Técnicas'!$A25,'1. Órdenes de Trabajo'!$A$2:$E$301,5,FALSE()),""),"")</f>
        <v/>
      </c>
      <c r="C159" s="87" t="str">
        <f aca="false">IF('4. Visitas Técnicas'!$L25="No","Visita técnica","")</f>
        <v/>
      </c>
      <c r="D159" s="87" t="str">
        <f aca="false">IF('4. Visitas Técnicas'!$L25="No",'4. Visitas Técnicas'!$C25,"")</f>
        <v/>
      </c>
      <c r="E159" s="88" t="str">
        <f aca="false">IF('4. Visitas Técnicas'!$L25="No",'4. Visitas Técnicas'!$M25,"")</f>
        <v/>
      </c>
      <c r="F159" s="87" t="str">
        <f aca="false">IF('4. Visitas Técnicas'!$L25="No",'4. Visitas Técnicas'!$N25,"")</f>
        <v/>
      </c>
      <c r="G159" s="87" t="str">
        <f aca="false">IF('4. Visitas Técnicas'!$L25="No",IFERROR(VLOOKUP('4. Visitas Técnicas'!$A25,'1. Órdenes de Trabajo'!$A$2:$J$301,10,FALSE()),""),"")</f>
        <v/>
      </c>
      <c r="H159" s="93"/>
    </row>
    <row r="160" customFormat="false" ht="15" hidden="false" customHeight="true" outlineLevel="0" collapsed="false">
      <c r="A160" s="87" t="str">
        <f aca="false">IF('4. Visitas Técnicas'!$L26="No",'4. Visitas Técnicas'!$A26,"")</f>
        <v/>
      </c>
      <c r="B160" s="87" t="str">
        <f aca="false">IF('4. Visitas Técnicas'!$L26="No",IFERROR(VLOOKUP('4. Visitas Técnicas'!$A26,'1. Órdenes de Trabajo'!$A$2:$E$301,5,FALSE()),""),"")</f>
        <v/>
      </c>
      <c r="C160" s="87" t="str">
        <f aca="false">IF('4. Visitas Técnicas'!$L26="No","Visita técnica","")</f>
        <v/>
      </c>
      <c r="D160" s="87" t="str">
        <f aca="false">IF('4. Visitas Técnicas'!$L26="No",'4. Visitas Técnicas'!$C26,"")</f>
        <v/>
      </c>
      <c r="E160" s="88" t="str">
        <f aca="false">IF('4. Visitas Técnicas'!$L26="No",'4. Visitas Técnicas'!$M26,"")</f>
        <v/>
      </c>
      <c r="F160" s="87" t="str">
        <f aca="false">IF('4. Visitas Técnicas'!$L26="No",'4. Visitas Técnicas'!$N26,"")</f>
        <v/>
      </c>
      <c r="G160" s="87" t="str">
        <f aca="false">IF('4. Visitas Técnicas'!$L26="No",IFERROR(VLOOKUP('4. Visitas Técnicas'!$A26,'1. Órdenes de Trabajo'!$A$2:$J$301,10,FALSE()),""),"")</f>
        <v/>
      </c>
      <c r="H160" s="93"/>
    </row>
    <row r="161" customFormat="false" ht="15" hidden="false" customHeight="true" outlineLevel="0" collapsed="false">
      <c r="A161" s="87" t="str">
        <f aca="false">IF('4. Visitas Técnicas'!$L27="No",'4. Visitas Técnicas'!$A27,"")</f>
        <v/>
      </c>
      <c r="B161" s="87" t="str">
        <f aca="false">IF('4. Visitas Técnicas'!$L27="No",IFERROR(VLOOKUP('4. Visitas Técnicas'!$A27,'1. Órdenes de Trabajo'!$A$2:$E$301,5,FALSE()),""),"")</f>
        <v/>
      </c>
      <c r="C161" s="87" t="str">
        <f aca="false">IF('4. Visitas Técnicas'!$L27="No","Visita técnica","")</f>
        <v/>
      </c>
      <c r="D161" s="87" t="str">
        <f aca="false">IF('4. Visitas Técnicas'!$L27="No",'4. Visitas Técnicas'!$C27,"")</f>
        <v/>
      </c>
      <c r="E161" s="88" t="str">
        <f aca="false">IF('4. Visitas Técnicas'!$L27="No",'4. Visitas Técnicas'!$M27,"")</f>
        <v/>
      </c>
      <c r="F161" s="87" t="str">
        <f aca="false">IF('4. Visitas Técnicas'!$L27="No",'4. Visitas Técnicas'!$N27,"")</f>
        <v/>
      </c>
      <c r="G161" s="87" t="str">
        <f aca="false">IF('4. Visitas Técnicas'!$L27="No",IFERROR(VLOOKUP('4. Visitas Técnicas'!$A27,'1. Órdenes de Trabajo'!$A$2:$J$301,10,FALSE()),""),"")</f>
        <v/>
      </c>
      <c r="H161" s="93"/>
    </row>
    <row r="162" customFormat="false" ht="15" hidden="false" customHeight="true" outlineLevel="0" collapsed="false">
      <c r="A162" s="87" t="str">
        <f aca="false">IF('4. Visitas Técnicas'!$L28="No",'4. Visitas Técnicas'!$A28,"")</f>
        <v/>
      </c>
      <c r="B162" s="87" t="str">
        <f aca="false">IF('4. Visitas Técnicas'!$L28="No",IFERROR(VLOOKUP('4. Visitas Técnicas'!$A28,'1. Órdenes de Trabajo'!$A$2:$E$301,5,FALSE()),""),"")</f>
        <v/>
      </c>
      <c r="C162" s="87" t="str">
        <f aca="false">IF('4. Visitas Técnicas'!$L28="No","Visita técnica","")</f>
        <v/>
      </c>
      <c r="D162" s="87" t="str">
        <f aca="false">IF('4. Visitas Técnicas'!$L28="No",'4. Visitas Técnicas'!$C28,"")</f>
        <v/>
      </c>
      <c r="E162" s="88" t="str">
        <f aca="false">IF('4. Visitas Técnicas'!$L28="No",'4. Visitas Técnicas'!$M28,"")</f>
        <v/>
      </c>
      <c r="F162" s="87" t="str">
        <f aca="false">IF('4. Visitas Técnicas'!$L28="No",'4. Visitas Técnicas'!$N28,"")</f>
        <v/>
      </c>
      <c r="G162" s="87" t="str">
        <f aca="false">IF('4. Visitas Técnicas'!$L28="No",IFERROR(VLOOKUP('4. Visitas Técnicas'!$A28,'1. Órdenes de Trabajo'!$A$2:$J$301,10,FALSE()),""),"")</f>
        <v/>
      </c>
      <c r="H162" s="93"/>
    </row>
    <row r="163" customFormat="false" ht="15" hidden="false" customHeight="true" outlineLevel="0" collapsed="false">
      <c r="A163" s="87" t="str">
        <f aca="false">IF('4. Visitas Técnicas'!$L29="No",'4. Visitas Técnicas'!$A29,"")</f>
        <v/>
      </c>
      <c r="B163" s="87" t="str">
        <f aca="false">IF('4. Visitas Técnicas'!$L29="No",IFERROR(VLOOKUP('4. Visitas Técnicas'!$A29,'1. Órdenes de Trabajo'!$A$2:$E$301,5,FALSE()),""),"")</f>
        <v/>
      </c>
      <c r="C163" s="87" t="str">
        <f aca="false">IF('4. Visitas Técnicas'!$L29="No","Visita técnica","")</f>
        <v/>
      </c>
      <c r="D163" s="87" t="str">
        <f aca="false">IF('4. Visitas Técnicas'!$L29="No",'4. Visitas Técnicas'!$C29,"")</f>
        <v/>
      </c>
      <c r="E163" s="88" t="str">
        <f aca="false">IF('4. Visitas Técnicas'!$L29="No",'4. Visitas Técnicas'!$M29,"")</f>
        <v/>
      </c>
      <c r="F163" s="87" t="str">
        <f aca="false">IF('4. Visitas Técnicas'!$L29="No",'4. Visitas Técnicas'!$N29,"")</f>
        <v/>
      </c>
      <c r="G163" s="87" t="str">
        <f aca="false">IF('4. Visitas Técnicas'!$L29="No",IFERROR(VLOOKUP('4. Visitas Técnicas'!$A29,'1. Órdenes de Trabajo'!$A$2:$J$301,10,FALSE()),""),"")</f>
        <v/>
      </c>
      <c r="H163" s="93"/>
    </row>
    <row r="164" customFormat="false" ht="15" hidden="false" customHeight="true" outlineLevel="0" collapsed="false">
      <c r="A164" s="87" t="str">
        <f aca="false">IF('4. Visitas Técnicas'!$L30="No",'4. Visitas Técnicas'!$A30,"")</f>
        <v/>
      </c>
      <c r="B164" s="87" t="str">
        <f aca="false">IF('4. Visitas Técnicas'!$L30="No",IFERROR(VLOOKUP('4. Visitas Técnicas'!$A30,'1. Órdenes de Trabajo'!$A$2:$E$301,5,FALSE()),""),"")</f>
        <v/>
      </c>
      <c r="C164" s="87" t="str">
        <f aca="false">IF('4. Visitas Técnicas'!$L30="No","Visita técnica","")</f>
        <v/>
      </c>
      <c r="D164" s="87" t="str">
        <f aca="false">IF('4. Visitas Técnicas'!$L30="No",'4. Visitas Técnicas'!$C30,"")</f>
        <v/>
      </c>
      <c r="E164" s="88" t="str">
        <f aca="false">IF('4. Visitas Técnicas'!$L30="No",'4. Visitas Técnicas'!$M30,"")</f>
        <v/>
      </c>
      <c r="F164" s="87" t="str">
        <f aca="false">IF('4. Visitas Técnicas'!$L30="No",'4. Visitas Técnicas'!$N30,"")</f>
        <v/>
      </c>
      <c r="G164" s="87" t="str">
        <f aca="false">IF('4. Visitas Técnicas'!$L30="No",IFERROR(VLOOKUP('4. Visitas Técnicas'!$A30,'1. Órdenes de Trabajo'!$A$2:$J$301,10,FALSE()),""),"")</f>
        <v/>
      </c>
      <c r="H164" s="93"/>
    </row>
    <row r="165" customFormat="false" ht="15" hidden="false" customHeight="true" outlineLevel="0" collapsed="false">
      <c r="A165" s="87" t="str">
        <f aca="false">IF('4. Visitas Técnicas'!$L31="No",'4. Visitas Técnicas'!$A31,"")</f>
        <v/>
      </c>
      <c r="B165" s="87" t="str">
        <f aca="false">IF('4. Visitas Técnicas'!$L31="No",IFERROR(VLOOKUP('4. Visitas Técnicas'!$A31,'1. Órdenes de Trabajo'!$A$2:$E$301,5,FALSE()),""),"")</f>
        <v/>
      </c>
      <c r="C165" s="87" t="str">
        <f aca="false">IF('4. Visitas Técnicas'!$L31="No","Visita técnica","")</f>
        <v/>
      </c>
      <c r="D165" s="87" t="str">
        <f aca="false">IF('4. Visitas Técnicas'!$L31="No",'4. Visitas Técnicas'!$C31,"")</f>
        <v/>
      </c>
      <c r="E165" s="88" t="str">
        <f aca="false">IF('4. Visitas Técnicas'!$L31="No",'4. Visitas Técnicas'!$M31,"")</f>
        <v/>
      </c>
      <c r="F165" s="87" t="str">
        <f aca="false">IF('4. Visitas Técnicas'!$L31="No",'4. Visitas Técnicas'!$N31,"")</f>
        <v/>
      </c>
      <c r="G165" s="87" t="str">
        <f aca="false">IF('4. Visitas Técnicas'!$L31="No",IFERROR(VLOOKUP('4. Visitas Técnicas'!$A31,'1. Órdenes de Trabajo'!$A$2:$J$301,10,FALSE()),""),"")</f>
        <v/>
      </c>
      <c r="H165" s="93"/>
    </row>
    <row r="166" customFormat="false" ht="15" hidden="false" customHeight="true" outlineLevel="0" collapsed="false">
      <c r="A166" s="87" t="str">
        <f aca="false">IF('4. Visitas Técnicas'!$L32="No",'4. Visitas Técnicas'!$A32,"")</f>
        <v/>
      </c>
      <c r="B166" s="87" t="str">
        <f aca="false">IF('4. Visitas Técnicas'!$L32="No",IFERROR(VLOOKUP('4. Visitas Técnicas'!$A32,'1. Órdenes de Trabajo'!$A$2:$E$301,5,FALSE()),""),"")</f>
        <v/>
      </c>
      <c r="C166" s="87" t="str">
        <f aca="false">IF('4. Visitas Técnicas'!$L32="No","Visita técnica","")</f>
        <v/>
      </c>
      <c r="D166" s="87" t="str">
        <f aca="false">IF('4. Visitas Técnicas'!$L32="No",'4. Visitas Técnicas'!$C32,"")</f>
        <v/>
      </c>
      <c r="E166" s="88" t="str">
        <f aca="false">IF('4. Visitas Técnicas'!$L32="No",'4. Visitas Técnicas'!$M32,"")</f>
        <v/>
      </c>
      <c r="F166" s="87" t="str">
        <f aca="false">IF('4. Visitas Técnicas'!$L32="No",'4. Visitas Técnicas'!$N32,"")</f>
        <v/>
      </c>
      <c r="G166" s="87" t="str">
        <f aca="false">IF('4. Visitas Técnicas'!$L32="No",IFERROR(VLOOKUP('4. Visitas Técnicas'!$A32,'1. Órdenes de Trabajo'!$A$2:$J$301,10,FALSE()),""),"")</f>
        <v/>
      </c>
      <c r="H166" s="93"/>
    </row>
    <row r="167" customFormat="false" ht="15" hidden="false" customHeight="true" outlineLevel="0" collapsed="false">
      <c r="A167" s="87" t="str">
        <f aca="false">IF('4. Visitas Técnicas'!$L33="No",'4. Visitas Técnicas'!$A33,"")</f>
        <v/>
      </c>
      <c r="B167" s="87" t="str">
        <f aca="false">IF('4. Visitas Técnicas'!$L33="No",IFERROR(VLOOKUP('4. Visitas Técnicas'!$A33,'1. Órdenes de Trabajo'!$A$2:$E$301,5,FALSE()),""),"")</f>
        <v/>
      </c>
      <c r="C167" s="87" t="str">
        <f aca="false">IF('4. Visitas Técnicas'!$L33="No","Visita técnica","")</f>
        <v/>
      </c>
      <c r="D167" s="87" t="str">
        <f aca="false">IF('4. Visitas Técnicas'!$L33="No",'4. Visitas Técnicas'!$C33,"")</f>
        <v/>
      </c>
      <c r="E167" s="88" t="str">
        <f aca="false">IF('4. Visitas Técnicas'!$L33="No",'4. Visitas Técnicas'!$M33,"")</f>
        <v/>
      </c>
      <c r="F167" s="87" t="str">
        <f aca="false">IF('4. Visitas Técnicas'!$L33="No",'4. Visitas Técnicas'!$N33,"")</f>
        <v/>
      </c>
      <c r="G167" s="87" t="str">
        <f aca="false">IF('4. Visitas Técnicas'!$L33="No",IFERROR(VLOOKUP('4. Visitas Técnicas'!$A33,'1. Órdenes de Trabajo'!$A$2:$J$301,10,FALSE()),""),"")</f>
        <v/>
      </c>
      <c r="H167" s="93"/>
    </row>
    <row r="168" customFormat="false" ht="15" hidden="false" customHeight="true" outlineLevel="0" collapsed="false">
      <c r="A168" s="87" t="str">
        <f aca="false">IF('4. Visitas Técnicas'!$L34="No",'4. Visitas Técnicas'!$A34,"")</f>
        <v/>
      </c>
      <c r="B168" s="87" t="str">
        <f aca="false">IF('4. Visitas Técnicas'!$L34="No",IFERROR(VLOOKUP('4. Visitas Técnicas'!$A34,'1. Órdenes de Trabajo'!$A$2:$E$301,5,FALSE()),""),"")</f>
        <v/>
      </c>
      <c r="C168" s="87" t="str">
        <f aca="false">IF('4. Visitas Técnicas'!$L34="No","Visita técnica","")</f>
        <v/>
      </c>
      <c r="D168" s="87" t="str">
        <f aca="false">IF('4. Visitas Técnicas'!$L34="No",'4. Visitas Técnicas'!$C34,"")</f>
        <v/>
      </c>
      <c r="E168" s="88" t="str">
        <f aca="false">IF('4. Visitas Técnicas'!$L34="No",'4. Visitas Técnicas'!$M34,"")</f>
        <v/>
      </c>
      <c r="F168" s="87" t="str">
        <f aca="false">IF('4. Visitas Técnicas'!$L34="No",'4. Visitas Técnicas'!$N34,"")</f>
        <v/>
      </c>
      <c r="G168" s="87" t="str">
        <f aca="false">IF('4. Visitas Técnicas'!$L34="No",IFERROR(VLOOKUP('4. Visitas Técnicas'!$A34,'1. Órdenes de Trabajo'!$A$2:$J$301,10,FALSE()),""),"")</f>
        <v/>
      </c>
      <c r="H168" s="93"/>
    </row>
    <row r="169" customFormat="false" ht="15" hidden="false" customHeight="true" outlineLevel="0" collapsed="false">
      <c r="A169" s="87" t="str">
        <f aca="false">IF('4. Visitas Técnicas'!$L35="No",'4. Visitas Técnicas'!$A35,"")</f>
        <v/>
      </c>
      <c r="B169" s="87" t="str">
        <f aca="false">IF('4. Visitas Técnicas'!$L35="No",IFERROR(VLOOKUP('4. Visitas Técnicas'!$A35,'1. Órdenes de Trabajo'!$A$2:$E$301,5,FALSE()),""),"")</f>
        <v/>
      </c>
      <c r="C169" s="87" t="str">
        <f aca="false">IF('4. Visitas Técnicas'!$L35="No","Visita técnica","")</f>
        <v/>
      </c>
      <c r="D169" s="87" t="str">
        <f aca="false">IF('4. Visitas Técnicas'!$L35="No",'4. Visitas Técnicas'!$C35,"")</f>
        <v/>
      </c>
      <c r="E169" s="88" t="str">
        <f aca="false">IF('4. Visitas Técnicas'!$L35="No",'4. Visitas Técnicas'!$M35,"")</f>
        <v/>
      </c>
      <c r="F169" s="87" t="str">
        <f aca="false">IF('4. Visitas Técnicas'!$L35="No",'4. Visitas Técnicas'!$N35,"")</f>
        <v/>
      </c>
      <c r="G169" s="87" t="str">
        <f aca="false">IF('4. Visitas Técnicas'!$L35="No",IFERROR(VLOOKUP('4. Visitas Técnicas'!$A35,'1. Órdenes de Trabajo'!$A$2:$J$301,10,FALSE()),""),"")</f>
        <v/>
      </c>
      <c r="H169" s="93"/>
    </row>
    <row r="170" customFormat="false" ht="15" hidden="false" customHeight="true" outlineLevel="0" collapsed="false">
      <c r="A170" s="87" t="str">
        <f aca="false">IF('4. Visitas Técnicas'!$L36="No",'4. Visitas Técnicas'!$A36,"")</f>
        <v/>
      </c>
      <c r="B170" s="87" t="str">
        <f aca="false">IF('4. Visitas Técnicas'!$L36="No",IFERROR(VLOOKUP('4. Visitas Técnicas'!$A36,'1. Órdenes de Trabajo'!$A$2:$E$301,5,FALSE()),""),"")</f>
        <v/>
      </c>
      <c r="C170" s="87" t="str">
        <f aca="false">IF('4. Visitas Técnicas'!$L36="No","Visita técnica","")</f>
        <v/>
      </c>
      <c r="D170" s="87" t="str">
        <f aca="false">IF('4. Visitas Técnicas'!$L36="No",'4. Visitas Técnicas'!$C36,"")</f>
        <v/>
      </c>
      <c r="E170" s="88" t="str">
        <f aca="false">IF('4. Visitas Técnicas'!$L36="No",'4. Visitas Técnicas'!$M36,"")</f>
        <v/>
      </c>
      <c r="F170" s="87" t="str">
        <f aca="false">IF('4. Visitas Técnicas'!$L36="No",'4. Visitas Técnicas'!$N36,"")</f>
        <v/>
      </c>
      <c r="G170" s="87" t="str">
        <f aca="false">IF('4. Visitas Técnicas'!$L36="No",IFERROR(VLOOKUP('4. Visitas Técnicas'!$A36,'1. Órdenes de Trabajo'!$A$2:$J$301,10,FALSE()),""),"")</f>
        <v/>
      </c>
      <c r="H170" s="93"/>
    </row>
    <row r="171" customFormat="false" ht="15" hidden="false" customHeight="true" outlineLevel="0" collapsed="false">
      <c r="A171" s="87" t="str">
        <f aca="false">IF('4. Visitas Técnicas'!$L37="No",'4. Visitas Técnicas'!$A37,"")</f>
        <v/>
      </c>
      <c r="B171" s="87" t="str">
        <f aca="false">IF('4. Visitas Técnicas'!$L37="No",IFERROR(VLOOKUP('4. Visitas Técnicas'!$A37,'1. Órdenes de Trabajo'!$A$2:$E$301,5,FALSE()),""),"")</f>
        <v/>
      </c>
      <c r="C171" s="87" t="str">
        <f aca="false">IF('4. Visitas Técnicas'!$L37="No","Visita técnica","")</f>
        <v/>
      </c>
      <c r="D171" s="87" t="str">
        <f aca="false">IF('4. Visitas Técnicas'!$L37="No",'4. Visitas Técnicas'!$C37,"")</f>
        <v/>
      </c>
      <c r="E171" s="88" t="str">
        <f aca="false">IF('4. Visitas Técnicas'!$L37="No",'4. Visitas Técnicas'!$M37,"")</f>
        <v/>
      </c>
      <c r="F171" s="87" t="str">
        <f aca="false">IF('4. Visitas Técnicas'!$L37="No",'4. Visitas Técnicas'!$N37,"")</f>
        <v/>
      </c>
      <c r="G171" s="87" t="str">
        <f aca="false">IF('4. Visitas Técnicas'!$L37="No",IFERROR(VLOOKUP('4. Visitas Técnicas'!$A37,'1. Órdenes de Trabajo'!$A$2:$J$301,10,FALSE()),""),"")</f>
        <v/>
      </c>
      <c r="H171" s="93"/>
    </row>
    <row r="172" customFormat="false" ht="15" hidden="false" customHeight="true" outlineLevel="0" collapsed="false">
      <c r="A172" s="87" t="str">
        <f aca="false">IF('4. Visitas Técnicas'!$L38="No",'4. Visitas Técnicas'!$A38,"")</f>
        <v/>
      </c>
      <c r="B172" s="87" t="str">
        <f aca="false">IF('4. Visitas Técnicas'!$L38="No",IFERROR(VLOOKUP('4. Visitas Técnicas'!$A38,'1. Órdenes de Trabajo'!$A$2:$E$301,5,FALSE()),""),"")</f>
        <v/>
      </c>
      <c r="C172" s="87" t="str">
        <f aca="false">IF('4. Visitas Técnicas'!$L38="No","Visita técnica","")</f>
        <v/>
      </c>
      <c r="D172" s="87" t="str">
        <f aca="false">IF('4. Visitas Técnicas'!$L38="No",'4. Visitas Técnicas'!$C38,"")</f>
        <v/>
      </c>
      <c r="E172" s="88" t="str">
        <f aca="false">IF('4. Visitas Técnicas'!$L38="No",'4. Visitas Técnicas'!$M38,"")</f>
        <v/>
      </c>
      <c r="F172" s="87" t="str">
        <f aca="false">IF('4. Visitas Técnicas'!$L38="No",'4. Visitas Técnicas'!$N38,"")</f>
        <v/>
      </c>
      <c r="G172" s="87" t="str">
        <f aca="false">IF('4. Visitas Técnicas'!$L38="No",IFERROR(VLOOKUP('4. Visitas Técnicas'!$A38,'1. Órdenes de Trabajo'!$A$2:$J$301,10,FALSE()),""),"")</f>
        <v/>
      </c>
      <c r="H172" s="93"/>
    </row>
    <row r="173" customFormat="false" ht="15" hidden="false" customHeight="true" outlineLevel="0" collapsed="false">
      <c r="A173" s="87" t="str">
        <f aca="false">IF('4. Visitas Técnicas'!$L39="No",'4. Visitas Técnicas'!$A39,"")</f>
        <v/>
      </c>
      <c r="B173" s="87" t="str">
        <f aca="false">IF('4. Visitas Técnicas'!$L39="No",IFERROR(VLOOKUP('4. Visitas Técnicas'!$A39,'1. Órdenes de Trabajo'!$A$2:$E$301,5,FALSE()),""),"")</f>
        <v/>
      </c>
      <c r="C173" s="87" t="str">
        <f aca="false">IF('4. Visitas Técnicas'!$L39="No","Visita técnica","")</f>
        <v/>
      </c>
      <c r="D173" s="87" t="str">
        <f aca="false">IF('4. Visitas Técnicas'!$L39="No",'4. Visitas Técnicas'!$C39,"")</f>
        <v/>
      </c>
      <c r="E173" s="88" t="str">
        <f aca="false">IF('4. Visitas Técnicas'!$L39="No",'4. Visitas Técnicas'!$M39,"")</f>
        <v/>
      </c>
      <c r="F173" s="87" t="str">
        <f aca="false">IF('4. Visitas Técnicas'!$L39="No",'4. Visitas Técnicas'!$N39,"")</f>
        <v/>
      </c>
      <c r="G173" s="87" t="str">
        <f aca="false">IF('4. Visitas Técnicas'!$L39="No",IFERROR(VLOOKUP('4. Visitas Técnicas'!$A39,'1. Órdenes de Trabajo'!$A$2:$J$301,10,FALSE()),""),"")</f>
        <v/>
      </c>
      <c r="H173" s="93"/>
    </row>
    <row r="174" customFormat="false" ht="15" hidden="false" customHeight="true" outlineLevel="0" collapsed="false">
      <c r="A174" s="87" t="str">
        <f aca="false">IF('4. Visitas Técnicas'!$L40="No",'4. Visitas Técnicas'!$A40,"")</f>
        <v/>
      </c>
      <c r="B174" s="87" t="str">
        <f aca="false">IF('4. Visitas Técnicas'!$L40="No",IFERROR(VLOOKUP('4. Visitas Técnicas'!$A40,'1. Órdenes de Trabajo'!$A$2:$E$301,5,FALSE()),""),"")</f>
        <v/>
      </c>
      <c r="C174" s="87" t="str">
        <f aca="false">IF('4. Visitas Técnicas'!$L40="No","Visita técnica","")</f>
        <v/>
      </c>
      <c r="D174" s="87" t="str">
        <f aca="false">IF('4. Visitas Técnicas'!$L40="No",'4. Visitas Técnicas'!$C40,"")</f>
        <v/>
      </c>
      <c r="E174" s="88" t="str">
        <f aca="false">IF('4. Visitas Técnicas'!$L40="No",'4. Visitas Técnicas'!$M40,"")</f>
        <v/>
      </c>
      <c r="F174" s="87" t="str">
        <f aca="false">IF('4. Visitas Técnicas'!$L40="No",'4. Visitas Técnicas'!$N40,"")</f>
        <v/>
      </c>
      <c r="G174" s="87" t="str">
        <f aca="false">IF('4. Visitas Técnicas'!$L40="No",IFERROR(VLOOKUP('4. Visitas Técnicas'!$A40,'1. Órdenes de Trabajo'!$A$2:$J$301,10,FALSE()),""),"")</f>
        <v/>
      </c>
      <c r="H174" s="93"/>
    </row>
    <row r="175" customFormat="false" ht="15" hidden="false" customHeight="true" outlineLevel="0" collapsed="false">
      <c r="A175" s="87" t="str">
        <f aca="false">IF('4. Visitas Técnicas'!$L41="No",'4. Visitas Técnicas'!$A41,"")</f>
        <v/>
      </c>
      <c r="B175" s="87" t="str">
        <f aca="false">IF('4. Visitas Técnicas'!$L41="No",IFERROR(VLOOKUP('4. Visitas Técnicas'!$A41,'1. Órdenes de Trabajo'!$A$2:$E$301,5,FALSE()),""),"")</f>
        <v/>
      </c>
      <c r="C175" s="87" t="str">
        <f aca="false">IF('4. Visitas Técnicas'!$L41="No","Visita técnica","")</f>
        <v/>
      </c>
      <c r="D175" s="87" t="str">
        <f aca="false">IF('4. Visitas Técnicas'!$L41="No",'4. Visitas Técnicas'!$C41,"")</f>
        <v/>
      </c>
      <c r="E175" s="88" t="str">
        <f aca="false">IF('4. Visitas Técnicas'!$L41="No",'4. Visitas Técnicas'!$M41,"")</f>
        <v/>
      </c>
      <c r="F175" s="87" t="str">
        <f aca="false">IF('4. Visitas Técnicas'!$L41="No",'4. Visitas Técnicas'!$N41,"")</f>
        <v/>
      </c>
      <c r="G175" s="87" t="str">
        <f aca="false">IF('4. Visitas Técnicas'!$L41="No",IFERROR(VLOOKUP('4. Visitas Técnicas'!$A41,'1. Órdenes de Trabajo'!$A$2:$J$301,10,FALSE()),""),"")</f>
        <v/>
      </c>
      <c r="H175" s="93"/>
    </row>
    <row r="176" customFormat="false" ht="15" hidden="false" customHeight="true" outlineLevel="0" collapsed="false">
      <c r="A176" s="93"/>
      <c r="B176" s="93"/>
      <c r="C176" s="93"/>
      <c r="D176" s="93"/>
      <c r="E176" s="93"/>
      <c r="F176" s="93"/>
      <c r="G176" s="93"/>
      <c r="H176" s="93"/>
    </row>
    <row r="177" customFormat="false" ht="15" hidden="false" customHeight="true" outlineLevel="0" collapsed="false">
      <c r="A177" s="93"/>
      <c r="B177" s="93"/>
      <c r="C177" s="93"/>
      <c r="D177" s="93"/>
      <c r="E177" s="93"/>
      <c r="F177" s="93"/>
      <c r="G177" s="93"/>
      <c r="H177" s="93"/>
    </row>
    <row r="178" customFormat="false" ht="15" hidden="false" customHeight="true" outlineLevel="0" collapsed="false">
      <c r="A178" s="93"/>
      <c r="B178" s="93"/>
      <c r="C178" s="93"/>
      <c r="D178" s="93"/>
      <c r="E178" s="93"/>
      <c r="F178" s="93"/>
      <c r="G178" s="93"/>
      <c r="H178" s="93"/>
    </row>
    <row r="179" customFormat="false" ht="15" hidden="false" customHeight="true" outlineLevel="0" collapsed="false">
      <c r="A179" s="93"/>
      <c r="B179" s="93"/>
      <c r="C179" s="93"/>
      <c r="D179" s="93"/>
      <c r="E179" s="93"/>
      <c r="F179" s="93"/>
      <c r="G179" s="93"/>
      <c r="H179" s="93"/>
    </row>
    <row r="180" customFormat="false" ht="15" hidden="false" customHeight="true" outlineLevel="0" collapsed="false">
      <c r="A180" s="93"/>
      <c r="B180" s="93"/>
      <c r="C180" s="93"/>
      <c r="D180" s="93"/>
      <c r="E180" s="93"/>
      <c r="F180" s="93"/>
      <c r="G180" s="93"/>
      <c r="H180" s="93"/>
    </row>
    <row r="184" customFormat="false" ht="18" hidden="false" customHeight="true" outlineLevel="0" collapsed="false">
      <c r="A184" s="94" t="s">
        <v>319</v>
      </c>
    </row>
    <row r="185" customFormat="false" ht="15" hidden="false" customHeight="true" outlineLevel="0" collapsed="false">
      <c r="A185" s="95" t="s">
        <v>320</v>
      </c>
    </row>
    <row r="186" customFormat="false" ht="15" hidden="false" customHeight="true" outlineLevel="0" collapsed="false">
      <c r="A186" s="96" t="s">
        <v>321</v>
      </c>
      <c r="B186" s="96" t="s">
        <v>39</v>
      </c>
      <c r="C186" s="96" t="s">
        <v>322</v>
      </c>
      <c r="D186" s="96" t="s">
        <v>323</v>
      </c>
      <c r="E186" s="96" t="s">
        <v>12</v>
      </c>
    </row>
    <row r="187" customFormat="false" ht="23.25" hidden="false" customHeight="true" outlineLevel="0" collapsed="false">
      <c r="A187" s="97" t="n">
        <f aca="false">SUM('MP Carta 2026'!$U$4:$U$969)</f>
        <v>1258</v>
      </c>
      <c r="B187" s="97" t="n">
        <f aca="false">SUM('MP Carta 2026'!$V$4:$V$969)</f>
        <v>784</v>
      </c>
      <c r="C187" s="97" t="n">
        <f aca="false">SUM('MP Carta 2026'!$W$4:$W$969)</f>
        <v>164</v>
      </c>
      <c r="D187" s="97" t="n">
        <f aca="false">SUM('MP Carta 2026'!$Y$4:$Y$969)</f>
        <v>164</v>
      </c>
      <c r="E187" s="98" t="n">
        <f aca="false">IFERROR(SUM('MP Carta 2026'!$V$4:$V$969)/SUM('MP Carta 2026'!$U$4:$U$969),"")</f>
        <v>0.623211446740859</v>
      </c>
    </row>
  </sheetData>
  <mergeCells count="5">
    <mergeCell ref="A1:H1"/>
    <mergeCell ref="A2:H2"/>
    <mergeCell ref="A91:H91"/>
    <mergeCell ref="A93:G93"/>
    <mergeCell ref="A94:G94"/>
  </mergeCells>
  <conditionalFormatting sqref="D10:D89">
    <cfRule type="cellIs" priority="2" operator="equal" aboveAverage="0" equalAverage="0" bottom="0" percent="0" rank="0" text="" dxfId="6">
      <formula>"No Operativo"</formula>
    </cfRule>
    <cfRule type="cellIs" priority="3" operator="equal" aboveAverage="0" equalAverage="0" bottom="0" percent="0" rank="0" text="" dxfId="7">
      <formula>"Servicio Técnico"</formula>
    </cfRule>
    <cfRule type="cellIs" priority="4" operator="equal" aboveAverage="0" equalAverage="0" bottom="0" percent="0" rank="0" text="" dxfId="8">
      <formula>"Operativo"</formula>
    </cfRule>
    <cfRule type="cellIs" priority="5" operator="equal" aboveAverage="0" equalAverage="0" bottom="0" percent="0" rank="0" text="" dxfId="9">
      <formula>"Baja"</formula>
    </cfRule>
  </conditionalFormatting>
  <conditionalFormatting sqref="G10:G89">
    <cfRule type="cellIs" priority="6" operator="greaterThan" aboveAverage="0" equalAverage="0" bottom="0" percent="0" rank="0" text="" dxfId="6">
      <formula>30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E5A"/>
    <pageSetUpPr fitToPage="false"/>
  </sheetPr>
  <dimension ref="A1:Z9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8" ySplit="3" topLeftCell="I4" activePane="bottomRight" state="frozen"/>
      <selection pane="topLeft" activeCell="A1" activeCellId="0" sqref="A1"/>
      <selection pane="topRight" activeCell="I1" activeCellId="0" sqref="I1"/>
      <selection pane="bottomLeft" activeCell="A4" activeCellId="0" sqref="A4"/>
      <selection pane="bottomRight" activeCell="A1" activeCellId="0" sqref="A1"/>
    </sheetView>
  </sheetViews>
  <sheetFormatPr defaultColWidth="9.14843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22"/>
    <col collapsed="false" customWidth="true" hidden="false" outlineLevel="0" max="5" min="4" style="0" width="16"/>
    <col collapsed="false" customWidth="true" hidden="false" outlineLevel="0" max="6" min="6" style="0" width="20"/>
    <col collapsed="false" customWidth="true" hidden="false" outlineLevel="0" max="7" min="7" style="0" width="14"/>
    <col collapsed="false" customWidth="true" hidden="false" outlineLevel="0" max="8" min="8" style="0" width="13"/>
    <col collapsed="false" customWidth="true" hidden="false" outlineLevel="0" max="20" min="9" style="0" width="5"/>
    <col collapsed="false" customWidth="true" hidden="false" outlineLevel="0" max="24" min="21" style="0" width="11"/>
    <col collapsed="false" customWidth="true" hidden="false" outlineLevel="0" max="25" min="25" style="0" width="10"/>
    <col collapsed="false" customWidth="true" hidden="false" outlineLevel="0" max="26" min="26" style="0" width="9"/>
  </cols>
  <sheetData>
    <row r="1" customFormat="false" ht="18" hidden="false" customHeight="true" outlineLevel="0" collapsed="false">
      <c r="A1" s="94" t="s">
        <v>324</v>
      </c>
    </row>
    <row r="2" customFormat="false" ht="15" hidden="false" customHeight="true" outlineLevel="0" collapsed="false">
      <c r="A2" s="95" t="s">
        <v>325</v>
      </c>
    </row>
    <row r="3" customFormat="false" ht="15" hidden="false" customHeight="true" outlineLevel="0" collapsed="false">
      <c r="A3" s="99" t="s">
        <v>20</v>
      </c>
      <c r="B3" s="99" t="s">
        <v>21</v>
      </c>
      <c r="C3" s="99" t="s">
        <v>22</v>
      </c>
      <c r="D3" s="99" t="s">
        <v>266</v>
      </c>
      <c r="E3" s="99" t="s">
        <v>267</v>
      </c>
      <c r="F3" s="99" t="s">
        <v>268</v>
      </c>
      <c r="G3" s="99" t="s">
        <v>43</v>
      </c>
      <c r="H3" s="99" t="s">
        <v>326</v>
      </c>
      <c r="I3" s="99" t="s">
        <v>275</v>
      </c>
      <c r="J3" s="99" t="s">
        <v>276</v>
      </c>
      <c r="K3" s="99" t="s">
        <v>277</v>
      </c>
      <c r="L3" s="99" t="s">
        <v>278</v>
      </c>
      <c r="M3" s="99" t="s">
        <v>279</v>
      </c>
      <c r="N3" s="99" t="s">
        <v>280</v>
      </c>
      <c r="O3" s="99" t="s">
        <v>281</v>
      </c>
      <c r="P3" s="99" t="s">
        <v>282</v>
      </c>
      <c r="Q3" s="99" t="s">
        <v>283</v>
      </c>
      <c r="R3" s="99" t="s">
        <v>284</v>
      </c>
      <c r="S3" s="99" t="s">
        <v>285</v>
      </c>
      <c r="T3" s="99" t="s">
        <v>286</v>
      </c>
      <c r="U3" s="99" t="s">
        <v>321</v>
      </c>
      <c r="V3" s="99" t="s">
        <v>39</v>
      </c>
      <c r="W3" s="99" t="s">
        <v>322</v>
      </c>
      <c r="X3" s="99" t="s">
        <v>327</v>
      </c>
      <c r="Y3" s="99" t="s">
        <v>323</v>
      </c>
      <c r="Z3" s="99" t="s">
        <v>12</v>
      </c>
    </row>
    <row r="4" customFormat="false" ht="15" hidden="false" customHeight="true" outlineLevel="0" collapsed="false">
      <c r="A4" s="100" t="str">
        <f aca="false">Equipos!C2</f>
        <v>2-115361</v>
      </c>
      <c r="B4" s="101" t="str">
        <f aca="false">Equipos!D2</f>
        <v>Incubadora</v>
      </c>
      <c r="C4" s="101" t="str">
        <f aca="false">Equipos!E2</f>
        <v>Neonatología</v>
      </c>
      <c r="D4" s="101" t="str">
        <f aca="false">Equipos!G2</f>
        <v>UTI 1/2</v>
      </c>
      <c r="E4" s="101" t="str">
        <f aca="false">Equipos!I2</f>
        <v>DRAGER</v>
      </c>
      <c r="F4" s="101" t="str">
        <f aca="false">Equipos!J2</f>
        <v>CALEO</v>
      </c>
      <c r="G4" s="100" t="str">
        <f aca="false">Equipos!K2</f>
        <v>ASJL-0008</v>
      </c>
      <c r="H4" s="101"/>
      <c r="I4" s="102"/>
      <c r="J4" s="103" t="s">
        <v>328</v>
      </c>
      <c r="K4" s="102"/>
      <c r="L4" s="102"/>
      <c r="M4" s="103" t="s">
        <v>328</v>
      </c>
      <c r="N4" s="102"/>
      <c r="O4" s="102"/>
      <c r="P4" s="102"/>
      <c r="Q4" s="102"/>
      <c r="R4" s="102"/>
      <c r="S4" s="102"/>
      <c r="T4" s="102"/>
      <c r="U4" s="101" t="n">
        <f aca="false">V4+W4+X4+COUNTIF(I4:T4,"R")</f>
        <v>2</v>
      </c>
      <c r="V4" s="101" t="n">
        <f aca="false">COUNTIF(I4:T4,"E")</f>
        <v>2</v>
      </c>
      <c r="W4" s="101" t="n">
        <f aca="false">COUNTIF(I4:T4,"X")</f>
        <v>0</v>
      </c>
      <c r="X4" s="101" t="n">
        <f aca="false">COUNTIF(I4:T4,"C2")+COUNTIF(I4:T4,"C3")</f>
        <v>0</v>
      </c>
      <c r="Y4" s="101" t="n">
        <f aca="true">SUMPRODUCT((I4:INDEX(I4:T4,MONTH(TODAY()))="X")*1)</f>
        <v>0</v>
      </c>
      <c r="Z4" s="104" t="n">
        <f aca="false">IFERROR(V4/U4,"")</f>
        <v>1</v>
      </c>
    </row>
    <row r="5" customFormat="false" ht="15" hidden="false" customHeight="true" outlineLevel="0" collapsed="false">
      <c r="A5" s="100" t="str">
        <f aca="false">Equipos!C3</f>
        <v>2-116070</v>
      </c>
      <c r="B5" s="101" t="str">
        <f aca="false">Equipos!D3</f>
        <v>Incubadora</v>
      </c>
      <c r="C5" s="101" t="str">
        <f aca="false">Equipos!E3</f>
        <v>Neonatología</v>
      </c>
      <c r="D5" s="101" t="str">
        <f aca="false">Equipos!G3</f>
        <v>SALA EQUIPOS</v>
      </c>
      <c r="E5" s="101" t="str">
        <f aca="false">Equipos!I3</f>
        <v>GENERAL ELECTRIC</v>
      </c>
      <c r="F5" s="101" t="str">
        <f aca="false">Equipos!J3</f>
        <v>GIRAFFE OMNIBED CARESTATION</v>
      </c>
      <c r="G5" s="100" t="str">
        <f aca="false">Equipos!K3</f>
        <v>TABX62307</v>
      </c>
      <c r="H5" s="101"/>
      <c r="I5" s="102"/>
      <c r="J5" s="103" t="s">
        <v>328</v>
      </c>
      <c r="K5" s="102"/>
      <c r="L5" s="102"/>
      <c r="M5" s="103" t="s">
        <v>328</v>
      </c>
      <c r="N5" s="102"/>
      <c r="O5" s="102"/>
      <c r="P5" s="102"/>
      <c r="Q5" s="102"/>
      <c r="R5" s="102"/>
      <c r="S5" s="102"/>
      <c r="T5" s="102"/>
      <c r="U5" s="101" t="n">
        <f aca="false">V5+W5+X5+COUNTIF(I5:T5,"R")</f>
        <v>2</v>
      </c>
      <c r="V5" s="101" t="n">
        <f aca="false">COUNTIF(I5:T5,"E")</f>
        <v>2</v>
      </c>
      <c r="W5" s="101" t="n">
        <f aca="false">COUNTIF(I5:T5,"X")</f>
        <v>0</v>
      </c>
      <c r="X5" s="101" t="n">
        <f aca="false">COUNTIF(I5:T5,"C2")+COUNTIF(I5:T5,"C3")</f>
        <v>0</v>
      </c>
      <c r="Y5" s="101" t="n">
        <f aca="true">SUMPRODUCT((I5:INDEX(I5:T5,MONTH(TODAY()))="X")*1)</f>
        <v>0</v>
      </c>
      <c r="Z5" s="104" t="n">
        <f aca="false">IFERROR(V5/U5,"")</f>
        <v>1</v>
      </c>
    </row>
    <row r="6" customFormat="false" ht="15" hidden="false" customHeight="true" outlineLevel="0" collapsed="false">
      <c r="A6" s="100" t="str">
        <f aca="false">Equipos!C4</f>
        <v>2-116071</v>
      </c>
      <c r="B6" s="101" t="str">
        <f aca="false">Equipos!D4</f>
        <v>Incubadora</v>
      </c>
      <c r="C6" s="101" t="str">
        <f aca="false">Equipos!E4</f>
        <v>Neonatología</v>
      </c>
      <c r="D6" s="101" t="str">
        <f aca="false">Equipos!G4</f>
        <v>UCI 16</v>
      </c>
      <c r="E6" s="101" t="str">
        <f aca="false">Equipos!I4</f>
        <v>GENERAL ELECTRIC</v>
      </c>
      <c r="F6" s="101" t="str">
        <f aca="false">Equipos!J4</f>
        <v>GIRAFFE OMNIBED CARESTATION</v>
      </c>
      <c r="G6" s="100" t="str">
        <f aca="false">Equipos!K4</f>
        <v>TABX62308</v>
      </c>
      <c r="H6" s="101"/>
      <c r="I6" s="102"/>
      <c r="J6" s="103" t="s">
        <v>328</v>
      </c>
      <c r="K6" s="102"/>
      <c r="L6" s="102"/>
      <c r="M6" s="103" t="s">
        <v>328</v>
      </c>
      <c r="N6" s="102"/>
      <c r="O6" s="102"/>
      <c r="P6" s="102"/>
      <c r="Q6" s="102"/>
      <c r="R6" s="102"/>
      <c r="S6" s="102"/>
      <c r="T6" s="102"/>
      <c r="U6" s="101" t="n">
        <f aca="false">V6+W6+X6+COUNTIF(I6:T6,"R")</f>
        <v>2</v>
      </c>
      <c r="V6" s="101" t="n">
        <f aca="false">COUNTIF(I6:T6,"E")</f>
        <v>2</v>
      </c>
      <c r="W6" s="101" t="n">
        <f aca="false">COUNTIF(I6:T6,"X")</f>
        <v>0</v>
      </c>
      <c r="X6" s="101" t="n">
        <f aca="false">COUNTIF(I6:T6,"C2")+COUNTIF(I6:T6,"C3")</f>
        <v>0</v>
      </c>
      <c r="Y6" s="101" t="n">
        <f aca="true">SUMPRODUCT((I6:INDEX(I6:T6,MONTH(TODAY()))="X")*1)</f>
        <v>0</v>
      </c>
      <c r="Z6" s="104" t="n">
        <f aca="false">IFERROR(V6/U6,"")</f>
        <v>1</v>
      </c>
    </row>
    <row r="7" customFormat="false" ht="15" hidden="false" customHeight="true" outlineLevel="0" collapsed="false">
      <c r="A7" s="100" t="str">
        <f aca="false">Equipos!C5</f>
        <v>2-116018</v>
      </c>
      <c r="B7" s="101" t="str">
        <f aca="false">Equipos!D5</f>
        <v>Incubadora</v>
      </c>
      <c r="C7" s="101" t="str">
        <f aca="false">Equipos!E5</f>
        <v>Neonatología</v>
      </c>
      <c r="D7" s="101" t="str">
        <f aca="false">Equipos!G5</f>
        <v>UTI 1/4</v>
      </c>
      <c r="E7" s="101" t="str">
        <f aca="false">Equipos!I5</f>
        <v>DRAGER</v>
      </c>
      <c r="F7" s="101" t="str">
        <f aca="false">Equipos!J5</f>
        <v>CALEO</v>
      </c>
      <c r="G7" s="100" t="str">
        <f aca="false">Equipos!K5</f>
        <v>ASHM-0118</v>
      </c>
      <c r="H7" s="101"/>
      <c r="I7" s="102"/>
      <c r="J7" s="103" t="s">
        <v>328</v>
      </c>
      <c r="K7" s="102"/>
      <c r="L7" s="102"/>
      <c r="M7" s="103" t="s">
        <v>328</v>
      </c>
      <c r="N7" s="102" t="s">
        <v>328</v>
      </c>
      <c r="O7" s="102"/>
      <c r="P7" s="102"/>
      <c r="Q7" s="102"/>
      <c r="R7" s="102"/>
      <c r="S7" s="102"/>
      <c r="T7" s="102"/>
      <c r="U7" s="101" t="n">
        <f aca="false">V7+W7+X7+COUNTIF(I7:T7,"R")</f>
        <v>3</v>
      </c>
      <c r="V7" s="101" t="n">
        <f aca="false">COUNTIF(I7:T7,"E")</f>
        <v>3</v>
      </c>
      <c r="W7" s="101" t="n">
        <f aca="false">COUNTIF(I7:T7,"X")</f>
        <v>0</v>
      </c>
      <c r="X7" s="101" t="n">
        <f aca="false">COUNTIF(I7:T7,"C2")+COUNTIF(I7:T7,"C3")</f>
        <v>0</v>
      </c>
      <c r="Y7" s="101" t="n">
        <f aca="true">SUMPRODUCT((I7:INDEX(I7:T7,MONTH(TODAY()))="X")*1)</f>
        <v>0</v>
      </c>
      <c r="Z7" s="104" t="n">
        <f aca="false">IFERROR(V7/U7,"")</f>
        <v>1</v>
      </c>
    </row>
    <row r="8" customFormat="false" ht="15" hidden="false" customHeight="true" outlineLevel="0" collapsed="false">
      <c r="A8" s="100" t="str">
        <f aca="false">Equipos!C6</f>
        <v>2-116072</v>
      </c>
      <c r="B8" s="101" t="str">
        <f aca="false">Equipos!D6</f>
        <v>Incubadora</v>
      </c>
      <c r="C8" s="101" t="str">
        <f aca="false">Equipos!E6</f>
        <v>Neonatología</v>
      </c>
      <c r="D8" s="101" t="str">
        <f aca="false">Equipos!G6</f>
        <v>UCI 4</v>
      </c>
      <c r="E8" s="101" t="str">
        <f aca="false">Equipos!I6</f>
        <v>GENERAL ELECTRIC</v>
      </c>
      <c r="F8" s="101" t="str">
        <f aca="false">Equipos!J6</f>
        <v>GIRAFFE OMNIBED CARESTATION</v>
      </c>
      <c r="G8" s="100" t="str">
        <f aca="false">Equipos!K6</f>
        <v>TABX62309</v>
      </c>
      <c r="H8" s="101"/>
      <c r="I8" s="102"/>
      <c r="J8" s="103" t="s">
        <v>328</v>
      </c>
      <c r="K8" s="102"/>
      <c r="L8" s="102"/>
      <c r="M8" s="102" t="s">
        <v>329</v>
      </c>
      <c r="N8" s="102"/>
      <c r="O8" s="102"/>
      <c r="P8" s="102"/>
      <c r="Q8" s="102"/>
      <c r="R8" s="102"/>
      <c r="S8" s="102"/>
      <c r="T8" s="102"/>
      <c r="U8" s="101" t="n">
        <f aca="false">V8+W8+X8+COUNTIF(I8:T8,"R")</f>
        <v>2</v>
      </c>
      <c r="V8" s="101" t="n">
        <f aca="false">COUNTIF(I8:T8,"E")</f>
        <v>1</v>
      </c>
      <c r="W8" s="101" t="n">
        <f aca="false">COUNTIF(I8:T8,"X")</f>
        <v>1</v>
      </c>
      <c r="X8" s="101" t="n">
        <f aca="false">COUNTIF(I8:T8,"C2")+COUNTIF(I8:T8,"C3")</f>
        <v>0</v>
      </c>
      <c r="Y8" s="101" t="n">
        <f aca="true">SUMPRODUCT((I8:INDEX(I8:T8,MONTH(TODAY()))="X")*1)</f>
        <v>1</v>
      </c>
      <c r="Z8" s="104" t="n">
        <f aca="false">IFERROR(V8/U8,"")</f>
        <v>0.5</v>
      </c>
    </row>
    <row r="9" customFormat="false" ht="15" hidden="false" customHeight="true" outlineLevel="0" collapsed="false">
      <c r="A9" s="100" t="n">
        <f aca="false">Equipos!C7</f>
        <v>0</v>
      </c>
      <c r="B9" s="101" t="n">
        <f aca="false">Equipos!D7</f>
        <v>0</v>
      </c>
      <c r="C9" s="101" t="n">
        <f aca="false">Equipos!E7</f>
        <v>0</v>
      </c>
      <c r="D9" s="101" t="n">
        <f aca="false">Equipos!G7</f>
        <v>0</v>
      </c>
      <c r="E9" s="101" t="n">
        <f aca="false">Equipos!I7</f>
        <v>0</v>
      </c>
      <c r="F9" s="101" t="n">
        <f aca="false">Equipos!J7</f>
        <v>0</v>
      </c>
      <c r="G9" s="100" t="n">
        <f aca="false">Equipos!K7</f>
        <v>0</v>
      </c>
      <c r="H9" s="101"/>
      <c r="I9" s="102"/>
      <c r="J9" s="102"/>
      <c r="K9" s="102"/>
      <c r="L9" s="102"/>
      <c r="M9" s="102"/>
      <c r="N9" s="102"/>
      <c r="O9" s="102"/>
      <c r="P9" s="102"/>
      <c r="Q9" s="102"/>
      <c r="R9" s="102"/>
      <c r="S9" s="102"/>
      <c r="T9" s="102"/>
      <c r="U9" s="101" t="n">
        <f aca="false">V9+W9+X9+COUNTIF(I9:T9,"R")</f>
        <v>0</v>
      </c>
      <c r="V9" s="101" t="n">
        <f aca="false">COUNTIF(I9:T9,"E")</f>
        <v>0</v>
      </c>
      <c r="W9" s="101" t="n">
        <f aca="false">COUNTIF(I9:T9,"X")</f>
        <v>0</v>
      </c>
      <c r="X9" s="101" t="n">
        <f aca="false">COUNTIF(I9:T9,"C2")+COUNTIF(I9:T9,"C3")</f>
        <v>0</v>
      </c>
      <c r="Y9" s="101" t="n">
        <f aca="true">SUMPRODUCT((I9:INDEX(I9:T9,MONTH(TODAY()))="X")*1)</f>
        <v>0</v>
      </c>
      <c r="Z9" s="104" t="str">
        <f aca="false">IFERROR(V9/U9,"")</f>
        <v/>
      </c>
    </row>
    <row r="10" customFormat="false" ht="15" hidden="false" customHeight="true" outlineLevel="0" collapsed="false">
      <c r="A10" s="100" t="str">
        <f aca="false">Equipos!C8</f>
        <v>2-022133</v>
      </c>
      <c r="B10" s="101" t="str">
        <f aca="false">Equipos!D8</f>
        <v>Incubadora</v>
      </c>
      <c r="C10" s="101" t="str">
        <f aca="false">Equipos!E8</f>
        <v>Neonatología</v>
      </c>
      <c r="D10" s="101" t="str">
        <f aca="false">Equipos!G8</f>
        <v>Pasillo</v>
      </c>
      <c r="E10" s="101" t="str">
        <f aca="false">Equipos!I8</f>
        <v>HILL-ROM</v>
      </c>
      <c r="F10" s="101" t="str">
        <f aca="false">Equipos!J8</f>
        <v>TI500</v>
      </c>
      <c r="G10" s="100" t="str">
        <f aca="false">Equipos!K8</f>
        <v>VD03887</v>
      </c>
      <c r="H10" s="101"/>
      <c r="I10" s="102"/>
      <c r="J10" s="103" t="s">
        <v>328</v>
      </c>
      <c r="K10" s="102"/>
      <c r="L10" s="102"/>
      <c r="M10" s="103" t="s">
        <v>328</v>
      </c>
      <c r="N10" s="102"/>
      <c r="O10" s="102"/>
      <c r="P10" s="102"/>
      <c r="Q10" s="102"/>
      <c r="R10" s="102"/>
      <c r="S10" s="102"/>
      <c r="T10" s="102"/>
      <c r="U10" s="101" t="n">
        <f aca="false">V10+W10+X10+COUNTIF(I10:T10,"R")</f>
        <v>2</v>
      </c>
      <c r="V10" s="101" t="n">
        <f aca="false">COUNTIF(I10:T10,"E")</f>
        <v>2</v>
      </c>
      <c r="W10" s="101" t="n">
        <f aca="false">COUNTIF(I10:T10,"X")</f>
        <v>0</v>
      </c>
      <c r="X10" s="101" t="n">
        <f aca="false">COUNTIF(I10:T10,"C2")+COUNTIF(I10:T10,"C3")</f>
        <v>0</v>
      </c>
      <c r="Y10" s="101" t="n">
        <f aca="true">SUMPRODUCT((I10:INDEX(I10:T10,MONTH(TODAY()))="X")*1)</f>
        <v>0</v>
      </c>
      <c r="Z10" s="104" t="n">
        <f aca="false">IFERROR(V10/U10,"")</f>
        <v>1</v>
      </c>
    </row>
    <row r="11" customFormat="false" ht="15" hidden="false" customHeight="true" outlineLevel="0" collapsed="false">
      <c r="A11" s="100" t="str">
        <f aca="false">Equipos!C9</f>
        <v>2-116019</v>
      </c>
      <c r="B11" s="101" t="str">
        <f aca="false">Equipos!D9</f>
        <v>Incubadora</v>
      </c>
      <c r="C11" s="101" t="str">
        <f aca="false">Equipos!E9</f>
        <v>Neonatología</v>
      </c>
      <c r="D11" s="101" t="str">
        <f aca="false">Equipos!G9</f>
        <v>UCI 2</v>
      </c>
      <c r="E11" s="101" t="str">
        <f aca="false">Equipos!I9</f>
        <v>DRAGER</v>
      </c>
      <c r="F11" s="101" t="str">
        <f aca="false">Equipos!J9</f>
        <v>CALEO</v>
      </c>
      <c r="G11" s="100" t="str">
        <f aca="false">Equipos!K9</f>
        <v>ASLB-0016</v>
      </c>
      <c r="H11" s="101"/>
      <c r="I11" s="102"/>
      <c r="J11" s="103" t="s">
        <v>328</v>
      </c>
      <c r="K11" s="102"/>
      <c r="L11" s="102"/>
      <c r="M11" s="103" t="s">
        <v>328</v>
      </c>
      <c r="N11" s="102"/>
      <c r="O11" s="102"/>
      <c r="P11" s="102"/>
      <c r="Q11" s="102"/>
      <c r="R11" s="102"/>
      <c r="S11" s="102"/>
      <c r="T11" s="102"/>
      <c r="U11" s="101" t="n">
        <f aca="false">V11+W11+X11+COUNTIF(I11:T11,"R")</f>
        <v>2</v>
      </c>
      <c r="V11" s="101" t="n">
        <f aca="false">COUNTIF(I11:T11,"E")</f>
        <v>2</v>
      </c>
      <c r="W11" s="101" t="n">
        <f aca="false">COUNTIF(I11:T11,"X")</f>
        <v>0</v>
      </c>
      <c r="X11" s="101" t="n">
        <f aca="false">COUNTIF(I11:T11,"C2")+COUNTIF(I11:T11,"C3")</f>
        <v>0</v>
      </c>
      <c r="Y11" s="101" t="n">
        <f aca="true">SUMPRODUCT((I11:INDEX(I11:T11,MONTH(TODAY()))="X")*1)</f>
        <v>0</v>
      </c>
      <c r="Z11" s="104" t="n">
        <f aca="false">IFERROR(V11/U11,"")</f>
        <v>1</v>
      </c>
    </row>
    <row r="12" customFormat="false" ht="15" hidden="false" customHeight="true" outlineLevel="0" collapsed="false">
      <c r="A12" s="100" t="str">
        <f aca="false">Equipos!C10</f>
        <v>2-116073</v>
      </c>
      <c r="B12" s="101" t="str">
        <f aca="false">Equipos!D10</f>
        <v>Incubadora</v>
      </c>
      <c r="C12" s="101" t="str">
        <f aca="false">Equipos!E10</f>
        <v>Neonatología</v>
      </c>
      <c r="D12" s="101" t="str">
        <f aca="false">Equipos!G10</f>
        <v>UTI 2/6</v>
      </c>
      <c r="E12" s="101" t="str">
        <f aca="false">Equipos!I10</f>
        <v>GENERAL ELECTRIC</v>
      </c>
      <c r="F12" s="101" t="str">
        <f aca="false">Equipos!J10</f>
        <v>GIRAFFE OMNIBED CARESTATION</v>
      </c>
      <c r="G12" s="100" t="str">
        <f aca="false">Equipos!K10</f>
        <v>TABX62310</v>
      </c>
      <c r="H12" s="101"/>
      <c r="I12" s="102"/>
      <c r="J12" s="103" t="s">
        <v>328</v>
      </c>
      <c r="K12" s="102"/>
      <c r="L12" s="102"/>
      <c r="M12" s="102" t="s">
        <v>329</v>
      </c>
      <c r="N12" s="102"/>
      <c r="O12" s="102"/>
      <c r="P12" s="102"/>
      <c r="Q12" s="102"/>
      <c r="R12" s="102"/>
      <c r="S12" s="102"/>
      <c r="T12" s="102"/>
      <c r="U12" s="101" t="n">
        <f aca="false">V12+W12+X12+COUNTIF(I12:T12,"R")</f>
        <v>2</v>
      </c>
      <c r="V12" s="101" t="n">
        <f aca="false">COUNTIF(I12:T12,"E")</f>
        <v>1</v>
      </c>
      <c r="W12" s="101" t="n">
        <f aca="false">COUNTIF(I12:T12,"X")</f>
        <v>1</v>
      </c>
      <c r="X12" s="101" t="n">
        <f aca="false">COUNTIF(I12:T12,"C2")+COUNTIF(I12:T12,"C3")</f>
        <v>0</v>
      </c>
      <c r="Y12" s="101" t="n">
        <f aca="true">SUMPRODUCT((I12:INDEX(I12:T12,MONTH(TODAY()))="X")*1)</f>
        <v>1</v>
      </c>
      <c r="Z12" s="104" t="n">
        <f aca="false">IFERROR(V12/U12,"")</f>
        <v>0.5</v>
      </c>
    </row>
    <row r="13" customFormat="false" ht="15" hidden="false" customHeight="true" outlineLevel="0" collapsed="false">
      <c r="A13" s="100" t="n">
        <f aca="false">Equipos!C11</f>
        <v>0</v>
      </c>
      <c r="B13" s="101" t="n">
        <f aca="false">Equipos!D11</f>
        <v>0</v>
      </c>
      <c r="C13" s="101" t="n">
        <f aca="false">Equipos!E11</f>
        <v>0</v>
      </c>
      <c r="D13" s="101" t="n">
        <f aca="false">Equipos!G11</f>
        <v>0</v>
      </c>
      <c r="E13" s="101" t="n">
        <f aca="false">Equipos!I11</f>
        <v>0</v>
      </c>
      <c r="F13" s="101" t="n">
        <f aca="false">Equipos!J11</f>
        <v>0</v>
      </c>
      <c r="G13" s="100" t="n">
        <f aca="false">Equipos!K11</f>
        <v>0</v>
      </c>
      <c r="H13" s="101"/>
      <c r="I13" s="102"/>
      <c r="J13" s="102"/>
      <c r="K13" s="102"/>
      <c r="L13" s="102"/>
      <c r="M13" s="102"/>
      <c r="N13" s="102"/>
      <c r="O13" s="102"/>
      <c r="P13" s="102"/>
      <c r="Q13" s="102"/>
      <c r="R13" s="102"/>
      <c r="S13" s="102"/>
      <c r="T13" s="102"/>
      <c r="U13" s="101" t="n">
        <f aca="false">V13+W13+X13+COUNTIF(I13:T13,"R")</f>
        <v>0</v>
      </c>
      <c r="V13" s="101" t="n">
        <f aca="false">COUNTIF(I13:T13,"E")</f>
        <v>0</v>
      </c>
      <c r="W13" s="101" t="n">
        <f aca="false">COUNTIF(I13:T13,"X")</f>
        <v>0</v>
      </c>
      <c r="X13" s="101" t="n">
        <f aca="false">COUNTIF(I13:T13,"C2")+COUNTIF(I13:T13,"C3")</f>
        <v>0</v>
      </c>
      <c r="Y13" s="101" t="n">
        <f aca="true">SUMPRODUCT((I13:INDEX(I13:T13,MONTH(TODAY()))="X")*1)</f>
        <v>0</v>
      </c>
      <c r="Z13" s="104" t="str">
        <f aca="false">IFERROR(V13/U13,"")</f>
        <v/>
      </c>
    </row>
    <row r="14" customFormat="false" ht="15" hidden="false" customHeight="true" outlineLevel="0" collapsed="false">
      <c r="A14" s="100" t="str">
        <f aca="false">Equipos!C12</f>
        <v>2-125347</v>
      </c>
      <c r="B14" s="101" t="str">
        <f aca="false">Equipos!D12</f>
        <v>Incubadora</v>
      </c>
      <c r="C14" s="101" t="str">
        <f aca="false">Equipos!E12</f>
        <v>SAMU</v>
      </c>
      <c r="D14" s="101" t="str">
        <f aca="false">Equipos!G12</f>
        <v>Base 1</v>
      </c>
      <c r="E14" s="101" t="str">
        <f aca="false">Equipos!I12</f>
        <v>ATOM</v>
      </c>
      <c r="F14" s="101" t="str">
        <f aca="false">Equipos!J12</f>
        <v>INCU ARCH</v>
      </c>
      <c r="G14" s="100" t="str">
        <f aca="false">Equipos!K12</f>
        <v>621012300012</v>
      </c>
      <c r="H14" s="101"/>
      <c r="I14" s="102"/>
      <c r="J14" s="103" t="s">
        <v>328</v>
      </c>
      <c r="K14" s="102"/>
      <c r="L14" s="102"/>
      <c r="M14" s="102" t="s">
        <v>329</v>
      </c>
      <c r="N14" s="102"/>
      <c r="O14" s="102"/>
      <c r="P14" s="102"/>
      <c r="Q14" s="102"/>
      <c r="R14" s="102"/>
      <c r="S14" s="102"/>
      <c r="T14" s="102"/>
      <c r="U14" s="101" t="n">
        <f aca="false">V14+W14+X14+COUNTIF(I14:T14,"R")</f>
        <v>2</v>
      </c>
      <c r="V14" s="101" t="n">
        <f aca="false">COUNTIF(I14:T14,"E")</f>
        <v>1</v>
      </c>
      <c r="W14" s="101" t="n">
        <f aca="false">COUNTIF(I14:T14,"X")</f>
        <v>1</v>
      </c>
      <c r="X14" s="101" t="n">
        <f aca="false">COUNTIF(I14:T14,"C2")+COUNTIF(I14:T14,"C3")</f>
        <v>0</v>
      </c>
      <c r="Y14" s="101" t="n">
        <f aca="true">SUMPRODUCT((I14:INDEX(I14:T14,MONTH(TODAY()))="X")*1)</f>
        <v>1</v>
      </c>
      <c r="Z14" s="104" t="n">
        <f aca="false">IFERROR(V14/U14,"")</f>
        <v>0.5</v>
      </c>
    </row>
    <row r="15" customFormat="false" ht="15" hidden="false" customHeight="true" outlineLevel="0" collapsed="false">
      <c r="A15" s="100" t="n">
        <f aca="false">Equipos!C13</f>
        <v>0</v>
      </c>
      <c r="B15" s="101" t="n">
        <f aca="false">Equipos!D13</f>
        <v>0</v>
      </c>
      <c r="C15" s="101" t="n">
        <f aca="false">Equipos!E13</f>
        <v>0</v>
      </c>
      <c r="D15" s="101" t="n">
        <f aca="false">Equipos!G13</f>
        <v>0</v>
      </c>
      <c r="E15" s="101" t="n">
        <f aca="false">Equipos!I13</f>
        <v>0</v>
      </c>
      <c r="F15" s="101" t="n">
        <f aca="false">Equipos!J13</f>
        <v>0</v>
      </c>
      <c r="G15" s="100" t="n">
        <f aca="false">Equipos!K13</f>
        <v>0</v>
      </c>
      <c r="H15" s="101"/>
      <c r="I15" s="102"/>
      <c r="J15" s="102"/>
      <c r="K15" s="102"/>
      <c r="L15" s="102"/>
      <c r="M15" s="102"/>
      <c r="N15" s="102"/>
      <c r="O15" s="102"/>
      <c r="P15" s="102"/>
      <c r="Q15" s="102"/>
      <c r="R15" s="102"/>
      <c r="S15" s="102"/>
      <c r="T15" s="102"/>
      <c r="U15" s="101" t="n">
        <f aca="false">V15+W15+X15+COUNTIF(I15:T15,"R")</f>
        <v>0</v>
      </c>
      <c r="V15" s="101" t="n">
        <f aca="false">COUNTIF(I15:T15,"E")</f>
        <v>0</v>
      </c>
      <c r="W15" s="101" t="n">
        <f aca="false">COUNTIF(I15:T15,"X")</f>
        <v>0</v>
      </c>
      <c r="X15" s="101" t="n">
        <f aca="false">COUNTIF(I15:T15,"C2")+COUNTIF(I15:T15,"C3")</f>
        <v>0</v>
      </c>
      <c r="Y15" s="101" t="n">
        <f aca="true">SUMPRODUCT((I15:INDEX(I15:T15,MONTH(TODAY()))="X")*1)</f>
        <v>0</v>
      </c>
      <c r="Z15" s="104" t="str">
        <f aca="false">IFERROR(V15/U15,"")</f>
        <v/>
      </c>
    </row>
    <row r="16" customFormat="false" ht="15" hidden="false" customHeight="true" outlineLevel="0" collapsed="false">
      <c r="A16" s="100" t="n">
        <f aca="false">Equipos!C14</f>
        <v>0</v>
      </c>
      <c r="B16" s="101" t="n">
        <f aca="false">Equipos!D14</f>
        <v>0</v>
      </c>
      <c r="C16" s="101" t="n">
        <f aca="false">Equipos!E14</f>
        <v>0</v>
      </c>
      <c r="D16" s="101" t="n">
        <f aca="false">Equipos!G14</f>
        <v>0</v>
      </c>
      <c r="E16" s="101" t="n">
        <f aca="false">Equipos!I14</f>
        <v>0</v>
      </c>
      <c r="F16" s="101" t="n">
        <f aca="false">Equipos!J14</f>
        <v>0</v>
      </c>
      <c r="G16" s="100" t="n">
        <f aca="false">Equipos!K14</f>
        <v>0</v>
      </c>
      <c r="H16" s="101"/>
      <c r="I16" s="102"/>
      <c r="J16" s="102"/>
      <c r="K16" s="102"/>
      <c r="L16" s="102"/>
      <c r="M16" s="102"/>
      <c r="N16" s="102"/>
      <c r="O16" s="102"/>
      <c r="P16" s="102"/>
      <c r="Q16" s="102"/>
      <c r="R16" s="102"/>
      <c r="S16" s="102"/>
      <c r="T16" s="102"/>
      <c r="U16" s="101" t="n">
        <f aca="false">V16+W16+X16+COUNTIF(I16:T16,"R")</f>
        <v>0</v>
      </c>
      <c r="V16" s="101" t="n">
        <f aca="false">COUNTIF(I16:T16,"E")</f>
        <v>0</v>
      </c>
      <c r="W16" s="101" t="n">
        <f aca="false">COUNTIF(I16:T16,"X")</f>
        <v>0</v>
      </c>
      <c r="X16" s="101" t="n">
        <f aca="false">COUNTIF(I16:T16,"C2")+COUNTIF(I16:T16,"C3")</f>
        <v>0</v>
      </c>
      <c r="Y16" s="101" t="n">
        <f aca="true">SUMPRODUCT((I16:INDEX(I16:T16,MONTH(TODAY()))="X")*1)</f>
        <v>0</v>
      </c>
      <c r="Z16" s="104" t="str">
        <f aca="false">IFERROR(V16/U16,"")</f>
        <v/>
      </c>
    </row>
    <row r="17" customFormat="false" ht="15" hidden="false" customHeight="true" outlineLevel="0" collapsed="false">
      <c r="A17" s="100" t="n">
        <f aca="false">Equipos!C15</f>
        <v>0</v>
      </c>
      <c r="B17" s="101" t="n">
        <f aca="false">Equipos!D15</f>
        <v>0</v>
      </c>
      <c r="C17" s="101" t="n">
        <f aca="false">Equipos!E15</f>
        <v>0</v>
      </c>
      <c r="D17" s="101" t="n">
        <f aca="false">Equipos!G15</f>
        <v>0</v>
      </c>
      <c r="E17" s="101" t="n">
        <f aca="false">Equipos!I15</f>
        <v>0</v>
      </c>
      <c r="F17" s="101" t="n">
        <f aca="false">Equipos!J15</f>
        <v>0</v>
      </c>
      <c r="G17" s="100" t="n">
        <f aca="false">Equipos!K15</f>
        <v>0</v>
      </c>
      <c r="H17" s="101"/>
      <c r="I17" s="102"/>
      <c r="J17" s="102"/>
      <c r="K17" s="102"/>
      <c r="L17" s="102"/>
      <c r="M17" s="102"/>
      <c r="N17" s="102"/>
      <c r="O17" s="102"/>
      <c r="P17" s="102"/>
      <c r="Q17" s="102"/>
      <c r="R17" s="102"/>
      <c r="S17" s="102"/>
      <c r="T17" s="102"/>
      <c r="U17" s="101" t="n">
        <f aca="false">V17+W17+X17+COUNTIF(I17:T17,"R")</f>
        <v>0</v>
      </c>
      <c r="V17" s="101" t="n">
        <f aca="false">COUNTIF(I17:T17,"E")</f>
        <v>0</v>
      </c>
      <c r="W17" s="101" t="n">
        <f aca="false">COUNTIF(I17:T17,"X")</f>
        <v>0</v>
      </c>
      <c r="X17" s="101" t="n">
        <f aca="false">COUNTIF(I17:T17,"C2")+COUNTIF(I17:T17,"C3")</f>
        <v>0</v>
      </c>
      <c r="Y17" s="101" t="n">
        <f aca="true">SUMPRODUCT((I17:INDEX(I17:T17,MONTH(TODAY()))="X")*1)</f>
        <v>0</v>
      </c>
      <c r="Z17" s="104" t="str">
        <f aca="false">IFERROR(V17/U17,"")</f>
        <v/>
      </c>
    </row>
    <row r="18" customFormat="false" ht="15" hidden="false" customHeight="true" outlineLevel="0" collapsed="false">
      <c r="A18" s="100" t="n">
        <f aca="false">Equipos!C16</f>
        <v>0</v>
      </c>
      <c r="B18" s="101" t="n">
        <f aca="false">Equipos!D16</f>
        <v>0</v>
      </c>
      <c r="C18" s="101" t="n">
        <f aca="false">Equipos!E16</f>
        <v>0</v>
      </c>
      <c r="D18" s="101" t="n">
        <f aca="false">Equipos!G16</f>
        <v>0</v>
      </c>
      <c r="E18" s="101" t="n">
        <f aca="false">Equipos!I16</f>
        <v>0</v>
      </c>
      <c r="F18" s="101" t="n">
        <f aca="false">Equipos!J16</f>
        <v>0</v>
      </c>
      <c r="G18" s="100" t="n">
        <f aca="false">Equipos!K16</f>
        <v>0</v>
      </c>
      <c r="H18" s="101"/>
      <c r="I18" s="102"/>
      <c r="J18" s="102"/>
      <c r="K18" s="102"/>
      <c r="L18" s="102"/>
      <c r="M18" s="102"/>
      <c r="N18" s="102"/>
      <c r="O18" s="102"/>
      <c r="P18" s="102"/>
      <c r="Q18" s="102"/>
      <c r="R18" s="102"/>
      <c r="S18" s="102"/>
      <c r="T18" s="102"/>
      <c r="U18" s="101" t="n">
        <f aca="false">V18+W18+X18+COUNTIF(I18:T18,"R")</f>
        <v>0</v>
      </c>
      <c r="V18" s="101" t="n">
        <f aca="false">COUNTIF(I18:T18,"E")</f>
        <v>0</v>
      </c>
      <c r="W18" s="101" t="n">
        <f aca="false">COUNTIF(I18:T18,"X")</f>
        <v>0</v>
      </c>
      <c r="X18" s="101" t="n">
        <f aca="false">COUNTIF(I18:T18,"C2")+COUNTIF(I18:T18,"C3")</f>
        <v>0</v>
      </c>
      <c r="Y18" s="101" t="n">
        <f aca="true">SUMPRODUCT((I18:INDEX(I18:T18,MONTH(TODAY()))="X")*1)</f>
        <v>0</v>
      </c>
      <c r="Z18" s="104" t="str">
        <f aca="false">IFERROR(V18/U18,"")</f>
        <v/>
      </c>
    </row>
    <row r="19" customFormat="false" ht="15" hidden="false" customHeight="true" outlineLevel="0" collapsed="false">
      <c r="A19" s="100" t="str">
        <f aca="false">Equipos!C17</f>
        <v>2-116024</v>
      </c>
      <c r="B19" s="101" t="str">
        <f aca="false">Equipos!D17</f>
        <v>Incubadora</v>
      </c>
      <c r="C19" s="101" t="str">
        <f aca="false">Equipos!E17</f>
        <v>Neonatología</v>
      </c>
      <c r="D19" s="101" t="str">
        <f aca="false">Equipos!G17</f>
        <v>UTI 3/3</v>
      </c>
      <c r="E19" s="101" t="str">
        <f aca="false">Equipos!I17</f>
        <v>DRAGER</v>
      </c>
      <c r="F19" s="101" t="str">
        <f aca="false">Equipos!J17</f>
        <v>CALEO</v>
      </c>
      <c r="G19" s="100" t="str">
        <f aca="false">Equipos!K17</f>
        <v>ASLB-0009</v>
      </c>
      <c r="H19" s="101"/>
      <c r="I19" s="102"/>
      <c r="J19" s="103" t="s">
        <v>328</v>
      </c>
      <c r="K19" s="102"/>
      <c r="L19" s="102"/>
      <c r="M19" s="103" t="s">
        <v>328</v>
      </c>
      <c r="N19" s="102"/>
      <c r="O19" s="102"/>
      <c r="P19" s="102"/>
      <c r="Q19" s="102"/>
      <c r="R19" s="102"/>
      <c r="S19" s="102"/>
      <c r="T19" s="102"/>
      <c r="U19" s="101" t="n">
        <f aca="false">V19+W19+X19+COUNTIF(I19:T19,"R")</f>
        <v>2</v>
      </c>
      <c r="V19" s="101" t="n">
        <f aca="false">COUNTIF(I19:T19,"E")</f>
        <v>2</v>
      </c>
      <c r="W19" s="101" t="n">
        <f aca="false">COUNTIF(I19:T19,"X")</f>
        <v>0</v>
      </c>
      <c r="X19" s="101" t="n">
        <f aca="false">COUNTIF(I19:T19,"C2")+COUNTIF(I19:T19,"C3")</f>
        <v>0</v>
      </c>
      <c r="Y19" s="101" t="n">
        <f aca="true">SUMPRODUCT((I19:INDEX(I19:T19,MONTH(TODAY()))="X")*1)</f>
        <v>0</v>
      </c>
      <c r="Z19" s="104" t="n">
        <f aca="false">IFERROR(V19/U19,"")</f>
        <v>1</v>
      </c>
    </row>
    <row r="20" customFormat="false" ht="15" hidden="false" customHeight="true" outlineLevel="0" collapsed="false">
      <c r="A20" s="100" t="n">
        <f aca="false">Equipos!C18</f>
        <v>0</v>
      </c>
      <c r="B20" s="101" t="n">
        <f aca="false">Equipos!D18</f>
        <v>0</v>
      </c>
      <c r="C20" s="101" t="n">
        <f aca="false">Equipos!E18</f>
        <v>0</v>
      </c>
      <c r="D20" s="101" t="n">
        <f aca="false">Equipos!G18</f>
        <v>0</v>
      </c>
      <c r="E20" s="101" t="n">
        <f aca="false">Equipos!I18</f>
        <v>0</v>
      </c>
      <c r="F20" s="101" t="n">
        <f aca="false">Equipos!J18</f>
        <v>0</v>
      </c>
      <c r="G20" s="100" t="n">
        <f aca="false">Equipos!K18</f>
        <v>0</v>
      </c>
      <c r="H20" s="101"/>
      <c r="I20" s="102"/>
      <c r="J20" s="102"/>
      <c r="K20" s="102"/>
      <c r="L20" s="102"/>
      <c r="M20" s="102"/>
      <c r="N20" s="102"/>
      <c r="O20" s="102"/>
      <c r="P20" s="102"/>
      <c r="Q20" s="102"/>
      <c r="R20" s="102"/>
      <c r="S20" s="102"/>
      <c r="T20" s="102"/>
      <c r="U20" s="101" t="n">
        <f aca="false">V20+W20+X20+COUNTIF(I20:T20,"R")</f>
        <v>0</v>
      </c>
      <c r="V20" s="101" t="n">
        <f aca="false">COUNTIF(I20:T20,"E")</f>
        <v>0</v>
      </c>
      <c r="W20" s="101" t="n">
        <f aca="false">COUNTIF(I20:T20,"X")</f>
        <v>0</v>
      </c>
      <c r="X20" s="101" t="n">
        <f aca="false">COUNTIF(I20:T20,"C2")+COUNTIF(I20:T20,"C3")</f>
        <v>0</v>
      </c>
      <c r="Y20" s="101" t="n">
        <f aca="true">SUMPRODUCT((I20:INDEX(I20:T20,MONTH(TODAY()))="X")*1)</f>
        <v>0</v>
      </c>
      <c r="Z20" s="104" t="str">
        <f aca="false">IFERROR(V20/U20,"")</f>
        <v/>
      </c>
    </row>
    <row r="21" customFormat="false" ht="15" hidden="false" customHeight="true" outlineLevel="0" collapsed="false">
      <c r="A21" s="100" t="str">
        <f aca="false">Equipos!C19</f>
        <v>2-112137</v>
      </c>
      <c r="B21" s="101" t="str">
        <f aca="false">Equipos!D19</f>
        <v>Incubadora</v>
      </c>
      <c r="C21" s="101" t="str">
        <f aca="false">Equipos!E19</f>
        <v>Neonatología</v>
      </c>
      <c r="D21" s="101" t="str">
        <f aca="false">Equipos!G19</f>
        <v>UTI 1/6</v>
      </c>
      <c r="E21" s="101" t="str">
        <f aca="false">Equipos!I19</f>
        <v>DRAGER</v>
      </c>
      <c r="F21" s="101" t="str">
        <f aca="false">Equipos!J19</f>
        <v>CALEO</v>
      </c>
      <c r="G21" s="100" t="str">
        <f aca="false">Equipos!K19</f>
        <v>ASDA-0012</v>
      </c>
      <c r="H21" s="101"/>
      <c r="I21" s="102"/>
      <c r="J21" s="103" t="s">
        <v>328</v>
      </c>
      <c r="K21" s="102"/>
      <c r="L21" s="102"/>
      <c r="M21" s="103" t="s">
        <v>328</v>
      </c>
      <c r="N21" s="102"/>
      <c r="O21" s="102"/>
      <c r="P21" s="102"/>
      <c r="Q21" s="102"/>
      <c r="R21" s="102"/>
      <c r="S21" s="102"/>
      <c r="T21" s="102"/>
      <c r="U21" s="101" t="n">
        <f aca="false">V21+W21+X21+COUNTIF(I21:T21,"R")</f>
        <v>2</v>
      </c>
      <c r="V21" s="101" t="n">
        <f aca="false">COUNTIF(I21:T21,"E")</f>
        <v>2</v>
      </c>
      <c r="W21" s="101" t="n">
        <f aca="false">COUNTIF(I21:T21,"X")</f>
        <v>0</v>
      </c>
      <c r="X21" s="101" t="n">
        <f aca="false">COUNTIF(I21:T21,"C2")+COUNTIF(I21:T21,"C3")</f>
        <v>0</v>
      </c>
      <c r="Y21" s="101" t="n">
        <f aca="true">SUMPRODUCT((I21:INDEX(I21:T21,MONTH(TODAY()))="X")*1)</f>
        <v>0</v>
      </c>
      <c r="Z21" s="104" t="n">
        <f aca="false">IFERROR(V21/U21,"")</f>
        <v>1</v>
      </c>
    </row>
    <row r="22" customFormat="false" ht="15" hidden="false" customHeight="true" outlineLevel="0" collapsed="false">
      <c r="A22" s="100" t="str">
        <f aca="false">Equipos!C20</f>
        <v>2-016566</v>
      </c>
      <c r="B22" s="101" t="str">
        <f aca="false">Equipos!D20</f>
        <v>Incubadora</v>
      </c>
      <c r="C22" s="101" t="str">
        <f aca="false">Equipos!E20</f>
        <v>Neonatología</v>
      </c>
      <c r="D22" s="101" t="str">
        <f aca="false">Equipos!G20</f>
        <v>UCI 6</v>
      </c>
      <c r="E22" s="101" t="str">
        <f aca="false">Equipos!I20</f>
        <v>DRAGER</v>
      </c>
      <c r="F22" s="101" t="str">
        <f aca="false">Equipos!J20</f>
        <v>CALEO</v>
      </c>
      <c r="G22" s="100" t="str">
        <f aca="false">Equipos!K20</f>
        <v>ASDA-0009</v>
      </c>
      <c r="H22" s="101"/>
      <c r="I22" s="102"/>
      <c r="J22" s="103" t="s">
        <v>328</v>
      </c>
      <c r="K22" s="102"/>
      <c r="L22" s="102"/>
      <c r="M22" s="103" t="s">
        <v>328</v>
      </c>
      <c r="N22" s="102"/>
      <c r="O22" s="102"/>
      <c r="P22" s="102"/>
      <c r="Q22" s="102"/>
      <c r="R22" s="102"/>
      <c r="S22" s="102"/>
      <c r="T22" s="102"/>
      <c r="U22" s="101" t="n">
        <f aca="false">V22+W22+X22+COUNTIF(I22:T22,"R")</f>
        <v>2</v>
      </c>
      <c r="V22" s="101" t="n">
        <f aca="false">COUNTIF(I22:T22,"E")</f>
        <v>2</v>
      </c>
      <c r="W22" s="101" t="n">
        <f aca="false">COUNTIF(I22:T22,"X")</f>
        <v>0</v>
      </c>
      <c r="X22" s="101" t="n">
        <f aca="false">COUNTIF(I22:T22,"C2")+COUNTIF(I22:T22,"C3")</f>
        <v>0</v>
      </c>
      <c r="Y22" s="101" t="n">
        <f aca="true">SUMPRODUCT((I22:INDEX(I22:T22,MONTH(TODAY()))="X")*1)</f>
        <v>0</v>
      </c>
      <c r="Z22" s="104" t="n">
        <f aca="false">IFERROR(V22/U22,"")</f>
        <v>1</v>
      </c>
    </row>
    <row r="23" customFormat="false" ht="15" hidden="false" customHeight="true" outlineLevel="0" collapsed="false">
      <c r="A23" s="100" t="str">
        <f aca="false">Equipos!C21</f>
        <v>2-112138</v>
      </c>
      <c r="B23" s="101" t="str">
        <f aca="false">Equipos!D21</f>
        <v>Incubadora</v>
      </c>
      <c r="C23" s="101" t="str">
        <f aca="false">Equipos!E21</f>
        <v>Neonatología</v>
      </c>
      <c r="D23" s="101" t="str">
        <f aca="false">Equipos!G21</f>
        <v>UCI 13</v>
      </c>
      <c r="E23" s="101" t="str">
        <f aca="false">Equipos!I21</f>
        <v>DRAGER</v>
      </c>
      <c r="F23" s="101" t="str">
        <f aca="false">Equipos!J21</f>
        <v>CALEO</v>
      </c>
      <c r="G23" s="100" t="str">
        <f aca="false">Equipos!K21</f>
        <v>ASDA-0010</v>
      </c>
      <c r="H23" s="101"/>
      <c r="I23" s="102"/>
      <c r="J23" s="103" t="s">
        <v>328</v>
      </c>
      <c r="K23" s="102"/>
      <c r="L23" s="102"/>
      <c r="M23" s="103" t="s">
        <v>328</v>
      </c>
      <c r="N23" s="102"/>
      <c r="O23" s="102"/>
      <c r="P23" s="102"/>
      <c r="Q23" s="102"/>
      <c r="R23" s="102"/>
      <c r="S23" s="102"/>
      <c r="T23" s="102"/>
      <c r="U23" s="101" t="n">
        <f aca="false">V23+W23+X23+COUNTIF(I23:T23,"R")</f>
        <v>2</v>
      </c>
      <c r="V23" s="101" t="n">
        <f aca="false">COUNTIF(I23:T23,"E")</f>
        <v>2</v>
      </c>
      <c r="W23" s="101" t="n">
        <f aca="false">COUNTIF(I23:T23,"X")</f>
        <v>0</v>
      </c>
      <c r="X23" s="101" t="n">
        <f aca="false">COUNTIF(I23:T23,"C2")+COUNTIF(I23:T23,"C3")</f>
        <v>0</v>
      </c>
      <c r="Y23" s="101" t="n">
        <f aca="true">SUMPRODUCT((I23:INDEX(I23:T23,MONTH(TODAY()))="X")*1)</f>
        <v>0</v>
      </c>
      <c r="Z23" s="104" t="n">
        <f aca="false">IFERROR(V23/U23,"")</f>
        <v>1</v>
      </c>
    </row>
    <row r="24" customFormat="false" ht="15" hidden="false" customHeight="true" outlineLevel="0" collapsed="false">
      <c r="A24" s="100" t="str">
        <f aca="false">Equipos!C22</f>
        <v>2-112141</v>
      </c>
      <c r="B24" s="101" t="str">
        <f aca="false">Equipos!D22</f>
        <v>Incubadora</v>
      </c>
      <c r="C24" s="101" t="str">
        <f aca="false">Equipos!E22</f>
        <v>Neonatología</v>
      </c>
      <c r="D24" s="101" t="str">
        <f aca="false">Equipos!G22</f>
        <v>UTI 4/2</v>
      </c>
      <c r="E24" s="101" t="str">
        <f aca="false">Equipos!I22</f>
        <v>DRAGER</v>
      </c>
      <c r="F24" s="101" t="str">
        <f aca="false">Equipos!J22</f>
        <v>CALEO</v>
      </c>
      <c r="G24" s="100" t="str">
        <f aca="false">Equipos!K22</f>
        <v>ASDA-0011</v>
      </c>
      <c r="H24" s="101"/>
      <c r="I24" s="102"/>
      <c r="J24" s="103" t="s">
        <v>328</v>
      </c>
      <c r="K24" s="102"/>
      <c r="L24" s="102"/>
      <c r="M24" s="103" t="s">
        <v>328</v>
      </c>
      <c r="N24" s="102"/>
      <c r="O24" s="102"/>
      <c r="P24" s="102"/>
      <c r="Q24" s="102"/>
      <c r="R24" s="102"/>
      <c r="S24" s="102"/>
      <c r="T24" s="102"/>
      <c r="U24" s="101" t="n">
        <f aca="false">V24+W24+X24+COUNTIF(I24:T24,"R")</f>
        <v>2</v>
      </c>
      <c r="V24" s="101" t="n">
        <f aca="false">COUNTIF(I24:T24,"E")</f>
        <v>2</v>
      </c>
      <c r="W24" s="101" t="n">
        <f aca="false">COUNTIF(I24:T24,"X")</f>
        <v>0</v>
      </c>
      <c r="X24" s="101" t="n">
        <f aca="false">COUNTIF(I24:T24,"C2")+COUNTIF(I24:T24,"C3")</f>
        <v>0</v>
      </c>
      <c r="Y24" s="101" t="n">
        <f aca="true">SUMPRODUCT((I24:INDEX(I24:T24,MONTH(TODAY()))="X")*1)</f>
        <v>0</v>
      </c>
      <c r="Z24" s="104" t="n">
        <f aca="false">IFERROR(V24/U24,"")</f>
        <v>1</v>
      </c>
    </row>
    <row r="25" customFormat="false" ht="15" hidden="false" customHeight="true" outlineLevel="0" collapsed="false">
      <c r="A25" s="100" t="n">
        <f aca="false">Equipos!C23</f>
        <v>0</v>
      </c>
      <c r="B25" s="101" t="n">
        <f aca="false">Equipos!D23</f>
        <v>0</v>
      </c>
      <c r="C25" s="101" t="n">
        <f aca="false">Equipos!E23</f>
        <v>0</v>
      </c>
      <c r="D25" s="101" t="n">
        <f aca="false">Equipos!G23</f>
        <v>0</v>
      </c>
      <c r="E25" s="101" t="n">
        <f aca="false">Equipos!I23</f>
        <v>0</v>
      </c>
      <c r="F25" s="101" t="n">
        <f aca="false">Equipos!J23</f>
        <v>0</v>
      </c>
      <c r="G25" s="100" t="n">
        <f aca="false">Equipos!K23</f>
        <v>0</v>
      </c>
      <c r="H25" s="101"/>
      <c r="I25" s="102"/>
      <c r="J25" s="102"/>
      <c r="K25" s="102"/>
      <c r="L25" s="102"/>
      <c r="M25" s="102"/>
      <c r="N25" s="102"/>
      <c r="O25" s="102"/>
      <c r="P25" s="102"/>
      <c r="Q25" s="102"/>
      <c r="R25" s="102"/>
      <c r="S25" s="102"/>
      <c r="T25" s="102"/>
      <c r="U25" s="101" t="n">
        <f aca="false">V25+W25+X25+COUNTIF(I25:T25,"R")</f>
        <v>0</v>
      </c>
      <c r="V25" s="101" t="n">
        <f aca="false">COUNTIF(I25:T25,"E")</f>
        <v>0</v>
      </c>
      <c r="W25" s="101" t="n">
        <f aca="false">COUNTIF(I25:T25,"X")</f>
        <v>0</v>
      </c>
      <c r="X25" s="101" t="n">
        <f aca="false">COUNTIF(I25:T25,"C2")+COUNTIF(I25:T25,"C3")</f>
        <v>0</v>
      </c>
      <c r="Y25" s="101" t="n">
        <f aca="true">SUMPRODUCT((I25:INDEX(I25:T25,MONTH(TODAY()))="X")*1)</f>
        <v>0</v>
      </c>
      <c r="Z25" s="104" t="str">
        <f aca="false">IFERROR(V25/U25,"")</f>
        <v/>
      </c>
    </row>
    <row r="26" customFormat="false" ht="15" hidden="false" customHeight="true" outlineLevel="0" collapsed="false">
      <c r="A26" s="100" t="n">
        <f aca="false">Equipos!C24</f>
        <v>0</v>
      </c>
      <c r="B26" s="101" t="n">
        <f aca="false">Equipos!D24</f>
        <v>0</v>
      </c>
      <c r="C26" s="101" t="n">
        <f aca="false">Equipos!E24</f>
        <v>0</v>
      </c>
      <c r="D26" s="101" t="n">
        <f aca="false">Equipos!G24</f>
        <v>0</v>
      </c>
      <c r="E26" s="101" t="n">
        <f aca="false">Equipos!I24</f>
        <v>0</v>
      </c>
      <c r="F26" s="101" t="n">
        <f aca="false">Equipos!J24</f>
        <v>0</v>
      </c>
      <c r="G26" s="100" t="n">
        <f aca="false">Equipos!K24</f>
        <v>0</v>
      </c>
      <c r="H26" s="101"/>
      <c r="I26" s="102"/>
      <c r="J26" s="102"/>
      <c r="K26" s="102"/>
      <c r="L26" s="102"/>
      <c r="M26" s="102"/>
      <c r="N26" s="102"/>
      <c r="O26" s="102"/>
      <c r="P26" s="102"/>
      <c r="Q26" s="102"/>
      <c r="R26" s="102"/>
      <c r="S26" s="102"/>
      <c r="T26" s="102"/>
      <c r="U26" s="101" t="n">
        <f aca="false">V26+W26+X26+COUNTIF(I26:T26,"R")</f>
        <v>0</v>
      </c>
      <c r="V26" s="101" t="n">
        <f aca="false">COUNTIF(I26:T26,"E")</f>
        <v>0</v>
      </c>
      <c r="W26" s="101" t="n">
        <f aca="false">COUNTIF(I26:T26,"X")</f>
        <v>0</v>
      </c>
      <c r="X26" s="101" t="n">
        <f aca="false">COUNTIF(I26:T26,"C2")+COUNTIF(I26:T26,"C3")</f>
        <v>0</v>
      </c>
      <c r="Y26" s="101" t="n">
        <f aca="true">SUMPRODUCT((I26:INDEX(I26:T26,MONTH(TODAY()))="X")*1)</f>
        <v>0</v>
      </c>
      <c r="Z26" s="104" t="str">
        <f aca="false">IFERROR(V26/U26,"")</f>
        <v/>
      </c>
    </row>
    <row r="27" customFormat="false" ht="15" hidden="false" customHeight="true" outlineLevel="0" collapsed="false">
      <c r="A27" s="100" t="str">
        <f aca="false">Equipos!C25</f>
        <v>2-116025</v>
      </c>
      <c r="B27" s="101" t="str">
        <f aca="false">Equipos!D25</f>
        <v>Incubadora</v>
      </c>
      <c r="C27" s="101" t="str">
        <f aca="false">Equipos!E25</f>
        <v>Neonatología</v>
      </c>
      <c r="D27" s="101" t="str">
        <f aca="false">Equipos!G25</f>
        <v>UCI 5</v>
      </c>
      <c r="E27" s="101" t="str">
        <f aca="false">Equipos!I25</f>
        <v>DRAGER</v>
      </c>
      <c r="F27" s="101" t="str">
        <f aca="false">Equipos!J25</f>
        <v>CALEO</v>
      </c>
      <c r="G27" s="100" t="str">
        <f aca="false">Equipos!K25</f>
        <v>ASLB-0010</v>
      </c>
      <c r="H27" s="101"/>
      <c r="I27" s="102"/>
      <c r="J27" s="103" t="s">
        <v>330</v>
      </c>
      <c r="K27" s="103" t="s">
        <v>328</v>
      </c>
      <c r="L27" s="102"/>
      <c r="M27" s="103" t="s">
        <v>328</v>
      </c>
      <c r="N27" s="102"/>
      <c r="O27" s="102"/>
      <c r="P27" s="102"/>
      <c r="Q27" s="102"/>
      <c r="R27" s="102"/>
      <c r="S27" s="102"/>
      <c r="T27" s="102"/>
      <c r="U27" s="101" t="n">
        <f aca="false">V27+W27+X27+COUNTIF(I27:T27,"R")</f>
        <v>3</v>
      </c>
      <c r="V27" s="101" t="n">
        <f aca="false">COUNTIF(I27:T27,"E")</f>
        <v>2</v>
      </c>
      <c r="W27" s="101" t="n">
        <f aca="false">COUNTIF(I27:T27,"X")</f>
        <v>0</v>
      </c>
      <c r="X27" s="101" t="n">
        <f aca="false">COUNTIF(I27:T27,"C2")+COUNTIF(I27:T27,"C3")</f>
        <v>0</v>
      </c>
      <c r="Y27" s="101" t="n">
        <f aca="true">SUMPRODUCT((I27:INDEX(I27:T27,MONTH(TODAY()))="X")*1)</f>
        <v>0</v>
      </c>
      <c r="Z27" s="104" t="n">
        <f aca="false">IFERROR(V27/U27,"")</f>
        <v>0.666666666666667</v>
      </c>
    </row>
    <row r="28" customFormat="false" ht="15" hidden="false" customHeight="true" outlineLevel="0" collapsed="false">
      <c r="A28" s="100" t="n">
        <f aca="false">Equipos!C26</f>
        <v>0</v>
      </c>
      <c r="B28" s="101" t="n">
        <f aca="false">Equipos!D26</f>
        <v>0</v>
      </c>
      <c r="C28" s="101" t="n">
        <f aca="false">Equipos!E26</f>
        <v>0</v>
      </c>
      <c r="D28" s="101" t="n">
        <f aca="false">Equipos!G26</f>
        <v>0</v>
      </c>
      <c r="E28" s="101" t="n">
        <f aca="false">Equipos!I26</f>
        <v>0</v>
      </c>
      <c r="F28" s="101" t="n">
        <f aca="false">Equipos!J26</f>
        <v>0</v>
      </c>
      <c r="G28" s="100" t="n">
        <f aca="false">Equipos!K26</f>
        <v>0</v>
      </c>
      <c r="H28" s="101"/>
      <c r="I28" s="102"/>
      <c r="J28" s="102"/>
      <c r="K28" s="102"/>
      <c r="L28" s="102"/>
      <c r="M28" s="102"/>
      <c r="N28" s="102"/>
      <c r="O28" s="102"/>
      <c r="P28" s="102"/>
      <c r="Q28" s="102"/>
      <c r="R28" s="102"/>
      <c r="S28" s="102"/>
      <c r="T28" s="102"/>
      <c r="U28" s="101" t="n">
        <f aca="false">V28+W28+X28+COUNTIF(I28:T28,"R")</f>
        <v>0</v>
      </c>
      <c r="V28" s="101" t="n">
        <f aca="false">COUNTIF(I28:T28,"E")</f>
        <v>0</v>
      </c>
      <c r="W28" s="101" t="n">
        <f aca="false">COUNTIF(I28:T28,"X")</f>
        <v>0</v>
      </c>
      <c r="X28" s="101" t="n">
        <f aca="false">COUNTIF(I28:T28,"C2")+COUNTIF(I28:T28,"C3")</f>
        <v>0</v>
      </c>
      <c r="Y28" s="101" t="n">
        <f aca="true">SUMPRODUCT((I28:INDEX(I28:T28,MONTH(TODAY()))="X")*1)</f>
        <v>0</v>
      </c>
      <c r="Z28" s="104" t="str">
        <f aca="false">IFERROR(V28/U28,"")</f>
        <v/>
      </c>
    </row>
    <row r="29" customFormat="false" ht="15" hidden="false" customHeight="true" outlineLevel="0" collapsed="false">
      <c r="A29" s="100" t="n">
        <f aca="false">Equipos!C27</f>
        <v>0</v>
      </c>
      <c r="B29" s="101" t="n">
        <f aca="false">Equipos!D27</f>
        <v>0</v>
      </c>
      <c r="C29" s="101" t="n">
        <f aca="false">Equipos!E27</f>
        <v>0</v>
      </c>
      <c r="D29" s="101" t="n">
        <f aca="false">Equipos!G27</f>
        <v>0</v>
      </c>
      <c r="E29" s="101" t="n">
        <f aca="false">Equipos!I27</f>
        <v>0</v>
      </c>
      <c r="F29" s="101" t="n">
        <f aca="false">Equipos!J27</f>
        <v>0</v>
      </c>
      <c r="G29" s="100" t="n">
        <f aca="false">Equipos!K27</f>
        <v>0</v>
      </c>
      <c r="H29" s="101"/>
      <c r="I29" s="102"/>
      <c r="J29" s="102"/>
      <c r="K29" s="102"/>
      <c r="L29" s="102"/>
      <c r="M29" s="102"/>
      <c r="N29" s="102"/>
      <c r="O29" s="102"/>
      <c r="P29" s="102"/>
      <c r="Q29" s="102"/>
      <c r="R29" s="102"/>
      <c r="S29" s="102"/>
      <c r="T29" s="102"/>
      <c r="U29" s="101" t="n">
        <f aca="false">V29+W29+X29+COUNTIF(I29:T29,"R")</f>
        <v>0</v>
      </c>
      <c r="V29" s="101" t="n">
        <f aca="false">COUNTIF(I29:T29,"E")</f>
        <v>0</v>
      </c>
      <c r="W29" s="101" t="n">
        <f aca="false">COUNTIF(I29:T29,"X")</f>
        <v>0</v>
      </c>
      <c r="X29" s="101" t="n">
        <f aca="false">COUNTIF(I29:T29,"C2")+COUNTIF(I29:T29,"C3")</f>
        <v>0</v>
      </c>
      <c r="Y29" s="101" t="n">
        <f aca="true">SUMPRODUCT((I29:INDEX(I29:T29,MONTH(TODAY()))="X")*1)</f>
        <v>0</v>
      </c>
      <c r="Z29" s="104" t="str">
        <f aca="false">IFERROR(V29/U29,"")</f>
        <v/>
      </c>
    </row>
    <row r="30" customFormat="false" ht="15" hidden="false" customHeight="true" outlineLevel="0" collapsed="false">
      <c r="A30" s="100" t="n">
        <f aca="false">Equipos!C28</f>
        <v>0</v>
      </c>
      <c r="B30" s="101" t="n">
        <f aca="false">Equipos!D28</f>
        <v>0</v>
      </c>
      <c r="C30" s="101" t="n">
        <f aca="false">Equipos!E28</f>
        <v>0</v>
      </c>
      <c r="D30" s="101" t="n">
        <f aca="false">Equipos!G28</f>
        <v>0</v>
      </c>
      <c r="E30" s="101" t="n">
        <f aca="false">Equipos!I28</f>
        <v>0</v>
      </c>
      <c r="F30" s="101" t="n">
        <f aca="false">Equipos!J28</f>
        <v>0</v>
      </c>
      <c r="G30" s="100" t="n">
        <f aca="false">Equipos!K28</f>
        <v>0</v>
      </c>
      <c r="H30" s="101"/>
      <c r="I30" s="102"/>
      <c r="J30" s="102"/>
      <c r="K30" s="102"/>
      <c r="L30" s="102"/>
      <c r="M30" s="102"/>
      <c r="N30" s="102"/>
      <c r="O30" s="102"/>
      <c r="P30" s="102"/>
      <c r="Q30" s="102"/>
      <c r="R30" s="102"/>
      <c r="S30" s="102"/>
      <c r="T30" s="102"/>
      <c r="U30" s="101" t="n">
        <f aca="false">V30+W30+X30+COUNTIF(I30:T30,"R")</f>
        <v>0</v>
      </c>
      <c r="V30" s="101" t="n">
        <f aca="false">COUNTIF(I30:T30,"E")</f>
        <v>0</v>
      </c>
      <c r="W30" s="101" t="n">
        <f aca="false">COUNTIF(I30:T30,"X")</f>
        <v>0</v>
      </c>
      <c r="X30" s="101" t="n">
        <f aca="false">COUNTIF(I30:T30,"C2")+COUNTIF(I30:T30,"C3")</f>
        <v>0</v>
      </c>
      <c r="Y30" s="101" t="n">
        <f aca="true">SUMPRODUCT((I30:INDEX(I30:T30,MONTH(TODAY()))="X")*1)</f>
        <v>0</v>
      </c>
      <c r="Z30" s="104" t="str">
        <f aca="false">IFERROR(V30/U30,"")</f>
        <v/>
      </c>
    </row>
    <row r="31" customFormat="false" ht="15" hidden="false" customHeight="true" outlineLevel="0" collapsed="false">
      <c r="A31" s="100" t="n">
        <f aca="false">Equipos!C29</f>
        <v>0</v>
      </c>
      <c r="B31" s="101" t="n">
        <f aca="false">Equipos!D29</f>
        <v>0</v>
      </c>
      <c r="C31" s="101" t="n">
        <f aca="false">Equipos!E29</f>
        <v>0</v>
      </c>
      <c r="D31" s="101" t="n">
        <f aca="false">Equipos!G29</f>
        <v>0</v>
      </c>
      <c r="E31" s="101" t="n">
        <f aca="false">Equipos!I29</f>
        <v>0</v>
      </c>
      <c r="F31" s="101" t="n">
        <f aca="false">Equipos!J29</f>
        <v>0</v>
      </c>
      <c r="G31" s="100" t="n">
        <f aca="false">Equipos!K29</f>
        <v>0</v>
      </c>
      <c r="H31" s="101"/>
      <c r="I31" s="102"/>
      <c r="J31" s="102"/>
      <c r="K31" s="102"/>
      <c r="L31" s="102"/>
      <c r="M31" s="102"/>
      <c r="N31" s="102"/>
      <c r="O31" s="102"/>
      <c r="P31" s="102"/>
      <c r="Q31" s="102"/>
      <c r="R31" s="102"/>
      <c r="S31" s="102"/>
      <c r="T31" s="102"/>
      <c r="U31" s="101" t="n">
        <f aca="false">V31+W31+X31+COUNTIF(I31:T31,"R")</f>
        <v>0</v>
      </c>
      <c r="V31" s="101" t="n">
        <f aca="false">COUNTIF(I31:T31,"E")</f>
        <v>0</v>
      </c>
      <c r="W31" s="101" t="n">
        <f aca="false">COUNTIF(I31:T31,"X")</f>
        <v>0</v>
      </c>
      <c r="X31" s="101" t="n">
        <f aca="false">COUNTIF(I31:T31,"C2")+COUNTIF(I31:T31,"C3")</f>
        <v>0</v>
      </c>
      <c r="Y31" s="101" t="n">
        <f aca="true">SUMPRODUCT((I31:INDEX(I31:T31,MONTH(TODAY()))="X")*1)</f>
        <v>0</v>
      </c>
      <c r="Z31" s="104" t="str">
        <f aca="false">IFERROR(V31/U31,"")</f>
        <v/>
      </c>
    </row>
    <row r="32" customFormat="false" ht="15" hidden="false" customHeight="true" outlineLevel="0" collapsed="false">
      <c r="A32" s="100" t="n">
        <f aca="false">Equipos!C30</f>
        <v>0</v>
      </c>
      <c r="B32" s="101" t="n">
        <f aca="false">Equipos!D30</f>
        <v>0</v>
      </c>
      <c r="C32" s="101" t="n">
        <f aca="false">Equipos!E30</f>
        <v>0</v>
      </c>
      <c r="D32" s="101" t="n">
        <f aca="false">Equipos!G30</f>
        <v>0</v>
      </c>
      <c r="E32" s="101" t="n">
        <f aca="false">Equipos!I30</f>
        <v>0</v>
      </c>
      <c r="F32" s="101" t="n">
        <f aca="false">Equipos!J30</f>
        <v>0</v>
      </c>
      <c r="G32" s="100" t="n">
        <f aca="false">Equipos!K30</f>
        <v>0</v>
      </c>
      <c r="H32" s="101"/>
      <c r="I32" s="102"/>
      <c r="J32" s="102"/>
      <c r="K32" s="102"/>
      <c r="L32" s="102"/>
      <c r="M32" s="102"/>
      <c r="N32" s="102"/>
      <c r="O32" s="102"/>
      <c r="P32" s="102"/>
      <c r="Q32" s="102"/>
      <c r="R32" s="102"/>
      <c r="S32" s="102"/>
      <c r="T32" s="102"/>
      <c r="U32" s="101" t="n">
        <f aca="false">V32+W32+X32+COUNTIF(I32:T32,"R")</f>
        <v>0</v>
      </c>
      <c r="V32" s="101" t="n">
        <f aca="false">COUNTIF(I32:T32,"E")</f>
        <v>0</v>
      </c>
      <c r="W32" s="101" t="n">
        <f aca="false">COUNTIF(I32:T32,"X")</f>
        <v>0</v>
      </c>
      <c r="X32" s="101" t="n">
        <f aca="false">COUNTIF(I32:T32,"C2")+COUNTIF(I32:T32,"C3")</f>
        <v>0</v>
      </c>
      <c r="Y32" s="101" t="n">
        <f aca="true">SUMPRODUCT((I32:INDEX(I32:T32,MONTH(TODAY()))="X")*1)</f>
        <v>0</v>
      </c>
      <c r="Z32" s="104" t="str">
        <f aca="false">IFERROR(V32/U32,"")</f>
        <v/>
      </c>
    </row>
    <row r="33" customFormat="false" ht="15" hidden="false" customHeight="true" outlineLevel="0" collapsed="false">
      <c r="A33" s="100" t="n">
        <f aca="false">Equipos!C31</f>
        <v>0</v>
      </c>
      <c r="B33" s="101" t="n">
        <f aca="false">Equipos!D31</f>
        <v>0</v>
      </c>
      <c r="C33" s="101" t="n">
        <f aca="false">Equipos!E31</f>
        <v>0</v>
      </c>
      <c r="D33" s="101" t="n">
        <f aca="false">Equipos!G31</f>
        <v>0</v>
      </c>
      <c r="E33" s="101" t="n">
        <f aca="false">Equipos!I31</f>
        <v>0</v>
      </c>
      <c r="F33" s="101" t="n">
        <f aca="false">Equipos!J31</f>
        <v>0</v>
      </c>
      <c r="G33" s="100" t="n">
        <f aca="false">Equipos!K31</f>
        <v>0</v>
      </c>
      <c r="H33" s="101"/>
      <c r="I33" s="102"/>
      <c r="J33" s="102"/>
      <c r="K33" s="102"/>
      <c r="L33" s="102"/>
      <c r="M33" s="102"/>
      <c r="N33" s="102"/>
      <c r="O33" s="102"/>
      <c r="P33" s="102"/>
      <c r="Q33" s="102"/>
      <c r="R33" s="102"/>
      <c r="S33" s="102"/>
      <c r="T33" s="102"/>
      <c r="U33" s="101" t="n">
        <f aca="false">V33+W33+X33+COUNTIF(I33:T33,"R")</f>
        <v>0</v>
      </c>
      <c r="V33" s="101" t="n">
        <f aca="false">COUNTIF(I33:T33,"E")</f>
        <v>0</v>
      </c>
      <c r="W33" s="101" t="n">
        <f aca="false">COUNTIF(I33:T33,"X")</f>
        <v>0</v>
      </c>
      <c r="X33" s="101" t="n">
        <f aca="false">COUNTIF(I33:T33,"C2")+COUNTIF(I33:T33,"C3")</f>
        <v>0</v>
      </c>
      <c r="Y33" s="101" t="n">
        <f aca="true">SUMPRODUCT((I33:INDEX(I33:T33,MONTH(TODAY()))="X")*1)</f>
        <v>0</v>
      </c>
      <c r="Z33" s="104" t="str">
        <f aca="false">IFERROR(V33/U33,"")</f>
        <v/>
      </c>
    </row>
    <row r="34" customFormat="false" ht="15" hidden="false" customHeight="true" outlineLevel="0" collapsed="false">
      <c r="A34" s="100" t="str">
        <f aca="false">Equipos!C32</f>
        <v>2-024094</v>
      </c>
      <c r="B34" s="101" t="str">
        <f aca="false">Equipos!D32</f>
        <v>Incubadora</v>
      </c>
      <c r="C34" s="101" t="str">
        <f aca="false">Equipos!E32</f>
        <v>Neonatología</v>
      </c>
      <c r="D34" s="101" t="n">
        <f aca="false">Equipos!G32</f>
        <v>0</v>
      </c>
      <c r="E34" s="101" t="str">
        <f aca="false">Equipos!I32</f>
        <v>DRAGER</v>
      </c>
      <c r="F34" s="101" t="str">
        <f aca="false">Equipos!J32</f>
        <v>TI500</v>
      </c>
      <c r="G34" s="100" t="str">
        <f aca="false">Equipos!K32</f>
        <v>KM10530</v>
      </c>
      <c r="H34" s="101"/>
      <c r="I34" s="102"/>
      <c r="J34" s="103" t="s">
        <v>328</v>
      </c>
      <c r="K34" s="102"/>
      <c r="L34" s="102"/>
      <c r="M34" s="103" t="s">
        <v>328</v>
      </c>
      <c r="N34" s="102"/>
      <c r="O34" s="102"/>
      <c r="P34" s="102"/>
      <c r="Q34" s="102"/>
      <c r="R34" s="102"/>
      <c r="S34" s="102"/>
      <c r="T34" s="102"/>
      <c r="U34" s="101" t="n">
        <f aca="false">V34+W34+X34+COUNTIF(I34:T34,"R")</f>
        <v>2</v>
      </c>
      <c r="V34" s="101" t="n">
        <f aca="false">COUNTIF(I34:T34,"E")</f>
        <v>2</v>
      </c>
      <c r="W34" s="101" t="n">
        <f aca="false">COUNTIF(I34:T34,"X")</f>
        <v>0</v>
      </c>
      <c r="X34" s="101" t="n">
        <f aca="false">COUNTIF(I34:T34,"C2")+COUNTIF(I34:T34,"C3")</f>
        <v>0</v>
      </c>
      <c r="Y34" s="101" t="n">
        <f aca="true">SUMPRODUCT((I34:INDEX(I34:T34,MONTH(TODAY()))="X")*1)</f>
        <v>0</v>
      </c>
      <c r="Z34" s="104" t="n">
        <f aca="false">IFERROR(V34/U34,"")</f>
        <v>1</v>
      </c>
    </row>
    <row r="35" customFormat="false" ht="15" hidden="false" customHeight="true" outlineLevel="0" collapsed="false">
      <c r="A35" s="100" t="str">
        <f aca="false">Equipos!C33</f>
        <v>2-116022</v>
      </c>
      <c r="B35" s="101" t="str">
        <f aca="false">Equipos!D33</f>
        <v>Incubadora</v>
      </c>
      <c r="C35" s="101" t="str">
        <f aca="false">Equipos!E33</f>
        <v>Neonatología</v>
      </c>
      <c r="D35" s="101" t="str">
        <f aca="false">Equipos!G33</f>
        <v>UCI 7</v>
      </c>
      <c r="E35" s="101" t="str">
        <f aca="false">Equipos!I33</f>
        <v>DRAGER</v>
      </c>
      <c r="F35" s="101" t="str">
        <f aca="false">Equipos!J33</f>
        <v>CALEO</v>
      </c>
      <c r="G35" s="100" t="str">
        <f aca="false">Equipos!K33</f>
        <v>ASLB-0011</v>
      </c>
      <c r="H35" s="101"/>
      <c r="I35" s="102"/>
      <c r="J35" s="103" t="s">
        <v>328</v>
      </c>
      <c r="K35" s="102"/>
      <c r="L35" s="102"/>
      <c r="M35" s="103" t="s">
        <v>328</v>
      </c>
      <c r="N35" s="102"/>
      <c r="O35" s="102"/>
      <c r="P35" s="102"/>
      <c r="Q35" s="102"/>
      <c r="R35" s="102"/>
      <c r="S35" s="102"/>
      <c r="T35" s="102"/>
      <c r="U35" s="101" t="n">
        <f aca="false">V35+W35+X35+COUNTIF(I35:T35,"R")</f>
        <v>2</v>
      </c>
      <c r="V35" s="101" t="n">
        <f aca="false">COUNTIF(I35:T35,"E")</f>
        <v>2</v>
      </c>
      <c r="W35" s="101" t="n">
        <f aca="false">COUNTIF(I35:T35,"X")</f>
        <v>0</v>
      </c>
      <c r="X35" s="101" t="n">
        <f aca="false">COUNTIF(I35:T35,"C2")+COUNTIF(I35:T35,"C3")</f>
        <v>0</v>
      </c>
      <c r="Y35" s="101" t="n">
        <f aca="true">SUMPRODUCT((I35:INDEX(I35:T35,MONTH(TODAY()))="X")*1)</f>
        <v>0</v>
      </c>
      <c r="Z35" s="104" t="n">
        <f aca="false">IFERROR(V35/U35,"")</f>
        <v>1</v>
      </c>
    </row>
    <row r="36" customFormat="false" ht="15" hidden="false" customHeight="true" outlineLevel="0" collapsed="false">
      <c r="A36" s="100" t="str">
        <f aca="false">Equipos!C34</f>
        <v>2-116017</v>
      </c>
      <c r="B36" s="101" t="str">
        <f aca="false">Equipos!D34</f>
        <v>Incubadora</v>
      </c>
      <c r="C36" s="101" t="str">
        <f aca="false">Equipos!E34</f>
        <v>Neonatología</v>
      </c>
      <c r="D36" s="101" t="str">
        <f aca="false">Equipos!G34</f>
        <v>SALA EQUIPOS</v>
      </c>
      <c r="E36" s="101" t="str">
        <f aca="false">Equipos!I34</f>
        <v>DRAGER</v>
      </c>
      <c r="F36" s="101" t="str">
        <f aca="false">Equipos!J34</f>
        <v>CALEO</v>
      </c>
      <c r="G36" s="100" t="str">
        <f aca="false">Equipos!K34</f>
        <v>ASLB-0012</v>
      </c>
      <c r="H36" s="101"/>
      <c r="I36" s="102"/>
      <c r="J36" s="103" t="s">
        <v>328</v>
      </c>
      <c r="K36" s="102"/>
      <c r="L36" s="102"/>
      <c r="M36" s="103" t="s">
        <v>328</v>
      </c>
      <c r="N36" s="102"/>
      <c r="O36" s="102"/>
      <c r="P36" s="102"/>
      <c r="Q36" s="102"/>
      <c r="R36" s="102"/>
      <c r="S36" s="102"/>
      <c r="T36" s="102"/>
      <c r="U36" s="101" t="n">
        <f aca="false">V36+W36+X36+COUNTIF(I36:T36,"R")</f>
        <v>2</v>
      </c>
      <c r="V36" s="101" t="n">
        <f aca="false">COUNTIF(I36:T36,"E")</f>
        <v>2</v>
      </c>
      <c r="W36" s="101" t="n">
        <f aca="false">COUNTIF(I36:T36,"X")</f>
        <v>0</v>
      </c>
      <c r="X36" s="101" t="n">
        <f aca="false">COUNTIF(I36:T36,"C2")+COUNTIF(I36:T36,"C3")</f>
        <v>0</v>
      </c>
      <c r="Y36" s="101" t="n">
        <f aca="true">SUMPRODUCT((I36:INDEX(I36:T36,MONTH(TODAY()))="X")*1)</f>
        <v>0</v>
      </c>
      <c r="Z36" s="104" t="n">
        <f aca="false">IFERROR(V36/U36,"")</f>
        <v>1</v>
      </c>
    </row>
    <row r="37" customFormat="false" ht="15" hidden="false" customHeight="true" outlineLevel="0" collapsed="false">
      <c r="A37" s="100" t="str">
        <f aca="false">Equipos!C35</f>
        <v>2-116021</v>
      </c>
      <c r="B37" s="101" t="str">
        <f aca="false">Equipos!D35</f>
        <v>Incubadora</v>
      </c>
      <c r="C37" s="101" t="str">
        <f aca="false">Equipos!E35</f>
        <v>Neonatología</v>
      </c>
      <c r="D37" s="101" t="str">
        <f aca="false">Equipos!G35</f>
        <v>UTI 1/5</v>
      </c>
      <c r="E37" s="101" t="str">
        <f aca="false">Equipos!I35</f>
        <v>DRAGER</v>
      </c>
      <c r="F37" s="101" t="str">
        <f aca="false">Equipos!J35</f>
        <v>CALEO</v>
      </c>
      <c r="G37" s="100" t="str">
        <f aca="false">Equipos!K35</f>
        <v>ASLB-0013</v>
      </c>
      <c r="H37" s="101"/>
      <c r="I37" s="102"/>
      <c r="J37" s="103" t="s">
        <v>328</v>
      </c>
      <c r="K37" s="102"/>
      <c r="L37" s="102"/>
      <c r="M37" s="103" t="s">
        <v>328</v>
      </c>
      <c r="N37" s="102"/>
      <c r="O37" s="102"/>
      <c r="P37" s="102"/>
      <c r="Q37" s="102"/>
      <c r="R37" s="102"/>
      <c r="S37" s="102"/>
      <c r="T37" s="102"/>
      <c r="U37" s="101" t="n">
        <f aca="false">V37+W37+X37+COUNTIF(I37:T37,"R")</f>
        <v>2</v>
      </c>
      <c r="V37" s="101" t="n">
        <f aca="false">COUNTIF(I37:T37,"E")</f>
        <v>2</v>
      </c>
      <c r="W37" s="101" t="n">
        <f aca="false">COUNTIF(I37:T37,"X")</f>
        <v>0</v>
      </c>
      <c r="X37" s="101" t="n">
        <f aca="false">COUNTIF(I37:T37,"C2")+COUNTIF(I37:T37,"C3")</f>
        <v>0</v>
      </c>
      <c r="Y37" s="101" t="n">
        <f aca="true">SUMPRODUCT((I37:INDEX(I37:T37,MONTH(TODAY()))="X")*1)</f>
        <v>0</v>
      </c>
      <c r="Z37" s="104" t="n">
        <f aca="false">IFERROR(V37/U37,"")</f>
        <v>1</v>
      </c>
    </row>
    <row r="38" customFormat="false" ht="15" hidden="false" customHeight="true" outlineLevel="0" collapsed="false">
      <c r="A38" s="100" t="str">
        <f aca="false">Equipos!C36</f>
        <v>2-116023</v>
      </c>
      <c r="B38" s="101" t="str">
        <f aca="false">Equipos!D36</f>
        <v>Incubadora</v>
      </c>
      <c r="C38" s="101" t="str">
        <f aca="false">Equipos!E36</f>
        <v>Neonatología</v>
      </c>
      <c r="D38" s="101" t="str">
        <f aca="false">Equipos!G36</f>
        <v>UTI 1/3</v>
      </c>
      <c r="E38" s="101" t="str">
        <f aca="false">Equipos!I36</f>
        <v>DRAGER</v>
      </c>
      <c r="F38" s="101" t="str">
        <f aca="false">Equipos!J36</f>
        <v>CALEO</v>
      </c>
      <c r="G38" s="100" t="str">
        <f aca="false">Equipos!K36</f>
        <v>ASLB-0014</v>
      </c>
      <c r="H38" s="101"/>
      <c r="I38" s="102"/>
      <c r="J38" s="103" t="s">
        <v>328</v>
      </c>
      <c r="K38" s="102"/>
      <c r="L38" s="102"/>
      <c r="M38" s="103" t="s">
        <v>328</v>
      </c>
      <c r="N38" s="102"/>
      <c r="O38" s="102"/>
      <c r="P38" s="102"/>
      <c r="Q38" s="102"/>
      <c r="R38" s="102"/>
      <c r="S38" s="102"/>
      <c r="T38" s="102"/>
      <c r="U38" s="101" t="n">
        <f aca="false">V38+W38+X38+COUNTIF(I38:T38,"R")</f>
        <v>2</v>
      </c>
      <c r="V38" s="101" t="n">
        <f aca="false">COUNTIF(I38:T38,"E")</f>
        <v>2</v>
      </c>
      <c r="W38" s="101" t="n">
        <f aca="false">COUNTIF(I38:T38,"X")</f>
        <v>0</v>
      </c>
      <c r="X38" s="101" t="n">
        <f aca="false">COUNTIF(I38:T38,"C2")+COUNTIF(I38:T38,"C3")</f>
        <v>0</v>
      </c>
      <c r="Y38" s="101" t="n">
        <f aca="true">SUMPRODUCT((I38:INDEX(I38:T38,MONTH(TODAY()))="X")*1)</f>
        <v>0</v>
      </c>
      <c r="Z38" s="104" t="n">
        <f aca="false">IFERROR(V38/U38,"")</f>
        <v>1</v>
      </c>
    </row>
    <row r="39" customFormat="false" ht="15" hidden="false" customHeight="true" outlineLevel="0" collapsed="false">
      <c r="A39" s="100" t="str">
        <f aca="false">Equipos!C37</f>
        <v>2-116020</v>
      </c>
      <c r="B39" s="101" t="str">
        <f aca="false">Equipos!D37</f>
        <v>Incubadora</v>
      </c>
      <c r="C39" s="101" t="str">
        <f aca="false">Equipos!E37</f>
        <v>Neonatología</v>
      </c>
      <c r="D39" s="101" t="str">
        <f aca="false">Equipos!G37</f>
        <v>UTI 2/4</v>
      </c>
      <c r="E39" s="101" t="str">
        <f aca="false">Equipos!I37</f>
        <v>DRAGER</v>
      </c>
      <c r="F39" s="101" t="str">
        <f aca="false">Equipos!J37</f>
        <v>CALEO</v>
      </c>
      <c r="G39" s="100" t="str">
        <f aca="false">Equipos!K37</f>
        <v>ASLB-0015</v>
      </c>
      <c r="H39" s="101"/>
      <c r="I39" s="102"/>
      <c r="J39" s="103" t="s">
        <v>328</v>
      </c>
      <c r="K39" s="102"/>
      <c r="L39" s="102"/>
      <c r="M39" s="103" t="s">
        <v>329</v>
      </c>
      <c r="N39" s="103"/>
      <c r="O39" s="102"/>
      <c r="P39" s="102"/>
      <c r="Q39" s="102"/>
      <c r="R39" s="102"/>
      <c r="S39" s="102"/>
      <c r="T39" s="102"/>
      <c r="U39" s="101" t="n">
        <f aca="false">V39+W39+X39+COUNTIF(I39:T39,"R")</f>
        <v>2</v>
      </c>
      <c r="V39" s="101" t="n">
        <f aca="false">COUNTIF(I39:T39,"E")</f>
        <v>1</v>
      </c>
      <c r="W39" s="101" t="n">
        <f aca="false">COUNTIF(I39:T39,"X")</f>
        <v>1</v>
      </c>
      <c r="X39" s="101" t="n">
        <f aca="false">COUNTIF(I39:T39,"C2")+COUNTIF(I39:T39,"C3")</f>
        <v>0</v>
      </c>
      <c r="Y39" s="101" t="n">
        <f aca="true">SUMPRODUCT((I39:INDEX(I39:T39,MONTH(TODAY()))="X")*1)</f>
        <v>1</v>
      </c>
      <c r="Z39" s="104" t="n">
        <f aca="false">IFERROR(V39/U39,"")</f>
        <v>0.5</v>
      </c>
    </row>
    <row r="40" customFormat="false" ht="15" hidden="false" customHeight="true" outlineLevel="0" collapsed="false">
      <c r="A40" s="100" t="str">
        <f aca="false">Equipos!C38</f>
        <v>2-115788</v>
      </c>
      <c r="B40" s="101" t="str">
        <f aca="false">Equipos!D38</f>
        <v>Incubadora</v>
      </c>
      <c r="C40" s="101" t="str">
        <f aca="false">Equipos!E38</f>
        <v>Neonatología</v>
      </c>
      <c r="D40" s="101" t="str">
        <f aca="false">Equipos!G38</f>
        <v>SALA EQUIPOS</v>
      </c>
      <c r="E40" s="101" t="str">
        <f aca="false">Equipos!I38</f>
        <v>DRAGER</v>
      </c>
      <c r="F40" s="101" t="str">
        <f aca="false">Equipos!J38</f>
        <v>CALEO</v>
      </c>
      <c r="G40" s="100" t="str">
        <f aca="false">Equipos!K38</f>
        <v>ASJL-0039</v>
      </c>
      <c r="H40" s="101"/>
      <c r="I40" s="102"/>
      <c r="J40" s="103" t="s">
        <v>330</v>
      </c>
      <c r="K40" s="103" t="s">
        <v>328</v>
      </c>
      <c r="L40" s="102"/>
      <c r="M40" s="103" t="s">
        <v>328</v>
      </c>
      <c r="N40" s="102"/>
      <c r="O40" s="102"/>
      <c r="P40" s="102"/>
      <c r="Q40" s="102"/>
      <c r="R40" s="102"/>
      <c r="S40" s="102"/>
      <c r="T40" s="102"/>
      <c r="U40" s="101" t="n">
        <f aca="false">V40+W40+X40+COUNTIF(I40:T40,"R")</f>
        <v>3</v>
      </c>
      <c r="V40" s="101" t="n">
        <f aca="false">COUNTIF(I40:T40,"E")</f>
        <v>2</v>
      </c>
      <c r="W40" s="101" t="n">
        <f aca="false">COUNTIF(I40:T40,"X")</f>
        <v>0</v>
      </c>
      <c r="X40" s="101" t="n">
        <f aca="false">COUNTIF(I40:T40,"C2")+COUNTIF(I40:T40,"C3")</f>
        <v>0</v>
      </c>
      <c r="Y40" s="101" t="n">
        <f aca="true">SUMPRODUCT((I40:INDEX(I40:T40,MONTH(TODAY()))="X")*1)</f>
        <v>0</v>
      </c>
      <c r="Z40" s="104" t="n">
        <f aca="false">IFERROR(V40/U40,"")</f>
        <v>0.666666666666667</v>
      </c>
    </row>
    <row r="41" customFormat="false" ht="15" hidden="false" customHeight="true" outlineLevel="0" collapsed="false">
      <c r="A41" s="100" t="str">
        <f aca="false">Equipos!C39</f>
        <v>2-115787</v>
      </c>
      <c r="B41" s="101" t="str">
        <f aca="false">Equipos!D39</f>
        <v>Incubadora</v>
      </c>
      <c r="C41" s="101" t="str">
        <f aca="false">Equipos!E39</f>
        <v>Neonatología</v>
      </c>
      <c r="D41" s="101" t="str">
        <f aca="false">Equipos!G39</f>
        <v>UTI 1/1</v>
      </c>
      <c r="E41" s="101" t="str">
        <f aca="false">Equipos!I39</f>
        <v>DRAGER</v>
      </c>
      <c r="F41" s="101" t="str">
        <f aca="false">Equipos!J39</f>
        <v>CALEO</v>
      </c>
      <c r="G41" s="100" t="str">
        <f aca="false">Equipos!K39</f>
        <v>ASJL-0015</v>
      </c>
      <c r="H41" s="101"/>
      <c r="I41" s="102"/>
      <c r="J41" s="103" t="s">
        <v>328</v>
      </c>
      <c r="K41" s="102"/>
      <c r="L41" s="102"/>
      <c r="M41" s="103" t="s">
        <v>328</v>
      </c>
      <c r="N41" s="102"/>
      <c r="O41" s="102"/>
      <c r="P41" s="102"/>
      <c r="Q41" s="102"/>
      <c r="R41" s="102"/>
      <c r="S41" s="102"/>
      <c r="T41" s="102"/>
      <c r="U41" s="101" t="n">
        <f aca="false">V41+W41+X41+COUNTIF(I41:T41,"R")</f>
        <v>2</v>
      </c>
      <c r="V41" s="101" t="n">
        <f aca="false">COUNTIF(I41:T41,"E")</f>
        <v>2</v>
      </c>
      <c r="W41" s="101" t="n">
        <f aca="false">COUNTIF(I41:T41,"X")</f>
        <v>0</v>
      </c>
      <c r="X41" s="101" t="n">
        <f aca="false">COUNTIF(I41:T41,"C2")+COUNTIF(I41:T41,"C3")</f>
        <v>0</v>
      </c>
      <c r="Y41" s="101" t="n">
        <f aca="true">SUMPRODUCT((I41:INDEX(I41:T41,MONTH(TODAY()))="X")*1)</f>
        <v>0</v>
      </c>
      <c r="Z41" s="104" t="n">
        <f aca="false">IFERROR(V41/U41,"")</f>
        <v>1</v>
      </c>
    </row>
    <row r="42" customFormat="false" ht="15" hidden="false" customHeight="true" outlineLevel="0" collapsed="false">
      <c r="A42" s="100" t="str">
        <f aca="false">Equipos!C40</f>
        <v>2-115785</v>
      </c>
      <c r="B42" s="101" t="str">
        <f aca="false">Equipos!D40</f>
        <v>Incubadora</v>
      </c>
      <c r="C42" s="101" t="str">
        <f aca="false">Equipos!E40</f>
        <v>Neonatología</v>
      </c>
      <c r="D42" s="101" t="str">
        <f aca="false">Equipos!G40</f>
        <v>UCI 8</v>
      </c>
      <c r="E42" s="101" t="str">
        <f aca="false">Equipos!I40</f>
        <v>DRAGER</v>
      </c>
      <c r="F42" s="101" t="str">
        <f aca="false">Equipos!J40</f>
        <v>CALEO</v>
      </c>
      <c r="G42" s="100" t="str">
        <f aca="false">Equipos!K40</f>
        <v>ASJL-0007</v>
      </c>
      <c r="H42" s="101"/>
      <c r="I42" s="102"/>
      <c r="J42" s="103" t="s">
        <v>328</v>
      </c>
      <c r="K42" s="102"/>
      <c r="L42" s="102"/>
      <c r="M42" s="103" t="s">
        <v>328</v>
      </c>
      <c r="N42" s="102"/>
      <c r="O42" s="102"/>
      <c r="P42" s="102"/>
      <c r="Q42" s="102"/>
      <c r="R42" s="102"/>
      <c r="S42" s="102"/>
      <c r="T42" s="102"/>
      <c r="U42" s="101" t="n">
        <f aca="false">V42+W42+X42+COUNTIF(I42:T42,"R")</f>
        <v>2</v>
      </c>
      <c r="V42" s="101" t="n">
        <f aca="false">COUNTIF(I42:T42,"E")</f>
        <v>2</v>
      </c>
      <c r="W42" s="101" t="n">
        <f aca="false">COUNTIF(I42:T42,"X")</f>
        <v>0</v>
      </c>
      <c r="X42" s="101" t="n">
        <f aca="false">COUNTIF(I42:T42,"C2")+COUNTIF(I42:T42,"C3")</f>
        <v>0</v>
      </c>
      <c r="Y42" s="101" t="n">
        <f aca="true">SUMPRODUCT((I42:INDEX(I42:T42,MONTH(TODAY()))="X")*1)</f>
        <v>0</v>
      </c>
      <c r="Z42" s="104" t="n">
        <f aca="false">IFERROR(V42/U42,"")</f>
        <v>1</v>
      </c>
    </row>
    <row r="43" customFormat="false" ht="15" hidden="false" customHeight="true" outlineLevel="0" collapsed="false">
      <c r="A43" s="100" t="str">
        <f aca="false">Equipos!C41</f>
        <v>2-115784</v>
      </c>
      <c r="B43" s="101" t="str">
        <f aca="false">Equipos!D41</f>
        <v>Incubadora</v>
      </c>
      <c r="C43" s="101" t="str">
        <f aca="false">Equipos!E41</f>
        <v>Neonatología</v>
      </c>
      <c r="D43" s="101" t="str">
        <f aca="false">Equipos!G41</f>
        <v>UCI 11</v>
      </c>
      <c r="E43" s="101" t="str">
        <f aca="false">Equipos!I41</f>
        <v>DRAGER</v>
      </c>
      <c r="F43" s="101" t="str">
        <f aca="false">Equipos!J41</f>
        <v>CALEO</v>
      </c>
      <c r="G43" s="100" t="str">
        <f aca="false">Equipos!K41</f>
        <v>ASJL-0006</v>
      </c>
      <c r="H43" s="101"/>
      <c r="I43" s="102"/>
      <c r="J43" s="103" t="s">
        <v>330</v>
      </c>
      <c r="K43" s="103" t="s">
        <v>328</v>
      </c>
      <c r="L43" s="102"/>
      <c r="M43" s="103" t="s">
        <v>328</v>
      </c>
      <c r="N43" s="102"/>
      <c r="O43" s="102"/>
      <c r="P43" s="102"/>
      <c r="Q43" s="102"/>
      <c r="R43" s="102"/>
      <c r="S43" s="102"/>
      <c r="T43" s="102"/>
      <c r="U43" s="101" t="n">
        <f aca="false">V43+W43+X43+COUNTIF(I43:T43,"R")</f>
        <v>3</v>
      </c>
      <c r="V43" s="101" t="n">
        <f aca="false">COUNTIF(I43:T43,"E")</f>
        <v>2</v>
      </c>
      <c r="W43" s="101" t="n">
        <f aca="false">COUNTIF(I43:T43,"X")</f>
        <v>0</v>
      </c>
      <c r="X43" s="101" t="n">
        <f aca="false">COUNTIF(I43:T43,"C2")+COUNTIF(I43:T43,"C3")</f>
        <v>0</v>
      </c>
      <c r="Y43" s="101" t="n">
        <f aca="true">SUMPRODUCT((I43:INDEX(I43:T43,MONTH(TODAY()))="X")*1)</f>
        <v>0</v>
      </c>
      <c r="Z43" s="104" t="n">
        <f aca="false">IFERROR(V43/U43,"")</f>
        <v>0.666666666666667</v>
      </c>
    </row>
    <row r="44" customFormat="false" ht="15" hidden="false" customHeight="true" outlineLevel="0" collapsed="false">
      <c r="A44" s="100" t="str">
        <f aca="false">Equipos!C42</f>
        <v>2-115786</v>
      </c>
      <c r="B44" s="101" t="str">
        <f aca="false">Equipos!D42</f>
        <v>Incubadora</v>
      </c>
      <c r="C44" s="101" t="str">
        <f aca="false">Equipos!E42</f>
        <v>Neonatología</v>
      </c>
      <c r="D44" s="101" t="str">
        <f aca="false">Equipos!G42</f>
        <v>UTI 2/1</v>
      </c>
      <c r="E44" s="101" t="str">
        <f aca="false">Equipos!I42</f>
        <v>DRAGER</v>
      </c>
      <c r="F44" s="101" t="str">
        <f aca="false">Equipos!J42</f>
        <v>CALEO</v>
      </c>
      <c r="G44" s="100" t="str">
        <f aca="false">Equipos!K42</f>
        <v>ASJL-0013</v>
      </c>
      <c r="H44" s="101"/>
      <c r="I44" s="102"/>
      <c r="J44" s="103" t="s">
        <v>328</v>
      </c>
      <c r="K44" s="102"/>
      <c r="L44" s="102"/>
      <c r="M44" s="103" t="s">
        <v>328</v>
      </c>
      <c r="N44" s="102"/>
      <c r="O44" s="102"/>
      <c r="P44" s="102"/>
      <c r="Q44" s="102"/>
      <c r="R44" s="102"/>
      <c r="S44" s="102"/>
      <c r="T44" s="102"/>
      <c r="U44" s="101" t="n">
        <f aca="false">V44+W44+X44+COUNTIF(I44:T44,"R")</f>
        <v>2</v>
      </c>
      <c r="V44" s="101" t="n">
        <f aca="false">COUNTIF(I44:T44,"E")</f>
        <v>2</v>
      </c>
      <c r="W44" s="101" t="n">
        <f aca="false">COUNTIF(I44:T44,"X")</f>
        <v>0</v>
      </c>
      <c r="X44" s="101" t="n">
        <f aca="false">COUNTIF(I44:T44,"C2")+COUNTIF(I44:T44,"C3")</f>
        <v>0</v>
      </c>
      <c r="Y44" s="101" t="n">
        <f aca="true">SUMPRODUCT((I44:INDEX(I44:T44,MONTH(TODAY()))="X")*1)</f>
        <v>0</v>
      </c>
      <c r="Z44" s="104" t="n">
        <f aca="false">IFERROR(V44/U44,"")</f>
        <v>1</v>
      </c>
    </row>
    <row r="45" customFormat="false" ht="15" hidden="false" customHeight="true" outlineLevel="0" collapsed="false">
      <c r="A45" s="100" t="str">
        <f aca="false">Equipos!C43</f>
        <v>2-135839</v>
      </c>
      <c r="B45" s="101" t="str">
        <f aca="false">Equipos!D43</f>
        <v>DEA</v>
      </c>
      <c r="C45" s="101" t="str">
        <f aca="false">Equipos!E43</f>
        <v>TROI</v>
      </c>
      <c r="D45" s="101" t="n">
        <f aca="false">Equipos!G43</f>
        <v>0</v>
      </c>
      <c r="E45" s="101" t="str">
        <f aca="false">Equipos!I43</f>
        <v>Mindray</v>
      </c>
      <c r="F45" s="101" t="str">
        <f aca="false">Equipos!J43</f>
        <v>BeneHeart C2</v>
      </c>
      <c r="G45" s="100" t="str">
        <f aca="false">Equipos!K43</f>
        <v>AE7-2408132</v>
      </c>
      <c r="H45" s="101"/>
      <c r="I45" s="102"/>
      <c r="J45" s="102"/>
      <c r="K45" s="102"/>
      <c r="L45" s="103" t="s">
        <v>328</v>
      </c>
      <c r="M45" s="102" t="s">
        <v>329</v>
      </c>
      <c r="N45" s="102"/>
      <c r="O45" s="102"/>
      <c r="P45" s="102"/>
      <c r="Q45" s="102"/>
      <c r="R45" s="102"/>
      <c r="S45" s="102"/>
      <c r="T45" s="102"/>
      <c r="U45" s="101" t="n">
        <f aca="false">V45+W45+X45+COUNTIF(I45:T45,"R")</f>
        <v>2</v>
      </c>
      <c r="V45" s="101" t="n">
        <f aca="false">COUNTIF(I45:T45,"E")</f>
        <v>1</v>
      </c>
      <c r="W45" s="101" t="n">
        <f aca="false">COUNTIF(I45:T45,"X")</f>
        <v>1</v>
      </c>
      <c r="X45" s="101" t="n">
        <f aca="false">COUNTIF(I45:T45,"C2")+COUNTIF(I45:T45,"C3")</f>
        <v>0</v>
      </c>
      <c r="Y45" s="101" t="n">
        <f aca="true">SUMPRODUCT((I45:INDEX(I45:T45,MONTH(TODAY()))="X")*1)</f>
        <v>1</v>
      </c>
      <c r="Z45" s="104" t="n">
        <f aca="false">IFERROR(V45/U45,"")</f>
        <v>0.5</v>
      </c>
    </row>
    <row r="46" customFormat="false" ht="15" hidden="false" customHeight="true" outlineLevel="0" collapsed="false">
      <c r="A46" s="100" t="str">
        <f aca="false">Equipos!C44</f>
        <v>2-024223</v>
      </c>
      <c r="B46" s="101" t="str">
        <f aca="false">Equipos!D44</f>
        <v>Desfibrilador</v>
      </c>
      <c r="C46" s="101" t="str">
        <f aca="false">Equipos!E44</f>
        <v>Pabellón (Hemodinamia)</v>
      </c>
      <c r="D46" s="101" t="str">
        <f aca="false">Equipos!G44</f>
        <v>Pabellón 2Piso</v>
      </c>
      <c r="E46" s="101" t="str">
        <f aca="false">Equipos!I44</f>
        <v>Zoll </v>
      </c>
      <c r="F46" s="101" t="str">
        <f aca="false">Equipos!J44</f>
        <v>R SERIES ALS</v>
      </c>
      <c r="G46" s="100" t="str">
        <f aca="false">Equipos!K44</f>
        <v>AF12B020910</v>
      </c>
      <c r="H46" s="101"/>
      <c r="I46" s="102"/>
      <c r="J46" s="102"/>
      <c r="K46" s="102"/>
      <c r="L46" s="103" t="s">
        <v>328</v>
      </c>
      <c r="M46" s="102"/>
      <c r="N46" s="102"/>
      <c r="O46" s="102"/>
      <c r="P46" s="102"/>
      <c r="Q46" s="102"/>
      <c r="R46" s="102"/>
      <c r="S46" s="102"/>
      <c r="T46" s="102"/>
      <c r="U46" s="101" t="n">
        <f aca="false">V46+W46+X46+COUNTIF(I46:T46,"R")</f>
        <v>1</v>
      </c>
      <c r="V46" s="101" t="n">
        <f aca="false">COUNTIF(I46:T46,"E")</f>
        <v>1</v>
      </c>
      <c r="W46" s="101" t="n">
        <f aca="false">COUNTIF(I46:T46,"X")</f>
        <v>0</v>
      </c>
      <c r="X46" s="101" t="n">
        <f aca="false">COUNTIF(I46:T46,"C2")+COUNTIF(I46:T46,"C3")</f>
        <v>0</v>
      </c>
      <c r="Y46" s="101" t="n">
        <f aca="true">SUMPRODUCT((I46:INDEX(I46:T46,MONTH(TODAY()))="X")*1)</f>
        <v>0</v>
      </c>
      <c r="Z46" s="104" t="n">
        <f aca="false">IFERROR(V46/U46,"")</f>
        <v>1</v>
      </c>
    </row>
    <row r="47" customFormat="false" ht="15" hidden="false" customHeight="true" outlineLevel="0" collapsed="false">
      <c r="A47" s="100" t="str">
        <f aca="false">Equipos!C45</f>
        <v>2-112264</v>
      </c>
      <c r="B47" s="101" t="str">
        <f aca="false">Equipos!D45</f>
        <v>Desfibrilador</v>
      </c>
      <c r="C47" s="101" t="str">
        <f aca="false">Equipos!E45</f>
        <v>UPC Adulto (Prestado a Urgencia Adulto)</v>
      </c>
      <c r="D47" s="101" t="str">
        <f aca="false">Equipos!G45</f>
        <v>Sala Reanimación</v>
      </c>
      <c r="E47" s="101" t="str">
        <f aca="false">Equipos!I45</f>
        <v>Zoll </v>
      </c>
      <c r="F47" s="101" t="str">
        <f aca="false">Equipos!J45</f>
        <v>R SERIES ALS</v>
      </c>
      <c r="G47" s="100" t="str">
        <f aca="false">Equipos!K45</f>
        <v>AF10H011856</v>
      </c>
      <c r="H47" s="101"/>
      <c r="I47" s="102"/>
      <c r="J47" s="103" t="s">
        <v>328</v>
      </c>
      <c r="K47" s="102"/>
      <c r="L47" s="102"/>
      <c r="M47" s="102"/>
      <c r="N47" s="102"/>
      <c r="O47" s="102"/>
      <c r="P47" s="102"/>
      <c r="Q47" s="102"/>
      <c r="R47" s="102"/>
      <c r="S47" s="102"/>
      <c r="T47" s="102"/>
      <c r="U47" s="101" t="n">
        <f aca="false">V47+W47+X47+COUNTIF(I47:T47,"R")</f>
        <v>1</v>
      </c>
      <c r="V47" s="101" t="n">
        <f aca="false">COUNTIF(I47:T47,"E")</f>
        <v>1</v>
      </c>
      <c r="W47" s="101" t="n">
        <f aca="false">COUNTIF(I47:T47,"X")</f>
        <v>0</v>
      </c>
      <c r="X47" s="101" t="n">
        <f aca="false">COUNTIF(I47:T47,"C2")+COUNTIF(I47:T47,"C3")</f>
        <v>0</v>
      </c>
      <c r="Y47" s="101" t="n">
        <f aca="true">SUMPRODUCT((I47:INDEX(I47:T47,MONTH(TODAY()))="X")*1)</f>
        <v>0</v>
      </c>
      <c r="Z47" s="104" t="n">
        <f aca="false">IFERROR(V47/U47,"")</f>
        <v>1</v>
      </c>
    </row>
    <row r="48" customFormat="false" ht="15" hidden="false" customHeight="true" outlineLevel="0" collapsed="false">
      <c r="A48" s="100" t="str">
        <f aca="false">Equipos!C46</f>
        <v>2-013518</v>
      </c>
      <c r="B48" s="101" t="str">
        <f aca="false">Equipos!D46</f>
        <v>Desfibrilador</v>
      </c>
      <c r="C48" s="101" t="str">
        <f aca="false">Equipos!E46</f>
        <v>Medicina (Prestado a Medicina cardiovascular)</v>
      </c>
      <c r="D48" s="101" t="str">
        <f aca="false">Equipos!G46</f>
        <v>Zócalo</v>
      </c>
      <c r="E48" s="101" t="str">
        <f aca="false">Equipos!I46</f>
        <v>Nihon Kohden</v>
      </c>
      <c r="F48" s="101" t="str">
        <f aca="false">Equipos!J46</f>
        <v>TEC 5531E</v>
      </c>
      <c r="G48" s="100" t="str">
        <f aca="false">Equipos!K46</f>
        <v>1816</v>
      </c>
      <c r="H48" s="101"/>
      <c r="I48" s="103" t="s">
        <v>328</v>
      </c>
      <c r="J48" s="102"/>
      <c r="K48" s="102"/>
      <c r="L48" s="102"/>
      <c r="M48" s="102"/>
      <c r="N48" s="102"/>
      <c r="O48" s="102"/>
      <c r="P48" s="102"/>
      <c r="Q48" s="102"/>
      <c r="R48" s="102"/>
      <c r="S48" s="102"/>
      <c r="T48" s="102"/>
      <c r="U48" s="101" t="n">
        <f aca="false">V48+W48+X48+COUNTIF(I48:T48,"R")</f>
        <v>1</v>
      </c>
      <c r="V48" s="101" t="n">
        <f aca="false">COUNTIF(I48:T48,"E")</f>
        <v>1</v>
      </c>
      <c r="W48" s="101" t="n">
        <f aca="false">COUNTIF(I48:T48,"X")</f>
        <v>0</v>
      </c>
      <c r="X48" s="101" t="n">
        <f aca="false">COUNTIF(I48:T48,"C2")+COUNTIF(I48:T48,"C3")</f>
        <v>0</v>
      </c>
      <c r="Y48" s="101" t="n">
        <f aca="true">SUMPRODUCT((I48:INDEX(I48:T48,MONTH(TODAY()))="X")*1)</f>
        <v>0</v>
      </c>
      <c r="Z48" s="104" t="n">
        <f aca="false">IFERROR(V48/U48,"")</f>
        <v>1</v>
      </c>
    </row>
    <row r="49" customFormat="false" ht="15" hidden="false" customHeight="true" outlineLevel="0" collapsed="false">
      <c r="A49" s="100" t="str">
        <f aca="false">Equipos!C47</f>
        <v>2-117973</v>
      </c>
      <c r="B49" s="101" t="str">
        <f aca="false">Equipos!D47</f>
        <v>DEA</v>
      </c>
      <c r="C49" s="101" t="str">
        <f aca="false">Equipos!E47</f>
        <v>Gestión de Pacientes</v>
      </c>
      <c r="D49" s="101" t="str">
        <f aca="false">Equipos!G47</f>
        <v>Gestión de Pacientes</v>
      </c>
      <c r="E49" s="101" t="str">
        <f aca="false">Equipos!I47</f>
        <v>Zoll</v>
      </c>
      <c r="F49" s="101" t="str">
        <f aca="false">Equipos!J47</f>
        <v>AEDPLUS</v>
      </c>
      <c r="G49" s="100" t="str">
        <f aca="false">Equipos!K47</f>
        <v>X18E028657</v>
      </c>
      <c r="H49" s="101"/>
      <c r="I49" s="103" t="s">
        <v>328</v>
      </c>
      <c r="J49" s="103" t="s">
        <v>328</v>
      </c>
      <c r="K49" s="103" t="s">
        <v>328</v>
      </c>
      <c r="L49" s="103" t="s">
        <v>328</v>
      </c>
      <c r="M49" s="103" t="s">
        <v>328</v>
      </c>
      <c r="N49" s="102"/>
      <c r="O49" s="102"/>
      <c r="P49" s="102"/>
      <c r="Q49" s="102"/>
      <c r="R49" s="102"/>
      <c r="S49" s="102"/>
      <c r="T49" s="102"/>
      <c r="U49" s="101" t="n">
        <f aca="false">V49+W49+X49+COUNTIF(I49:T49,"R")</f>
        <v>5</v>
      </c>
      <c r="V49" s="101" t="n">
        <f aca="false">COUNTIF(I49:T49,"E")</f>
        <v>5</v>
      </c>
      <c r="W49" s="101" t="n">
        <f aca="false">COUNTIF(I49:T49,"X")</f>
        <v>0</v>
      </c>
      <c r="X49" s="101" t="n">
        <f aca="false">COUNTIF(I49:T49,"C2")+COUNTIF(I49:T49,"C3")</f>
        <v>0</v>
      </c>
      <c r="Y49" s="101" t="n">
        <f aca="true">SUMPRODUCT((I49:INDEX(I49:T49,MONTH(TODAY()))="X")*1)</f>
        <v>0</v>
      </c>
      <c r="Z49" s="104" t="n">
        <f aca="false">IFERROR(V49/U49,"")</f>
        <v>1</v>
      </c>
    </row>
    <row r="50" customFormat="false" ht="15" hidden="false" customHeight="true" outlineLevel="0" collapsed="false">
      <c r="A50" s="100" t="str">
        <f aca="false">Equipos!C48</f>
        <v>121010-024575</v>
      </c>
      <c r="B50" s="101" t="str">
        <f aca="false">Equipos!D48</f>
        <v>DEA</v>
      </c>
      <c r="C50" s="101" t="str">
        <f aca="false">Equipos!E48</f>
        <v>Unidad Evaluación Paciente Imputado</v>
      </c>
      <c r="D50" s="101" t="str">
        <f aca="false">Equipos!G48</f>
        <v>UEPI-103</v>
      </c>
      <c r="E50" s="101" t="str">
        <f aca="false">Equipos!I48</f>
        <v>Nihon Kohden</v>
      </c>
      <c r="F50" s="101" t="str">
        <f aca="false">Equipos!J48</f>
        <v>AED-3100</v>
      </c>
      <c r="G50" s="100" t="str">
        <f aca="false">Equipos!K48</f>
        <v>13042</v>
      </c>
      <c r="H50" s="101"/>
      <c r="I50" s="103" t="s">
        <v>328</v>
      </c>
      <c r="J50" s="103" t="s">
        <v>328</v>
      </c>
      <c r="K50" s="103" t="s">
        <v>328</v>
      </c>
      <c r="L50" s="103" t="s">
        <v>328</v>
      </c>
      <c r="M50" s="103" t="s">
        <v>328</v>
      </c>
      <c r="N50" s="102"/>
      <c r="O50" s="102"/>
      <c r="P50" s="102"/>
      <c r="Q50" s="102"/>
      <c r="R50" s="102"/>
      <c r="S50" s="102"/>
      <c r="T50" s="102"/>
      <c r="U50" s="101" t="n">
        <f aca="false">V50+W50+X50+COUNTIF(I50:T50,"R")</f>
        <v>5</v>
      </c>
      <c r="V50" s="101" t="n">
        <f aca="false">COUNTIF(I50:T50,"E")</f>
        <v>5</v>
      </c>
      <c r="W50" s="101" t="n">
        <f aca="false">COUNTIF(I50:T50,"X")</f>
        <v>0</v>
      </c>
      <c r="X50" s="101" t="n">
        <f aca="false">COUNTIF(I50:T50,"C2")+COUNTIF(I50:T50,"C3")</f>
        <v>0</v>
      </c>
      <c r="Y50" s="101" t="n">
        <f aca="true">SUMPRODUCT((I50:INDEX(I50:T50,MONTH(TODAY()))="X")*1)</f>
        <v>0</v>
      </c>
      <c r="Z50" s="104" t="n">
        <f aca="false">IFERROR(V50/U50,"")</f>
        <v>1</v>
      </c>
    </row>
    <row r="51" customFormat="false" ht="15" hidden="false" customHeight="true" outlineLevel="0" collapsed="false">
      <c r="A51" s="100" t="str">
        <f aca="false">Equipos!C49</f>
        <v>2-134465</v>
      </c>
      <c r="B51" s="101" t="str">
        <f aca="false">Equipos!D49</f>
        <v>DEA</v>
      </c>
      <c r="C51" s="101" t="str">
        <f aca="false">Equipos!E49</f>
        <v>SAMU</v>
      </c>
      <c r="D51" s="101" t="str">
        <f aca="false">Equipos!G49</f>
        <v>Ambulancia</v>
      </c>
      <c r="E51" s="101" t="str">
        <f aca="false">Equipos!I49</f>
        <v>Mindray</v>
      </c>
      <c r="F51" s="101" t="str">
        <f aca="false">Equipos!J49</f>
        <v>BeneHeart C1A</v>
      </c>
      <c r="G51" s="100" t="str">
        <f aca="false">Equipos!K49</f>
        <v>AF1-48110851</v>
      </c>
      <c r="H51" s="101"/>
      <c r="I51" s="103" t="s">
        <v>328</v>
      </c>
      <c r="J51" s="103" t="s">
        <v>328</v>
      </c>
      <c r="K51" s="103" t="s">
        <v>328</v>
      </c>
      <c r="L51" s="103" t="s">
        <v>328</v>
      </c>
      <c r="M51" s="103" t="s">
        <v>329</v>
      </c>
      <c r="N51" s="102"/>
      <c r="O51" s="102"/>
      <c r="P51" s="102"/>
      <c r="Q51" s="102"/>
      <c r="R51" s="102"/>
      <c r="S51" s="102"/>
      <c r="T51" s="102"/>
      <c r="U51" s="101" t="n">
        <f aca="false">V51+W51+X51+COUNTIF(I51:T51,"R")</f>
        <v>5</v>
      </c>
      <c r="V51" s="101" t="n">
        <f aca="false">COUNTIF(I51:T51,"E")</f>
        <v>4</v>
      </c>
      <c r="W51" s="101" t="n">
        <f aca="false">COUNTIF(I51:T51,"X")</f>
        <v>1</v>
      </c>
      <c r="X51" s="101" t="n">
        <f aca="false">COUNTIF(I51:T51,"C2")+COUNTIF(I51:T51,"C3")</f>
        <v>0</v>
      </c>
      <c r="Y51" s="101" t="n">
        <f aca="true">SUMPRODUCT((I51:INDEX(I51:T51,MONTH(TODAY()))="X")*1)</f>
        <v>1</v>
      </c>
      <c r="Z51" s="104" t="n">
        <f aca="false">IFERROR(V51/U51,"")</f>
        <v>0.8</v>
      </c>
    </row>
    <row r="52" customFormat="false" ht="15" hidden="false" customHeight="true" outlineLevel="0" collapsed="false">
      <c r="A52" s="100" t="str">
        <f aca="false">Equipos!C50</f>
        <v>2-112265</v>
      </c>
      <c r="B52" s="101" t="str">
        <f aca="false">Equipos!D50</f>
        <v>Desfibrilador</v>
      </c>
      <c r="C52" s="101" t="str">
        <f aca="false">Equipos!E50</f>
        <v>Urgencia Infantil</v>
      </c>
      <c r="D52" s="101" t="str">
        <f aca="false">Equipos!G50</f>
        <v>SUI sala IRA</v>
      </c>
      <c r="E52" s="101" t="str">
        <f aca="false">Equipos!I50</f>
        <v>Nihon Kohden</v>
      </c>
      <c r="F52" s="101" t="str">
        <f aca="false">Equipos!J50</f>
        <v>TEC 5531E</v>
      </c>
      <c r="G52" s="100" t="str">
        <f aca="false">Equipos!K50</f>
        <v>888</v>
      </c>
      <c r="H52" s="101"/>
      <c r="I52" s="102"/>
      <c r="J52" s="102"/>
      <c r="K52" s="103" t="s">
        <v>331</v>
      </c>
      <c r="L52" s="103"/>
      <c r="M52" s="102"/>
      <c r="N52" s="102"/>
      <c r="O52" s="102"/>
      <c r="P52" s="102"/>
      <c r="Q52" s="102"/>
      <c r="R52" s="102"/>
      <c r="S52" s="102"/>
      <c r="T52" s="102"/>
      <c r="U52" s="101" t="n">
        <f aca="false">V52+W52+X52+COUNTIF(I52:T52,"R")</f>
        <v>1</v>
      </c>
      <c r="V52" s="101" t="n">
        <f aca="false">COUNTIF(I52:T52,"E")</f>
        <v>0</v>
      </c>
      <c r="W52" s="101" t="n">
        <f aca="false">COUNTIF(I52:T52,"X")</f>
        <v>0</v>
      </c>
      <c r="X52" s="101" t="n">
        <f aca="false">COUNTIF(I52:T52,"C2")+COUNTIF(I52:T52,"C3")</f>
        <v>1</v>
      </c>
      <c r="Y52" s="101" t="n">
        <f aca="true">SUMPRODUCT((I52:INDEX(I52:T52,MONTH(TODAY()))="X")*1)</f>
        <v>0</v>
      </c>
      <c r="Z52" s="104" t="n">
        <f aca="false">IFERROR(V52/U52,"")</f>
        <v>0</v>
      </c>
    </row>
    <row r="53" customFormat="false" ht="15" hidden="false" customHeight="true" outlineLevel="0" collapsed="false">
      <c r="A53" s="100" t="str">
        <f aca="false">Equipos!C51</f>
        <v>2-112266</v>
      </c>
      <c r="B53" s="101" t="str">
        <f aca="false">Equipos!D51</f>
        <v>Desfibrilador</v>
      </c>
      <c r="C53" s="101" t="str">
        <f aca="false">Equipos!E51</f>
        <v>Endoscopía</v>
      </c>
      <c r="D53" s="101" t="str">
        <f aca="false">Equipos!G51</f>
        <v>CDT-P1-SA06</v>
      </c>
      <c r="E53" s="101" t="str">
        <f aca="false">Equipos!I51</f>
        <v>Zoll</v>
      </c>
      <c r="F53" s="101" t="str">
        <f aca="false">Equipos!J51</f>
        <v>R SERIES ALS</v>
      </c>
      <c r="G53" s="100" t="str">
        <f aca="false">Equipos!K51</f>
        <v>AF12B020988</v>
      </c>
      <c r="H53" s="101"/>
      <c r="I53" s="102"/>
      <c r="J53" s="102"/>
      <c r="K53" s="103" t="s">
        <v>328</v>
      </c>
      <c r="L53" s="102"/>
      <c r="M53" s="102"/>
      <c r="N53" s="102"/>
      <c r="O53" s="102"/>
      <c r="P53" s="102"/>
      <c r="Q53" s="102"/>
      <c r="R53" s="102"/>
      <c r="S53" s="102"/>
      <c r="T53" s="102"/>
      <c r="U53" s="101" t="n">
        <f aca="false">V53+W53+X53+COUNTIF(I53:T53,"R")</f>
        <v>1</v>
      </c>
      <c r="V53" s="101" t="n">
        <f aca="false">COUNTIF(I53:T53,"E")</f>
        <v>1</v>
      </c>
      <c r="W53" s="101" t="n">
        <f aca="false">COUNTIF(I53:T53,"X")</f>
        <v>0</v>
      </c>
      <c r="X53" s="101" t="n">
        <f aca="false">COUNTIF(I53:T53,"C2")+COUNTIF(I53:T53,"C3")</f>
        <v>0</v>
      </c>
      <c r="Y53" s="101" t="n">
        <f aca="true">SUMPRODUCT((I53:INDEX(I53:T53,MONTH(TODAY()))="X")*1)</f>
        <v>0</v>
      </c>
      <c r="Z53" s="104" t="n">
        <f aca="false">IFERROR(V53/U53,"")</f>
        <v>1</v>
      </c>
    </row>
    <row r="54" customFormat="false" ht="15" hidden="false" customHeight="true" outlineLevel="0" collapsed="false">
      <c r="A54" s="100" t="str">
        <f aca="false">Equipos!C52</f>
        <v>2-112267</v>
      </c>
      <c r="B54" s="101" t="str">
        <f aca="false">Equipos!D52</f>
        <v>Desfibrilador</v>
      </c>
      <c r="C54" s="101" t="str">
        <f aca="false">Equipos!E52</f>
        <v>UPC Adulto</v>
      </c>
      <c r="D54" s="101" t="str">
        <f aca="false">Equipos!G52</f>
        <v>UCI D</v>
      </c>
      <c r="E54" s="101" t="str">
        <f aca="false">Equipos!I52</f>
        <v>Nihon Kohden</v>
      </c>
      <c r="F54" s="101" t="str">
        <f aca="false">Equipos!J52</f>
        <v>TEC 5531E</v>
      </c>
      <c r="G54" s="100" t="str">
        <f aca="false">Equipos!K52</f>
        <v>889</v>
      </c>
      <c r="H54" s="101"/>
      <c r="I54" s="102"/>
      <c r="J54" s="103" t="s">
        <v>331</v>
      </c>
      <c r="K54" s="102"/>
      <c r="L54" s="103"/>
      <c r="M54" s="102"/>
      <c r="N54" s="102"/>
      <c r="O54" s="102"/>
      <c r="P54" s="102"/>
      <c r="Q54" s="102"/>
      <c r="R54" s="102"/>
      <c r="S54" s="102"/>
      <c r="T54" s="102"/>
      <c r="U54" s="101" t="n">
        <f aca="false">V54+W54+X54+COUNTIF(I54:T54,"R")</f>
        <v>1</v>
      </c>
      <c r="V54" s="101" t="n">
        <f aca="false">COUNTIF(I54:T54,"E")</f>
        <v>0</v>
      </c>
      <c r="W54" s="101" t="n">
        <f aca="false">COUNTIF(I54:T54,"X")</f>
        <v>0</v>
      </c>
      <c r="X54" s="101" t="n">
        <f aca="false">COUNTIF(I54:T54,"C2")+COUNTIF(I54:T54,"C3")</f>
        <v>1</v>
      </c>
      <c r="Y54" s="101" t="n">
        <f aca="true">SUMPRODUCT((I54:INDEX(I54:T54,MONTH(TODAY()))="X")*1)</f>
        <v>0</v>
      </c>
      <c r="Z54" s="104" t="n">
        <f aca="false">IFERROR(V54/U54,"")</f>
        <v>0</v>
      </c>
    </row>
    <row r="55" customFormat="false" ht="15" hidden="false" customHeight="true" outlineLevel="0" collapsed="false">
      <c r="A55" s="100" t="str">
        <f aca="false">Equipos!C53</f>
        <v>2-023059</v>
      </c>
      <c r="B55" s="101" t="str">
        <f aca="false">Equipos!D53</f>
        <v>Desfibrilador</v>
      </c>
      <c r="C55" s="101" t="str">
        <f aca="false">Equipos!E53</f>
        <v>Pediatría</v>
      </c>
      <c r="D55" s="101" t="str">
        <f aca="false">Equipos!G53</f>
        <v>Pediatréa EPA</v>
      </c>
      <c r="E55" s="101" t="str">
        <f aca="false">Equipos!I53</f>
        <v>Nihon Kohden</v>
      </c>
      <c r="F55" s="101" t="str">
        <f aca="false">Equipos!J53</f>
        <v>TEC 5531E</v>
      </c>
      <c r="G55" s="100" t="str">
        <f aca="false">Equipos!K53</f>
        <v>39</v>
      </c>
      <c r="H55" s="101"/>
      <c r="I55" s="103" t="s">
        <v>328</v>
      </c>
      <c r="J55" s="102"/>
      <c r="K55" s="102"/>
      <c r="L55" s="102"/>
      <c r="M55" s="102"/>
      <c r="N55" s="102"/>
      <c r="O55" s="102"/>
      <c r="P55" s="102"/>
      <c r="Q55" s="102"/>
      <c r="R55" s="102"/>
      <c r="S55" s="102"/>
      <c r="T55" s="102"/>
      <c r="U55" s="101" t="n">
        <f aca="false">V55+W55+X55+COUNTIF(I55:T55,"R")</f>
        <v>1</v>
      </c>
      <c r="V55" s="101" t="n">
        <f aca="false">COUNTIF(I55:T55,"E")</f>
        <v>1</v>
      </c>
      <c r="W55" s="101" t="n">
        <f aca="false">COUNTIF(I55:T55,"X")</f>
        <v>0</v>
      </c>
      <c r="X55" s="101" t="n">
        <f aca="false">COUNTIF(I55:T55,"C2")+COUNTIF(I55:T55,"C3")</f>
        <v>0</v>
      </c>
      <c r="Y55" s="101" t="n">
        <f aca="true">SUMPRODUCT((I55:INDEX(I55:T55,MONTH(TODAY()))="X")*1)</f>
        <v>0</v>
      </c>
      <c r="Z55" s="104" t="n">
        <f aca="false">IFERROR(V55/U55,"")</f>
        <v>1</v>
      </c>
    </row>
    <row r="56" customFormat="false" ht="15" hidden="false" customHeight="true" outlineLevel="0" collapsed="false">
      <c r="A56" s="100" t="str">
        <f aca="false">Equipos!C54</f>
        <v>2-112268</v>
      </c>
      <c r="B56" s="101" t="str">
        <f aca="false">Equipos!D54</f>
        <v>Desfibrilador</v>
      </c>
      <c r="C56" s="101" t="str">
        <f aca="false">Equipos!E54</f>
        <v>Pabellones Gineco-Obstétricos</v>
      </c>
      <c r="D56" s="101" t="str">
        <f aca="false">Equipos!G54</f>
        <v>Pabellón Urgencia Obstétrica</v>
      </c>
      <c r="E56" s="101" t="str">
        <f aca="false">Equipos!I54</f>
        <v>Zoll</v>
      </c>
      <c r="F56" s="101" t="str">
        <f aca="false">Equipos!J54</f>
        <v>M SERIES </v>
      </c>
      <c r="G56" s="100" t="str">
        <f aca="false">Equipos!K54</f>
        <v>T03K52786</v>
      </c>
      <c r="H56" s="101"/>
      <c r="I56" s="102"/>
      <c r="J56" s="102"/>
      <c r="K56" s="102"/>
      <c r="L56" s="102"/>
      <c r="M56" s="103" t="s">
        <v>329</v>
      </c>
      <c r="N56" s="102"/>
      <c r="O56" s="102"/>
      <c r="P56" s="102"/>
      <c r="Q56" s="102"/>
      <c r="R56" s="102"/>
      <c r="S56" s="102"/>
      <c r="T56" s="102"/>
      <c r="U56" s="101" t="n">
        <f aca="false">V56+W56+X56+COUNTIF(I56:T56,"R")</f>
        <v>1</v>
      </c>
      <c r="V56" s="101" t="n">
        <f aca="false">COUNTIF(I56:T56,"E")</f>
        <v>0</v>
      </c>
      <c r="W56" s="101" t="n">
        <f aca="false">COUNTIF(I56:T56,"X")</f>
        <v>1</v>
      </c>
      <c r="X56" s="101" t="n">
        <f aca="false">COUNTIF(I56:T56,"C2")+COUNTIF(I56:T56,"C3")</f>
        <v>0</v>
      </c>
      <c r="Y56" s="101" t="n">
        <f aca="true">SUMPRODUCT((I56:INDEX(I56:T56,MONTH(TODAY()))="X")*1)</f>
        <v>1</v>
      </c>
      <c r="Z56" s="104" t="n">
        <f aca="false">IFERROR(V56/U56,"")</f>
        <v>0</v>
      </c>
    </row>
    <row r="57" customFormat="false" ht="15" hidden="false" customHeight="true" outlineLevel="0" collapsed="false">
      <c r="A57" s="100" t="str">
        <f aca="false">Equipos!C55</f>
        <v>2-015926</v>
      </c>
      <c r="B57" s="101" t="str">
        <f aca="false">Equipos!D55</f>
        <v>Desfibrilador</v>
      </c>
      <c r="C57" s="101" t="str">
        <f aca="false">Equipos!E55</f>
        <v>Pabellones Gineco-Obstétricos</v>
      </c>
      <c r="D57" s="101" t="str">
        <f aca="false">Equipos!G55</f>
        <v>Recuperación Partos</v>
      </c>
      <c r="E57" s="101" t="str">
        <f aca="false">Equipos!I55</f>
        <v>Medtronic</v>
      </c>
      <c r="F57" s="101" t="str">
        <f aca="false">Equipos!J55</f>
        <v>Lifepack 20</v>
      </c>
      <c r="G57" s="100" t="str">
        <f aca="false">Equipos!K55</f>
        <v>40676147</v>
      </c>
      <c r="H57" s="101"/>
      <c r="I57" s="102"/>
      <c r="J57" s="102"/>
      <c r="K57" s="102"/>
      <c r="L57" s="102"/>
      <c r="M57" s="103" t="s">
        <v>329</v>
      </c>
      <c r="N57" s="102"/>
      <c r="O57" s="102"/>
      <c r="P57" s="102"/>
      <c r="Q57" s="102"/>
      <c r="R57" s="102"/>
      <c r="S57" s="102"/>
      <c r="T57" s="102"/>
      <c r="U57" s="101" t="n">
        <f aca="false">V57+W57+X57+COUNTIF(I57:T57,"R")</f>
        <v>1</v>
      </c>
      <c r="V57" s="101" t="n">
        <f aca="false">COUNTIF(I57:T57,"E")</f>
        <v>0</v>
      </c>
      <c r="W57" s="101" t="n">
        <f aca="false">COUNTIF(I57:T57,"X")</f>
        <v>1</v>
      </c>
      <c r="X57" s="101" t="n">
        <f aca="false">COUNTIF(I57:T57,"C2")+COUNTIF(I57:T57,"C3")</f>
        <v>0</v>
      </c>
      <c r="Y57" s="101" t="n">
        <f aca="true">SUMPRODUCT((I57:INDEX(I57:T57,MONTH(TODAY()))="X")*1)</f>
        <v>1</v>
      </c>
      <c r="Z57" s="104" t="n">
        <f aca="false">IFERROR(V57/U57,"")</f>
        <v>0</v>
      </c>
    </row>
    <row r="58" customFormat="false" ht="15" hidden="false" customHeight="true" outlineLevel="0" collapsed="false">
      <c r="A58" s="100" t="str">
        <f aca="false">Equipos!C56</f>
        <v>2-021577</v>
      </c>
      <c r="B58" s="101" t="str">
        <f aca="false">Equipos!D56</f>
        <v>Desfibrilador</v>
      </c>
      <c r="C58" s="101" t="str">
        <f aca="false">Equipos!E56</f>
        <v>Cirugía Adulto</v>
      </c>
      <c r="D58" s="101" t="str">
        <f aca="false">Equipos!G56</f>
        <v>Bodega escritorio</v>
      </c>
      <c r="E58" s="101" t="str">
        <f aca="false">Equipos!I56</f>
        <v>Medtronic</v>
      </c>
      <c r="F58" s="101" t="str">
        <f aca="false">Equipos!J56</f>
        <v>Lifepack 20</v>
      </c>
      <c r="G58" s="100" t="str">
        <f aca="false">Equipos!K56</f>
        <v>39322210</v>
      </c>
      <c r="H58" s="101"/>
      <c r="I58" s="102"/>
      <c r="J58" s="102"/>
      <c r="K58" s="102"/>
      <c r="L58" s="102"/>
      <c r="M58" s="103" t="s">
        <v>328</v>
      </c>
      <c r="N58" s="102"/>
      <c r="O58" s="102"/>
      <c r="P58" s="102"/>
      <c r="Q58" s="102"/>
      <c r="R58" s="102"/>
      <c r="S58" s="102"/>
      <c r="T58" s="102"/>
      <c r="U58" s="101" t="n">
        <f aca="false">V58+W58+X58+COUNTIF(I58:T58,"R")</f>
        <v>1</v>
      </c>
      <c r="V58" s="101" t="n">
        <f aca="false">COUNTIF(I58:T58,"E")</f>
        <v>1</v>
      </c>
      <c r="W58" s="101" t="n">
        <f aca="false">COUNTIF(I58:T58,"X")</f>
        <v>0</v>
      </c>
      <c r="X58" s="101" t="n">
        <f aca="false">COUNTIF(I58:T58,"C2")+COUNTIF(I58:T58,"C3")</f>
        <v>0</v>
      </c>
      <c r="Y58" s="101" t="n">
        <f aca="true">SUMPRODUCT((I58:INDEX(I58:T58,MONTH(TODAY()))="X")*1)</f>
        <v>0</v>
      </c>
      <c r="Z58" s="104" t="n">
        <f aca="false">IFERROR(V58/U58,"")</f>
        <v>1</v>
      </c>
    </row>
    <row r="59" customFormat="false" ht="15" hidden="false" customHeight="true" outlineLevel="0" collapsed="false">
      <c r="A59" s="100" t="str">
        <f aca="false">Equipos!C57</f>
        <v>2-017416</v>
      </c>
      <c r="B59" s="101" t="str">
        <f aca="false">Equipos!D57</f>
        <v>Desfibrilador</v>
      </c>
      <c r="C59" s="101" t="str">
        <f aca="false">Equipos!E57</f>
        <v>Pabellón Quirúrgico</v>
      </c>
      <c r="D59" s="101" t="str">
        <f aca="false">Equipos!G57</f>
        <v>CDT-P2-PA05</v>
      </c>
      <c r="E59" s="101" t="str">
        <f aca="false">Equipos!I57</f>
        <v>Nihon Kohden</v>
      </c>
      <c r="F59" s="101" t="str">
        <f aca="false">Equipos!J57</f>
        <v>TEC 5531E</v>
      </c>
      <c r="G59" s="100" t="str">
        <f aca="false">Equipos!K57</f>
        <v>880</v>
      </c>
      <c r="H59" s="101"/>
      <c r="I59" s="102"/>
      <c r="J59" s="102"/>
      <c r="K59" s="102"/>
      <c r="L59" s="103" t="s">
        <v>328</v>
      </c>
      <c r="M59" s="102"/>
      <c r="N59" s="102"/>
      <c r="O59" s="102"/>
      <c r="P59" s="102"/>
      <c r="Q59" s="102"/>
      <c r="R59" s="102"/>
      <c r="S59" s="102"/>
      <c r="T59" s="102"/>
      <c r="U59" s="101" t="n">
        <f aca="false">V59+W59+X59+COUNTIF(I59:T59,"R")</f>
        <v>1</v>
      </c>
      <c r="V59" s="101" t="n">
        <f aca="false">COUNTIF(I59:T59,"E")</f>
        <v>1</v>
      </c>
      <c r="W59" s="101" t="n">
        <f aca="false">COUNTIF(I59:T59,"X")</f>
        <v>0</v>
      </c>
      <c r="X59" s="101" t="n">
        <f aca="false">COUNTIF(I59:T59,"C2")+COUNTIF(I59:T59,"C3")</f>
        <v>0</v>
      </c>
      <c r="Y59" s="101" t="n">
        <f aca="true">SUMPRODUCT((I59:INDEX(I59:T59,MONTH(TODAY()))="X")*1)</f>
        <v>0</v>
      </c>
      <c r="Z59" s="104" t="n">
        <f aca="false">IFERROR(V59/U59,"")</f>
        <v>1</v>
      </c>
    </row>
    <row r="60" customFormat="false" ht="15" hidden="false" customHeight="true" outlineLevel="0" collapsed="false">
      <c r="A60" s="100" t="str">
        <f aca="false">Equipos!C58</f>
        <v>2-024411</v>
      </c>
      <c r="B60" s="101" t="str">
        <f aca="false">Equipos!D58</f>
        <v>Desfibrilador</v>
      </c>
      <c r="C60" s="101" t="str">
        <f aca="false">Equipos!E58</f>
        <v>Cirugía Adulto</v>
      </c>
      <c r="D60" s="101" t="str">
        <f aca="false">Equipos!G58</f>
        <v>EPB-P3-OF02</v>
      </c>
      <c r="E60" s="101" t="str">
        <f aca="false">Equipos!I58</f>
        <v>Nihon Kohden</v>
      </c>
      <c r="F60" s="101" t="str">
        <f aca="false">Equipos!J58</f>
        <v>TEC 5531E</v>
      </c>
      <c r="G60" s="100" t="str">
        <f aca="false">Equipos!K58</f>
        <v>885</v>
      </c>
      <c r="H60" s="101"/>
      <c r="I60" s="102"/>
      <c r="J60" s="102"/>
      <c r="K60" s="102"/>
      <c r="L60" s="103" t="s">
        <v>328</v>
      </c>
      <c r="M60" s="102"/>
      <c r="N60" s="102"/>
      <c r="O60" s="102"/>
      <c r="P60" s="102"/>
      <c r="Q60" s="102"/>
      <c r="R60" s="102"/>
      <c r="S60" s="102"/>
      <c r="T60" s="102"/>
      <c r="U60" s="101" t="n">
        <f aca="false">V60+W60+X60+COUNTIF(I60:T60,"R")</f>
        <v>1</v>
      </c>
      <c r="V60" s="101" t="n">
        <f aca="false">COUNTIF(I60:T60,"E")</f>
        <v>1</v>
      </c>
      <c r="W60" s="101" t="n">
        <f aca="false">COUNTIF(I60:T60,"X")</f>
        <v>0</v>
      </c>
      <c r="X60" s="101" t="n">
        <f aca="false">COUNTIF(I60:T60,"C2")+COUNTIF(I60:T60,"C3")</f>
        <v>0</v>
      </c>
      <c r="Y60" s="101" t="n">
        <f aca="true">SUMPRODUCT((I60:INDEX(I60:T60,MONTH(TODAY()))="X")*1)</f>
        <v>0</v>
      </c>
      <c r="Z60" s="104" t="n">
        <f aca="false">IFERROR(V60/U60,"")</f>
        <v>1</v>
      </c>
    </row>
    <row r="61" customFormat="false" ht="15" hidden="false" customHeight="true" outlineLevel="0" collapsed="false">
      <c r="A61" s="100" t="str">
        <f aca="false">Equipos!C59</f>
        <v>2-112269</v>
      </c>
      <c r="B61" s="101" t="str">
        <f aca="false">Equipos!D59</f>
        <v>Desfibrilador</v>
      </c>
      <c r="C61" s="101" t="str">
        <f aca="false">Equipos!E59</f>
        <v>Pabellón CMA</v>
      </c>
      <c r="D61" s="101" t="n">
        <f aca="false">Equipos!G59</f>
        <v>0</v>
      </c>
      <c r="E61" s="101" t="str">
        <f aca="false">Equipos!I59</f>
        <v>Nihon Kohden</v>
      </c>
      <c r="F61" s="101" t="str">
        <f aca="false">Equipos!J59</f>
        <v>TEC 5531E</v>
      </c>
      <c r="G61" s="100" t="str">
        <f aca="false">Equipos!K59</f>
        <v>1818</v>
      </c>
      <c r="H61" s="101"/>
      <c r="I61" s="102"/>
      <c r="J61" s="102"/>
      <c r="K61" s="102"/>
      <c r="L61" s="102"/>
      <c r="M61" s="103" t="s">
        <v>328</v>
      </c>
      <c r="N61" s="102"/>
      <c r="O61" s="102"/>
      <c r="P61" s="102"/>
      <c r="Q61" s="102"/>
      <c r="R61" s="102"/>
      <c r="S61" s="102"/>
      <c r="T61" s="102"/>
      <c r="U61" s="101" t="n">
        <f aca="false">V61+W61+X61+COUNTIF(I61:T61,"R")</f>
        <v>1</v>
      </c>
      <c r="V61" s="101" t="n">
        <f aca="false">COUNTIF(I61:T61,"E")</f>
        <v>1</v>
      </c>
      <c r="W61" s="101" t="n">
        <f aca="false">COUNTIF(I61:T61,"X")</f>
        <v>0</v>
      </c>
      <c r="X61" s="101" t="n">
        <f aca="false">COUNTIF(I61:T61,"C2")+COUNTIF(I61:T61,"C3")</f>
        <v>0</v>
      </c>
      <c r="Y61" s="101" t="n">
        <f aca="true">SUMPRODUCT((I61:INDEX(I61:T61,MONTH(TODAY()))="X")*1)</f>
        <v>0</v>
      </c>
      <c r="Z61" s="104" t="n">
        <f aca="false">IFERROR(V61/U61,"")</f>
        <v>1</v>
      </c>
    </row>
    <row r="62" customFormat="false" ht="15" hidden="false" customHeight="true" outlineLevel="0" collapsed="false">
      <c r="A62" s="100" t="str">
        <f aca="false">Equipos!C60</f>
        <v>2-013928</v>
      </c>
      <c r="B62" s="101" t="str">
        <f aca="false">Equipos!D60</f>
        <v>Desfibrilador</v>
      </c>
      <c r="C62" s="101" t="str">
        <f aca="false">Equipos!E60</f>
        <v>Pabellón CMA</v>
      </c>
      <c r="D62" s="101" t="n">
        <f aca="false">Equipos!G60</f>
        <v>0</v>
      </c>
      <c r="E62" s="101" t="str">
        <f aca="false">Equipos!I60</f>
        <v>Nihon Kohden</v>
      </c>
      <c r="F62" s="101" t="str">
        <f aca="false">Equipos!J60</f>
        <v>TEC 5531E</v>
      </c>
      <c r="G62" s="100" t="str">
        <f aca="false">Equipos!K60</f>
        <v>887</v>
      </c>
      <c r="H62" s="101"/>
      <c r="I62" s="102"/>
      <c r="J62" s="102"/>
      <c r="K62" s="102"/>
      <c r="L62" s="102"/>
      <c r="M62" s="103" t="s">
        <v>328</v>
      </c>
      <c r="N62" s="102"/>
      <c r="O62" s="102"/>
      <c r="P62" s="102"/>
      <c r="Q62" s="102"/>
      <c r="R62" s="102"/>
      <c r="S62" s="102"/>
      <c r="T62" s="102"/>
      <c r="U62" s="101" t="n">
        <f aca="false">V62+W62+X62+COUNTIF(I62:T62,"R")</f>
        <v>1</v>
      </c>
      <c r="V62" s="101" t="n">
        <f aca="false">COUNTIF(I62:T62,"E")</f>
        <v>1</v>
      </c>
      <c r="W62" s="101" t="n">
        <f aca="false">COUNTIF(I62:T62,"X")</f>
        <v>0</v>
      </c>
      <c r="X62" s="101" t="n">
        <f aca="false">COUNTIF(I62:T62,"C2")+COUNTIF(I62:T62,"C3")</f>
        <v>0</v>
      </c>
      <c r="Y62" s="101" t="n">
        <f aca="true">SUMPRODUCT((I62:INDEX(I62:T62,MONTH(TODAY()))="X")*1)</f>
        <v>0</v>
      </c>
      <c r="Z62" s="104" t="n">
        <f aca="false">IFERROR(V62/U62,"")</f>
        <v>1</v>
      </c>
    </row>
    <row r="63" customFormat="false" ht="15" hidden="false" customHeight="true" outlineLevel="0" collapsed="false">
      <c r="A63" s="100" t="str">
        <f aca="false">Equipos!C61</f>
        <v>2-017028</v>
      </c>
      <c r="B63" s="101" t="str">
        <f aca="false">Equipos!D61</f>
        <v>Desfibrilador</v>
      </c>
      <c r="C63" s="101" t="str">
        <f aca="false">Equipos!E61</f>
        <v>Psiquiatría</v>
      </c>
      <c r="D63" s="101" t="str">
        <f aca="false">Equipos!G61</f>
        <v>CDT-P1-SA32</v>
      </c>
      <c r="E63" s="101" t="str">
        <f aca="false">Equipos!I61</f>
        <v>Nihon Kohden</v>
      </c>
      <c r="F63" s="101" t="str">
        <f aca="false">Equipos!J61</f>
        <v>TEC 5531E</v>
      </c>
      <c r="G63" s="100" t="str">
        <f aca="false">Equipos!K61</f>
        <v>876</v>
      </c>
      <c r="H63" s="101"/>
      <c r="I63" s="102"/>
      <c r="J63" s="102"/>
      <c r="K63" s="102"/>
      <c r="L63" s="103" t="s">
        <v>328</v>
      </c>
      <c r="M63" s="102"/>
      <c r="N63" s="102"/>
      <c r="O63" s="102"/>
      <c r="P63" s="102"/>
      <c r="Q63" s="102"/>
      <c r="R63" s="102"/>
      <c r="S63" s="102"/>
      <c r="T63" s="102"/>
      <c r="U63" s="101" t="n">
        <f aca="false">V63+W63+X63+COUNTIF(I63:T63,"R")</f>
        <v>1</v>
      </c>
      <c r="V63" s="101" t="n">
        <f aca="false">COUNTIF(I63:T63,"E")</f>
        <v>1</v>
      </c>
      <c r="W63" s="101" t="n">
        <f aca="false">COUNTIF(I63:T63,"X")</f>
        <v>0</v>
      </c>
      <c r="X63" s="101" t="n">
        <f aca="false">COUNTIF(I63:T63,"C2")+COUNTIF(I63:T63,"C3")</f>
        <v>0</v>
      </c>
      <c r="Y63" s="101" t="n">
        <f aca="true">SUMPRODUCT((I63:INDEX(I63:T63,MONTH(TODAY()))="X")*1)</f>
        <v>0</v>
      </c>
      <c r="Z63" s="104" t="n">
        <f aca="false">IFERROR(V63/U63,"")</f>
        <v>1</v>
      </c>
    </row>
    <row r="64" customFormat="false" ht="15" hidden="false" customHeight="true" outlineLevel="0" collapsed="false">
      <c r="A64" s="100" t="str">
        <f aca="false">Equipos!C62</f>
        <v>2-017177</v>
      </c>
      <c r="B64" s="101" t="str">
        <f aca="false">Equipos!D62</f>
        <v>Desfibrilador</v>
      </c>
      <c r="C64" s="101" t="str">
        <f aca="false">Equipos!E62</f>
        <v>Psiquiatría</v>
      </c>
      <c r="D64" s="101" t="str">
        <f aca="false">Equipos!G62</f>
        <v>CDT-P2-E.E02</v>
      </c>
      <c r="E64" s="101" t="str">
        <f aca="false">Equipos!I62</f>
        <v>Nihon Kohden</v>
      </c>
      <c r="F64" s="101" t="str">
        <f aca="false">Equipos!J62</f>
        <v>TEC 5521E</v>
      </c>
      <c r="G64" s="100" t="str">
        <f aca="false">Equipos!K62</f>
        <v>795</v>
      </c>
      <c r="H64" s="101"/>
      <c r="I64" s="102"/>
      <c r="J64" s="102"/>
      <c r="K64" s="102"/>
      <c r="L64" s="103" t="s">
        <v>328</v>
      </c>
      <c r="M64" s="102"/>
      <c r="N64" s="102"/>
      <c r="O64" s="102"/>
      <c r="P64" s="102"/>
      <c r="Q64" s="102"/>
      <c r="R64" s="102"/>
      <c r="S64" s="102"/>
      <c r="T64" s="102"/>
      <c r="U64" s="101" t="n">
        <f aca="false">V64+W64+X64+COUNTIF(I64:T64,"R")</f>
        <v>1</v>
      </c>
      <c r="V64" s="101" t="n">
        <f aca="false">COUNTIF(I64:T64,"E")</f>
        <v>1</v>
      </c>
      <c r="W64" s="101" t="n">
        <f aca="false">COUNTIF(I64:T64,"X")</f>
        <v>0</v>
      </c>
      <c r="X64" s="101" t="n">
        <f aca="false">COUNTIF(I64:T64,"C2")+COUNTIF(I64:T64,"C3")</f>
        <v>0</v>
      </c>
      <c r="Y64" s="101" t="n">
        <f aca="true">SUMPRODUCT((I64:INDEX(I64:T64,MONTH(TODAY()))="X")*1)</f>
        <v>0</v>
      </c>
      <c r="Z64" s="104" t="n">
        <f aca="false">IFERROR(V64/U64,"")</f>
        <v>1</v>
      </c>
    </row>
    <row r="65" customFormat="false" ht="15" hidden="false" customHeight="true" outlineLevel="0" collapsed="false">
      <c r="A65" s="100" t="str">
        <f aca="false">Equipos!C63</f>
        <v>2-024493</v>
      </c>
      <c r="B65" s="101" t="str">
        <f aca="false">Equipos!D63</f>
        <v>Desfibrilador</v>
      </c>
      <c r="C65" s="101" t="str">
        <f aca="false">Equipos!E63</f>
        <v>Imagenología</v>
      </c>
      <c r="D65" s="101" t="str">
        <f aca="false">Equipos!G63</f>
        <v>Scanner</v>
      </c>
      <c r="E65" s="101" t="str">
        <f aca="false">Equipos!I63</f>
        <v>Nihon Kohden</v>
      </c>
      <c r="F65" s="101" t="str">
        <f aca="false">Equipos!J63</f>
        <v>TEC 5521E</v>
      </c>
      <c r="G65" s="100" t="str">
        <f aca="false">Equipos!K63</f>
        <v>790</v>
      </c>
      <c r="H65" s="101"/>
      <c r="I65" s="103" t="s">
        <v>328</v>
      </c>
      <c r="J65" s="102"/>
      <c r="K65" s="102"/>
      <c r="L65" s="102"/>
      <c r="M65" s="102"/>
      <c r="N65" s="102"/>
      <c r="O65" s="102"/>
      <c r="P65" s="102"/>
      <c r="Q65" s="102"/>
      <c r="R65" s="102"/>
      <c r="S65" s="102"/>
      <c r="T65" s="102"/>
      <c r="U65" s="101" t="n">
        <f aca="false">V65+W65+X65+COUNTIF(I65:T65,"R")</f>
        <v>1</v>
      </c>
      <c r="V65" s="101" t="n">
        <f aca="false">COUNTIF(I65:T65,"E")</f>
        <v>1</v>
      </c>
      <c r="W65" s="101" t="n">
        <f aca="false">COUNTIF(I65:T65,"X")</f>
        <v>0</v>
      </c>
      <c r="X65" s="101" t="n">
        <f aca="false">COUNTIF(I65:T65,"C2")+COUNTIF(I65:T65,"C3")</f>
        <v>0</v>
      </c>
      <c r="Y65" s="101" t="n">
        <f aca="true">SUMPRODUCT((I65:INDEX(I65:T65,MONTH(TODAY()))="X")*1)</f>
        <v>0</v>
      </c>
      <c r="Z65" s="104" t="n">
        <f aca="false">IFERROR(V65/U65,"")</f>
        <v>1</v>
      </c>
    </row>
    <row r="66" customFormat="false" ht="15" hidden="false" customHeight="true" outlineLevel="0" collapsed="false">
      <c r="A66" s="100" t="str">
        <f aca="false">Equipos!C64</f>
        <v>2-112287</v>
      </c>
      <c r="B66" s="101" t="str">
        <f aca="false">Equipos!D64</f>
        <v>Desfibrilador</v>
      </c>
      <c r="C66" s="101" t="str">
        <f aca="false">Equipos!E64</f>
        <v>Imagenología</v>
      </c>
      <c r="D66" s="101" t="str">
        <f aca="false">Equipos!G64</f>
        <v>Angiógrafo</v>
      </c>
      <c r="E66" s="101" t="str">
        <f aca="false">Equipos!I64</f>
        <v>Nihon Kohden</v>
      </c>
      <c r="F66" s="101" t="str">
        <f aca="false">Equipos!J64</f>
        <v>TEC 5521E</v>
      </c>
      <c r="G66" s="100" t="str">
        <f aca="false">Equipos!K64</f>
        <v>83</v>
      </c>
      <c r="H66" s="101"/>
      <c r="I66" s="103" t="s">
        <v>328</v>
      </c>
      <c r="J66" s="102"/>
      <c r="K66" s="102"/>
      <c r="L66" s="102"/>
      <c r="M66" s="102"/>
      <c r="N66" s="102"/>
      <c r="O66" s="102"/>
      <c r="P66" s="102"/>
      <c r="Q66" s="102"/>
      <c r="R66" s="102"/>
      <c r="S66" s="102"/>
      <c r="T66" s="102"/>
      <c r="U66" s="101" t="n">
        <f aca="false">V66+W66+X66+COUNTIF(I66:T66,"R")</f>
        <v>1</v>
      </c>
      <c r="V66" s="101" t="n">
        <f aca="false">COUNTIF(I66:T66,"E")</f>
        <v>1</v>
      </c>
      <c r="W66" s="101" t="n">
        <f aca="false">COUNTIF(I66:T66,"X")</f>
        <v>0</v>
      </c>
      <c r="X66" s="101" t="n">
        <f aca="false">COUNTIF(I66:T66,"C2")+COUNTIF(I66:T66,"C3")</f>
        <v>0</v>
      </c>
      <c r="Y66" s="101" t="n">
        <f aca="true">SUMPRODUCT((I66:INDEX(I66:T66,MONTH(TODAY()))="X")*1)</f>
        <v>0</v>
      </c>
      <c r="Z66" s="104" t="n">
        <f aca="false">IFERROR(V66/U66,"")</f>
        <v>1</v>
      </c>
    </row>
    <row r="67" customFormat="false" ht="15" hidden="false" customHeight="true" outlineLevel="0" collapsed="false">
      <c r="A67" s="100" t="str">
        <f aca="false">Equipos!C65</f>
        <v>2-002720</v>
      </c>
      <c r="B67" s="101" t="str">
        <f aca="false">Equipos!D65</f>
        <v>Desfibrilador</v>
      </c>
      <c r="C67" s="101" t="str">
        <f aca="false">Equipos!E65</f>
        <v>Traumatología</v>
      </c>
      <c r="D67" s="101" t="str">
        <f aca="false">Equipos!G65</f>
        <v>Cirugía Trauma</v>
      </c>
      <c r="E67" s="101" t="str">
        <f aca="false">Equipos!I65</f>
        <v>Nihon Kohden</v>
      </c>
      <c r="F67" s="101" t="str">
        <f aca="false">Equipos!J65</f>
        <v>TEC 5531E</v>
      </c>
      <c r="G67" s="100" t="str">
        <f aca="false">Equipos!K65</f>
        <v>1811</v>
      </c>
      <c r="H67" s="101"/>
      <c r="I67" s="102"/>
      <c r="J67" s="102"/>
      <c r="K67" s="103" t="s">
        <v>328</v>
      </c>
      <c r="L67" s="102"/>
      <c r="M67" s="102"/>
      <c r="N67" s="102"/>
      <c r="O67" s="102"/>
      <c r="P67" s="102"/>
      <c r="Q67" s="102"/>
      <c r="R67" s="102"/>
      <c r="S67" s="102"/>
      <c r="T67" s="102"/>
      <c r="U67" s="101" t="n">
        <f aca="false">V67+W67+X67+COUNTIF(I67:T67,"R")</f>
        <v>1</v>
      </c>
      <c r="V67" s="101" t="n">
        <f aca="false">COUNTIF(I67:T67,"E")</f>
        <v>1</v>
      </c>
      <c r="W67" s="101" t="n">
        <f aca="false">COUNTIF(I67:T67,"X")</f>
        <v>0</v>
      </c>
      <c r="X67" s="101" t="n">
        <f aca="false">COUNTIF(I67:T67,"C2")+COUNTIF(I67:T67,"C3")</f>
        <v>0</v>
      </c>
      <c r="Y67" s="101" t="n">
        <f aca="true">SUMPRODUCT((I67:INDEX(I67:T67,MONTH(TODAY()))="X")*1)</f>
        <v>0</v>
      </c>
      <c r="Z67" s="104" t="n">
        <f aca="false">IFERROR(V67/U67,"")</f>
        <v>1</v>
      </c>
    </row>
    <row r="68" customFormat="false" ht="15" hidden="false" customHeight="true" outlineLevel="0" collapsed="false">
      <c r="A68" s="100" t="str">
        <f aca="false">Equipos!C66</f>
        <v>2-013295</v>
      </c>
      <c r="B68" s="101" t="str">
        <f aca="false">Equipos!D66</f>
        <v>Desfibrilador</v>
      </c>
      <c r="C68" s="101" t="str">
        <f aca="false">Equipos!E66</f>
        <v>Neurocirugía</v>
      </c>
      <c r="D68" s="101" t="str">
        <f aca="false">Equipos!G66</f>
        <v>Sala 298</v>
      </c>
      <c r="E68" s="101" t="str">
        <f aca="false">Equipos!I66</f>
        <v>Nihon Kohden</v>
      </c>
      <c r="F68" s="101" t="str">
        <f aca="false">Equipos!J66</f>
        <v>TEC 5521E</v>
      </c>
      <c r="G68" s="100" t="str">
        <f aca="false">Equipos!K66</f>
        <v>1076</v>
      </c>
      <c r="H68" s="101"/>
      <c r="I68" s="102"/>
      <c r="J68" s="102"/>
      <c r="K68" s="103" t="s">
        <v>328</v>
      </c>
      <c r="L68" s="102"/>
      <c r="M68" s="102"/>
      <c r="N68" s="102"/>
      <c r="O68" s="102"/>
      <c r="P68" s="102"/>
      <c r="Q68" s="102"/>
      <c r="R68" s="102"/>
      <c r="S68" s="102"/>
      <c r="T68" s="102"/>
      <c r="U68" s="101" t="n">
        <f aca="false">V68+W68+X68+COUNTIF(I68:T68,"R")</f>
        <v>1</v>
      </c>
      <c r="V68" s="101" t="n">
        <f aca="false">COUNTIF(I68:T68,"E")</f>
        <v>1</v>
      </c>
      <c r="W68" s="101" t="n">
        <f aca="false">COUNTIF(I68:T68,"X")</f>
        <v>0</v>
      </c>
      <c r="X68" s="101" t="n">
        <f aca="false">COUNTIF(I68:T68,"C2")+COUNTIF(I68:T68,"C3")</f>
        <v>0</v>
      </c>
      <c r="Y68" s="101" t="n">
        <f aca="true">SUMPRODUCT((I68:INDEX(I68:T68,MONTH(TODAY()))="X")*1)</f>
        <v>0</v>
      </c>
      <c r="Z68" s="104" t="n">
        <f aca="false">IFERROR(V68/U68,"")</f>
        <v>1</v>
      </c>
    </row>
    <row r="69" customFormat="false" ht="15" hidden="false" customHeight="true" outlineLevel="0" collapsed="false">
      <c r="A69" s="100" t="str">
        <f aca="false">Equipos!C67</f>
        <v>2-003576</v>
      </c>
      <c r="B69" s="101" t="str">
        <f aca="false">Equipos!D67</f>
        <v>Desfibrilador</v>
      </c>
      <c r="C69" s="101" t="str">
        <f aca="false">Equipos!E67</f>
        <v>Cirugía Adulto</v>
      </c>
      <c r="D69" s="101" t="str">
        <f aca="false">Equipos!G67</f>
        <v>EPC</v>
      </c>
      <c r="E69" s="101" t="str">
        <f aca="false">Equipos!I67</f>
        <v>Nihon Kohden</v>
      </c>
      <c r="F69" s="101" t="str">
        <f aca="false">Equipos!J67</f>
        <v>TEC 5531E</v>
      </c>
      <c r="G69" s="100" t="str">
        <f aca="false">Equipos!K67</f>
        <v>1815</v>
      </c>
      <c r="H69" s="101"/>
      <c r="I69" s="102"/>
      <c r="J69" s="102"/>
      <c r="K69" s="102"/>
      <c r="L69" s="102"/>
      <c r="M69" s="103" t="s">
        <v>328</v>
      </c>
      <c r="N69" s="102"/>
      <c r="O69" s="102"/>
      <c r="P69" s="102"/>
      <c r="Q69" s="102"/>
      <c r="R69" s="102"/>
      <c r="S69" s="102"/>
      <c r="T69" s="102"/>
      <c r="U69" s="101" t="n">
        <f aca="false">V69+W69+X69+COUNTIF(I69:T69,"R")</f>
        <v>1</v>
      </c>
      <c r="V69" s="101" t="n">
        <f aca="false">COUNTIF(I69:T69,"E")</f>
        <v>1</v>
      </c>
      <c r="W69" s="101" t="n">
        <f aca="false">COUNTIF(I69:T69,"X")</f>
        <v>0</v>
      </c>
      <c r="X69" s="101" t="n">
        <f aca="false">COUNTIF(I69:T69,"C2")+COUNTIF(I69:T69,"C3")</f>
        <v>0</v>
      </c>
      <c r="Y69" s="101" t="n">
        <f aca="true">SUMPRODUCT((I69:INDEX(I69:T69,MONTH(TODAY()))="X")*1)</f>
        <v>0</v>
      </c>
      <c r="Z69" s="104" t="n">
        <f aca="false">IFERROR(V69/U69,"")</f>
        <v>1</v>
      </c>
    </row>
    <row r="70" customFormat="false" ht="15" hidden="false" customHeight="true" outlineLevel="0" collapsed="false">
      <c r="A70" s="100" t="str">
        <f aca="false">Equipos!C68</f>
        <v>2-021802</v>
      </c>
      <c r="B70" s="101" t="str">
        <f aca="false">Equipos!D68</f>
        <v>Desfibrilador</v>
      </c>
      <c r="C70" s="101" t="str">
        <f aca="false">Equipos!E68</f>
        <v>UPC 3er Piso</v>
      </c>
      <c r="D70" s="101" t="str">
        <f aca="false">Equipos!G68</f>
        <v>Carro de paro</v>
      </c>
      <c r="E70" s="101" t="str">
        <f aca="false">Equipos!I68</f>
        <v>Nihon Kohden</v>
      </c>
      <c r="F70" s="101" t="str">
        <f aca="false">Equipos!J68</f>
        <v>TEC 5531E</v>
      </c>
      <c r="G70" s="100" t="str">
        <f aca="false">Equipos!K68</f>
        <v>1810</v>
      </c>
      <c r="H70" s="101"/>
      <c r="I70" s="102"/>
      <c r="J70" s="102"/>
      <c r="K70" s="102"/>
      <c r="L70" s="102"/>
      <c r="M70" s="103" t="s">
        <v>328</v>
      </c>
      <c r="N70" s="102"/>
      <c r="O70" s="102"/>
      <c r="P70" s="102"/>
      <c r="Q70" s="102"/>
      <c r="R70" s="102"/>
      <c r="S70" s="102"/>
      <c r="T70" s="102"/>
      <c r="U70" s="101" t="n">
        <f aca="false">V70+W70+X70+COUNTIF(I70:T70,"R")</f>
        <v>1</v>
      </c>
      <c r="V70" s="101" t="n">
        <f aca="false">COUNTIF(I70:T70,"E")</f>
        <v>1</v>
      </c>
      <c r="W70" s="101" t="n">
        <f aca="false">COUNTIF(I70:T70,"X")</f>
        <v>0</v>
      </c>
      <c r="X70" s="101" t="n">
        <f aca="false">COUNTIF(I70:T70,"C2")+COUNTIF(I70:T70,"C3")</f>
        <v>0</v>
      </c>
      <c r="Y70" s="101" t="n">
        <f aca="true">SUMPRODUCT((I70:INDEX(I70:T70,MONTH(TODAY()))="X")*1)</f>
        <v>0</v>
      </c>
      <c r="Z70" s="104" t="n">
        <f aca="false">IFERROR(V70/U70,"")</f>
        <v>1</v>
      </c>
    </row>
    <row r="71" customFormat="false" ht="15" hidden="false" customHeight="true" outlineLevel="0" collapsed="false">
      <c r="A71" s="100" t="str">
        <f aca="false">Equipos!C69</f>
        <v>2-004033</v>
      </c>
      <c r="B71" s="101" t="str">
        <f aca="false">Equipos!D69</f>
        <v>Desfibrilador</v>
      </c>
      <c r="C71" s="101" t="str">
        <f aca="false">Equipos!E69</f>
        <v>Ginecología</v>
      </c>
      <c r="D71" s="101" t="n">
        <f aca="false">Equipos!G69</f>
        <v>0</v>
      </c>
      <c r="E71" s="101" t="str">
        <f aca="false">Equipos!I69</f>
        <v>Zoll </v>
      </c>
      <c r="F71" s="101" t="str">
        <f aca="false">Equipos!J69</f>
        <v>R SERIES ALS</v>
      </c>
      <c r="G71" s="100" t="str">
        <f aca="false">Equipos!K69</f>
        <v>AF10H011861</v>
      </c>
      <c r="H71" s="101"/>
      <c r="I71" s="102"/>
      <c r="J71" s="102"/>
      <c r="K71" s="102"/>
      <c r="L71" s="102"/>
      <c r="M71" s="103" t="s">
        <v>328</v>
      </c>
      <c r="N71" s="102"/>
      <c r="O71" s="102"/>
      <c r="P71" s="102"/>
      <c r="Q71" s="102"/>
      <c r="R71" s="102"/>
      <c r="S71" s="102"/>
      <c r="T71" s="102"/>
      <c r="U71" s="101" t="n">
        <f aca="false">V71+W71+X71+COUNTIF(I71:T71,"R")</f>
        <v>1</v>
      </c>
      <c r="V71" s="101" t="n">
        <f aca="false">COUNTIF(I71:T71,"E")</f>
        <v>1</v>
      </c>
      <c r="W71" s="101" t="n">
        <f aca="false">COUNTIF(I71:T71,"X")</f>
        <v>0</v>
      </c>
      <c r="X71" s="101" t="n">
        <f aca="false">COUNTIF(I71:T71,"C2")+COUNTIF(I71:T71,"C3")</f>
        <v>0</v>
      </c>
      <c r="Y71" s="101" t="n">
        <f aca="true">SUMPRODUCT((I71:INDEX(I71:T71,MONTH(TODAY()))="X")*1)</f>
        <v>0</v>
      </c>
      <c r="Z71" s="104" t="n">
        <f aca="false">IFERROR(V71/U71,"")</f>
        <v>1</v>
      </c>
    </row>
    <row r="72" customFormat="false" ht="15" hidden="false" customHeight="true" outlineLevel="0" collapsed="false">
      <c r="A72" s="100" t="str">
        <f aca="false">Equipos!C70</f>
        <v>2-027959</v>
      </c>
      <c r="B72" s="101" t="str">
        <f aca="false">Equipos!D70</f>
        <v>Desfibrilador</v>
      </c>
      <c r="C72" s="101" t="str">
        <f aca="false">Equipos!E70</f>
        <v>Neonatología</v>
      </c>
      <c r="D72" s="101" t="n">
        <f aca="false">Equipos!G70</f>
        <v>0</v>
      </c>
      <c r="E72" s="101" t="str">
        <f aca="false">Equipos!I70</f>
        <v>Zoll </v>
      </c>
      <c r="F72" s="101" t="str">
        <f aca="false">Equipos!J70</f>
        <v>R SERIES ALS</v>
      </c>
      <c r="G72" s="100" t="str">
        <f aca="false">Equipos!K70</f>
        <v>AF10G011487</v>
      </c>
      <c r="H72" s="101"/>
      <c r="I72" s="103" t="s">
        <v>328</v>
      </c>
      <c r="J72" s="102"/>
      <c r="K72" s="102"/>
      <c r="L72" s="102"/>
      <c r="M72" s="102"/>
      <c r="N72" s="102"/>
      <c r="O72" s="102"/>
      <c r="P72" s="102"/>
      <c r="Q72" s="102"/>
      <c r="R72" s="102"/>
      <c r="S72" s="102"/>
      <c r="T72" s="102"/>
      <c r="U72" s="101" t="n">
        <f aca="false">V72+W72+X72+COUNTIF(I72:T72,"R")</f>
        <v>1</v>
      </c>
      <c r="V72" s="101" t="n">
        <f aca="false">COUNTIF(I72:T72,"E")</f>
        <v>1</v>
      </c>
      <c r="W72" s="101" t="n">
        <f aca="false">COUNTIF(I72:T72,"X")</f>
        <v>0</v>
      </c>
      <c r="X72" s="101" t="n">
        <f aca="false">COUNTIF(I72:T72,"C2")+COUNTIF(I72:T72,"C3")</f>
        <v>0</v>
      </c>
      <c r="Y72" s="101" t="n">
        <f aca="true">SUMPRODUCT((I72:INDEX(I72:T72,MONTH(TODAY()))="X")*1)</f>
        <v>0</v>
      </c>
      <c r="Z72" s="104" t="n">
        <f aca="false">IFERROR(V72/U72,"")</f>
        <v>1</v>
      </c>
    </row>
    <row r="73" customFormat="false" ht="15" hidden="false" customHeight="true" outlineLevel="0" collapsed="false">
      <c r="A73" s="100" t="str">
        <f aca="false">Equipos!C71</f>
        <v>2-135456</v>
      </c>
      <c r="B73" s="101" t="str">
        <f aca="false">Equipos!D71</f>
        <v>Desfibrilador</v>
      </c>
      <c r="C73" s="101" t="str">
        <f aca="false">Equipos!E71</f>
        <v>Imagenología</v>
      </c>
      <c r="D73" s="101" t="str">
        <f aca="false">Equipos!G71</f>
        <v>Angiógrafo</v>
      </c>
      <c r="E73" s="101" t="str">
        <f aca="false">Equipos!I71</f>
        <v>Nihon Kohden</v>
      </c>
      <c r="F73" s="101" t="str">
        <f aca="false">Equipos!J71</f>
        <v>TEC-5631</v>
      </c>
      <c r="G73" s="100" t="str">
        <f aca="false">Equipos!K71</f>
        <v>7900</v>
      </c>
      <c r="H73" s="101"/>
      <c r="I73" s="103" t="s">
        <v>328</v>
      </c>
      <c r="J73" s="102"/>
      <c r="K73" s="102"/>
      <c r="L73" s="102"/>
      <c r="M73" s="102"/>
      <c r="N73" s="102"/>
      <c r="O73" s="102"/>
      <c r="P73" s="102"/>
      <c r="Q73" s="102"/>
      <c r="R73" s="102"/>
      <c r="S73" s="102"/>
      <c r="T73" s="102"/>
      <c r="U73" s="101" t="n">
        <f aca="false">V73+W73+X73+COUNTIF(I73:T73,"R")</f>
        <v>1</v>
      </c>
      <c r="V73" s="101" t="n">
        <f aca="false">COUNTIF(I73:T73,"E")</f>
        <v>1</v>
      </c>
      <c r="W73" s="101" t="n">
        <f aca="false">COUNTIF(I73:T73,"X")</f>
        <v>0</v>
      </c>
      <c r="X73" s="101" t="n">
        <f aca="false">COUNTIF(I73:T73,"C2")+COUNTIF(I73:T73,"C3")</f>
        <v>0</v>
      </c>
      <c r="Y73" s="101" t="n">
        <f aca="true">SUMPRODUCT((I73:INDEX(I73:T73,MONTH(TODAY()))="X")*1)</f>
        <v>0</v>
      </c>
      <c r="Z73" s="104" t="n">
        <f aca="false">IFERROR(V73/U73,"")</f>
        <v>1</v>
      </c>
    </row>
    <row r="74" customFormat="false" ht="15" hidden="false" customHeight="true" outlineLevel="0" collapsed="false">
      <c r="A74" s="100" t="str">
        <f aca="false">Equipos!C72</f>
        <v>2-022181</v>
      </c>
      <c r="B74" s="101" t="str">
        <f aca="false">Equipos!D72</f>
        <v>Desfibrilador</v>
      </c>
      <c r="C74" s="101" t="str">
        <f aca="false">Equipos!E72</f>
        <v>Quimioterapia Ambulatoria Adulto</v>
      </c>
      <c r="D74" s="101" t="str">
        <f aca="false">Equipos!G72</f>
        <v>EPC-P2</v>
      </c>
      <c r="E74" s="101" t="str">
        <f aca="false">Equipos!I72</f>
        <v>Zoll </v>
      </c>
      <c r="F74" s="101" t="str">
        <f aca="false">Equipos!J72</f>
        <v>R SERIES ALS</v>
      </c>
      <c r="G74" s="100" t="str">
        <f aca="false">Equipos!K72</f>
        <v>AF12B020977</v>
      </c>
      <c r="H74" s="101"/>
      <c r="I74" s="102"/>
      <c r="J74" s="102"/>
      <c r="K74" s="103" t="s">
        <v>328</v>
      </c>
      <c r="L74" s="102"/>
      <c r="M74" s="102"/>
      <c r="N74" s="102"/>
      <c r="O74" s="102"/>
      <c r="P74" s="102"/>
      <c r="Q74" s="102"/>
      <c r="R74" s="102"/>
      <c r="S74" s="102"/>
      <c r="T74" s="102"/>
      <c r="U74" s="101" t="n">
        <f aca="false">V74+W74+X74+COUNTIF(I74:T74,"R")</f>
        <v>1</v>
      </c>
      <c r="V74" s="101" t="n">
        <f aca="false">COUNTIF(I74:T74,"E")</f>
        <v>1</v>
      </c>
      <c r="W74" s="101" t="n">
        <f aca="false">COUNTIF(I74:T74,"X")</f>
        <v>0</v>
      </c>
      <c r="X74" s="101" t="n">
        <f aca="false">COUNTIF(I74:T74,"C2")+COUNTIF(I74:T74,"C3")</f>
        <v>0</v>
      </c>
      <c r="Y74" s="101" t="n">
        <f aca="true">SUMPRODUCT((I74:INDEX(I74:T74,MONTH(TODAY()))="X")*1)</f>
        <v>0</v>
      </c>
      <c r="Z74" s="104" t="n">
        <f aca="false">IFERROR(V74/U74,"")</f>
        <v>1</v>
      </c>
    </row>
    <row r="75" customFormat="false" ht="15" hidden="false" customHeight="true" outlineLevel="0" collapsed="false">
      <c r="A75" s="100" t="str">
        <f aca="false">Equipos!C73</f>
        <v>2-112270</v>
      </c>
      <c r="B75" s="101" t="str">
        <f aca="false">Equipos!D73</f>
        <v>Desfibrilador</v>
      </c>
      <c r="C75" s="101" t="str">
        <f aca="false">Equipos!E73</f>
        <v>Pediatría</v>
      </c>
      <c r="D75" s="101" t="str">
        <f aca="false">Equipos!G73</f>
        <v>Carro de paro</v>
      </c>
      <c r="E75" s="101" t="str">
        <f aca="false">Equipos!I73</f>
        <v>Nihon Kohden</v>
      </c>
      <c r="F75" s="101" t="str">
        <f aca="false">Equipos!J73</f>
        <v>TEC 5531E</v>
      </c>
      <c r="G75" s="100" t="str">
        <f aca="false">Equipos!K73</f>
        <v>1814</v>
      </c>
      <c r="H75" s="101"/>
      <c r="I75" s="103" t="s">
        <v>328</v>
      </c>
      <c r="J75" s="102"/>
      <c r="K75" s="102"/>
      <c r="L75" s="102"/>
      <c r="M75" s="102"/>
      <c r="N75" s="102"/>
      <c r="O75" s="102"/>
      <c r="P75" s="102"/>
      <c r="Q75" s="102"/>
      <c r="R75" s="102"/>
      <c r="S75" s="102"/>
      <c r="T75" s="102"/>
      <c r="U75" s="101" t="n">
        <f aca="false">V75+W75+X75+COUNTIF(I75:T75,"R")</f>
        <v>1</v>
      </c>
      <c r="V75" s="101" t="n">
        <f aca="false">COUNTIF(I75:T75,"E")</f>
        <v>1</v>
      </c>
      <c r="W75" s="101" t="n">
        <f aca="false">COUNTIF(I75:T75,"X")</f>
        <v>0</v>
      </c>
      <c r="X75" s="101" t="n">
        <f aca="false">COUNTIF(I75:T75,"C2")+COUNTIF(I75:T75,"C3")</f>
        <v>0</v>
      </c>
      <c r="Y75" s="101" t="n">
        <f aca="true">SUMPRODUCT((I75:INDEX(I75:T75,MONTH(TODAY()))="X")*1)</f>
        <v>0</v>
      </c>
      <c r="Z75" s="104" t="n">
        <f aca="false">IFERROR(V75/U75,"")</f>
        <v>1</v>
      </c>
    </row>
    <row r="76" customFormat="false" ht="15" hidden="false" customHeight="true" outlineLevel="0" collapsed="false">
      <c r="A76" s="100" t="str">
        <f aca="false">Equipos!C74</f>
        <v>2-135846</v>
      </c>
      <c r="B76" s="101" t="str">
        <f aca="false">Equipos!D74</f>
        <v>Desfibrilador</v>
      </c>
      <c r="C76" s="101" t="str">
        <f aca="false">Equipos!E74</f>
        <v>Traumatología</v>
      </c>
      <c r="D76" s="101" t="n">
        <f aca="false">Equipos!G74</f>
        <v>0</v>
      </c>
      <c r="E76" s="101" t="str">
        <f aca="false">Equipos!I74</f>
        <v>Nihon Kohden</v>
      </c>
      <c r="F76" s="101" t="str">
        <f aca="false">Equipos!J74</f>
        <v>TEC-5632E</v>
      </c>
      <c r="G76" s="100" t="str">
        <f aca="false">Equipos!K74</f>
        <v>8104</v>
      </c>
      <c r="H76" s="101"/>
      <c r="I76" s="102"/>
      <c r="J76" s="102"/>
      <c r="K76" s="103" t="s">
        <v>328</v>
      </c>
      <c r="L76" s="102"/>
      <c r="M76" s="102"/>
      <c r="N76" s="102"/>
      <c r="O76" s="102"/>
      <c r="P76" s="102"/>
      <c r="Q76" s="102"/>
      <c r="R76" s="102"/>
      <c r="S76" s="102"/>
      <c r="T76" s="102"/>
      <c r="U76" s="101" t="n">
        <f aca="false">V76+W76+X76+COUNTIF(I76:T76,"R")</f>
        <v>1</v>
      </c>
      <c r="V76" s="101" t="n">
        <f aca="false">COUNTIF(I76:T76,"E")</f>
        <v>1</v>
      </c>
      <c r="W76" s="101" t="n">
        <f aca="false">COUNTIF(I76:T76,"X")</f>
        <v>0</v>
      </c>
      <c r="X76" s="101" t="n">
        <f aca="false">COUNTIF(I76:T76,"C2")+COUNTIF(I76:T76,"C3")</f>
        <v>0</v>
      </c>
      <c r="Y76" s="101" t="n">
        <f aca="true">SUMPRODUCT((I76:INDEX(I76:T76,MONTH(TODAY()))="X")*1)</f>
        <v>0</v>
      </c>
      <c r="Z76" s="104" t="n">
        <f aca="false">IFERROR(V76/U76,"")</f>
        <v>1</v>
      </c>
    </row>
    <row r="77" customFormat="false" ht="15" hidden="false" customHeight="true" outlineLevel="0" collapsed="false">
      <c r="A77" s="100" t="str">
        <f aca="false">Equipos!C75</f>
        <v>2-008958</v>
      </c>
      <c r="B77" s="101" t="str">
        <f aca="false">Equipos!D75</f>
        <v>Desfibrilador</v>
      </c>
      <c r="C77" s="101" t="str">
        <f aca="false">Equipos!E75</f>
        <v>Pediatría</v>
      </c>
      <c r="D77" s="101" t="str">
        <f aca="false">Equipos!G75</f>
        <v>Pasillo</v>
      </c>
      <c r="E77" s="101" t="str">
        <f aca="false">Equipos!I75</f>
        <v>Nihon Kohden</v>
      </c>
      <c r="F77" s="101" t="str">
        <f aca="false">Equipos!J75</f>
        <v>TEC 5521E</v>
      </c>
      <c r="G77" s="100" t="str">
        <f aca="false">Equipos!K75</f>
        <v>82</v>
      </c>
      <c r="H77" s="101"/>
      <c r="I77" s="103" t="s">
        <v>328</v>
      </c>
      <c r="J77" s="102"/>
      <c r="K77" s="102"/>
      <c r="L77" s="102"/>
      <c r="M77" s="102"/>
      <c r="N77" s="102"/>
      <c r="O77" s="102"/>
      <c r="P77" s="102"/>
      <c r="Q77" s="102"/>
      <c r="R77" s="102"/>
      <c r="S77" s="102"/>
      <c r="T77" s="102"/>
      <c r="U77" s="101" t="n">
        <f aca="false">V77+W77+X77+COUNTIF(I77:T77,"R")</f>
        <v>1</v>
      </c>
      <c r="V77" s="101" t="n">
        <f aca="false">COUNTIF(I77:T77,"E")</f>
        <v>1</v>
      </c>
      <c r="W77" s="101" t="n">
        <f aca="false">COUNTIF(I77:T77,"X")</f>
        <v>0</v>
      </c>
      <c r="X77" s="101" t="n">
        <f aca="false">COUNTIF(I77:T77,"C2")+COUNTIF(I77:T77,"C3")</f>
        <v>0</v>
      </c>
      <c r="Y77" s="101" t="n">
        <f aca="true">SUMPRODUCT((I77:INDEX(I77:T77,MONTH(TODAY()))="X")*1)</f>
        <v>0</v>
      </c>
      <c r="Z77" s="104" t="n">
        <f aca="false">IFERROR(V77/U77,"")</f>
        <v>1</v>
      </c>
    </row>
    <row r="78" customFormat="false" ht="15" hidden="false" customHeight="true" outlineLevel="0" collapsed="false">
      <c r="A78" s="100" t="str">
        <f aca="false">Equipos!C76</f>
        <v>2-119676</v>
      </c>
      <c r="B78" s="101" t="str">
        <f aca="false">Equipos!D76</f>
        <v>Desfibrilador</v>
      </c>
      <c r="C78" s="101" t="str">
        <f aca="false">Equipos!E76</f>
        <v>UPC Adulto</v>
      </c>
      <c r="D78" s="101" t="str">
        <f aca="false">Equipos!G76</f>
        <v>P2</v>
      </c>
      <c r="E78" s="101" t="str">
        <f aca="false">Equipos!I76</f>
        <v>Zoll</v>
      </c>
      <c r="F78" s="101" t="str">
        <f aca="false">Equipos!J76</f>
        <v>M2</v>
      </c>
      <c r="G78" s="100" t="str">
        <f aca="false">Equipos!K76</f>
        <v>(21)BA19F000019</v>
      </c>
      <c r="H78" s="101"/>
      <c r="I78" s="102"/>
      <c r="J78" s="103" t="s">
        <v>328</v>
      </c>
      <c r="K78" s="102"/>
      <c r="L78" s="102"/>
      <c r="M78" s="102"/>
      <c r="N78" s="102"/>
      <c r="O78" s="102"/>
      <c r="P78" s="102"/>
      <c r="Q78" s="102"/>
      <c r="R78" s="102"/>
      <c r="S78" s="102"/>
      <c r="T78" s="102"/>
      <c r="U78" s="101" t="n">
        <f aca="false">V78+W78+X78+COUNTIF(I78:T78,"R")</f>
        <v>1</v>
      </c>
      <c r="V78" s="101" t="n">
        <f aca="false">COUNTIF(I78:T78,"E")</f>
        <v>1</v>
      </c>
      <c r="W78" s="101" t="n">
        <f aca="false">COUNTIF(I78:T78,"X")</f>
        <v>0</v>
      </c>
      <c r="X78" s="101" t="n">
        <f aca="false">COUNTIF(I78:T78,"C2")+COUNTIF(I78:T78,"C3")</f>
        <v>0</v>
      </c>
      <c r="Y78" s="101" t="n">
        <f aca="true">SUMPRODUCT((I78:INDEX(I78:T78,MONTH(TODAY()))="X")*1)</f>
        <v>0</v>
      </c>
      <c r="Z78" s="104" t="n">
        <f aca="false">IFERROR(V78/U78,"")</f>
        <v>1</v>
      </c>
    </row>
    <row r="79" customFormat="false" ht="15" hidden="false" customHeight="true" outlineLevel="0" collapsed="false">
      <c r="A79" s="100" t="str">
        <f aca="false">Equipos!C77</f>
        <v>2-004405</v>
      </c>
      <c r="B79" s="101" t="str">
        <f aca="false">Equipos!D77</f>
        <v>Desfibrilador</v>
      </c>
      <c r="C79" s="101" t="str">
        <f aca="false">Equipos!E77</f>
        <v>Medicina</v>
      </c>
      <c r="D79" s="101" t="str">
        <f aca="false">Equipos!G77</f>
        <v>5TO PISO TN</v>
      </c>
      <c r="E79" s="101" t="str">
        <f aca="false">Equipos!I77</f>
        <v>Nihon Kohden</v>
      </c>
      <c r="F79" s="101" t="str">
        <f aca="false">Equipos!J77</f>
        <v>TEC 5531E</v>
      </c>
      <c r="G79" s="100" t="str">
        <f aca="false">Equipos!K77</f>
        <v>1812</v>
      </c>
      <c r="H79" s="101"/>
      <c r="I79" s="102"/>
      <c r="J79" s="103" t="s">
        <v>328</v>
      </c>
      <c r="K79" s="102"/>
      <c r="L79" s="102"/>
      <c r="M79" s="102"/>
      <c r="N79" s="102"/>
      <c r="O79" s="102"/>
      <c r="P79" s="102"/>
      <c r="Q79" s="102"/>
      <c r="R79" s="102"/>
      <c r="S79" s="102"/>
      <c r="T79" s="102"/>
      <c r="U79" s="101" t="n">
        <f aca="false">V79+W79+X79+COUNTIF(I79:T79,"R")</f>
        <v>1</v>
      </c>
      <c r="V79" s="101" t="n">
        <f aca="false">COUNTIF(I79:T79,"E")</f>
        <v>1</v>
      </c>
      <c r="W79" s="101" t="n">
        <f aca="false">COUNTIF(I79:T79,"X")</f>
        <v>0</v>
      </c>
      <c r="X79" s="101" t="n">
        <f aca="false">COUNTIF(I79:T79,"C2")+COUNTIF(I79:T79,"C3")</f>
        <v>0</v>
      </c>
      <c r="Y79" s="101" t="n">
        <f aca="true">SUMPRODUCT((I79:INDEX(I79:T79,MONTH(TODAY()))="X")*1)</f>
        <v>0</v>
      </c>
      <c r="Z79" s="104" t="n">
        <f aca="false">IFERROR(V79/U79,"")</f>
        <v>1</v>
      </c>
    </row>
    <row r="80" customFormat="false" ht="15" hidden="false" customHeight="true" outlineLevel="0" collapsed="false">
      <c r="A80" s="100" t="str">
        <f aca="false">Equipos!C78</f>
        <v>2-008665</v>
      </c>
      <c r="B80" s="101" t="str">
        <f aca="false">Equipos!D78</f>
        <v>Desfibrilador</v>
      </c>
      <c r="C80" s="101" t="str">
        <f aca="false">Equipos!E78</f>
        <v>Medicina</v>
      </c>
      <c r="D80" s="101" t="str">
        <f aca="false">Equipos!G78</f>
        <v>5TO PISO EPA</v>
      </c>
      <c r="E80" s="101" t="str">
        <f aca="false">Equipos!I78</f>
        <v>Nihon Kohden</v>
      </c>
      <c r="F80" s="101" t="str">
        <f aca="false">Equipos!J78</f>
        <v>TEC 5521E</v>
      </c>
      <c r="G80" s="100" t="str">
        <f aca="false">Equipos!K78</f>
        <v>342</v>
      </c>
      <c r="H80" s="101"/>
      <c r="I80" s="102"/>
      <c r="J80" s="103" t="s">
        <v>328</v>
      </c>
      <c r="K80" s="102"/>
      <c r="L80" s="102"/>
      <c r="M80" s="102"/>
      <c r="N80" s="102"/>
      <c r="O80" s="102"/>
      <c r="P80" s="102"/>
      <c r="Q80" s="102"/>
      <c r="R80" s="102"/>
      <c r="S80" s="102"/>
      <c r="T80" s="102"/>
      <c r="U80" s="101" t="n">
        <f aca="false">V80+W80+X80+COUNTIF(I80:T80,"R")</f>
        <v>1</v>
      </c>
      <c r="V80" s="101" t="n">
        <f aca="false">COUNTIF(I80:T80,"E")</f>
        <v>1</v>
      </c>
      <c r="W80" s="101" t="n">
        <f aca="false">COUNTIF(I80:T80,"X")</f>
        <v>0</v>
      </c>
      <c r="X80" s="101" t="n">
        <f aca="false">COUNTIF(I80:T80,"C2")+COUNTIF(I80:T80,"C3")</f>
        <v>0</v>
      </c>
      <c r="Y80" s="101" t="n">
        <f aca="true">SUMPRODUCT((I80:INDEX(I80:T80,MONTH(TODAY()))="X")*1)</f>
        <v>0</v>
      </c>
      <c r="Z80" s="104" t="n">
        <f aca="false">IFERROR(V80/U80,"")</f>
        <v>1</v>
      </c>
    </row>
    <row r="81" customFormat="false" ht="15" hidden="false" customHeight="true" outlineLevel="0" collapsed="false">
      <c r="A81" s="100" t="str">
        <f aca="false">Equipos!C79</f>
        <v>2-135837</v>
      </c>
      <c r="B81" s="101" t="str">
        <f aca="false">Equipos!D79</f>
        <v>Desfibrilador</v>
      </c>
      <c r="C81" s="101" t="str">
        <f aca="false">Equipos!E79</f>
        <v>TROI</v>
      </c>
      <c r="D81" s="101" t="n">
        <f aca="false">Equipos!G79</f>
        <v>0</v>
      </c>
      <c r="E81" s="101" t="str">
        <f aca="false">Equipos!I79</f>
        <v>Mindray</v>
      </c>
      <c r="F81" s="101" t="str">
        <f aca="false">Equipos!J79</f>
        <v>BeneHeart D30</v>
      </c>
      <c r="G81" s="100" t="str">
        <f aca="false">Equipos!K79</f>
        <v>FP5-49011641</v>
      </c>
      <c r="H81" s="101"/>
      <c r="I81" s="102"/>
      <c r="J81" s="102"/>
      <c r="K81" s="102"/>
      <c r="L81" s="103" t="s">
        <v>328</v>
      </c>
      <c r="M81" s="102"/>
      <c r="N81" s="102"/>
      <c r="O81" s="102"/>
      <c r="P81" s="102"/>
      <c r="Q81" s="102"/>
      <c r="R81" s="102"/>
      <c r="S81" s="102"/>
      <c r="T81" s="102"/>
      <c r="U81" s="101" t="n">
        <f aca="false">V81+W81+X81+COUNTIF(I81:T81,"R")</f>
        <v>1</v>
      </c>
      <c r="V81" s="101" t="n">
        <f aca="false">COUNTIF(I81:T81,"E")</f>
        <v>1</v>
      </c>
      <c r="W81" s="101" t="n">
        <f aca="false">COUNTIF(I81:T81,"X")</f>
        <v>0</v>
      </c>
      <c r="X81" s="101" t="n">
        <f aca="false">COUNTIF(I81:T81,"C2")+COUNTIF(I81:T81,"C3")</f>
        <v>0</v>
      </c>
      <c r="Y81" s="101" t="n">
        <f aca="true">SUMPRODUCT((I81:INDEX(I81:T81,MONTH(TODAY()))="X")*1)</f>
        <v>0</v>
      </c>
      <c r="Z81" s="104" t="n">
        <f aca="false">IFERROR(V81/U81,"")</f>
        <v>1</v>
      </c>
    </row>
    <row r="82" customFormat="false" ht="15" hidden="false" customHeight="true" outlineLevel="0" collapsed="false">
      <c r="A82" s="100" t="str">
        <f aca="false">Equipos!C80</f>
        <v>2-021249</v>
      </c>
      <c r="B82" s="101" t="str">
        <f aca="false">Equipos!D80</f>
        <v>Desfibrilador</v>
      </c>
      <c r="C82" s="101" t="str">
        <f aca="false">Equipos!E80</f>
        <v>Cirugía Infantil</v>
      </c>
      <c r="D82" s="101" t="str">
        <f aca="false">Equipos!G80</f>
        <v>Sala procedmiento cirugíaa infantil</v>
      </c>
      <c r="E82" s="101" t="str">
        <f aca="false">Equipos!I80</f>
        <v>Nihon Kohden</v>
      </c>
      <c r="F82" s="101" t="str">
        <f aca="false">Equipos!J80</f>
        <v>TEC 5531E</v>
      </c>
      <c r="G82" s="100" t="str">
        <f aca="false">Equipos!K80</f>
        <v>1813</v>
      </c>
      <c r="H82" s="101"/>
      <c r="I82" s="103" t="s">
        <v>328</v>
      </c>
      <c r="J82" s="102"/>
      <c r="K82" s="102"/>
      <c r="L82" s="102"/>
      <c r="M82" s="102"/>
      <c r="N82" s="102"/>
      <c r="O82" s="102"/>
      <c r="P82" s="102"/>
      <c r="Q82" s="102"/>
      <c r="R82" s="102"/>
      <c r="S82" s="102"/>
      <c r="T82" s="102"/>
      <c r="U82" s="101" t="n">
        <f aca="false">V82+W82+X82+COUNTIF(I82:T82,"R")</f>
        <v>1</v>
      </c>
      <c r="V82" s="101" t="n">
        <f aca="false">COUNTIF(I82:T82,"E")</f>
        <v>1</v>
      </c>
      <c r="W82" s="101" t="n">
        <f aca="false">COUNTIF(I82:T82,"X")</f>
        <v>0</v>
      </c>
      <c r="X82" s="101" t="n">
        <f aca="false">COUNTIF(I82:T82,"C2")+COUNTIF(I82:T82,"C3")</f>
        <v>0</v>
      </c>
      <c r="Y82" s="101" t="n">
        <f aca="true">SUMPRODUCT((I82:INDEX(I82:T82,MONTH(TODAY()))="X")*1)</f>
        <v>0</v>
      </c>
      <c r="Z82" s="104" t="n">
        <f aca="false">IFERROR(V82/U82,"")</f>
        <v>1</v>
      </c>
    </row>
    <row r="83" customFormat="false" ht="15" hidden="false" customHeight="true" outlineLevel="0" collapsed="false">
      <c r="A83" s="100" t="str">
        <f aca="false">Equipos!C81</f>
        <v>2-004271</v>
      </c>
      <c r="B83" s="101" t="str">
        <f aca="false">Equipos!D81</f>
        <v>Desfibrilador</v>
      </c>
      <c r="C83" s="101" t="str">
        <f aca="false">Equipos!E81</f>
        <v>Medicina Materno Fetal</v>
      </c>
      <c r="D83" s="101" t="str">
        <f aca="false">Equipos!G81</f>
        <v>P4-TNB</v>
      </c>
      <c r="E83" s="101" t="str">
        <f aca="false">Equipos!I81</f>
        <v>Nihon Kohden</v>
      </c>
      <c r="F83" s="101" t="str">
        <f aca="false">Equipos!J81</f>
        <v>TEC 5531E</v>
      </c>
      <c r="G83" s="100" t="str">
        <f aca="false">Equipos!K81</f>
        <v>883</v>
      </c>
      <c r="H83" s="101"/>
      <c r="I83" s="102"/>
      <c r="J83" s="102"/>
      <c r="K83" s="102"/>
      <c r="L83" s="102"/>
      <c r="M83" s="103" t="s">
        <v>328</v>
      </c>
      <c r="N83" s="102"/>
      <c r="O83" s="102"/>
      <c r="P83" s="102"/>
      <c r="Q83" s="102"/>
      <c r="R83" s="102"/>
      <c r="S83" s="102"/>
      <c r="T83" s="102"/>
      <c r="U83" s="101" t="n">
        <f aca="false">V83+W83+X83+COUNTIF(I83:T83,"R")</f>
        <v>1</v>
      </c>
      <c r="V83" s="101" t="n">
        <f aca="false">COUNTIF(I83:T83,"E")</f>
        <v>1</v>
      </c>
      <c r="W83" s="101" t="n">
        <f aca="false">COUNTIF(I83:T83,"X")</f>
        <v>0</v>
      </c>
      <c r="X83" s="101" t="n">
        <f aca="false">COUNTIF(I83:T83,"C2")+COUNTIF(I83:T83,"C3")</f>
        <v>0</v>
      </c>
      <c r="Y83" s="101" t="n">
        <f aca="true">SUMPRODUCT((I83:INDEX(I83:T83,MONTH(TODAY()))="X")*1)</f>
        <v>0</v>
      </c>
      <c r="Z83" s="104" t="n">
        <f aca="false">IFERROR(V83/U83,"")</f>
        <v>1</v>
      </c>
    </row>
    <row r="84" customFormat="false" ht="15" hidden="false" customHeight="true" outlineLevel="0" collapsed="false">
      <c r="A84" s="100" t="str">
        <f aca="false">Equipos!C82</f>
        <v>2-003814</v>
      </c>
      <c r="B84" s="101" t="str">
        <f aca="false">Equipos!D82</f>
        <v>Desfibrilador</v>
      </c>
      <c r="C84" s="101" t="str">
        <f aca="false">Equipos!E82</f>
        <v>Cirugía Adulto</v>
      </c>
      <c r="D84" s="101" t="str">
        <f aca="false">Equipos!G82</f>
        <v>EPA</v>
      </c>
      <c r="E84" s="101" t="str">
        <f aca="false">Equipos!I82</f>
        <v>Nihon Kohden</v>
      </c>
      <c r="F84" s="101" t="str">
        <f aca="false">Equipos!J82</f>
        <v>TEC 5531E</v>
      </c>
      <c r="G84" s="100" t="str">
        <f aca="false">Equipos!K82</f>
        <v>1796</v>
      </c>
      <c r="H84" s="101"/>
      <c r="I84" s="102"/>
      <c r="J84" s="102"/>
      <c r="K84" s="102"/>
      <c r="L84" s="102"/>
      <c r="M84" s="103" t="s">
        <v>328</v>
      </c>
      <c r="N84" s="102"/>
      <c r="O84" s="102"/>
      <c r="P84" s="102"/>
      <c r="Q84" s="102"/>
      <c r="R84" s="102"/>
      <c r="S84" s="102"/>
      <c r="T84" s="102"/>
      <c r="U84" s="101" t="n">
        <f aca="false">V84+W84+X84+COUNTIF(I84:T84,"R")</f>
        <v>1</v>
      </c>
      <c r="V84" s="101" t="n">
        <f aca="false">COUNTIF(I84:T84,"E")</f>
        <v>1</v>
      </c>
      <c r="W84" s="101" t="n">
        <f aca="false">COUNTIF(I84:T84,"X")</f>
        <v>0</v>
      </c>
      <c r="X84" s="101" t="n">
        <f aca="false">COUNTIF(I84:T84,"C2")+COUNTIF(I84:T84,"C3")</f>
        <v>0</v>
      </c>
      <c r="Y84" s="101" t="n">
        <f aca="true">SUMPRODUCT((I84:INDEX(I84:T84,MONTH(TODAY()))="X")*1)</f>
        <v>0</v>
      </c>
      <c r="Z84" s="104" t="n">
        <f aca="false">IFERROR(V84/U84,"")</f>
        <v>1</v>
      </c>
    </row>
    <row r="85" customFormat="false" ht="15" hidden="false" customHeight="true" outlineLevel="0" collapsed="false">
      <c r="A85" s="100" t="n">
        <f aca="false">Equipos!C83</f>
        <v>0</v>
      </c>
      <c r="B85" s="101" t="n">
        <f aca="false">Equipos!D83</f>
        <v>0</v>
      </c>
      <c r="C85" s="101" t="n">
        <f aca="false">Equipos!E83</f>
        <v>0</v>
      </c>
      <c r="D85" s="101" t="n">
        <f aca="false">Equipos!G83</f>
        <v>0</v>
      </c>
      <c r="E85" s="101" t="n">
        <f aca="false">Equipos!I83</f>
        <v>0</v>
      </c>
      <c r="F85" s="101" t="n">
        <f aca="false">Equipos!J83</f>
        <v>0</v>
      </c>
      <c r="G85" s="100" t="n">
        <f aca="false">Equipos!K83</f>
        <v>0</v>
      </c>
      <c r="H85" s="101"/>
      <c r="I85" s="102"/>
      <c r="J85" s="102"/>
      <c r="K85" s="102"/>
      <c r="L85" s="102"/>
      <c r="M85" s="102"/>
      <c r="N85" s="102"/>
      <c r="O85" s="102"/>
      <c r="P85" s="102"/>
      <c r="Q85" s="102"/>
      <c r="R85" s="102"/>
      <c r="S85" s="102"/>
      <c r="T85" s="102"/>
      <c r="U85" s="101" t="n">
        <f aca="false">V85+W85+X85+COUNTIF(I85:T85,"R")</f>
        <v>0</v>
      </c>
      <c r="V85" s="101" t="n">
        <f aca="false">COUNTIF(I85:T85,"E")</f>
        <v>0</v>
      </c>
      <c r="W85" s="101" t="n">
        <f aca="false">COUNTIF(I85:T85,"X")</f>
        <v>0</v>
      </c>
      <c r="X85" s="101" t="n">
        <f aca="false">COUNTIF(I85:T85,"C2")+COUNTIF(I85:T85,"C3")</f>
        <v>0</v>
      </c>
      <c r="Y85" s="101" t="n">
        <f aca="true">SUMPRODUCT((I85:INDEX(I85:T85,MONTH(TODAY()))="X")*1)</f>
        <v>0</v>
      </c>
      <c r="Z85" s="104" t="str">
        <f aca="false">IFERROR(V85/U85,"")</f>
        <v/>
      </c>
    </row>
    <row r="86" customFormat="false" ht="15" hidden="false" customHeight="true" outlineLevel="0" collapsed="false">
      <c r="A86" s="100" t="str">
        <f aca="false">Equipos!C84</f>
        <v>2-002799</v>
      </c>
      <c r="B86" s="101" t="str">
        <f aca="false">Equipos!D84</f>
        <v>Desfibrilador</v>
      </c>
      <c r="C86" s="101" t="str">
        <f aca="false">Equipos!E84</f>
        <v>Quimioterapia Ambulatoria Adulto</v>
      </c>
      <c r="D86" s="101" t="str">
        <f aca="false">Equipos!G84</f>
        <v>EPC-P2</v>
      </c>
      <c r="E86" s="101" t="str">
        <f aca="false">Equipos!I84</f>
        <v>Nihon Kohden</v>
      </c>
      <c r="F86" s="101" t="str">
        <f aca="false">Equipos!J84</f>
        <v>TEC 5531E</v>
      </c>
      <c r="G86" s="100" t="str">
        <f aca="false">Equipos!K84</f>
        <v>1819</v>
      </c>
      <c r="H86" s="101"/>
      <c r="I86" s="102"/>
      <c r="J86" s="102"/>
      <c r="K86" s="103" t="s">
        <v>328</v>
      </c>
      <c r="L86" s="102"/>
      <c r="M86" s="102"/>
      <c r="N86" s="102"/>
      <c r="O86" s="102"/>
      <c r="P86" s="102"/>
      <c r="Q86" s="102"/>
      <c r="R86" s="102"/>
      <c r="S86" s="102"/>
      <c r="T86" s="102"/>
      <c r="U86" s="101" t="n">
        <f aca="false">V86+W86+X86+COUNTIF(I86:T86,"R")</f>
        <v>1</v>
      </c>
      <c r="V86" s="101" t="n">
        <f aca="false">COUNTIF(I86:T86,"E")</f>
        <v>1</v>
      </c>
      <c r="W86" s="101" t="n">
        <f aca="false">COUNTIF(I86:T86,"X")</f>
        <v>0</v>
      </c>
      <c r="X86" s="101" t="n">
        <f aca="false">COUNTIF(I86:T86,"C2")+COUNTIF(I86:T86,"C3")</f>
        <v>0</v>
      </c>
      <c r="Y86" s="101" t="n">
        <f aca="true">SUMPRODUCT((I86:INDEX(I86:T86,MONTH(TODAY()))="X")*1)</f>
        <v>0</v>
      </c>
      <c r="Z86" s="104" t="n">
        <f aca="false">IFERROR(V86/U86,"")</f>
        <v>1</v>
      </c>
    </row>
    <row r="87" customFormat="false" ht="15" hidden="false" customHeight="true" outlineLevel="0" collapsed="false">
      <c r="A87" s="100" t="n">
        <f aca="false">Equipos!C85</f>
        <v>0</v>
      </c>
      <c r="B87" s="101" t="n">
        <f aca="false">Equipos!D85</f>
        <v>0</v>
      </c>
      <c r="C87" s="101" t="n">
        <f aca="false">Equipos!E85</f>
        <v>0</v>
      </c>
      <c r="D87" s="101" t="n">
        <f aca="false">Equipos!G85</f>
        <v>0</v>
      </c>
      <c r="E87" s="101" t="n">
        <f aca="false">Equipos!I85</f>
        <v>0</v>
      </c>
      <c r="F87" s="101" t="n">
        <f aca="false">Equipos!J85</f>
        <v>0</v>
      </c>
      <c r="G87" s="100" t="n">
        <f aca="false">Equipos!K85</f>
        <v>0</v>
      </c>
      <c r="H87" s="101"/>
      <c r="I87" s="102"/>
      <c r="J87" s="102"/>
      <c r="K87" s="102"/>
      <c r="L87" s="102"/>
      <c r="M87" s="102"/>
      <c r="N87" s="102"/>
      <c r="O87" s="102"/>
      <c r="P87" s="102"/>
      <c r="Q87" s="102"/>
      <c r="R87" s="102"/>
      <c r="S87" s="102"/>
      <c r="T87" s="102"/>
      <c r="U87" s="101" t="n">
        <f aca="false">V87+W87+X87+COUNTIF(I87:T87,"R")</f>
        <v>0</v>
      </c>
      <c r="V87" s="101" t="n">
        <f aca="false">COUNTIF(I87:T87,"E")</f>
        <v>0</v>
      </c>
      <c r="W87" s="101" t="n">
        <f aca="false">COUNTIF(I87:T87,"X")</f>
        <v>0</v>
      </c>
      <c r="X87" s="101" t="n">
        <f aca="false">COUNTIF(I87:T87,"C2")+COUNTIF(I87:T87,"C3")</f>
        <v>0</v>
      </c>
      <c r="Y87" s="101" t="n">
        <f aca="true">SUMPRODUCT((I87:INDEX(I87:T87,MONTH(TODAY()))="X")*1)</f>
        <v>0</v>
      </c>
      <c r="Z87" s="104" t="str">
        <f aca="false">IFERROR(V87/U87,"")</f>
        <v/>
      </c>
    </row>
    <row r="88" customFormat="false" ht="15" hidden="false" customHeight="true" outlineLevel="0" collapsed="false">
      <c r="A88" s="100" t="str">
        <f aca="false">Equipos!C86</f>
        <v>2-022320</v>
      </c>
      <c r="B88" s="101" t="str">
        <f aca="false">Equipos!D86</f>
        <v>Desfibrilador</v>
      </c>
      <c r="C88" s="101" t="str">
        <f aca="false">Equipos!E86</f>
        <v>Urgencias Gineco-Obstétricas</v>
      </c>
      <c r="D88" s="101" t="str">
        <f aca="false">Equipos!G86</f>
        <v>UPC-P1-SA20</v>
      </c>
      <c r="E88" s="101" t="str">
        <f aca="false">Equipos!I86</f>
        <v>Zoll </v>
      </c>
      <c r="F88" s="101" t="str">
        <f aca="false">Equipos!J86</f>
        <v>R SERIES ALS</v>
      </c>
      <c r="G88" s="100" t="str">
        <f aca="false">Equipos!K86</f>
        <v>AF12B020983</v>
      </c>
      <c r="H88" s="101"/>
      <c r="I88" s="102"/>
      <c r="J88" s="102"/>
      <c r="K88" s="102"/>
      <c r="L88" s="102"/>
      <c r="M88" s="103" t="s">
        <v>328</v>
      </c>
      <c r="N88" s="102"/>
      <c r="O88" s="102"/>
      <c r="P88" s="102"/>
      <c r="Q88" s="102"/>
      <c r="R88" s="102"/>
      <c r="S88" s="102"/>
      <c r="T88" s="102"/>
      <c r="U88" s="101" t="n">
        <f aca="false">V88+W88+X88+COUNTIF(I88:T88,"R")</f>
        <v>1</v>
      </c>
      <c r="V88" s="101" t="n">
        <f aca="false">COUNTIF(I88:T88,"E")</f>
        <v>1</v>
      </c>
      <c r="W88" s="101" t="n">
        <f aca="false">COUNTIF(I88:T88,"X")</f>
        <v>0</v>
      </c>
      <c r="X88" s="101" t="n">
        <f aca="false">COUNTIF(I88:T88,"C2")+COUNTIF(I88:T88,"C3")</f>
        <v>0</v>
      </c>
      <c r="Y88" s="101" t="n">
        <f aca="true">SUMPRODUCT((I88:INDEX(I88:T88,MONTH(TODAY()))="X")*1)</f>
        <v>0</v>
      </c>
      <c r="Z88" s="104" t="n">
        <f aca="false">IFERROR(V88/U88,"")</f>
        <v>1</v>
      </c>
    </row>
    <row r="89" customFormat="false" ht="15" hidden="false" customHeight="true" outlineLevel="0" collapsed="false">
      <c r="A89" s="100" t="n">
        <f aca="false">Equipos!C87</f>
        <v>0</v>
      </c>
      <c r="B89" s="101" t="n">
        <f aca="false">Equipos!D87</f>
        <v>0</v>
      </c>
      <c r="C89" s="101" t="n">
        <f aca="false">Equipos!E87</f>
        <v>0</v>
      </c>
      <c r="D89" s="101" t="n">
        <f aca="false">Equipos!G87</f>
        <v>0</v>
      </c>
      <c r="E89" s="101" t="n">
        <f aca="false">Equipos!I87</f>
        <v>0</v>
      </c>
      <c r="F89" s="101" t="n">
        <f aca="false">Equipos!J87</f>
        <v>0</v>
      </c>
      <c r="G89" s="100" t="n">
        <f aca="false">Equipos!K87</f>
        <v>0</v>
      </c>
      <c r="H89" s="101"/>
      <c r="I89" s="102"/>
      <c r="J89" s="102"/>
      <c r="K89" s="102"/>
      <c r="L89" s="102"/>
      <c r="M89" s="102"/>
      <c r="N89" s="102"/>
      <c r="O89" s="102"/>
      <c r="P89" s="102"/>
      <c r="Q89" s="102"/>
      <c r="R89" s="102"/>
      <c r="S89" s="102"/>
      <c r="T89" s="102"/>
      <c r="U89" s="101" t="n">
        <f aca="false">V89+W89+X89+COUNTIF(I89:T89,"R")</f>
        <v>0</v>
      </c>
      <c r="V89" s="101" t="n">
        <f aca="false">COUNTIF(I89:T89,"E")</f>
        <v>0</v>
      </c>
      <c r="W89" s="101" t="n">
        <f aca="false">COUNTIF(I89:T89,"X")</f>
        <v>0</v>
      </c>
      <c r="X89" s="101" t="n">
        <f aca="false">COUNTIF(I89:T89,"C2")+COUNTIF(I89:T89,"C3")</f>
        <v>0</v>
      </c>
      <c r="Y89" s="101" t="n">
        <f aca="true">SUMPRODUCT((I89:INDEX(I89:T89,MONTH(TODAY()))="X")*1)</f>
        <v>0</v>
      </c>
      <c r="Z89" s="104" t="str">
        <f aca="false">IFERROR(V89/U89,"")</f>
        <v/>
      </c>
    </row>
    <row r="90" customFormat="false" ht="15" hidden="false" customHeight="true" outlineLevel="0" collapsed="false">
      <c r="A90" s="100" t="str">
        <f aca="false">Equipos!C88</f>
        <v>2-122452</v>
      </c>
      <c r="B90" s="101" t="str">
        <f aca="false">Equipos!D88</f>
        <v>Desfibrilador</v>
      </c>
      <c r="C90" s="101" t="str">
        <f aca="false">Equipos!E88</f>
        <v>Pabellón Quirúrgico</v>
      </c>
      <c r="D90" s="101" t="n">
        <f aca="false">Equipos!G88</f>
        <v>0</v>
      </c>
      <c r="E90" s="101" t="str">
        <f aca="false">Equipos!I88</f>
        <v>Physio Control</v>
      </c>
      <c r="F90" s="101" t="str">
        <f aca="false">Equipos!J88</f>
        <v>Lifepak 15</v>
      </c>
      <c r="G90" s="100" t="str">
        <f aca="false">Equipos!K88</f>
        <v>49453842</v>
      </c>
      <c r="H90" s="101"/>
      <c r="I90" s="102"/>
      <c r="J90" s="102"/>
      <c r="K90" s="102"/>
      <c r="L90" s="103" t="s">
        <v>328</v>
      </c>
      <c r="M90" s="102"/>
      <c r="N90" s="102"/>
      <c r="O90" s="102"/>
      <c r="P90" s="102"/>
      <c r="Q90" s="102"/>
      <c r="R90" s="102"/>
      <c r="S90" s="102"/>
      <c r="T90" s="102"/>
      <c r="U90" s="101" t="n">
        <f aca="false">V90+W90+X90+COUNTIF(I90:T90,"R")</f>
        <v>1</v>
      </c>
      <c r="V90" s="101" t="n">
        <f aca="false">COUNTIF(I90:T90,"E")</f>
        <v>1</v>
      </c>
      <c r="W90" s="101" t="n">
        <f aca="false">COUNTIF(I90:T90,"X")</f>
        <v>0</v>
      </c>
      <c r="X90" s="101" t="n">
        <f aca="false">COUNTIF(I90:T90,"C2")+COUNTIF(I90:T90,"C3")</f>
        <v>0</v>
      </c>
      <c r="Y90" s="101" t="n">
        <f aca="true">SUMPRODUCT((I90:INDEX(I90:T90,MONTH(TODAY()))="X")*1)</f>
        <v>0</v>
      </c>
      <c r="Z90" s="104" t="n">
        <f aca="false">IFERROR(V90/U90,"")</f>
        <v>1</v>
      </c>
    </row>
    <row r="91" customFormat="false" ht="15" hidden="false" customHeight="true" outlineLevel="0" collapsed="false">
      <c r="A91" s="100" t="str">
        <f aca="false">Equipos!C89</f>
        <v>2-112272</v>
      </c>
      <c r="B91" s="101" t="str">
        <f aca="false">Equipos!D89</f>
        <v>Desfibrilador</v>
      </c>
      <c r="C91" s="101" t="str">
        <f aca="false">Equipos!E89</f>
        <v>UPC Cardiovascular</v>
      </c>
      <c r="D91" s="101" t="str">
        <f aca="false">Equipos!G89</f>
        <v>Angiografo</v>
      </c>
      <c r="E91" s="101" t="str">
        <f aca="false">Equipos!I89</f>
        <v>Medtronic</v>
      </c>
      <c r="F91" s="101" t="str">
        <f aca="false">Equipos!J89</f>
        <v>Lifepack 20</v>
      </c>
      <c r="G91" s="100" t="str">
        <f aca="false">Equipos!K89</f>
        <v>30634707</v>
      </c>
      <c r="H91" s="101"/>
      <c r="I91" s="103" t="s">
        <v>328</v>
      </c>
      <c r="J91" s="102"/>
      <c r="K91" s="102"/>
      <c r="L91" s="102"/>
      <c r="M91" s="102"/>
      <c r="N91" s="102"/>
      <c r="O91" s="102"/>
      <c r="P91" s="102"/>
      <c r="Q91" s="102"/>
      <c r="R91" s="102"/>
      <c r="S91" s="102"/>
      <c r="T91" s="102"/>
      <c r="U91" s="101" t="n">
        <f aca="false">V91+W91+X91+COUNTIF(I91:T91,"R")</f>
        <v>1</v>
      </c>
      <c r="V91" s="101" t="n">
        <f aca="false">COUNTIF(I91:T91,"E")</f>
        <v>1</v>
      </c>
      <c r="W91" s="101" t="n">
        <f aca="false">COUNTIF(I91:T91,"X")</f>
        <v>0</v>
      </c>
      <c r="X91" s="101" t="n">
        <f aca="false">COUNTIF(I91:T91,"C2")+COUNTIF(I91:T91,"C3")</f>
        <v>0</v>
      </c>
      <c r="Y91" s="101" t="n">
        <f aca="true">SUMPRODUCT((I91:INDEX(I91:T91,MONTH(TODAY()))="X")*1)</f>
        <v>0</v>
      </c>
      <c r="Z91" s="104" t="n">
        <f aca="false">IFERROR(V91/U91,"")</f>
        <v>1</v>
      </c>
    </row>
    <row r="92" customFormat="false" ht="15" hidden="false" customHeight="true" outlineLevel="0" collapsed="false">
      <c r="A92" s="100" t="str">
        <f aca="false">Equipos!C90</f>
        <v>121010-020241</v>
      </c>
      <c r="B92" s="101" t="str">
        <f aca="false">Equipos!D90</f>
        <v>DEA</v>
      </c>
      <c r="C92" s="101" t="str">
        <f aca="false">Equipos!E90</f>
        <v>SAMU</v>
      </c>
      <c r="D92" s="101" t="str">
        <f aca="false">Equipos!G90</f>
        <v>Movil 1305</v>
      </c>
      <c r="E92" s="101" t="str">
        <f aca="false">Equipos!I90</f>
        <v>Zoll</v>
      </c>
      <c r="F92" s="101" t="str">
        <f aca="false">Equipos!J90</f>
        <v>AEDPLUS</v>
      </c>
      <c r="G92" s="100" t="str">
        <f aca="false">Equipos!K90</f>
        <v>X21J421750</v>
      </c>
      <c r="H92" s="101"/>
      <c r="I92" s="103" t="s">
        <v>328</v>
      </c>
      <c r="J92" s="103" t="s">
        <v>328</v>
      </c>
      <c r="K92" s="103" t="s">
        <v>328</v>
      </c>
      <c r="L92" s="103" t="s">
        <v>328</v>
      </c>
      <c r="M92" s="103" t="s">
        <v>329</v>
      </c>
      <c r="N92" s="102"/>
      <c r="O92" s="102"/>
      <c r="P92" s="102"/>
      <c r="Q92" s="102"/>
      <c r="R92" s="102"/>
      <c r="S92" s="102"/>
      <c r="T92" s="102"/>
      <c r="U92" s="101" t="n">
        <f aca="false">V92+W92+X92+COUNTIF(I92:T92,"R")</f>
        <v>5</v>
      </c>
      <c r="V92" s="101" t="n">
        <f aca="false">COUNTIF(I92:T92,"E")</f>
        <v>4</v>
      </c>
      <c r="W92" s="101" t="n">
        <f aca="false">COUNTIF(I92:T92,"X")</f>
        <v>1</v>
      </c>
      <c r="X92" s="101" t="n">
        <f aca="false">COUNTIF(I92:T92,"C2")+COUNTIF(I92:T92,"C3")</f>
        <v>0</v>
      </c>
      <c r="Y92" s="101" t="n">
        <f aca="true">SUMPRODUCT((I92:INDEX(I92:T92,MONTH(TODAY()))="X")*1)</f>
        <v>1</v>
      </c>
      <c r="Z92" s="104" t="n">
        <f aca="false">IFERROR(V92/U92,"")</f>
        <v>0.8</v>
      </c>
    </row>
    <row r="93" customFormat="false" ht="15" hidden="false" customHeight="true" outlineLevel="0" collapsed="false">
      <c r="A93" s="100" t="str">
        <f aca="false">Equipos!C91</f>
        <v>2-117263</v>
      </c>
      <c r="B93" s="101" t="str">
        <f aca="false">Equipos!D91</f>
        <v>Desfibrilador</v>
      </c>
      <c r="C93" s="101" t="str">
        <f aca="false">Equipos!E91</f>
        <v>SAMU</v>
      </c>
      <c r="D93" s="101" t="str">
        <f aca="false">Equipos!G91</f>
        <v>Movil 1301</v>
      </c>
      <c r="E93" s="101" t="str">
        <f aca="false">Equipos!I91</f>
        <v>Nihon Kohden</v>
      </c>
      <c r="F93" s="101" t="str">
        <f aca="false">Equipos!J91</f>
        <v>TEC-8352K</v>
      </c>
      <c r="G93" s="100" t="str">
        <f aca="false">Equipos!K91</f>
        <v>1640</v>
      </c>
      <c r="H93" s="101"/>
      <c r="I93" s="102"/>
      <c r="J93" s="102"/>
      <c r="K93" s="102"/>
      <c r="L93" s="103" t="s">
        <v>328</v>
      </c>
      <c r="M93" s="102"/>
      <c r="N93" s="102"/>
      <c r="O93" s="102"/>
      <c r="P93" s="102"/>
      <c r="Q93" s="102"/>
      <c r="R93" s="102"/>
      <c r="S93" s="102"/>
      <c r="T93" s="102"/>
      <c r="U93" s="101" t="n">
        <f aca="false">V93+W93+X93+COUNTIF(I93:T93,"R")</f>
        <v>1</v>
      </c>
      <c r="V93" s="101" t="n">
        <f aca="false">COUNTIF(I93:T93,"E")</f>
        <v>1</v>
      </c>
      <c r="W93" s="101" t="n">
        <f aca="false">COUNTIF(I93:T93,"X")</f>
        <v>0</v>
      </c>
      <c r="X93" s="101" t="n">
        <f aca="false">COUNTIF(I93:T93,"C2")+COUNTIF(I93:T93,"C3")</f>
        <v>0</v>
      </c>
      <c r="Y93" s="101" t="n">
        <f aca="true">SUMPRODUCT((I93:INDEX(I93:T93,MONTH(TODAY()))="X")*1)</f>
        <v>0</v>
      </c>
      <c r="Z93" s="104" t="n">
        <f aca="false">IFERROR(V93/U93,"")</f>
        <v>1</v>
      </c>
    </row>
    <row r="94" customFormat="false" ht="15" hidden="false" customHeight="true" outlineLevel="0" collapsed="false">
      <c r="A94" s="100" t="str">
        <f aca="false">Equipos!C92</f>
        <v>2-017206</v>
      </c>
      <c r="B94" s="101" t="str">
        <f aca="false">Equipos!D92</f>
        <v>Desfibrilador</v>
      </c>
      <c r="C94" s="101" t="str">
        <f aca="false">Equipos!E92</f>
        <v>SAMU</v>
      </c>
      <c r="D94" s="101" t="str">
        <f aca="false">Equipos!G92</f>
        <v>Movil 1302</v>
      </c>
      <c r="E94" s="101" t="str">
        <f aca="false">Equipos!I92</f>
        <v>Zoll </v>
      </c>
      <c r="F94" s="101" t="str">
        <f aca="false">Equipos!J92</f>
        <v>R SERIES ALS</v>
      </c>
      <c r="G94" s="100" t="str">
        <f aca="false">Equipos!K92</f>
        <v>AF12B020986</v>
      </c>
      <c r="H94" s="101"/>
      <c r="I94" s="102"/>
      <c r="J94" s="102"/>
      <c r="K94" s="102"/>
      <c r="L94" s="103" t="s">
        <v>328</v>
      </c>
      <c r="M94" s="102"/>
      <c r="N94" s="102"/>
      <c r="O94" s="102"/>
      <c r="P94" s="102"/>
      <c r="Q94" s="102"/>
      <c r="R94" s="102"/>
      <c r="S94" s="102"/>
      <c r="T94" s="102"/>
      <c r="U94" s="101" t="n">
        <f aca="false">V94+W94+X94+COUNTIF(I94:T94,"R")</f>
        <v>1</v>
      </c>
      <c r="V94" s="101" t="n">
        <f aca="false">COUNTIF(I94:T94,"E")</f>
        <v>1</v>
      </c>
      <c r="W94" s="101" t="n">
        <f aca="false">COUNTIF(I94:T94,"X")</f>
        <v>0</v>
      </c>
      <c r="X94" s="101" t="n">
        <f aca="false">COUNTIF(I94:T94,"C2")+COUNTIF(I94:T94,"C3")</f>
        <v>0</v>
      </c>
      <c r="Y94" s="101" t="n">
        <f aca="true">SUMPRODUCT((I94:INDEX(I94:T94,MONTH(TODAY()))="X")*1)</f>
        <v>0</v>
      </c>
      <c r="Z94" s="104" t="n">
        <f aca="false">IFERROR(V94/U94,"")</f>
        <v>1</v>
      </c>
    </row>
    <row r="95" customFormat="false" ht="15" hidden="false" customHeight="true" outlineLevel="0" collapsed="false">
      <c r="A95" s="100" t="str">
        <f aca="false">Equipos!C93</f>
        <v>2-124605</v>
      </c>
      <c r="B95" s="101" t="str">
        <f aca="false">Equipos!D93</f>
        <v>DEA</v>
      </c>
      <c r="C95" s="101" t="str">
        <f aca="false">Equipos!E93</f>
        <v>Gestión de Pacientes</v>
      </c>
      <c r="D95" s="101" t="str">
        <f aca="false">Equipos!G93</f>
        <v>Movil SHLF-84</v>
      </c>
      <c r="E95" s="101" t="str">
        <f aca="false">Equipos!I93</f>
        <v>Mindray</v>
      </c>
      <c r="F95" s="101" t="str">
        <f aca="false">Equipos!J93</f>
        <v>BeneHeart C2</v>
      </c>
      <c r="G95" s="100" t="str">
        <f aca="false">Equipos!K93</f>
        <v>AE7-24048210</v>
      </c>
      <c r="H95" s="101"/>
      <c r="I95" s="103" t="s">
        <v>328</v>
      </c>
      <c r="J95" s="103" t="s">
        <v>328</v>
      </c>
      <c r="K95" s="103" t="s">
        <v>328</v>
      </c>
      <c r="L95" s="103" t="s">
        <v>328</v>
      </c>
      <c r="M95" s="103" t="s">
        <v>328</v>
      </c>
      <c r="N95" s="102"/>
      <c r="O95" s="102"/>
      <c r="P95" s="102"/>
      <c r="Q95" s="102"/>
      <c r="R95" s="102"/>
      <c r="S95" s="102"/>
      <c r="T95" s="102"/>
      <c r="U95" s="101" t="n">
        <f aca="false">V95+W95+X95+COUNTIF(I95:T95,"R")</f>
        <v>5</v>
      </c>
      <c r="V95" s="101" t="n">
        <f aca="false">COUNTIF(I95:T95,"E")</f>
        <v>5</v>
      </c>
      <c r="W95" s="101" t="n">
        <f aca="false">COUNTIF(I95:T95,"X")</f>
        <v>0</v>
      </c>
      <c r="X95" s="101" t="n">
        <f aca="false">COUNTIF(I95:T95,"C2")+COUNTIF(I95:T95,"C3")</f>
        <v>0</v>
      </c>
      <c r="Y95" s="101" t="n">
        <f aca="true">SUMPRODUCT((I95:INDEX(I95:T95,MONTH(TODAY()))="X")*1)</f>
        <v>0</v>
      </c>
      <c r="Z95" s="104" t="n">
        <f aca="false">IFERROR(V95/U95,"")</f>
        <v>1</v>
      </c>
    </row>
    <row r="96" customFormat="false" ht="15" hidden="false" customHeight="true" outlineLevel="0" collapsed="false">
      <c r="A96" s="100" t="str">
        <f aca="false">Equipos!C94</f>
        <v>2-024418</v>
      </c>
      <c r="B96" s="101" t="str">
        <f aca="false">Equipos!D94</f>
        <v>Desfibrilador</v>
      </c>
      <c r="C96" s="101" t="str">
        <f aca="false">Equipos!E94</f>
        <v>Pabellón Quirúrgico</v>
      </c>
      <c r="D96" s="101" t="str">
        <f aca="false">Equipos!G94</f>
        <v>CDT-P2-PA05</v>
      </c>
      <c r="E96" s="101" t="str">
        <f aca="false">Equipos!I94</f>
        <v>Medtronic</v>
      </c>
      <c r="F96" s="101" t="str">
        <f aca="false">Equipos!J94</f>
        <v>Lifepack 20</v>
      </c>
      <c r="G96" s="100" t="str">
        <f aca="false">Equipos!K94</f>
        <v>40979213</v>
      </c>
      <c r="H96" s="101"/>
      <c r="I96" s="102"/>
      <c r="J96" s="102"/>
      <c r="K96" s="102"/>
      <c r="L96" s="103" t="s">
        <v>328</v>
      </c>
      <c r="M96" s="102"/>
      <c r="N96" s="102"/>
      <c r="O96" s="102"/>
      <c r="P96" s="102"/>
      <c r="Q96" s="102"/>
      <c r="R96" s="102"/>
      <c r="S96" s="102"/>
      <c r="T96" s="102"/>
      <c r="U96" s="101" t="n">
        <f aca="false">V96+W96+X96+COUNTIF(I96:T96,"R")</f>
        <v>1</v>
      </c>
      <c r="V96" s="101" t="n">
        <f aca="false">COUNTIF(I96:T96,"E")</f>
        <v>1</v>
      </c>
      <c r="W96" s="101" t="n">
        <f aca="false">COUNTIF(I96:T96,"X")</f>
        <v>0</v>
      </c>
      <c r="X96" s="101" t="n">
        <f aca="false">COUNTIF(I96:T96,"C2")+COUNTIF(I96:T96,"C3")</f>
        <v>0</v>
      </c>
      <c r="Y96" s="101" t="n">
        <f aca="true">SUMPRODUCT((I96:INDEX(I96:T96,MONTH(TODAY()))="X")*1)</f>
        <v>0</v>
      </c>
      <c r="Z96" s="104" t="n">
        <f aca="false">IFERROR(V96/U96,"")</f>
        <v>1</v>
      </c>
    </row>
    <row r="97" customFormat="false" ht="15" hidden="false" customHeight="true" outlineLevel="0" collapsed="false">
      <c r="A97" s="100" t="str">
        <f aca="false">Equipos!C95</f>
        <v>2-134460</v>
      </c>
      <c r="B97" s="101" t="str">
        <f aca="false">Equipos!D95</f>
        <v>DEA</v>
      </c>
      <c r="C97" s="101" t="str">
        <f aca="false">Equipos!E95</f>
        <v>CDT</v>
      </c>
      <c r="D97" s="101" t="n">
        <f aca="false">Equipos!G95</f>
        <v>0</v>
      </c>
      <c r="E97" s="101" t="str">
        <f aca="false">Equipos!I95</f>
        <v>Nihon Kohden</v>
      </c>
      <c r="F97" s="101" t="str">
        <f aca="false">Equipos!J95</f>
        <v>AED-3100K</v>
      </c>
      <c r="G97" s="100" t="str">
        <f aca="false">Equipos!K95</f>
        <v>40422</v>
      </c>
      <c r="H97" s="101"/>
      <c r="I97" s="103" t="s">
        <v>328</v>
      </c>
      <c r="J97" s="103" t="s">
        <v>328</v>
      </c>
      <c r="K97" s="103" t="s">
        <v>328</v>
      </c>
      <c r="L97" s="103" t="s">
        <v>328</v>
      </c>
      <c r="M97" s="103" t="s">
        <v>328</v>
      </c>
      <c r="N97" s="102"/>
      <c r="O97" s="102"/>
      <c r="P97" s="102"/>
      <c r="Q97" s="102"/>
      <c r="R97" s="102"/>
      <c r="S97" s="102"/>
      <c r="T97" s="102"/>
      <c r="U97" s="101" t="n">
        <f aca="false">V97+W97+X97+COUNTIF(I97:T97,"R")</f>
        <v>5</v>
      </c>
      <c r="V97" s="101" t="n">
        <f aca="false">COUNTIF(I97:T97,"E")</f>
        <v>5</v>
      </c>
      <c r="W97" s="101" t="n">
        <f aca="false">COUNTIF(I97:T97,"X")</f>
        <v>0</v>
      </c>
      <c r="X97" s="101" t="n">
        <f aca="false">COUNTIF(I97:T97,"C2")+COUNTIF(I97:T97,"C3")</f>
        <v>0</v>
      </c>
      <c r="Y97" s="101" t="n">
        <f aca="true">SUMPRODUCT((I97:INDEX(I97:T97,MONTH(TODAY()))="X")*1)</f>
        <v>0</v>
      </c>
      <c r="Z97" s="104" t="n">
        <f aca="false">IFERROR(V97/U97,"")</f>
        <v>1</v>
      </c>
    </row>
    <row r="98" customFormat="false" ht="15" hidden="false" customHeight="true" outlineLevel="0" collapsed="false">
      <c r="A98" s="100" t="str">
        <f aca="false">Equipos!C96</f>
        <v>2-112273</v>
      </c>
      <c r="B98" s="101" t="str">
        <f aca="false">Equipos!D96</f>
        <v>DEA</v>
      </c>
      <c r="C98" s="101" t="str">
        <f aca="false">Equipos!E96</f>
        <v>Prevención de Riesgos</v>
      </c>
      <c r="D98" s="101" t="str">
        <f aca="false">Equipos!G96</f>
        <v>CDT 1ER Piso</v>
      </c>
      <c r="E98" s="101" t="str">
        <f aca="false">Equipos!I96</f>
        <v>DEFIBTECH</v>
      </c>
      <c r="F98" s="101" t="str">
        <f aca="false">Equipos!J96</f>
        <v>LIFE LINE </v>
      </c>
      <c r="G98" s="100" t="str">
        <f aca="false">Equipos!K96</f>
        <v>122002994</v>
      </c>
      <c r="H98" s="101"/>
      <c r="I98" s="103" t="s">
        <v>328</v>
      </c>
      <c r="J98" s="103" t="s">
        <v>328</v>
      </c>
      <c r="K98" s="103" t="s">
        <v>328</v>
      </c>
      <c r="L98" s="103" t="s">
        <v>328</v>
      </c>
      <c r="M98" s="103" t="s">
        <v>328</v>
      </c>
      <c r="N98" s="102"/>
      <c r="O98" s="102"/>
      <c r="P98" s="102"/>
      <c r="Q98" s="102"/>
      <c r="R98" s="102"/>
      <c r="S98" s="102"/>
      <c r="T98" s="102"/>
      <c r="U98" s="101" t="n">
        <f aca="false">V98+W98+X98+COUNTIF(I98:T98,"R")</f>
        <v>5</v>
      </c>
      <c r="V98" s="101" t="n">
        <f aca="false">COUNTIF(I98:T98,"E")</f>
        <v>5</v>
      </c>
      <c r="W98" s="101" t="n">
        <f aca="false">COUNTIF(I98:T98,"X")</f>
        <v>0</v>
      </c>
      <c r="X98" s="101" t="n">
        <f aca="false">COUNTIF(I98:T98,"C2")+COUNTIF(I98:T98,"C3")</f>
        <v>0</v>
      </c>
      <c r="Y98" s="101" t="n">
        <f aca="true">SUMPRODUCT((I98:INDEX(I98:T98,MONTH(TODAY()))="X")*1)</f>
        <v>0</v>
      </c>
      <c r="Z98" s="104" t="n">
        <f aca="false">IFERROR(V98/U98,"")</f>
        <v>1</v>
      </c>
    </row>
    <row r="99" customFormat="false" ht="15" hidden="false" customHeight="true" outlineLevel="0" collapsed="false">
      <c r="A99" s="100" t="str">
        <f aca="false">Equipos!C97</f>
        <v>2-112274</v>
      </c>
      <c r="B99" s="101" t="str">
        <f aca="false">Equipos!D97</f>
        <v>DEA</v>
      </c>
      <c r="C99" s="101" t="str">
        <f aca="false">Equipos!E97</f>
        <v>Prevención de Riesgos</v>
      </c>
      <c r="D99" s="101" t="str">
        <f aca="false">Equipos!G97</f>
        <v>Hall 1º Piso EP</v>
      </c>
      <c r="E99" s="101" t="str">
        <f aca="false">Equipos!I97</f>
        <v>DEFIBTECH</v>
      </c>
      <c r="F99" s="101" t="str">
        <f aca="false">Equipos!J97</f>
        <v>LIFE LINE </v>
      </c>
      <c r="G99" s="100" t="str">
        <f aca="false">Equipos!K97</f>
        <v>122003001</v>
      </c>
      <c r="H99" s="101"/>
      <c r="I99" s="103" t="s">
        <v>328</v>
      </c>
      <c r="J99" s="103" t="s">
        <v>328</v>
      </c>
      <c r="K99" s="103" t="s">
        <v>328</v>
      </c>
      <c r="L99" s="103" t="s">
        <v>328</v>
      </c>
      <c r="M99" s="103" t="s">
        <v>328</v>
      </c>
      <c r="N99" s="102"/>
      <c r="O99" s="102"/>
      <c r="P99" s="102"/>
      <c r="Q99" s="102"/>
      <c r="R99" s="102"/>
      <c r="S99" s="102"/>
      <c r="T99" s="102"/>
      <c r="U99" s="101" t="n">
        <f aca="false">V99+W99+X99+COUNTIF(I99:T99,"R")</f>
        <v>5</v>
      </c>
      <c r="V99" s="101" t="n">
        <f aca="false">COUNTIF(I99:T99,"E")</f>
        <v>5</v>
      </c>
      <c r="W99" s="101" t="n">
        <f aca="false">COUNTIF(I99:T99,"X")</f>
        <v>0</v>
      </c>
      <c r="X99" s="101" t="n">
        <f aca="false">COUNTIF(I99:T99,"C2")+COUNTIF(I99:T99,"C3")</f>
        <v>0</v>
      </c>
      <c r="Y99" s="101" t="n">
        <f aca="true">SUMPRODUCT((I99:INDEX(I99:T99,MONTH(TODAY()))="X")*1)</f>
        <v>0</v>
      </c>
      <c r="Z99" s="104" t="n">
        <f aca="false">IFERROR(V99/U99,"")</f>
        <v>1</v>
      </c>
    </row>
    <row r="100" customFormat="false" ht="15" hidden="false" customHeight="true" outlineLevel="0" collapsed="false">
      <c r="A100" s="100" t="str">
        <f aca="false">Equipos!C98</f>
        <v>2-112275</v>
      </c>
      <c r="B100" s="101" t="str">
        <f aca="false">Equipos!D98</f>
        <v>DEA</v>
      </c>
      <c r="C100" s="101" t="str">
        <f aca="false">Equipos!E98</f>
        <v>Prevención de Riesgos</v>
      </c>
      <c r="D100" s="101" t="str">
        <f aca="false">Equipos!G98</f>
        <v>Urgencia Infantil</v>
      </c>
      <c r="E100" s="101" t="str">
        <f aca="false">Equipos!I98</f>
        <v>DEFIBTECH</v>
      </c>
      <c r="F100" s="101" t="str">
        <f aca="false">Equipos!J98</f>
        <v>LIFE LINE </v>
      </c>
      <c r="G100" s="100" t="str">
        <f aca="false">Equipos!K98</f>
        <v>122002995</v>
      </c>
      <c r="H100" s="101"/>
      <c r="I100" s="103" t="s">
        <v>328</v>
      </c>
      <c r="J100" s="103" t="s">
        <v>328</v>
      </c>
      <c r="K100" s="103" t="s">
        <v>328</v>
      </c>
      <c r="L100" s="103" t="s">
        <v>328</v>
      </c>
      <c r="M100" s="103" t="s">
        <v>328</v>
      </c>
      <c r="N100" s="102"/>
      <c r="O100" s="102"/>
      <c r="P100" s="102"/>
      <c r="Q100" s="102"/>
      <c r="R100" s="102"/>
      <c r="S100" s="102"/>
      <c r="T100" s="102"/>
      <c r="U100" s="101" t="n">
        <f aca="false">V100+W100+X100+COUNTIF(I100:T100,"R")</f>
        <v>5</v>
      </c>
      <c r="V100" s="101" t="n">
        <f aca="false">COUNTIF(I100:T100,"E")</f>
        <v>5</v>
      </c>
      <c r="W100" s="101" t="n">
        <f aca="false">COUNTIF(I100:T100,"X")</f>
        <v>0</v>
      </c>
      <c r="X100" s="101" t="n">
        <f aca="false">COUNTIF(I100:T100,"C2")+COUNTIF(I100:T100,"C3")</f>
        <v>0</v>
      </c>
      <c r="Y100" s="101" t="n">
        <f aca="true">SUMPRODUCT((I100:INDEX(I100:T100,MONTH(TODAY()))="X")*1)</f>
        <v>0</v>
      </c>
      <c r="Z100" s="104" t="n">
        <f aca="false">IFERROR(V100/U100,"")</f>
        <v>1</v>
      </c>
    </row>
    <row r="101" customFormat="false" ht="15" hidden="false" customHeight="true" outlineLevel="0" collapsed="false">
      <c r="A101" s="100" t="str">
        <f aca="false">Equipos!C99</f>
        <v>2-112276</v>
      </c>
      <c r="B101" s="101" t="str">
        <f aca="false">Equipos!D99</f>
        <v>DEA</v>
      </c>
      <c r="C101" s="101" t="str">
        <f aca="false">Equipos!E99</f>
        <v>Prevención de Riesgos (Urgencia Adulto)</v>
      </c>
      <c r="D101" s="101" t="str">
        <f aca="false">Equipos!G99</f>
        <v>Priorización Adultos </v>
      </c>
      <c r="E101" s="101" t="str">
        <f aca="false">Equipos!I99</f>
        <v>DEFIBTECH</v>
      </c>
      <c r="F101" s="101" t="str">
        <f aca="false">Equipos!J99</f>
        <v>LIFE LINE </v>
      </c>
      <c r="G101" s="100" t="str">
        <f aca="false">Equipos!K99</f>
        <v>122003000</v>
      </c>
      <c r="H101" s="101"/>
      <c r="I101" s="103" t="s">
        <v>328</v>
      </c>
      <c r="J101" s="103" t="s">
        <v>328</v>
      </c>
      <c r="K101" s="103" t="s">
        <v>328</v>
      </c>
      <c r="L101" s="103" t="s">
        <v>328</v>
      </c>
      <c r="M101" s="103" t="s">
        <v>328</v>
      </c>
      <c r="N101" s="102"/>
      <c r="O101" s="102"/>
      <c r="P101" s="102"/>
      <c r="Q101" s="102"/>
      <c r="R101" s="102"/>
      <c r="S101" s="102"/>
      <c r="T101" s="102"/>
      <c r="U101" s="101" t="n">
        <f aca="false">V101+W101+X101+COUNTIF(I101:T101,"R")</f>
        <v>5</v>
      </c>
      <c r="V101" s="101" t="n">
        <f aca="false">COUNTIF(I101:T101,"E")</f>
        <v>5</v>
      </c>
      <c r="W101" s="101" t="n">
        <f aca="false">COUNTIF(I101:T101,"X")</f>
        <v>0</v>
      </c>
      <c r="X101" s="101" t="n">
        <f aca="false">COUNTIF(I101:T101,"C2")+COUNTIF(I101:T101,"C3")</f>
        <v>0</v>
      </c>
      <c r="Y101" s="101" t="n">
        <f aca="true">SUMPRODUCT((I101:INDEX(I101:T101,MONTH(TODAY()))="X")*1)</f>
        <v>0</v>
      </c>
      <c r="Z101" s="104" t="n">
        <f aca="false">IFERROR(V101/U101,"")</f>
        <v>1</v>
      </c>
    </row>
    <row r="102" customFormat="false" ht="15" hidden="false" customHeight="true" outlineLevel="0" collapsed="false">
      <c r="A102" s="100" t="str">
        <f aca="false">Equipos!C100</f>
        <v>2-112277</v>
      </c>
      <c r="B102" s="101" t="str">
        <f aca="false">Equipos!D100</f>
        <v>DEA</v>
      </c>
      <c r="C102" s="101" t="str">
        <f aca="false">Equipos!E100</f>
        <v>Prevención de Riesgos</v>
      </c>
      <c r="D102" s="101" t="str">
        <f aca="false">Equipos!G100</f>
        <v>Zócalo CDT</v>
      </c>
      <c r="E102" s="101" t="str">
        <f aca="false">Equipos!I100</f>
        <v>DEFIBTECH</v>
      </c>
      <c r="F102" s="101" t="str">
        <f aca="false">Equipos!J100</f>
        <v>LIFE LINE </v>
      </c>
      <c r="G102" s="100" t="str">
        <f aca="false">Equipos!K100</f>
        <v>122002981</v>
      </c>
      <c r="H102" s="101"/>
      <c r="I102" s="103" t="s">
        <v>328</v>
      </c>
      <c r="J102" s="103" t="s">
        <v>328</v>
      </c>
      <c r="K102" s="103" t="s">
        <v>328</v>
      </c>
      <c r="L102" s="103" t="s">
        <v>328</v>
      </c>
      <c r="M102" s="103" t="s">
        <v>328</v>
      </c>
      <c r="N102" s="102"/>
      <c r="O102" s="102"/>
      <c r="P102" s="102"/>
      <c r="Q102" s="102"/>
      <c r="R102" s="102"/>
      <c r="S102" s="102"/>
      <c r="T102" s="102"/>
      <c r="U102" s="101" t="n">
        <f aca="false">V102+W102+X102+COUNTIF(I102:T102,"R")</f>
        <v>5</v>
      </c>
      <c r="V102" s="101" t="n">
        <f aca="false">COUNTIF(I102:T102,"E")</f>
        <v>5</v>
      </c>
      <c r="W102" s="101" t="n">
        <f aca="false">COUNTIF(I102:T102,"X")</f>
        <v>0</v>
      </c>
      <c r="X102" s="101" t="n">
        <f aca="false">COUNTIF(I102:T102,"C2")+COUNTIF(I102:T102,"C3")</f>
        <v>0</v>
      </c>
      <c r="Y102" s="101" t="n">
        <f aca="true">SUMPRODUCT((I102:INDEX(I102:T102,MONTH(TODAY()))="X")*1)</f>
        <v>0</v>
      </c>
      <c r="Z102" s="104" t="n">
        <f aca="false">IFERROR(V102/U102,"")</f>
        <v>1</v>
      </c>
    </row>
    <row r="103" customFormat="false" ht="15" hidden="false" customHeight="true" outlineLevel="0" collapsed="false">
      <c r="A103" s="100" t="str">
        <f aca="false">Equipos!C101</f>
        <v>2-002371</v>
      </c>
      <c r="B103" s="101" t="str">
        <f aca="false">Equipos!D101</f>
        <v>DEA</v>
      </c>
      <c r="C103" s="101" t="str">
        <f aca="false">Equipos!E101</f>
        <v>Prevención de Riesgos</v>
      </c>
      <c r="D103" s="101" t="str">
        <f aca="false">Equipos!G101</f>
        <v>Entrada Principal TN</v>
      </c>
      <c r="E103" s="101" t="str">
        <f aca="false">Equipos!I101</f>
        <v>DEFIBTECH</v>
      </c>
      <c r="F103" s="101" t="str">
        <f aca="false">Equipos!J101</f>
        <v>LIFE LINE </v>
      </c>
      <c r="G103" s="100" t="str">
        <f aca="false">Equipos!K101</f>
        <v>122002983</v>
      </c>
      <c r="H103" s="101"/>
      <c r="I103" s="103" t="s">
        <v>328</v>
      </c>
      <c r="J103" s="103" t="s">
        <v>328</v>
      </c>
      <c r="K103" s="103" t="s">
        <v>328</v>
      </c>
      <c r="L103" s="103" t="s">
        <v>328</v>
      </c>
      <c r="M103" s="103" t="s">
        <v>328</v>
      </c>
      <c r="N103" s="102"/>
      <c r="O103" s="102"/>
      <c r="P103" s="102"/>
      <c r="Q103" s="102"/>
      <c r="R103" s="102"/>
      <c r="S103" s="102"/>
      <c r="T103" s="102"/>
      <c r="U103" s="101" t="n">
        <f aca="false">V103+W103+X103+COUNTIF(I103:T103,"R")</f>
        <v>5</v>
      </c>
      <c r="V103" s="101" t="n">
        <f aca="false">COUNTIF(I103:T103,"E")</f>
        <v>5</v>
      </c>
      <c r="W103" s="101" t="n">
        <f aca="false">COUNTIF(I103:T103,"X")</f>
        <v>0</v>
      </c>
      <c r="X103" s="101" t="n">
        <f aca="false">COUNTIF(I103:T103,"C2")+COUNTIF(I103:T103,"C3")</f>
        <v>0</v>
      </c>
      <c r="Y103" s="101" t="n">
        <f aca="true">SUMPRODUCT((I103:INDEX(I103:T103,MONTH(TODAY()))="X")*1)</f>
        <v>0</v>
      </c>
      <c r="Z103" s="104" t="n">
        <f aca="false">IFERROR(V103/U103,"")</f>
        <v>1</v>
      </c>
    </row>
    <row r="104" customFormat="false" ht="15" hidden="false" customHeight="true" outlineLevel="0" collapsed="false">
      <c r="A104" s="100" t="str">
        <f aca="false">Equipos!C102</f>
        <v>2-112278</v>
      </c>
      <c r="B104" s="101" t="str">
        <f aca="false">Equipos!D102</f>
        <v>DEA</v>
      </c>
      <c r="C104" s="101" t="str">
        <f aca="false">Equipos!E102</f>
        <v>Prevención de Riesgos</v>
      </c>
      <c r="D104" s="101" t="str">
        <f aca="false">Equipos!G102</f>
        <v>Estacionamiento Zócalo </v>
      </c>
      <c r="E104" s="101" t="str">
        <f aca="false">Equipos!I102</f>
        <v>DEFIBTECH</v>
      </c>
      <c r="F104" s="101" t="str">
        <f aca="false">Equipos!J102</f>
        <v>LIFE LINE </v>
      </c>
      <c r="G104" s="100" t="str">
        <f aca="false">Equipos!K102</f>
        <v>122002988</v>
      </c>
      <c r="H104" s="101"/>
      <c r="I104" s="103" t="s">
        <v>328</v>
      </c>
      <c r="J104" s="103" t="s">
        <v>328</v>
      </c>
      <c r="K104" s="103" t="s">
        <v>328</v>
      </c>
      <c r="L104" s="103" t="s">
        <v>328</v>
      </c>
      <c r="M104" s="103" t="s">
        <v>328</v>
      </c>
      <c r="N104" s="102"/>
      <c r="O104" s="102"/>
      <c r="P104" s="102"/>
      <c r="Q104" s="102"/>
      <c r="R104" s="102"/>
      <c r="S104" s="102"/>
      <c r="T104" s="102"/>
      <c r="U104" s="101" t="n">
        <f aca="false">V104+W104+X104+COUNTIF(I104:T104,"R")</f>
        <v>5</v>
      </c>
      <c r="V104" s="101" t="n">
        <f aca="false">COUNTIF(I104:T104,"E")</f>
        <v>5</v>
      </c>
      <c r="W104" s="101" t="n">
        <f aca="false">COUNTIF(I104:T104,"X")</f>
        <v>0</v>
      </c>
      <c r="X104" s="101" t="n">
        <f aca="false">COUNTIF(I104:T104,"C2")+COUNTIF(I104:T104,"C3")</f>
        <v>0</v>
      </c>
      <c r="Y104" s="101" t="n">
        <f aca="true">SUMPRODUCT((I104:INDEX(I104:T104,MONTH(TODAY()))="X")*1)</f>
        <v>0</v>
      </c>
      <c r="Z104" s="104" t="n">
        <f aca="false">IFERROR(V104/U104,"")</f>
        <v>1</v>
      </c>
    </row>
    <row r="105" customFormat="false" ht="15" hidden="false" customHeight="true" outlineLevel="0" collapsed="false">
      <c r="A105" s="100" t="str">
        <f aca="false">Equipos!C103</f>
        <v>2-001551</v>
      </c>
      <c r="B105" s="101" t="str">
        <f aca="false">Equipos!D103</f>
        <v>DEA</v>
      </c>
      <c r="C105" s="101" t="str">
        <f aca="false">Equipos!E103</f>
        <v>Prevención de Riesgos</v>
      </c>
      <c r="D105" s="101" t="str">
        <f aca="false">Equipos!G103</f>
        <v>Hall Imagenología</v>
      </c>
      <c r="E105" s="101" t="str">
        <f aca="false">Equipos!I103</f>
        <v>DEFIBTECH</v>
      </c>
      <c r="F105" s="101" t="str">
        <f aca="false">Equipos!J103</f>
        <v>LIFE LINE </v>
      </c>
      <c r="G105" s="100" t="str">
        <f aca="false">Equipos!K103</f>
        <v>122002985</v>
      </c>
      <c r="H105" s="101"/>
      <c r="I105" s="103" t="s">
        <v>328</v>
      </c>
      <c r="J105" s="103" t="s">
        <v>328</v>
      </c>
      <c r="K105" s="103" t="s">
        <v>328</v>
      </c>
      <c r="L105" s="103" t="s">
        <v>328</v>
      </c>
      <c r="M105" s="103" t="s">
        <v>328</v>
      </c>
      <c r="N105" s="102"/>
      <c r="O105" s="102"/>
      <c r="P105" s="102"/>
      <c r="Q105" s="102"/>
      <c r="R105" s="102"/>
      <c r="S105" s="102"/>
      <c r="T105" s="102"/>
      <c r="U105" s="101" t="n">
        <f aca="false">V105+W105+X105+COUNTIF(I105:T105,"R")</f>
        <v>5</v>
      </c>
      <c r="V105" s="101" t="n">
        <f aca="false">COUNTIF(I105:T105,"E")</f>
        <v>5</v>
      </c>
      <c r="W105" s="101" t="n">
        <f aca="false">COUNTIF(I105:T105,"X")</f>
        <v>0</v>
      </c>
      <c r="X105" s="101" t="n">
        <f aca="false">COUNTIF(I105:T105,"C2")+COUNTIF(I105:T105,"C3")</f>
        <v>0</v>
      </c>
      <c r="Y105" s="101" t="n">
        <f aca="true">SUMPRODUCT((I105:INDEX(I105:T105,MONTH(TODAY()))="X")*1)</f>
        <v>0</v>
      </c>
      <c r="Z105" s="104" t="n">
        <f aca="false">IFERROR(V105/U105,"")</f>
        <v>1</v>
      </c>
    </row>
    <row r="106" customFormat="false" ht="15" hidden="false" customHeight="true" outlineLevel="0" collapsed="false">
      <c r="A106" s="100" t="str">
        <f aca="false">Equipos!C104</f>
        <v>2-134461</v>
      </c>
      <c r="B106" s="101" t="str">
        <f aca="false">Equipos!D104</f>
        <v>DEA</v>
      </c>
      <c r="C106" s="101" t="str">
        <f aca="false">Equipos!E104</f>
        <v>CDT</v>
      </c>
      <c r="D106" s="101" t="n">
        <f aca="false">Equipos!G104</f>
        <v>0</v>
      </c>
      <c r="E106" s="101" t="str">
        <f aca="false">Equipos!I104</f>
        <v>Nihon Kohden</v>
      </c>
      <c r="F106" s="101" t="str">
        <f aca="false">Equipos!J104</f>
        <v>AED-3100K</v>
      </c>
      <c r="G106" s="100" t="str">
        <f aca="false">Equipos!K104</f>
        <v>40361</v>
      </c>
      <c r="H106" s="101"/>
      <c r="I106" s="103" t="s">
        <v>328</v>
      </c>
      <c r="J106" s="103" t="s">
        <v>328</v>
      </c>
      <c r="K106" s="103" t="s">
        <v>328</v>
      </c>
      <c r="L106" s="103" t="s">
        <v>328</v>
      </c>
      <c r="M106" s="103" t="s">
        <v>328</v>
      </c>
      <c r="N106" s="102"/>
      <c r="O106" s="102"/>
      <c r="P106" s="102"/>
      <c r="Q106" s="102"/>
      <c r="R106" s="102"/>
      <c r="S106" s="102"/>
      <c r="T106" s="102"/>
      <c r="U106" s="101" t="n">
        <f aca="false">V106+W106+X106+COUNTIF(I106:T106,"R")</f>
        <v>5</v>
      </c>
      <c r="V106" s="101" t="n">
        <f aca="false">COUNTIF(I106:T106,"E")</f>
        <v>5</v>
      </c>
      <c r="W106" s="101" t="n">
        <f aca="false">COUNTIF(I106:T106,"X")</f>
        <v>0</v>
      </c>
      <c r="X106" s="101" t="n">
        <f aca="false">COUNTIF(I106:T106,"C2")+COUNTIF(I106:T106,"C3")</f>
        <v>0</v>
      </c>
      <c r="Y106" s="101" t="n">
        <f aca="true">SUMPRODUCT((I106:INDEX(I106:T106,MONTH(TODAY()))="X")*1)</f>
        <v>0</v>
      </c>
      <c r="Z106" s="104" t="n">
        <f aca="false">IFERROR(V106/U106,"")</f>
        <v>1</v>
      </c>
    </row>
    <row r="107" customFormat="false" ht="15" hidden="false" customHeight="true" outlineLevel="0" collapsed="false">
      <c r="A107" s="100" t="str">
        <f aca="false">Equipos!C105</f>
        <v>2-006472</v>
      </c>
      <c r="B107" s="101" t="str">
        <f aca="false">Equipos!D105</f>
        <v>Desfibrilador</v>
      </c>
      <c r="C107" s="101" t="str">
        <f aca="false">Equipos!E105</f>
        <v>Hemodiálisis (Prestado a SAMU)</v>
      </c>
      <c r="D107" s="101" t="str">
        <f aca="false">Equipos!G105</f>
        <v>EPB-P1</v>
      </c>
      <c r="E107" s="101" t="str">
        <f aca="false">Equipos!I105</f>
        <v>Mindray</v>
      </c>
      <c r="F107" s="101" t="str">
        <f aca="false">Equipos!J105</f>
        <v>BeneHeart D6</v>
      </c>
      <c r="G107" s="100" t="str">
        <f aca="false">Equipos!K105</f>
        <v>DG-29006896</v>
      </c>
      <c r="H107" s="101"/>
      <c r="I107" s="102"/>
      <c r="J107" s="102"/>
      <c r="K107" s="102"/>
      <c r="L107" s="103" t="s">
        <v>328</v>
      </c>
      <c r="M107" s="102"/>
      <c r="N107" s="102"/>
      <c r="O107" s="102"/>
      <c r="P107" s="102"/>
      <c r="Q107" s="102"/>
      <c r="R107" s="102"/>
      <c r="S107" s="102"/>
      <c r="T107" s="102"/>
      <c r="U107" s="101" t="n">
        <f aca="false">V107+W107+X107+COUNTIF(I107:T107,"R")</f>
        <v>1</v>
      </c>
      <c r="V107" s="101" t="n">
        <f aca="false">COUNTIF(I107:T107,"E")</f>
        <v>1</v>
      </c>
      <c r="W107" s="101" t="n">
        <f aca="false">COUNTIF(I107:T107,"X")</f>
        <v>0</v>
      </c>
      <c r="X107" s="101" t="n">
        <f aca="false">COUNTIF(I107:T107,"C2")+COUNTIF(I107:T107,"C3")</f>
        <v>0</v>
      </c>
      <c r="Y107" s="101" t="n">
        <f aca="true">SUMPRODUCT((I107:INDEX(I107:T107,MONTH(TODAY()))="X")*1)</f>
        <v>0</v>
      </c>
      <c r="Z107" s="104" t="n">
        <f aca="false">IFERROR(V107/U107,"")</f>
        <v>1</v>
      </c>
    </row>
    <row r="108" customFormat="false" ht="15" hidden="false" customHeight="true" outlineLevel="0" collapsed="false">
      <c r="A108" s="100" t="str">
        <f aca="false">Equipos!C106</f>
        <v>2-112279</v>
      </c>
      <c r="B108" s="101" t="str">
        <f aca="false">Equipos!D106</f>
        <v>Desfibrilador</v>
      </c>
      <c r="C108" s="101" t="str">
        <f aca="false">Equipos!E106</f>
        <v>Urgencia Infantil</v>
      </c>
      <c r="D108" s="101" t="str">
        <f aca="false">Equipos!G106</f>
        <v>SUI reanimador</v>
      </c>
      <c r="E108" s="101" t="str">
        <f aca="false">Equipos!I106</f>
        <v>Mindray</v>
      </c>
      <c r="F108" s="101" t="str">
        <f aca="false">Equipos!J106</f>
        <v>BeneHeart D6</v>
      </c>
      <c r="G108" s="100" t="str">
        <f aca="false">Equipos!K106</f>
        <v>DG-29006907</v>
      </c>
      <c r="H108" s="101"/>
      <c r="I108" s="102"/>
      <c r="J108" s="102"/>
      <c r="K108" s="103" t="s">
        <v>328</v>
      </c>
      <c r="L108" s="102"/>
      <c r="M108" s="102"/>
      <c r="N108" s="102"/>
      <c r="O108" s="102"/>
      <c r="P108" s="102"/>
      <c r="Q108" s="102"/>
      <c r="R108" s="102"/>
      <c r="S108" s="102"/>
      <c r="T108" s="102"/>
      <c r="U108" s="101" t="n">
        <f aca="false">V108+W108+X108+COUNTIF(I108:T108,"R")</f>
        <v>1</v>
      </c>
      <c r="V108" s="101" t="n">
        <f aca="false">COUNTIF(I108:T108,"E")</f>
        <v>1</v>
      </c>
      <c r="W108" s="101" t="n">
        <f aca="false">COUNTIF(I108:T108,"X")</f>
        <v>0</v>
      </c>
      <c r="X108" s="101" t="n">
        <f aca="false">COUNTIF(I108:T108,"C2")+COUNTIF(I108:T108,"C3")</f>
        <v>0</v>
      </c>
      <c r="Y108" s="101" t="n">
        <f aca="true">SUMPRODUCT((I108:INDEX(I108:T108,MONTH(TODAY()))="X")*1)</f>
        <v>0</v>
      </c>
      <c r="Z108" s="104" t="n">
        <f aca="false">IFERROR(V108/U108,"")</f>
        <v>1</v>
      </c>
    </row>
    <row r="109" customFormat="false" ht="15" hidden="false" customHeight="true" outlineLevel="0" collapsed="false">
      <c r="A109" s="100" t="str">
        <f aca="false">Equipos!C107</f>
        <v>2-112280</v>
      </c>
      <c r="B109" s="101" t="str">
        <f aca="false">Equipos!D107</f>
        <v>Desfibrilador</v>
      </c>
      <c r="C109" s="101" t="str">
        <f aca="false">Equipos!E107</f>
        <v>Cirugía Adulto</v>
      </c>
      <c r="D109" s="101" t="str">
        <f aca="false">Equipos!G107</f>
        <v>7mo piso</v>
      </c>
      <c r="E109" s="101" t="str">
        <f aca="false">Equipos!I107</f>
        <v>Zoll </v>
      </c>
      <c r="F109" s="101" t="str">
        <f aca="false">Equipos!J107</f>
        <v>R SERIES ALS</v>
      </c>
      <c r="G109" s="100" t="str">
        <f aca="false">Equipos!K107</f>
        <v>(21)AF14J041071</v>
      </c>
      <c r="H109" s="101"/>
      <c r="I109" s="102"/>
      <c r="J109" s="102"/>
      <c r="K109" s="102"/>
      <c r="L109" s="102"/>
      <c r="M109" s="103" t="s">
        <v>328</v>
      </c>
      <c r="N109" s="102"/>
      <c r="O109" s="102"/>
      <c r="P109" s="102"/>
      <c r="Q109" s="102"/>
      <c r="R109" s="102"/>
      <c r="S109" s="102"/>
      <c r="T109" s="102"/>
      <c r="U109" s="101" t="n">
        <f aca="false">V109+W109+X109+COUNTIF(I109:T109,"R")</f>
        <v>1</v>
      </c>
      <c r="V109" s="101" t="n">
        <f aca="false">COUNTIF(I109:T109,"E")</f>
        <v>1</v>
      </c>
      <c r="W109" s="101" t="n">
        <f aca="false">COUNTIF(I109:T109,"X")</f>
        <v>0</v>
      </c>
      <c r="X109" s="101" t="n">
        <f aca="false">COUNTIF(I109:T109,"C2")+COUNTIF(I109:T109,"C3")</f>
        <v>0</v>
      </c>
      <c r="Y109" s="101" t="n">
        <f aca="true">SUMPRODUCT((I109:INDEX(I109:T109,MONTH(TODAY()))="X")*1)</f>
        <v>0</v>
      </c>
      <c r="Z109" s="104" t="n">
        <f aca="false">IFERROR(V109/U109,"")</f>
        <v>1</v>
      </c>
    </row>
    <row r="110" customFormat="false" ht="15" hidden="false" customHeight="true" outlineLevel="0" collapsed="false">
      <c r="A110" s="100" t="str">
        <f aca="false">Equipos!C108</f>
        <v>2-007396</v>
      </c>
      <c r="B110" s="101" t="str">
        <f aca="false">Equipos!D108</f>
        <v>Desfibrilador</v>
      </c>
      <c r="C110" s="101" t="str">
        <f aca="false">Equipos!E108</f>
        <v>UPC Cardiovascular</v>
      </c>
      <c r="D110" s="101" t="str">
        <f aca="false">Equipos!G108</f>
        <v>Pasillo</v>
      </c>
      <c r="E110" s="101" t="str">
        <f aca="false">Equipos!I108</f>
        <v>Zoll </v>
      </c>
      <c r="F110" s="101" t="str">
        <f aca="false">Equipos!J108</f>
        <v>R SERIES ALS</v>
      </c>
      <c r="G110" s="100" t="str">
        <f aca="false">Equipos!K108</f>
        <v>(21)AF14J041081</v>
      </c>
      <c r="H110" s="101"/>
      <c r="I110" s="103" t="s">
        <v>328</v>
      </c>
      <c r="J110" s="102"/>
      <c r="K110" s="102"/>
      <c r="L110" s="102"/>
      <c r="M110" s="102"/>
      <c r="N110" s="102"/>
      <c r="O110" s="102"/>
      <c r="P110" s="102"/>
      <c r="Q110" s="102"/>
      <c r="R110" s="102"/>
      <c r="S110" s="102"/>
      <c r="T110" s="102"/>
      <c r="U110" s="101" t="n">
        <f aca="false">V110+W110+X110+COUNTIF(I110:T110,"R")</f>
        <v>1</v>
      </c>
      <c r="V110" s="101" t="n">
        <f aca="false">COUNTIF(I110:T110,"E")</f>
        <v>1</v>
      </c>
      <c r="W110" s="101" t="n">
        <f aca="false">COUNTIF(I110:T110,"X")</f>
        <v>0</v>
      </c>
      <c r="X110" s="101" t="n">
        <f aca="false">COUNTIF(I110:T110,"C2")+COUNTIF(I110:T110,"C3")</f>
        <v>0</v>
      </c>
      <c r="Y110" s="101" t="n">
        <f aca="true">SUMPRODUCT((I110:INDEX(I110:T110,MONTH(TODAY()))="X")*1)</f>
        <v>0</v>
      </c>
      <c r="Z110" s="104" t="n">
        <f aca="false">IFERROR(V110/U110,"")</f>
        <v>1</v>
      </c>
    </row>
    <row r="111" customFormat="false" ht="15" hidden="false" customHeight="true" outlineLevel="0" collapsed="false">
      <c r="A111" s="100" t="str">
        <f aca="false">Equipos!C109</f>
        <v>2-112281</v>
      </c>
      <c r="B111" s="101" t="str">
        <f aca="false">Equipos!D109</f>
        <v>Desfibrilador</v>
      </c>
      <c r="C111" s="101" t="str">
        <f aca="false">Equipos!E109</f>
        <v>Electrofisiología</v>
      </c>
      <c r="D111" s="101" t="str">
        <f aca="false">Equipos!G109</f>
        <v>EPC 5to Piso</v>
      </c>
      <c r="E111" s="101" t="str">
        <f aca="false">Equipos!I109</f>
        <v>Zoll </v>
      </c>
      <c r="F111" s="101" t="str">
        <f aca="false">Equipos!J109</f>
        <v>R SERIES ALS</v>
      </c>
      <c r="G111" s="100" t="str">
        <f aca="false">Equipos!K109</f>
        <v>(21)AF14J041073</v>
      </c>
      <c r="H111" s="101"/>
      <c r="I111" s="102"/>
      <c r="J111" s="102"/>
      <c r="K111" s="103" t="s">
        <v>328</v>
      </c>
      <c r="L111" s="102"/>
      <c r="M111" s="102"/>
      <c r="N111" s="102"/>
      <c r="O111" s="102"/>
      <c r="P111" s="102"/>
      <c r="Q111" s="102"/>
      <c r="R111" s="102"/>
      <c r="S111" s="102"/>
      <c r="T111" s="102"/>
      <c r="U111" s="101" t="n">
        <f aca="false">V111+W111+X111+COUNTIF(I111:T111,"R")</f>
        <v>1</v>
      </c>
      <c r="V111" s="101" t="n">
        <f aca="false">COUNTIF(I111:T111,"E")</f>
        <v>1</v>
      </c>
      <c r="W111" s="101" t="n">
        <f aca="false">COUNTIF(I111:T111,"X")</f>
        <v>0</v>
      </c>
      <c r="X111" s="101" t="n">
        <f aca="false">COUNTIF(I111:T111,"C2")+COUNTIF(I111:T111,"C3")</f>
        <v>0</v>
      </c>
      <c r="Y111" s="101" t="n">
        <f aca="true">SUMPRODUCT((I111:INDEX(I111:T111,MONTH(TODAY()))="X")*1)</f>
        <v>0</v>
      </c>
      <c r="Z111" s="104" t="n">
        <f aca="false">IFERROR(V111/U111,"")</f>
        <v>1</v>
      </c>
    </row>
    <row r="112" customFormat="false" ht="15" hidden="false" customHeight="true" outlineLevel="0" collapsed="false">
      <c r="A112" s="100" t="str">
        <f aca="false">Equipos!C110</f>
        <v>2-113491</v>
      </c>
      <c r="B112" s="101" t="str">
        <f aca="false">Equipos!D110</f>
        <v>Desfibrilador</v>
      </c>
      <c r="C112" s="101" t="str">
        <f aca="false">Equipos!E110</f>
        <v>SAMU</v>
      </c>
      <c r="D112" s="101" t="str">
        <f aca="false">Equipos!G110</f>
        <v>Base 13</v>
      </c>
      <c r="E112" s="101" t="str">
        <f aca="false">Equipos!I110</f>
        <v>Instramed</v>
      </c>
      <c r="F112" s="101" t="str">
        <f aca="false">Equipos!J110</f>
        <v>Cardiomax 8 Series</v>
      </c>
      <c r="G112" s="100" t="str">
        <f aca="false">Equipos!K110</f>
        <v>41204CM7004</v>
      </c>
      <c r="H112" s="101"/>
      <c r="I112" s="102"/>
      <c r="J112" s="102"/>
      <c r="K112" s="102"/>
      <c r="L112" s="103" t="s">
        <v>328</v>
      </c>
      <c r="M112" s="102"/>
      <c r="N112" s="102"/>
      <c r="O112" s="102"/>
      <c r="P112" s="102"/>
      <c r="Q112" s="102"/>
      <c r="R112" s="102"/>
      <c r="S112" s="102"/>
      <c r="T112" s="102"/>
      <c r="U112" s="101" t="n">
        <f aca="false">V112+W112+X112+COUNTIF(I112:T112,"R")</f>
        <v>1</v>
      </c>
      <c r="V112" s="101" t="n">
        <f aca="false">COUNTIF(I112:T112,"E")</f>
        <v>1</v>
      </c>
      <c r="W112" s="101" t="n">
        <f aca="false">COUNTIF(I112:T112,"X")</f>
        <v>0</v>
      </c>
      <c r="X112" s="101" t="n">
        <f aca="false">COUNTIF(I112:T112,"C2")+COUNTIF(I112:T112,"C3")</f>
        <v>0</v>
      </c>
      <c r="Y112" s="101" t="n">
        <f aca="true">SUMPRODUCT((I112:INDEX(I112:T112,MONTH(TODAY()))="X")*1)</f>
        <v>0</v>
      </c>
      <c r="Z112" s="104" t="n">
        <f aca="false">IFERROR(V112/U112,"")</f>
        <v>1</v>
      </c>
    </row>
    <row r="113" customFormat="false" ht="15" hidden="false" customHeight="true" outlineLevel="0" collapsed="false">
      <c r="A113" s="100" t="str">
        <f aca="false">Equipos!C111</f>
        <v>2-135212</v>
      </c>
      <c r="B113" s="101" t="str">
        <f aca="false">Equipos!D111</f>
        <v>Desfibrilador</v>
      </c>
      <c r="C113" s="101" t="str">
        <f aca="false">Equipos!E111</f>
        <v>Urgencia Infantil</v>
      </c>
      <c r="D113" s="101" t="n">
        <f aca="false">Equipos!G111</f>
        <v>0</v>
      </c>
      <c r="E113" s="101" t="str">
        <f aca="false">Equipos!I111</f>
        <v>Nihon Kohden</v>
      </c>
      <c r="F113" s="101" t="str">
        <f aca="false">Equipos!J111</f>
        <v>TEC-5631E</v>
      </c>
      <c r="G113" s="100" t="str">
        <f aca="false">Equipos!K111</f>
        <v>7905</v>
      </c>
      <c r="H113" s="101"/>
      <c r="I113" s="102"/>
      <c r="J113" s="102"/>
      <c r="K113" s="103" t="s">
        <v>328</v>
      </c>
      <c r="L113" s="102"/>
      <c r="M113" s="102"/>
      <c r="N113" s="102"/>
      <c r="O113" s="102"/>
      <c r="P113" s="102"/>
      <c r="Q113" s="102"/>
      <c r="R113" s="102"/>
      <c r="S113" s="102"/>
      <c r="T113" s="102"/>
      <c r="U113" s="101" t="n">
        <f aca="false">V113+W113+X113+COUNTIF(I113:T113,"R")</f>
        <v>1</v>
      </c>
      <c r="V113" s="101" t="n">
        <f aca="false">COUNTIF(I113:T113,"E")</f>
        <v>1</v>
      </c>
      <c r="W113" s="101" t="n">
        <f aca="false">COUNTIF(I113:T113,"X")</f>
        <v>0</v>
      </c>
      <c r="X113" s="101" t="n">
        <f aca="false">COUNTIF(I113:T113,"C2")+COUNTIF(I113:T113,"C3")</f>
        <v>0</v>
      </c>
      <c r="Y113" s="101" t="n">
        <f aca="true">SUMPRODUCT((I113:INDEX(I113:T113,MONTH(TODAY()))="X")*1)</f>
        <v>0</v>
      </c>
      <c r="Z113" s="104" t="n">
        <f aca="false">IFERROR(V113/U113,"")</f>
        <v>1</v>
      </c>
    </row>
    <row r="114" customFormat="false" ht="15" hidden="false" customHeight="true" outlineLevel="0" collapsed="false">
      <c r="A114" s="100" t="str">
        <f aca="false">Equipos!C112</f>
        <v>2-112290</v>
      </c>
      <c r="B114" s="101" t="str">
        <f aca="false">Equipos!D112</f>
        <v>Desfibrilador</v>
      </c>
      <c r="C114" s="101" t="str">
        <f aca="false">Equipos!E112</f>
        <v>UPC Adulto</v>
      </c>
      <c r="D114" s="101" t="str">
        <f aca="false">Equipos!G112</f>
        <v>UCI D</v>
      </c>
      <c r="E114" s="101" t="str">
        <f aca="false">Equipos!I112</f>
        <v>Mindray</v>
      </c>
      <c r="F114" s="101" t="str">
        <f aca="false">Equipos!J112</f>
        <v>BeneHeart D6</v>
      </c>
      <c r="G114" s="100" t="str">
        <f aca="false">Equipos!K112</f>
        <v>DG4C012442</v>
      </c>
      <c r="H114" s="101"/>
      <c r="I114" s="102"/>
      <c r="J114" s="103" t="s">
        <v>328</v>
      </c>
      <c r="K114" s="102"/>
      <c r="L114" s="102"/>
      <c r="M114" s="102"/>
      <c r="N114" s="102"/>
      <c r="O114" s="102"/>
      <c r="P114" s="102"/>
      <c r="Q114" s="102"/>
      <c r="R114" s="102"/>
      <c r="S114" s="102"/>
      <c r="T114" s="102"/>
      <c r="U114" s="101" t="n">
        <f aca="false">V114+W114+X114+COUNTIF(I114:T114,"R")</f>
        <v>1</v>
      </c>
      <c r="V114" s="101" t="n">
        <f aca="false">COUNTIF(I114:T114,"E")</f>
        <v>1</v>
      </c>
      <c r="W114" s="101" t="n">
        <f aca="false">COUNTIF(I114:T114,"X")</f>
        <v>0</v>
      </c>
      <c r="X114" s="101" t="n">
        <f aca="false">COUNTIF(I114:T114,"C2")+COUNTIF(I114:T114,"C3")</f>
        <v>0</v>
      </c>
      <c r="Y114" s="101" t="n">
        <f aca="true">SUMPRODUCT((I114:INDEX(I114:T114,MONTH(TODAY()))="X")*1)</f>
        <v>0</v>
      </c>
      <c r="Z114" s="104" t="n">
        <f aca="false">IFERROR(V114/U114,"")</f>
        <v>1</v>
      </c>
    </row>
    <row r="115" customFormat="false" ht="15" hidden="false" customHeight="true" outlineLevel="0" collapsed="false">
      <c r="A115" s="100" t="str">
        <f aca="false">Equipos!C113</f>
        <v>2-112282</v>
      </c>
      <c r="B115" s="101" t="str">
        <f aca="false">Equipos!D113</f>
        <v>Desfibrilador</v>
      </c>
      <c r="C115" s="101" t="str">
        <f aca="false">Equipos!E113</f>
        <v>UPC Adulto</v>
      </c>
      <c r="D115" s="101" t="str">
        <f aca="false">Equipos!G113</f>
        <v>TNB--1-BG05</v>
      </c>
      <c r="E115" s="101" t="str">
        <f aca="false">Equipos!I113</f>
        <v>Mindray</v>
      </c>
      <c r="F115" s="101" t="str">
        <f aca="false">Equipos!J113</f>
        <v>BeneHeart D6</v>
      </c>
      <c r="G115" s="100" t="str">
        <f aca="false">Equipos!K113</f>
        <v>DG4C012445</v>
      </c>
      <c r="H115" s="101"/>
      <c r="I115" s="102"/>
      <c r="J115" s="103" t="s">
        <v>328</v>
      </c>
      <c r="K115" s="102"/>
      <c r="L115" s="102"/>
      <c r="M115" s="102"/>
      <c r="N115" s="102"/>
      <c r="O115" s="102"/>
      <c r="P115" s="102"/>
      <c r="Q115" s="102"/>
      <c r="R115" s="102"/>
      <c r="S115" s="102"/>
      <c r="T115" s="102"/>
      <c r="U115" s="101" t="n">
        <f aca="false">V115+W115+X115+COUNTIF(I115:T115,"R")</f>
        <v>1</v>
      </c>
      <c r="V115" s="101" t="n">
        <f aca="false">COUNTIF(I115:T115,"E")</f>
        <v>1</v>
      </c>
      <c r="W115" s="101" t="n">
        <f aca="false">COUNTIF(I115:T115,"X")</f>
        <v>0</v>
      </c>
      <c r="X115" s="101" t="n">
        <f aca="false">COUNTIF(I115:T115,"C2")+COUNTIF(I115:T115,"C3")</f>
        <v>0</v>
      </c>
      <c r="Y115" s="101" t="n">
        <f aca="true">SUMPRODUCT((I115:INDEX(I115:T115,MONTH(TODAY()))="X")*1)</f>
        <v>0</v>
      </c>
      <c r="Z115" s="104" t="n">
        <f aca="false">IFERROR(V115/U115,"")</f>
        <v>1</v>
      </c>
    </row>
    <row r="116" customFormat="false" ht="15" hidden="false" customHeight="true" outlineLevel="0" collapsed="false">
      <c r="A116" s="100" t="str">
        <f aca="false">Equipos!C114</f>
        <v>2-112283</v>
      </c>
      <c r="B116" s="101" t="str">
        <f aca="false">Equipos!D114</f>
        <v>Desfibrilador</v>
      </c>
      <c r="C116" s="101" t="str">
        <f aca="false">Equipos!E114</f>
        <v>UPC Adulto</v>
      </c>
      <c r="D116" s="101" t="str">
        <f aca="false">Equipos!G114</f>
        <v>SECTOR C</v>
      </c>
      <c r="E116" s="101" t="str">
        <f aca="false">Equipos!I114</f>
        <v>Mindray</v>
      </c>
      <c r="F116" s="101" t="str">
        <f aca="false">Equipos!J114</f>
        <v>BeneHeart D6</v>
      </c>
      <c r="G116" s="100" t="str">
        <f aca="false">Equipos!K114</f>
        <v>DG4C012440</v>
      </c>
      <c r="H116" s="101"/>
      <c r="I116" s="102"/>
      <c r="J116" s="103" t="s">
        <v>328</v>
      </c>
      <c r="K116" s="102"/>
      <c r="L116" s="102"/>
      <c r="M116" s="102"/>
      <c r="N116" s="102"/>
      <c r="O116" s="102"/>
      <c r="P116" s="102"/>
      <c r="Q116" s="102"/>
      <c r="R116" s="102"/>
      <c r="S116" s="102"/>
      <c r="T116" s="102"/>
      <c r="U116" s="101" t="n">
        <f aca="false">V116+W116+X116+COUNTIF(I116:T116,"R")</f>
        <v>1</v>
      </c>
      <c r="V116" s="101" t="n">
        <f aca="false">COUNTIF(I116:T116,"E")</f>
        <v>1</v>
      </c>
      <c r="W116" s="101" t="n">
        <f aca="false">COUNTIF(I116:T116,"X")</f>
        <v>0</v>
      </c>
      <c r="X116" s="101" t="n">
        <f aca="false">COUNTIF(I116:T116,"C2")+COUNTIF(I116:T116,"C3")</f>
        <v>0</v>
      </c>
      <c r="Y116" s="101" t="n">
        <f aca="true">SUMPRODUCT((I116:INDEX(I116:T116,MONTH(TODAY()))="X")*1)</f>
        <v>0</v>
      </c>
      <c r="Z116" s="104" t="n">
        <f aca="false">IFERROR(V116/U116,"")</f>
        <v>1</v>
      </c>
    </row>
    <row r="117" customFormat="false" ht="15" hidden="false" customHeight="true" outlineLevel="0" collapsed="false">
      <c r="A117" s="100" t="str">
        <f aca="false">Equipos!C115</f>
        <v>2-023257</v>
      </c>
      <c r="B117" s="101" t="str">
        <f aca="false">Equipos!D115</f>
        <v>Desfibrilador</v>
      </c>
      <c r="C117" s="101" t="str">
        <f aca="false">Equipos!E115</f>
        <v>UPC Adulto (Prestado a Cirugía Adulto)</v>
      </c>
      <c r="D117" s="101" t="str">
        <f aca="false">Equipos!G115</f>
        <v>3 Piso</v>
      </c>
      <c r="E117" s="101" t="str">
        <f aca="false">Equipos!I115</f>
        <v>Mindray</v>
      </c>
      <c r="F117" s="101" t="str">
        <f aca="false">Equipos!J115</f>
        <v>BeneHeart D6</v>
      </c>
      <c r="G117" s="100" t="str">
        <f aca="false">Equipos!K115</f>
        <v>DG4C012439</v>
      </c>
      <c r="H117" s="101"/>
      <c r="I117" s="102"/>
      <c r="J117" s="103" t="s">
        <v>328</v>
      </c>
      <c r="K117" s="102"/>
      <c r="L117" s="102"/>
      <c r="M117" s="102"/>
      <c r="N117" s="102"/>
      <c r="O117" s="102"/>
      <c r="P117" s="102"/>
      <c r="Q117" s="102"/>
      <c r="R117" s="102"/>
      <c r="S117" s="102"/>
      <c r="T117" s="102"/>
      <c r="U117" s="101" t="n">
        <f aca="false">V117+W117+X117+COUNTIF(I117:T117,"R")</f>
        <v>1</v>
      </c>
      <c r="V117" s="101" t="n">
        <f aca="false">COUNTIF(I117:T117,"E")</f>
        <v>1</v>
      </c>
      <c r="W117" s="101" t="n">
        <f aca="false">COUNTIF(I117:T117,"X")</f>
        <v>0</v>
      </c>
      <c r="X117" s="101" t="n">
        <f aca="false">COUNTIF(I117:T117,"C2")+COUNTIF(I117:T117,"C3")</f>
        <v>0</v>
      </c>
      <c r="Y117" s="101" t="n">
        <f aca="true">SUMPRODUCT((I117:INDEX(I117:T117,MONTH(TODAY()))="X")*1)</f>
        <v>0</v>
      </c>
      <c r="Z117" s="104" t="n">
        <f aca="false">IFERROR(V117/U117,"")</f>
        <v>1</v>
      </c>
    </row>
    <row r="118" customFormat="false" ht="15" hidden="false" customHeight="true" outlineLevel="0" collapsed="false">
      <c r="A118" s="100" t="str">
        <f aca="false">Equipos!C116</f>
        <v>2-112284</v>
      </c>
      <c r="B118" s="101" t="str">
        <f aca="false">Equipos!D116</f>
        <v>Desfibrilador</v>
      </c>
      <c r="C118" s="101" t="str">
        <f aca="false">Equipos!E116</f>
        <v>UPC Adulto</v>
      </c>
      <c r="D118" s="101" t="str">
        <f aca="false">Equipos!G116</f>
        <v>BODEGA</v>
      </c>
      <c r="E118" s="101" t="str">
        <f aca="false">Equipos!I116</f>
        <v>Mindray</v>
      </c>
      <c r="F118" s="101" t="str">
        <f aca="false">Equipos!J116</f>
        <v>BeneHeart D6</v>
      </c>
      <c r="G118" s="100" t="str">
        <f aca="false">Equipos!K116</f>
        <v>DG4C012437</v>
      </c>
      <c r="H118" s="101"/>
      <c r="I118" s="102"/>
      <c r="J118" s="103" t="s">
        <v>328</v>
      </c>
      <c r="K118" s="102"/>
      <c r="L118" s="102"/>
      <c r="M118" s="102"/>
      <c r="N118" s="102"/>
      <c r="O118" s="102"/>
      <c r="P118" s="102"/>
      <c r="Q118" s="102"/>
      <c r="R118" s="102"/>
      <c r="S118" s="102"/>
      <c r="T118" s="102"/>
      <c r="U118" s="101" t="n">
        <f aca="false">V118+W118+X118+COUNTIF(I118:T118,"R")</f>
        <v>1</v>
      </c>
      <c r="V118" s="101" t="n">
        <f aca="false">COUNTIF(I118:T118,"E")</f>
        <v>1</v>
      </c>
      <c r="W118" s="101" t="n">
        <f aca="false">COUNTIF(I118:T118,"X")</f>
        <v>0</v>
      </c>
      <c r="X118" s="101" t="n">
        <f aca="false">COUNTIF(I118:T118,"C2")+COUNTIF(I118:T118,"C3")</f>
        <v>0</v>
      </c>
      <c r="Y118" s="101" t="n">
        <f aca="true">SUMPRODUCT((I118:INDEX(I118:T118,MONTH(TODAY()))="X")*1)</f>
        <v>0</v>
      </c>
      <c r="Z118" s="104" t="n">
        <f aca="false">IFERROR(V118/U118,"")</f>
        <v>1</v>
      </c>
    </row>
    <row r="119" customFormat="false" ht="15" hidden="false" customHeight="true" outlineLevel="0" collapsed="false">
      <c r="A119" s="100" t="str">
        <f aca="false">Equipos!C117</f>
        <v>2-112000</v>
      </c>
      <c r="B119" s="101" t="str">
        <f aca="false">Equipos!D117</f>
        <v>Desfibrilador</v>
      </c>
      <c r="C119" s="101" t="str">
        <f aca="false">Equipos!E117</f>
        <v>SAMU</v>
      </c>
      <c r="D119" s="101" t="n">
        <f aca="false">Equipos!G117</f>
        <v>0</v>
      </c>
      <c r="E119" s="101" t="str">
        <f aca="false">Equipos!I117</f>
        <v>NIHON KOHDEN</v>
      </c>
      <c r="F119" s="101" t="str">
        <f aca="false">Equipos!J117</f>
        <v>TEC-8352K</v>
      </c>
      <c r="G119" s="100" t="str">
        <f aca="false">Equipos!K117</f>
        <v>932</v>
      </c>
      <c r="H119" s="101"/>
      <c r="I119" s="102"/>
      <c r="J119" s="102"/>
      <c r="K119" s="102"/>
      <c r="L119" s="103" t="s">
        <v>328</v>
      </c>
      <c r="M119" s="102"/>
      <c r="N119" s="102"/>
      <c r="O119" s="102"/>
      <c r="P119" s="102"/>
      <c r="Q119" s="102"/>
      <c r="R119" s="102"/>
      <c r="S119" s="102"/>
      <c r="T119" s="102"/>
      <c r="U119" s="101" t="n">
        <f aca="false">V119+W119+X119+COUNTIF(I119:T119,"R")</f>
        <v>1</v>
      </c>
      <c r="V119" s="101" t="n">
        <f aca="false">COUNTIF(I119:T119,"E")</f>
        <v>1</v>
      </c>
      <c r="W119" s="101" t="n">
        <f aca="false">COUNTIF(I119:T119,"X")</f>
        <v>0</v>
      </c>
      <c r="X119" s="101" t="n">
        <f aca="false">COUNTIF(I119:T119,"C2")+COUNTIF(I119:T119,"C3")</f>
        <v>0</v>
      </c>
      <c r="Y119" s="101" t="n">
        <f aca="true">SUMPRODUCT((I119:INDEX(I119:T119,MONTH(TODAY()))="X")*1)</f>
        <v>0</v>
      </c>
      <c r="Z119" s="104" t="n">
        <f aca="false">IFERROR(V119/U119,"")</f>
        <v>1</v>
      </c>
    </row>
    <row r="120" customFormat="false" ht="15" hidden="false" customHeight="true" outlineLevel="0" collapsed="false">
      <c r="A120" s="100" t="str">
        <f aca="false">Equipos!C118</f>
        <v>2-112001</v>
      </c>
      <c r="B120" s="101" t="str">
        <f aca="false">Equipos!D118</f>
        <v>Desfibrilador</v>
      </c>
      <c r="C120" s="101" t="str">
        <f aca="false">Equipos!E118</f>
        <v>Urgencia Adulto</v>
      </c>
      <c r="D120" s="101" t="str">
        <f aca="false">Equipos!G118</f>
        <v>Reanimación</v>
      </c>
      <c r="E120" s="101" t="str">
        <f aca="false">Equipos!I118</f>
        <v>NIHON KOHDEN</v>
      </c>
      <c r="F120" s="101" t="str">
        <f aca="false">Equipos!J118</f>
        <v>TEC-8352K</v>
      </c>
      <c r="G120" s="100" t="str">
        <f aca="false">Equipos!K118</f>
        <v>946</v>
      </c>
      <c r="H120" s="101"/>
      <c r="I120" s="102"/>
      <c r="J120" s="102"/>
      <c r="K120" s="102"/>
      <c r="L120" s="103" t="s">
        <v>328</v>
      </c>
      <c r="M120" s="102"/>
      <c r="N120" s="102"/>
      <c r="O120" s="102"/>
      <c r="P120" s="102"/>
      <c r="Q120" s="102"/>
      <c r="R120" s="102"/>
      <c r="S120" s="102"/>
      <c r="T120" s="102"/>
      <c r="U120" s="101" t="n">
        <f aca="false">V120+W120+X120+COUNTIF(I120:T120,"R")</f>
        <v>1</v>
      </c>
      <c r="V120" s="101" t="n">
        <f aca="false">COUNTIF(I120:T120,"E")</f>
        <v>1</v>
      </c>
      <c r="W120" s="101" t="n">
        <f aca="false">COUNTIF(I120:T120,"X")</f>
        <v>0</v>
      </c>
      <c r="X120" s="101" t="n">
        <f aca="false">COUNTIF(I120:T120,"C2")+COUNTIF(I120:T120,"C3")</f>
        <v>0</v>
      </c>
      <c r="Y120" s="101" t="n">
        <f aca="true">SUMPRODUCT((I120:INDEX(I120:T120,MONTH(TODAY()))="X")*1)</f>
        <v>0</v>
      </c>
      <c r="Z120" s="104" t="n">
        <f aca="false">IFERROR(V120/U120,"")</f>
        <v>1</v>
      </c>
    </row>
    <row r="121" customFormat="false" ht="15" hidden="false" customHeight="true" outlineLevel="0" collapsed="false">
      <c r="A121" s="100" t="str">
        <f aca="false">Equipos!C119</f>
        <v>2-118880</v>
      </c>
      <c r="B121" s="101" t="str">
        <f aca="false">Equipos!D119</f>
        <v>Desfibrilador</v>
      </c>
      <c r="C121" s="101" t="str">
        <f aca="false">Equipos!E119</f>
        <v>UPC Pediátrica </v>
      </c>
      <c r="D121" s="101" t="n">
        <f aca="false">Equipos!G119</f>
        <v>0</v>
      </c>
      <c r="E121" s="101" t="str">
        <f aca="false">Equipos!I119</f>
        <v>Zoll</v>
      </c>
      <c r="F121" s="101" t="str">
        <f aca="false">Equipos!J119</f>
        <v>R SERIES ALS</v>
      </c>
      <c r="G121" s="100" t="str">
        <f aca="false">Equipos!K119</f>
        <v>(21)AF19F099451</v>
      </c>
      <c r="H121" s="101"/>
      <c r="I121" s="103" t="s">
        <v>328</v>
      </c>
      <c r="J121" s="102"/>
      <c r="K121" s="102"/>
      <c r="L121" s="102"/>
      <c r="M121" s="102"/>
      <c r="N121" s="102"/>
      <c r="O121" s="102"/>
      <c r="P121" s="102"/>
      <c r="Q121" s="102"/>
      <c r="R121" s="102"/>
      <c r="S121" s="102"/>
      <c r="T121" s="102"/>
      <c r="U121" s="101" t="n">
        <f aca="false">V121+W121+X121+COUNTIF(I121:T121,"R")</f>
        <v>1</v>
      </c>
      <c r="V121" s="101" t="n">
        <f aca="false">COUNTIF(I121:T121,"E")</f>
        <v>1</v>
      </c>
      <c r="W121" s="101" t="n">
        <f aca="false">COUNTIF(I121:T121,"X")</f>
        <v>0</v>
      </c>
      <c r="X121" s="101" t="n">
        <f aca="false">COUNTIF(I121:T121,"C2")+COUNTIF(I121:T121,"C3")</f>
        <v>0</v>
      </c>
      <c r="Y121" s="101" t="n">
        <f aca="true">SUMPRODUCT((I121:INDEX(I121:T121,MONTH(TODAY()))="X")*1)</f>
        <v>0</v>
      </c>
      <c r="Z121" s="104" t="n">
        <f aca="false">IFERROR(V121/U121,"")</f>
        <v>1</v>
      </c>
    </row>
    <row r="122" customFormat="false" ht="15" hidden="false" customHeight="true" outlineLevel="0" collapsed="false">
      <c r="A122" s="100" t="str">
        <f aca="false">Equipos!C120</f>
        <v>2-118883</v>
      </c>
      <c r="B122" s="101" t="str">
        <f aca="false">Equipos!D120</f>
        <v>Desfibrilador</v>
      </c>
      <c r="C122" s="101" t="str">
        <f aca="false">Equipos!E120</f>
        <v>UPC Pediátrica</v>
      </c>
      <c r="D122" s="101" t="n">
        <f aca="false">Equipos!G120</f>
        <v>0</v>
      </c>
      <c r="E122" s="101" t="str">
        <f aca="false">Equipos!I120</f>
        <v>Zoll</v>
      </c>
      <c r="F122" s="101" t="str">
        <f aca="false">Equipos!J120</f>
        <v>R SERIES ALS</v>
      </c>
      <c r="G122" s="100" t="str">
        <f aca="false">Equipos!K120</f>
        <v>(21)AF19F099428</v>
      </c>
      <c r="H122" s="101"/>
      <c r="I122" s="103" t="s">
        <v>328</v>
      </c>
      <c r="J122" s="102"/>
      <c r="K122" s="102"/>
      <c r="L122" s="102"/>
      <c r="M122" s="102"/>
      <c r="N122" s="102"/>
      <c r="O122" s="102"/>
      <c r="P122" s="102"/>
      <c r="Q122" s="102"/>
      <c r="R122" s="102"/>
      <c r="S122" s="102"/>
      <c r="T122" s="102"/>
      <c r="U122" s="101" t="n">
        <f aca="false">V122+W122+X122+COUNTIF(I122:T122,"R")</f>
        <v>1</v>
      </c>
      <c r="V122" s="101" t="n">
        <f aca="false">COUNTIF(I122:T122,"E")</f>
        <v>1</v>
      </c>
      <c r="W122" s="101" t="n">
        <f aca="false">COUNTIF(I122:T122,"X")</f>
        <v>0</v>
      </c>
      <c r="X122" s="101" t="n">
        <f aca="false">COUNTIF(I122:T122,"C2")+COUNTIF(I122:T122,"C3")</f>
        <v>0</v>
      </c>
      <c r="Y122" s="101" t="n">
        <f aca="true">SUMPRODUCT((I122:INDEX(I122:T122,MONTH(TODAY()))="X")*1)</f>
        <v>0</v>
      </c>
      <c r="Z122" s="104" t="n">
        <f aca="false">IFERROR(V122/U122,"")</f>
        <v>1</v>
      </c>
    </row>
    <row r="123" customFormat="false" ht="15" hidden="false" customHeight="true" outlineLevel="0" collapsed="false">
      <c r="A123" s="100" t="str">
        <f aca="false">Equipos!C121</f>
        <v>2-119182</v>
      </c>
      <c r="B123" s="101" t="str">
        <f aca="false">Equipos!D121</f>
        <v>Desfibrilador</v>
      </c>
      <c r="C123" s="101" t="str">
        <f aca="false">Equipos!E121</f>
        <v>Pabellón (Recuperación)</v>
      </c>
      <c r="D123" s="101" t="str">
        <f aca="false">Equipos!G121</f>
        <v>Carro de paro</v>
      </c>
      <c r="E123" s="101" t="str">
        <f aca="false">Equipos!I121</f>
        <v>Zoll</v>
      </c>
      <c r="F123" s="101" t="str">
        <f aca="false">Equipos!J121</f>
        <v>R SERIES ALS</v>
      </c>
      <c r="G123" s="100" t="str">
        <f aca="false">Equipos!K121</f>
        <v>(21)AF19K107390</v>
      </c>
      <c r="H123" s="101"/>
      <c r="I123" s="102"/>
      <c r="J123" s="102"/>
      <c r="K123" s="102"/>
      <c r="L123" s="103" t="s">
        <v>328</v>
      </c>
      <c r="M123" s="102"/>
      <c r="N123" s="102"/>
      <c r="O123" s="102"/>
      <c r="P123" s="102"/>
      <c r="Q123" s="102"/>
      <c r="R123" s="102"/>
      <c r="S123" s="102"/>
      <c r="T123" s="102"/>
      <c r="U123" s="101" t="n">
        <f aca="false">V123+W123+X123+COUNTIF(I123:T123,"R")</f>
        <v>1</v>
      </c>
      <c r="V123" s="101" t="n">
        <f aca="false">COUNTIF(I123:T123,"E")</f>
        <v>1</v>
      </c>
      <c r="W123" s="101" t="n">
        <f aca="false">COUNTIF(I123:T123,"X")</f>
        <v>0</v>
      </c>
      <c r="X123" s="101" t="n">
        <f aca="false">COUNTIF(I123:T123,"C2")+COUNTIF(I123:T123,"C3")</f>
        <v>0</v>
      </c>
      <c r="Y123" s="101" t="n">
        <f aca="true">SUMPRODUCT((I123:INDEX(I123:T123,MONTH(TODAY()))="X")*1)</f>
        <v>0</v>
      </c>
      <c r="Z123" s="104" t="n">
        <f aca="false">IFERROR(V123/U123,"")</f>
        <v>1</v>
      </c>
    </row>
    <row r="124" customFormat="false" ht="15" hidden="false" customHeight="true" outlineLevel="0" collapsed="false">
      <c r="A124" s="100" t="str">
        <f aca="false">Equipos!C122</f>
        <v>2-119180</v>
      </c>
      <c r="B124" s="101" t="str">
        <f aca="false">Equipos!D122</f>
        <v>Desfibrilador</v>
      </c>
      <c r="C124" s="101" t="str">
        <f aca="false">Equipos!E122</f>
        <v>Pabellón CMA</v>
      </c>
      <c r="D124" s="101" t="n">
        <f aca="false">Equipos!G122</f>
        <v>0</v>
      </c>
      <c r="E124" s="101" t="str">
        <f aca="false">Equipos!I122</f>
        <v>Zoll</v>
      </c>
      <c r="F124" s="101" t="str">
        <f aca="false">Equipos!J122</f>
        <v>R SERIES ALS</v>
      </c>
      <c r="G124" s="100" t="str">
        <f aca="false">Equipos!K122</f>
        <v>(21)AF19K107391</v>
      </c>
      <c r="H124" s="101"/>
      <c r="I124" s="102"/>
      <c r="J124" s="102"/>
      <c r="K124" s="102"/>
      <c r="L124" s="102"/>
      <c r="M124" s="103" t="s">
        <v>328</v>
      </c>
      <c r="N124" s="102"/>
      <c r="O124" s="102"/>
      <c r="P124" s="102"/>
      <c r="Q124" s="102"/>
      <c r="R124" s="102"/>
      <c r="S124" s="102"/>
      <c r="T124" s="102"/>
      <c r="U124" s="101" t="n">
        <f aca="false">V124+W124+X124+COUNTIF(I124:T124,"R")</f>
        <v>1</v>
      </c>
      <c r="V124" s="101" t="n">
        <f aca="false">COUNTIF(I124:T124,"E")</f>
        <v>1</v>
      </c>
      <c r="W124" s="101" t="n">
        <f aca="false">COUNTIF(I124:T124,"X")</f>
        <v>0</v>
      </c>
      <c r="X124" s="101" t="n">
        <f aca="false">COUNTIF(I124:T124,"C2")+COUNTIF(I124:T124,"C3")</f>
        <v>0</v>
      </c>
      <c r="Y124" s="101" t="n">
        <f aca="true">SUMPRODUCT((I124:INDEX(I124:T124,MONTH(TODAY()))="X")*1)</f>
        <v>0</v>
      </c>
      <c r="Z124" s="104" t="n">
        <f aca="false">IFERROR(V124/U124,"")</f>
        <v>1</v>
      </c>
    </row>
    <row r="125" customFormat="false" ht="15" hidden="false" customHeight="true" outlineLevel="0" collapsed="false">
      <c r="A125" s="100" t="str">
        <f aca="false">Equipos!C123</f>
        <v>2-119179</v>
      </c>
      <c r="B125" s="101" t="str">
        <f aca="false">Equipos!D123</f>
        <v>Desfibrilador</v>
      </c>
      <c r="C125" s="101" t="str">
        <f aca="false">Equipos!E123</f>
        <v>Pabellón Quirúrgico</v>
      </c>
      <c r="D125" s="101" t="n">
        <f aca="false">Equipos!G123</f>
        <v>0</v>
      </c>
      <c r="E125" s="101" t="str">
        <f aca="false">Equipos!I123</f>
        <v>Zoll</v>
      </c>
      <c r="F125" s="101" t="str">
        <f aca="false">Equipos!J123</f>
        <v>R SERIES ALS</v>
      </c>
      <c r="G125" s="100" t="str">
        <f aca="false">Equipos!K123</f>
        <v>(21)AF19K107393</v>
      </c>
      <c r="H125" s="101"/>
      <c r="I125" s="102"/>
      <c r="J125" s="102"/>
      <c r="K125" s="102"/>
      <c r="L125" s="103" t="s">
        <v>328</v>
      </c>
      <c r="M125" s="102"/>
      <c r="N125" s="102"/>
      <c r="O125" s="102"/>
      <c r="P125" s="102"/>
      <c r="Q125" s="102"/>
      <c r="R125" s="102"/>
      <c r="S125" s="102"/>
      <c r="T125" s="102"/>
      <c r="U125" s="101" t="n">
        <f aca="false">V125+W125+X125+COUNTIF(I125:T125,"R")</f>
        <v>1</v>
      </c>
      <c r="V125" s="101" t="n">
        <f aca="false">COUNTIF(I125:T125,"E")</f>
        <v>1</v>
      </c>
      <c r="W125" s="101" t="n">
        <f aca="false">COUNTIF(I125:T125,"X")</f>
        <v>0</v>
      </c>
      <c r="X125" s="101" t="n">
        <f aca="false">COUNTIF(I125:T125,"C2")+COUNTIF(I125:T125,"C3")</f>
        <v>0</v>
      </c>
      <c r="Y125" s="101" t="n">
        <f aca="true">SUMPRODUCT((I125:INDEX(I125:T125,MONTH(TODAY()))="X")*1)</f>
        <v>0</v>
      </c>
      <c r="Z125" s="104" t="n">
        <f aca="false">IFERROR(V125/U125,"")</f>
        <v>1</v>
      </c>
    </row>
    <row r="126" customFormat="false" ht="15" hidden="false" customHeight="true" outlineLevel="0" collapsed="false">
      <c r="A126" s="100" t="str">
        <f aca="false">Equipos!C124</f>
        <v>2-119181</v>
      </c>
      <c r="B126" s="101" t="str">
        <f aca="false">Equipos!D124</f>
        <v>Desfibrilador</v>
      </c>
      <c r="C126" s="101" t="str">
        <f aca="false">Equipos!E124</f>
        <v>Pabellón Quirúrgico</v>
      </c>
      <c r="D126" s="101" t="n">
        <f aca="false">Equipos!G124</f>
        <v>0</v>
      </c>
      <c r="E126" s="101" t="str">
        <f aca="false">Equipos!I124</f>
        <v>Zoll</v>
      </c>
      <c r="F126" s="101" t="str">
        <f aca="false">Equipos!J124</f>
        <v>R SERIES ALS</v>
      </c>
      <c r="G126" s="100" t="str">
        <f aca="false">Equipos!K124</f>
        <v>(21)AF19K107388</v>
      </c>
      <c r="H126" s="101"/>
      <c r="I126" s="102"/>
      <c r="J126" s="102"/>
      <c r="K126" s="102"/>
      <c r="L126" s="103" t="s">
        <v>328</v>
      </c>
      <c r="M126" s="102"/>
      <c r="N126" s="102"/>
      <c r="O126" s="102"/>
      <c r="P126" s="102"/>
      <c r="Q126" s="102"/>
      <c r="R126" s="102"/>
      <c r="S126" s="102"/>
      <c r="T126" s="102"/>
      <c r="U126" s="101" t="n">
        <f aca="false">V126+W126+X126+COUNTIF(I126:T126,"R")</f>
        <v>1</v>
      </c>
      <c r="V126" s="101" t="n">
        <f aca="false">COUNTIF(I126:T126,"E")</f>
        <v>1</v>
      </c>
      <c r="W126" s="101" t="n">
        <f aca="false">COUNTIF(I126:T126,"X")</f>
        <v>0</v>
      </c>
      <c r="X126" s="101" t="n">
        <f aca="false">COUNTIF(I126:T126,"C2")+COUNTIF(I126:T126,"C3")</f>
        <v>0</v>
      </c>
      <c r="Y126" s="101" t="n">
        <f aca="true">SUMPRODUCT((I126:INDEX(I126:T126,MONTH(TODAY()))="X")*1)</f>
        <v>0</v>
      </c>
      <c r="Z126" s="104" t="n">
        <f aca="false">IFERROR(V126/U126,"")</f>
        <v>1</v>
      </c>
    </row>
    <row r="127" customFormat="false" ht="15" hidden="false" customHeight="true" outlineLevel="0" collapsed="false">
      <c r="A127" s="100" t="str">
        <f aca="false">Equipos!C125</f>
        <v>2-118891</v>
      </c>
      <c r="B127" s="101" t="str">
        <f aca="false">Equipos!D125</f>
        <v>Desfibrilador</v>
      </c>
      <c r="C127" s="101" t="str">
        <f aca="false">Equipos!E125</f>
        <v>UPC Cardiovascular</v>
      </c>
      <c r="D127" s="101" t="str">
        <f aca="false">Equipos!G125</f>
        <v>Pasillo</v>
      </c>
      <c r="E127" s="101" t="str">
        <f aca="false">Equipos!I125</f>
        <v>Zoll</v>
      </c>
      <c r="F127" s="101" t="str">
        <f aca="false">Equipos!J125</f>
        <v>R SERIES ALS</v>
      </c>
      <c r="G127" s="100" t="str">
        <f aca="false">Equipos!K125</f>
        <v>(21)AF19F099447</v>
      </c>
      <c r="H127" s="101"/>
      <c r="I127" s="103" t="s">
        <v>332</v>
      </c>
      <c r="J127" s="102"/>
      <c r="K127" s="103" t="s">
        <v>328</v>
      </c>
      <c r="L127" s="102"/>
      <c r="M127" s="102"/>
      <c r="N127" s="102"/>
      <c r="O127" s="102"/>
      <c r="P127" s="102"/>
      <c r="Q127" s="102"/>
      <c r="R127" s="102"/>
      <c r="S127" s="102"/>
      <c r="T127" s="102"/>
      <c r="U127" s="101" t="n">
        <f aca="false">V127+W127+X127+COUNTIF(I127:T127,"R")</f>
        <v>2</v>
      </c>
      <c r="V127" s="101" t="n">
        <f aca="false">COUNTIF(I127:T127,"E")</f>
        <v>1</v>
      </c>
      <c r="W127" s="101" t="n">
        <f aca="false">COUNTIF(I127:T127,"X")</f>
        <v>0</v>
      </c>
      <c r="X127" s="101" t="n">
        <f aca="false">COUNTIF(I127:T127,"C2")+COUNTIF(I127:T127,"C3")</f>
        <v>1</v>
      </c>
      <c r="Y127" s="101" t="n">
        <f aca="true">SUMPRODUCT((I127:INDEX(I127:T127,MONTH(TODAY()))="X")*1)</f>
        <v>0</v>
      </c>
      <c r="Z127" s="104" t="n">
        <f aca="false">IFERROR(V127/U127,"")</f>
        <v>0.5</v>
      </c>
    </row>
    <row r="128" customFormat="false" ht="15" hidden="false" customHeight="true" outlineLevel="0" collapsed="false">
      <c r="A128" s="100" t="str">
        <f aca="false">Equipos!C126</f>
        <v>2-120767</v>
      </c>
      <c r="B128" s="101" t="str">
        <f aca="false">Equipos!D126</f>
        <v>Desfibrilador</v>
      </c>
      <c r="C128" s="101" t="str">
        <f aca="false">Equipos!E126</f>
        <v>Cardiología</v>
      </c>
      <c r="D128" s="101" t="str">
        <f aca="false">Equipos!G126</f>
        <v>Box 15C</v>
      </c>
      <c r="E128" s="101" t="str">
        <f aca="false">Equipos!I126</f>
        <v>Nihon Kohden</v>
      </c>
      <c r="F128" s="101" t="str">
        <f aca="false">Equipos!J126</f>
        <v>TEC 5531E</v>
      </c>
      <c r="G128" s="100" t="str">
        <f aca="false">Equipos!K126</f>
        <v>2609</v>
      </c>
      <c r="H128" s="101"/>
      <c r="I128" s="102"/>
      <c r="J128" s="102"/>
      <c r="K128" s="102"/>
      <c r="L128" s="102"/>
      <c r="M128" s="103" t="s">
        <v>328</v>
      </c>
      <c r="N128" s="102"/>
      <c r="O128" s="102"/>
      <c r="P128" s="102"/>
      <c r="Q128" s="102"/>
      <c r="R128" s="102"/>
      <c r="S128" s="102"/>
      <c r="T128" s="102"/>
      <c r="U128" s="101" t="n">
        <f aca="false">V128+W128+X128+COUNTIF(I128:T128,"R")</f>
        <v>1</v>
      </c>
      <c r="V128" s="101" t="n">
        <f aca="false">COUNTIF(I128:T128,"E")</f>
        <v>1</v>
      </c>
      <c r="W128" s="101" t="n">
        <f aca="false">COUNTIF(I128:T128,"X")</f>
        <v>0</v>
      </c>
      <c r="X128" s="101" t="n">
        <f aca="false">COUNTIF(I128:T128,"C2")+COUNTIF(I128:T128,"C3")</f>
        <v>0</v>
      </c>
      <c r="Y128" s="101" t="n">
        <f aca="true">SUMPRODUCT((I128:INDEX(I128:T128,MONTH(TODAY()))="X")*1)</f>
        <v>0</v>
      </c>
      <c r="Z128" s="104" t="n">
        <f aca="false">IFERROR(V128/U128,"")</f>
        <v>1</v>
      </c>
    </row>
    <row r="129" customFormat="false" ht="15" hidden="false" customHeight="true" outlineLevel="0" collapsed="false">
      <c r="A129" s="100" t="str">
        <f aca="false">Equipos!C127</f>
        <v>2-120768</v>
      </c>
      <c r="B129" s="101" t="str">
        <f aca="false">Equipos!D127</f>
        <v>Desfibrilador</v>
      </c>
      <c r="C129" s="101" t="str">
        <f aca="false">Equipos!E127</f>
        <v>UPC 3er Piso</v>
      </c>
      <c r="D129" s="101" t="str">
        <f aca="false">Equipos!G127</f>
        <v>Carro de paro</v>
      </c>
      <c r="E129" s="101" t="str">
        <f aca="false">Equipos!I127</f>
        <v>Nihon Kohden</v>
      </c>
      <c r="F129" s="101" t="str">
        <f aca="false">Equipos!J127</f>
        <v>TEC 5531E</v>
      </c>
      <c r="G129" s="100" t="str">
        <f aca="false">Equipos!K127</f>
        <v>3249</v>
      </c>
      <c r="H129" s="101"/>
      <c r="I129" s="102"/>
      <c r="J129" s="102"/>
      <c r="K129" s="102"/>
      <c r="L129" s="102"/>
      <c r="M129" s="103" t="s">
        <v>328</v>
      </c>
      <c r="N129" s="102"/>
      <c r="O129" s="102"/>
      <c r="P129" s="102"/>
      <c r="Q129" s="102"/>
      <c r="R129" s="102"/>
      <c r="S129" s="102"/>
      <c r="T129" s="102"/>
      <c r="U129" s="101" t="n">
        <f aca="false">V129+W129+X129+COUNTIF(I129:T129,"R")</f>
        <v>1</v>
      </c>
      <c r="V129" s="101" t="n">
        <f aca="false">COUNTIF(I129:T129,"E")</f>
        <v>1</v>
      </c>
      <c r="W129" s="101" t="n">
        <f aca="false">COUNTIF(I129:T129,"X")</f>
        <v>0</v>
      </c>
      <c r="X129" s="101" t="n">
        <f aca="false">COUNTIF(I129:T129,"C2")+COUNTIF(I129:T129,"C3")</f>
        <v>0</v>
      </c>
      <c r="Y129" s="101" t="n">
        <f aca="true">SUMPRODUCT((I129:INDEX(I129:T129,MONTH(TODAY()))="X")*1)</f>
        <v>0</v>
      </c>
      <c r="Z129" s="104" t="n">
        <f aca="false">IFERROR(V129/U129,"")</f>
        <v>1</v>
      </c>
    </row>
    <row r="130" customFormat="false" ht="15" hidden="false" customHeight="true" outlineLevel="0" collapsed="false">
      <c r="A130" s="100" t="str">
        <f aca="false">Equipos!C128</f>
        <v>2-120997</v>
      </c>
      <c r="B130" s="101" t="str">
        <f aca="false">Equipos!D128</f>
        <v>Desfibrilador</v>
      </c>
      <c r="C130" s="101" t="str">
        <f aca="false">Equipos!E128</f>
        <v>Urgencia Adulto</v>
      </c>
      <c r="D130" s="101" t="str">
        <f aca="false">Equipos!G128</f>
        <v>Sala de equipos SUA</v>
      </c>
      <c r="E130" s="101" t="str">
        <f aca="false">Equipos!I128</f>
        <v>Nihon Kohden</v>
      </c>
      <c r="F130" s="101" t="str">
        <f aca="false">Equipos!J128</f>
        <v>EMS-1052E</v>
      </c>
      <c r="G130" s="100" t="str">
        <f aca="false">Equipos!K128</f>
        <v>298</v>
      </c>
      <c r="H130" s="101"/>
      <c r="I130" s="102"/>
      <c r="J130" s="102"/>
      <c r="K130" s="103" t="s">
        <v>331</v>
      </c>
      <c r="L130" s="102"/>
      <c r="M130" s="103" t="s">
        <v>328</v>
      </c>
      <c r="N130" s="102"/>
      <c r="O130" s="102"/>
      <c r="P130" s="102"/>
      <c r="Q130" s="102"/>
      <c r="R130" s="102"/>
      <c r="S130" s="102"/>
      <c r="T130" s="102"/>
      <c r="U130" s="101" t="n">
        <f aca="false">V130+W130+X130+COUNTIF(I130:T130,"R")</f>
        <v>2</v>
      </c>
      <c r="V130" s="101" t="n">
        <f aca="false">COUNTIF(I130:T130,"E")</f>
        <v>1</v>
      </c>
      <c r="W130" s="101" t="n">
        <f aca="false">COUNTIF(I130:T130,"X")</f>
        <v>0</v>
      </c>
      <c r="X130" s="101" t="n">
        <f aca="false">COUNTIF(I130:T130,"C2")+COUNTIF(I130:T130,"C3")</f>
        <v>1</v>
      </c>
      <c r="Y130" s="101" t="n">
        <f aca="true">SUMPRODUCT((I130:INDEX(I130:T130,MONTH(TODAY()))="X")*1)</f>
        <v>0</v>
      </c>
      <c r="Z130" s="104" t="n">
        <f aca="false">IFERROR(V130/U130,"")</f>
        <v>0.5</v>
      </c>
    </row>
    <row r="131" customFormat="false" ht="15" hidden="false" customHeight="true" outlineLevel="0" collapsed="false">
      <c r="A131" s="100" t="str">
        <f aca="false">Equipos!C129</f>
        <v>121010-019639</v>
      </c>
      <c r="B131" s="101" t="str">
        <f aca="false">Equipos!D129</f>
        <v>Desfibrilador</v>
      </c>
      <c r="C131" s="101" t="str">
        <f aca="false">Equipos!E129</f>
        <v>SAMU</v>
      </c>
      <c r="D131" s="101" t="str">
        <f aca="false">Equipos!G129</f>
        <v>Base 13</v>
      </c>
      <c r="E131" s="101" t="str">
        <f aca="false">Equipos!I129</f>
        <v>Zoll</v>
      </c>
      <c r="F131" s="101" t="str">
        <f aca="false">Equipos!J129</f>
        <v>M2</v>
      </c>
      <c r="G131" s="100" t="str">
        <f aca="false">Equipos!K129</f>
        <v>BA19F000013</v>
      </c>
      <c r="H131" s="101"/>
      <c r="I131" s="102"/>
      <c r="J131" s="103" t="s">
        <v>328</v>
      </c>
      <c r="K131" s="102"/>
      <c r="L131" s="103" t="s">
        <v>328</v>
      </c>
      <c r="M131" s="102"/>
      <c r="N131" s="102"/>
      <c r="O131" s="102"/>
      <c r="P131" s="102"/>
      <c r="Q131" s="102"/>
      <c r="R131" s="102"/>
      <c r="S131" s="102"/>
      <c r="T131" s="102"/>
      <c r="U131" s="101" t="n">
        <f aca="false">V131+W131+X131+COUNTIF(I131:T131,"R")</f>
        <v>2</v>
      </c>
      <c r="V131" s="101" t="n">
        <f aca="false">COUNTIF(I131:T131,"E")</f>
        <v>2</v>
      </c>
      <c r="W131" s="101" t="n">
        <f aca="false">COUNTIF(I131:T131,"X")</f>
        <v>0</v>
      </c>
      <c r="X131" s="101" t="n">
        <f aca="false">COUNTIF(I131:T131,"C2")+COUNTIF(I131:T131,"C3")</f>
        <v>0</v>
      </c>
      <c r="Y131" s="101" t="n">
        <f aca="true">SUMPRODUCT((I131:INDEX(I131:T131,MONTH(TODAY()))="X")*1)</f>
        <v>0</v>
      </c>
      <c r="Z131" s="104" t="n">
        <f aca="false">IFERROR(V131/U131,"")</f>
        <v>1</v>
      </c>
    </row>
    <row r="132" customFormat="false" ht="15" hidden="false" customHeight="true" outlineLevel="0" collapsed="false">
      <c r="A132" s="100" t="str">
        <f aca="false">Equipos!C130</f>
        <v>2-121024</v>
      </c>
      <c r="B132" s="101" t="str">
        <f aca="false">Equipos!D130</f>
        <v>Desfibrilador</v>
      </c>
      <c r="C132" s="101" t="str">
        <f aca="false">Equipos!E130</f>
        <v>SAMU (Prestado a Hemodiálisis)</v>
      </c>
      <c r="D132" s="101" t="str">
        <f aca="false">Equipos!G130</f>
        <v>Base 13</v>
      </c>
      <c r="E132" s="101" t="str">
        <f aca="false">Equipos!I130</f>
        <v>Nihon Kohden</v>
      </c>
      <c r="F132" s="101" t="str">
        <f aca="false">Equipos!J130</f>
        <v>TEC-5631</v>
      </c>
      <c r="G132" s="100" t="str">
        <f aca="false">Equipos!K130</f>
        <v>3533</v>
      </c>
      <c r="H132" s="101"/>
      <c r="I132" s="102"/>
      <c r="J132" s="102"/>
      <c r="K132" s="102"/>
      <c r="L132" s="102" t="s">
        <v>329</v>
      </c>
      <c r="M132" s="102"/>
      <c r="N132" s="102"/>
      <c r="O132" s="102"/>
      <c r="P132" s="102"/>
      <c r="Q132" s="102"/>
      <c r="R132" s="102"/>
      <c r="S132" s="102"/>
      <c r="T132" s="102"/>
      <c r="U132" s="101" t="n">
        <f aca="false">V132+W132+X132+COUNTIF(I132:T132,"R")</f>
        <v>1</v>
      </c>
      <c r="V132" s="101" t="n">
        <f aca="false">COUNTIF(I132:T132,"E")</f>
        <v>0</v>
      </c>
      <c r="W132" s="101" t="n">
        <f aca="false">COUNTIF(I132:T132,"X")</f>
        <v>1</v>
      </c>
      <c r="X132" s="101" t="n">
        <f aca="false">COUNTIF(I132:T132,"C2")+COUNTIF(I132:T132,"C3")</f>
        <v>0</v>
      </c>
      <c r="Y132" s="101" t="n">
        <f aca="true">SUMPRODUCT((I132:INDEX(I132:T132,MONTH(TODAY()))="X")*1)</f>
        <v>1</v>
      </c>
      <c r="Z132" s="104" t="n">
        <f aca="false">IFERROR(V132/U132,"")</f>
        <v>0</v>
      </c>
    </row>
    <row r="133" customFormat="false" ht="15" hidden="false" customHeight="true" outlineLevel="0" collapsed="false">
      <c r="A133" s="100" t="str">
        <f aca="false">Equipos!C131</f>
        <v>121010-019243</v>
      </c>
      <c r="B133" s="101" t="str">
        <f aca="false">Equipos!D131</f>
        <v>DEA</v>
      </c>
      <c r="C133" s="101" t="str">
        <f aca="false">Equipos!E131</f>
        <v>SAMU</v>
      </c>
      <c r="D133" s="101" t="str">
        <f aca="false">Equipos!G131</f>
        <v>SAMU</v>
      </c>
      <c r="E133" s="101" t="str">
        <f aca="false">Equipos!I131</f>
        <v>Nihon Kohden</v>
      </c>
      <c r="F133" s="101" t="str">
        <f aca="false">Equipos!J131</f>
        <v>AED-3100K</v>
      </c>
      <c r="G133" s="100" t="str">
        <f aca="false">Equipos!K131</f>
        <v>13036</v>
      </c>
      <c r="H133" s="101"/>
      <c r="I133" s="103" t="s">
        <v>328</v>
      </c>
      <c r="J133" s="103" t="s">
        <v>328</v>
      </c>
      <c r="K133" s="103" t="s">
        <v>328</v>
      </c>
      <c r="L133" s="103" t="s">
        <v>328</v>
      </c>
      <c r="M133" s="103" t="s">
        <v>329</v>
      </c>
      <c r="N133" s="102"/>
      <c r="O133" s="102"/>
      <c r="P133" s="102"/>
      <c r="Q133" s="102"/>
      <c r="R133" s="102"/>
      <c r="S133" s="102"/>
      <c r="T133" s="102"/>
      <c r="U133" s="101" t="n">
        <f aca="false">V133+W133+X133+COUNTIF(I133:T133,"R")</f>
        <v>5</v>
      </c>
      <c r="V133" s="101" t="n">
        <f aca="false">COUNTIF(I133:T133,"E")</f>
        <v>4</v>
      </c>
      <c r="W133" s="101" t="n">
        <f aca="false">COUNTIF(I133:T133,"X")</f>
        <v>1</v>
      </c>
      <c r="X133" s="101" t="n">
        <f aca="false">COUNTIF(I133:T133,"C2")+COUNTIF(I133:T133,"C3")</f>
        <v>0</v>
      </c>
      <c r="Y133" s="101" t="n">
        <f aca="true">SUMPRODUCT((I133:INDEX(I133:T133,MONTH(TODAY()))="X")*1)</f>
        <v>1</v>
      </c>
      <c r="Z133" s="104" t="n">
        <f aca="false">IFERROR(V133/U133,"")</f>
        <v>0.8</v>
      </c>
    </row>
    <row r="134" customFormat="false" ht="15" hidden="false" customHeight="true" outlineLevel="0" collapsed="false">
      <c r="A134" s="100" t="str">
        <f aca="false">Equipos!C132</f>
        <v>2-121573</v>
      </c>
      <c r="B134" s="101" t="str">
        <f aca="false">Equipos!D132</f>
        <v>Desfibrilador</v>
      </c>
      <c r="C134" s="101" t="str">
        <f aca="false">Equipos!E132</f>
        <v>Medicina</v>
      </c>
      <c r="D134" s="101" t="str">
        <f aca="false">Equipos!G132</f>
        <v>5TO PISO TNB</v>
      </c>
      <c r="E134" s="101" t="str">
        <f aca="false">Equipos!I132</f>
        <v>Nihon Kohden</v>
      </c>
      <c r="F134" s="101" t="str">
        <f aca="false">Equipos!J132</f>
        <v>TEC-5631</v>
      </c>
      <c r="G134" s="100" t="str">
        <f aca="false">Equipos!K132</f>
        <v>3938</v>
      </c>
      <c r="H134" s="101"/>
      <c r="I134" s="102"/>
      <c r="J134" s="103" t="s">
        <v>328</v>
      </c>
      <c r="K134" s="102"/>
      <c r="L134" s="102"/>
      <c r="M134" s="102"/>
      <c r="N134" s="102"/>
      <c r="O134" s="102"/>
      <c r="P134" s="102"/>
      <c r="Q134" s="102"/>
      <c r="R134" s="102"/>
      <c r="S134" s="102"/>
      <c r="T134" s="102"/>
      <c r="U134" s="101" t="n">
        <f aca="false">V134+W134+X134+COUNTIF(I134:T134,"R")</f>
        <v>1</v>
      </c>
      <c r="V134" s="101" t="n">
        <f aca="false">COUNTIF(I134:T134,"E")</f>
        <v>1</v>
      </c>
      <c r="W134" s="101" t="n">
        <f aca="false">COUNTIF(I134:T134,"X")</f>
        <v>0</v>
      </c>
      <c r="X134" s="101" t="n">
        <f aca="false">COUNTIF(I134:T134,"C2")+COUNTIF(I134:T134,"C3")</f>
        <v>0</v>
      </c>
      <c r="Y134" s="101" t="n">
        <f aca="true">SUMPRODUCT((I134:INDEX(I134:T134,MONTH(TODAY()))="X")*1)</f>
        <v>0</v>
      </c>
      <c r="Z134" s="104" t="n">
        <f aca="false">IFERROR(V134/U134,"")</f>
        <v>1</v>
      </c>
    </row>
    <row r="135" customFormat="false" ht="15" hidden="false" customHeight="true" outlineLevel="0" collapsed="false">
      <c r="A135" s="100" t="str">
        <f aca="false">Equipos!C133</f>
        <v>2-121574</v>
      </c>
      <c r="B135" s="101" t="str">
        <f aca="false">Equipos!D133</f>
        <v>Desfibrilador</v>
      </c>
      <c r="C135" s="101" t="str">
        <f aca="false">Equipos!E133</f>
        <v>Medicina</v>
      </c>
      <c r="D135" s="101" t="str">
        <f aca="false">Equipos!G133</f>
        <v>5TO PISO TNA</v>
      </c>
      <c r="E135" s="101" t="str">
        <f aca="false">Equipos!I133</f>
        <v>Nihon Kohden</v>
      </c>
      <c r="F135" s="101" t="str">
        <f aca="false">Equipos!J133</f>
        <v>TEC-5631</v>
      </c>
      <c r="G135" s="100" t="str">
        <f aca="false">Equipos!K133</f>
        <v>3939</v>
      </c>
      <c r="H135" s="101"/>
      <c r="I135" s="102"/>
      <c r="J135" s="103" t="s">
        <v>328</v>
      </c>
      <c r="K135" s="102"/>
      <c r="L135" s="102"/>
      <c r="M135" s="102"/>
      <c r="N135" s="102"/>
      <c r="O135" s="102"/>
      <c r="P135" s="102"/>
      <c r="Q135" s="102"/>
      <c r="R135" s="102"/>
      <c r="S135" s="102"/>
      <c r="T135" s="102"/>
      <c r="U135" s="101" t="n">
        <f aca="false">V135+W135+X135+COUNTIF(I135:T135,"R")</f>
        <v>1</v>
      </c>
      <c r="V135" s="101" t="n">
        <f aca="false">COUNTIF(I135:T135,"E")</f>
        <v>1</v>
      </c>
      <c r="W135" s="101" t="n">
        <f aca="false">COUNTIF(I135:T135,"X")</f>
        <v>0</v>
      </c>
      <c r="X135" s="101" t="n">
        <f aca="false">COUNTIF(I135:T135,"C2")+COUNTIF(I135:T135,"C3")</f>
        <v>0</v>
      </c>
      <c r="Y135" s="101" t="n">
        <f aca="true">SUMPRODUCT((I135:INDEX(I135:T135,MONTH(TODAY()))="X")*1)</f>
        <v>0</v>
      </c>
      <c r="Z135" s="104" t="n">
        <f aca="false">IFERROR(V135/U135,"")</f>
        <v>1</v>
      </c>
    </row>
    <row r="136" customFormat="false" ht="15" hidden="false" customHeight="true" outlineLevel="0" collapsed="false">
      <c r="A136" s="100" t="str">
        <f aca="false">Equipos!C134</f>
        <v>2-121624</v>
      </c>
      <c r="B136" s="101" t="str">
        <f aca="false">Equipos!D134</f>
        <v>DEA</v>
      </c>
      <c r="C136" s="101" t="str">
        <f aca="false">Equipos!E134</f>
        <v>Gestión de Pacientes</v>
      </c>
      <c r="D136" s="101" t="str">
        <f aca="false">Equipos!G134</f>
        <v>Movil RBFR-32</v>
      </c>
      <c r="E136" s="101" t="str">
        <f aca="false">Equipos!I134</f>
        <v>Zoll</v>
      </c>
      <c r="F136" s="101" t="str">
        <f aca="false">Equipos!J134</f>
        <v>AEDPLUS</v>
      </c>
      <c r="G136" s="100" t="str">
        <f aca="false">Equipos!K134</f>
        <v>X21A332744</v>
      </c>
      <c r="H136" s="101"/>
      <c r="I136" s="103" t="s">
        <v>328</v>
      </c>
      <c r="J136" s="103" t="s">
        <v>328</v>
      </c>
      <c r="K136" s="103" t="s">
        <v>328</v>
      </c>
      <c r="L136" s="103" t="s">
        <v>328</v>
      </c>
      <c r="M136" s="103" t="s">
        <v>328</v>
      </c>
      <c r="N136" s="102"/>
      <c r="O136" s="102"/>
      <c r="P136" s="102"/>
      <c r="Q136" s="102"/>
      <c r="R136" s="102"/>
      <c r="S136" s="102"/>
      <c r="T136" s="102"/>
      <c r="U136" s="101" t="n">
        <f aca="false">V136+W136+X136+COUNTIF(I136:T136,"R")</f>
        <v>5</v>
      </c>
      <c r="V136" s="101" t="n">
        <f aca="false">COUNTIF(I136:T136,"E")</f>
        <v>5</v>
      </c>
      <c r="W136" s="101" t="n">
        <f aca="false">COUNTIF(I136:T136,"X")</f>
        <v>0</v>
      </c>
      <c r="X136" s="101" t="n">
        <f aca="false">COUNTIF(I136:T136,"C2")+COUNTIF(I136:T136,"C3")</f>
        <v>0</v>
      </c>
      <c r="Y136" s="101" t="n">
        <f aca="true">SUMPRODUCT((I136:INDEX(I136:T136,MONTH(TODAY()))="X")*1)</f>
        <v>0</v>
      </c>
      <c r="Z136" s="104" t="n">
        <f aca="false">IFERROR(V136/U136,"")</f>
        <v>1</v>
      </c>
    </row>
    <row r="137" customFormat="false" ht="15" hidden="false" customHeight="true" outlineLevel="0" collapsed="false">
      <c r="A137" s="100" t="str">
        <f aca="false">Equipos!C135</f>
        <v>2-121695</v>
      </c>
      <c r="B137" s="101" t="str">
        <f aca="false">Equipos!D135</f>
        <v>Desfibrilador</v>
      </c>
      <c r="C137" s="101" t="str">
        <f aca="false">Equipos!E135</f>
        <v>Hemato Oncología Adulto</v>
      </c>
      <c r="D137" s="101" t="str">
        <f aca="false">Equipos!G135</f>
        <v>5to piso EPB</v>
      </c>
      <c r="E137" s="101" t="str">
        <f aca="false">Equipos!I135</f>
        <v>Nihon Kohden</v>
      </c>
      <c r="F137" s="101" t="str">
        <f aca="false">Equipos!J135</f>
        <v>TEC-5631</v>
      </c>
      <c r="G137" s="100" t="str">
        <f aca="false">Equipos!K135</f>
        <v>3945</v>
      </c>
      <c r="H137" s="101"/>
      <c r="I137" s="102"/>
      <c r="J137" s="102"/>
      <c r="K137" s="103" t="s">
        <v>328</v>
      </c>
      <c r="L137" s="102"/>
      <c r="M137" s="102"/>
      <c r="N137" s="102"/>
      <c r="O137" s="102"/>
      <c r="P137" s="102"/>
      <c r="Q137" s="102"/>
      <c r="R137" s="102"/>
      <c r="S137" s="102"/>
      <c r="T137" s="102"/>
      <c r="U137" s="101" t="n">
        <f aca="false">V137+W137+X137+COUNTIF(I137:T137,"R")</f>
        <v>1</v>
      </c>
      <c r="V137" s="101" t="n">
        <f aca="false">COUNTIF(I137:T137,"E")</f>
        <v>1</v>
      </c>
      <c r="W137" s="101" t="n">
        <f aca="false">COUNTIF(I137:T137,"X")</f>
        <v>0</v>
      </c>
      <c r="X137" s="101" t="n">
        <f aca="false">COUNTIF(I137:T137,"C2")+COUNTIF(I137:T137,"C3")</f>
        <v>0</v>
      </c>
      <c r="Y137" s="101" t="n">
        <f aca="true">SUMPRODUCT((I137:INDEX(I137:T137,MONTH(TODAY()))="X")*1)</f>
        <v>0</v>
      </c>
      <c r="Z137" s="104" t="n">
        <f aca="false">IFERROR(V137/U137,"")</f>
        <v>1</v>
      </c>
    </row>
    <row r="138" customFormat="false" ht="15" hidden="false" customHeight="true" outlineLevel="0" collapsed="false">
      <c r="A138" s="100" t="str">
        <f aca="false">Equipos!C136</f>
        <v>2-117144</v>
      </c>
      <c r="B138" s="101" t="str">
        <f aca="false">Equipos!D136</f>
        <v>Máquina de Anestesia</v>
      </c>
      <c r="C138" s="101" t="str">
        <f aca="false">Equipos!E136</f>
        <v>Pabellones Gineco-Obstétricos</v>
      </c>
      <c r="D138" s="101" t="str">
        <f aca="false">Equipos!G136</f>
        <v>Pabellón 2</v>
      </c>
      <c r="E138" s="101" t="str">
        <f aca="false">Equipos!I136</f>
        <v>Drager </v>
      </c>
      <c r="F138" s="101" t="str">
        <f aca="false">Equipos!J136</f>
        <v>Primus IE</v>
      </c>
      <c r="G138" s="100" t="str">
        <f aca="false">Equipos!K136</f>
        <v>ASLJ-0308</v>
      </c>
      <c r="H138" s="101"/>
      <c r="I138" s="102"/>
      <c r="J138" s="102"/>
      <c r="K138" s="103" t="s">
        <v>330</v>
      </c>
      <c r="L138" s="102"/>
      <c r="M138" s="102"/>
      <c r="N138" s="102"/>
      <c r="O138" s="102"/>
      <c r="P138" s="102"/>
      <c r="Q138" s="102"/>
      <c r="R138" s="102"/>
      <c r="S138" s="102"/>
      <c r="T138" s="102"/>
      <c r="U138" s="101" t="n">
        <f aca="false">V138+W138+X138+COUNTIF(I138:T138,"R")</f>
        <v>1</v>
      </c>
      <c r="V138" s="101" t="n">
        <f aca="false">COUNTIF(I138:T138,"E")</f>
        <v>0</v>
      </c>
      <c r="W138" s="101" t="n">
        <f aca="false">COUNTIF(I138:T138,"X")</f>
        <v>0</v>
      </c>
      <c r="X138" s="101" t="n">
        <f aca="false">COUNTIF(I138:T138,"C2")+COUNTIF(I138:T138,"C3")</f>
        <v>0</v>
      </c>
      <c r="Y138" s="101" t="n">
        <f aca="true">SUMPRODUCT((I138:INDEX(I138:T138,MONTH(TODAY()))="X")*1)</f>
        <v>0</v>
      </c>
      <c r="Z138" s="104" t="n">
        <f aca="false">IFERROR(V138/U138,"")</f>
        <v>0</v>
      </c>
    </row>
    <row r="139" customFormat="false" ht="15" hidden="false" customHeight="true" outlineLevel="0" collapsed="false">
      <c r="A139" s="100" t="str">
        <f aca="false">Equipos!C137</f>
        <v>2-133529</v>
      </c>
      <c r="B139" s="101" t="str">
        <f aca="false">Equipos!D137</f>
        <v>Máquina de Anestesia</v>
      </c>
      <c r="C139" s="101" t="str">
        <f aca="false">Equipos!E137</f>
        <v>Pabellones Gineco-Obstétricos</v>
      </c>
      <c r="D139" s="101" t="n">
        <f aca="false">Equipos!G137</f>
        <v>0</v>
      </c>
      <c r="E139" s="101" t="str">
        <f aca="false">Equipos!I137</f>
        <v>Drager </v>
      </c>
      <c r="F139" s="101" t="str">
        <f aca="false">Equipos!J137</f>
        <v>Perseus A500</v>
      </c>
      <c r="G139" s="100" t="str">
        <f aca="false">Equipos!K137</f>
        <v>ASRJ-0185</v>
      </c>
      <c r="H139" s="101"/>
      <c r="I139" s="102"/>
      <c r="J139" s="102"/>
      <c r="K139" s="103" t="s">
        <v>330</v>
      </c>
      <c r="L139" s="102"/>
      <c r="M139" s="102"/>
      <c r="N139" s="102"/>
      <c r="O139" s="102"/>
      <c r="P139" s="102"/>
      <c r="Q139" s="102"/>
      <c r="R139" s="102"/>
      <c r="S139" s="102"/>
      <c r="T139" s="102"/>
      <c r="U139" s="101" t="n">
        <f aca="false">V139+W139+X139+COUNTIF(I139:T139,"R")</f>
        <v>1</v>
      </c>
      <c r="V139" s="101" t="n">
        <f aca="false">COUNTIF(I139:T139,"E")</f>
        <v>0</v>
      </c>
      <c r="W139" s="101" t="n">
        <f aca="false">COUNTIF(I139:T139,"X")</f>
        <v>0</v>
      </c>
      <c r="X139" s="101" t="n">
        <f aca="false">COUNTIF(I139:T139,"C2")+COUNTIF(I139:T139,"C3")</f>
        <v>0</v>
      </c>
      <c r="Y139" s="101" t="n">
        <f aca="true">SUMPRODUCT((I139:INDEX(I139:T139,MONTH(TODAY()))="X")*1)</f>
        <v>0</v>
      </c>
      <c r="Z139" s="104" t="n">
        <f aca="false">IFERROR(V139/U139,"")</f>
        <v>0</v>
      </c>
    </row>
    <row r="140" customFormat="false" ht="15" hidden="false" customHeight="true" outlineLevel="0" collapsed="false">
      <c r="A140" s="100" t="str">
        <f aca="false">Equipos!C138</f>
        <v>2-135400</v>
      </c>
      <c r="B140" s="101" t="str">
        <f aca="false">Equipos!D138</f>
        <v>Máquina de Anestesia</v>
      </c>
      <c r="C140" s="101" t="str">
        <f aca="false">Equipos!E138</f>
        <v>TROI</v>
      </c>
      <c r="D140" s="101" t="n">
        <f aca="false">Equipos!G138</f>
        <v>0</v>
      </c>
      <c r="E140" s="101" t="str">
        <f aca="false">Equipos!I138</f>
        <v>Drager</v>
      </c>
      <c r="F140" s="101" t="str">
        <f aca="false">Equipos!J138</f>
        <v>Atlan A350</v>
      </c>
      <c r="G140" s="100" t="str">
        <f aca="false">Equipos!K138</f>
        <v>ASUD-0008</v>
      </c>
      <c r="H140" s="101"/>
      <c r="I140" s="102"/>
      <c r="J140" s="102"/>
      <c r="K140" s="102"/>
      <c r="L140" s="103" t="s">
        <v>328</v>
      </c>
      <c r="M140" s="102"/>
      <c r="N140" s="102"/>
      <c r="O140" s="102"/>
      <c r="P140" s="102"/>
      <c r="Q140" s="102"/>
      <c r="R140" s="102"/>
      <c r="S140" s="102"/>
      <c r="T140" s="102"/>
      <c r="U140" s="101" t="n">
        <f aca="false">V140+W140+X140+COUNTIF(I140:T140,"R")</f>
        <v>1</v>
      </c>
      <c r="V140" s="101" t="n">
        <f aca="false">COUNTIF(I140:T140,"E")</f>
        <v>1</v>
      </c>
      <c r="W140" s="101" t="n">
        <f aca="false">COUNTIF(I140:T140,"X")</f>
        <v>0</v>
      </c>
      <c r="X140" s="101" t="n">
        <f aca="false">COUNTIF(I140:T140,"C2")+COUNTIF(I140:T140,"C3")</f>
        <v>0</v>
      </c>
      <c r="Y140" s="101" t="n">
        <f aca="true">SUMPRODUCT((I140:INDEX(I140:T140,MONTH(TODAY()))="X")*1)</f>
        <v>0</v>
      </c>
      <c r="Z140" s="104" t="n">
        <f aca="false">IFERROR(V140/U140,"")</f>
        <v>1</v>
      </c>
    </row>
    <row r="141" customFormat="false" ht="15" hidden="false" customHeight="true" outlineLevel="0" collapsed="false">
      <c r="A141" s="100" t="str">
        <f aca="false">Equipos!C139</f>
        <v>2-112255</v>
      </c>
      <c r="B141" s="101" t="str">
        <f aca="false">Equipos!D139</f>
        <v>Máquina de Anestesia</v>
      </c>
      <c r="C141" s="101" t="str">
        <f aca="false">Equipos!E139</f>
        <v>Pabellón Quirúrgico (Prestado a Electrofisiología)</v>
      </c>
      <c r="D141" s="101" t="str">
        <f aca="false">Equipos!G139</f>
        <v>Angiógrafo 5to piso</v>
      </c>
      <c r="E141" s="101" t="str">
        <f aca="false">Equipos!I139</f>
        <v>Drager </v>
      </c>
      <c r="F141" s="101" t="str">
        <f aca="false">Equipos!J139</f>
        <v>Fabius GS</v>
      </c>
      <c r="G141" s="100" t="str">
        <f aca="false">Equipos!K139</f>
        <v>ARXN-0048</v>
      </c>
      <c r="H141" s="101"/>
      <c r="I141" s="102"/>
      <c r="J141" s="102"/>
      <c r="K141" s="103" t="s">
        <v>331</v>
      </c>
      <c r="L141" s="102"/>
      <c r="M141" s="102"/>
      <c r="N141" s="102"/>
      <c r="O141" s="102"/>
      <c r="P141" s="102"/>
      <c r="Q141" s="102"/>
      <c r="R141" s="102"/>
      <c r="S141" s="102"/>
      <c r="T141" s="102"/>
      <c r="U141" s="101" t="n">
        <f aca="false">V141+W141+X141+COUNTIF(I141:T141,"R")</f>
        <v>1</v>
      </c>
      <c r="V141" s="101" t="n">
        <f aca="false">COUNTIF(I141:T141,"E")</f>
        <v>0</v>
      </c>
      <c r="W141" s="101" t="n">
        <f aca="false">COUNTIF(I141:T141,"X")</f>
        <v>0</v>
      </c>
      <c r="X141" s="101" t="n">
        <f aca="false">COUNTIF(I141:T141,"C2")+COUNTIF(I141:T141,"C3")</f>
        <v>1</v>
      </c>
      <c r="Y141" s="101" t="n">
        <f aca="true">SUMPRODUCT((I141:INDEX(I141:T141,MONTH(TODAY()))="X")*1)</f>
        <v>0</v>
      </c>
      <c r="Z141" s="104" t="n">
        <f aca="false">IFERROR(V141/U141,"")</f>
        <v>0</v>
      </c>
    </row>
    <row r="142" customFormat="false" ht="15" hidden="false" customHeight="true" outlineLevel="0" collapsed="false">
      <c r="A142" s="100" t="str">
        <f aca="false">Equipos!C140</f>
        <v>2-024432</v>
      </c>
      <c r="B142" s="101" t="str">
        <f aca="false">Equipos!D140</f>
        <v>Máquina de Anestesia</v>
      </c>
      <c r="C142" s="101" t="str">
        <f aca="false">Equipos!E140</f>
        <v>Pabellón Quirúrgico (Prestado a Imagenología)</v>
      </c>
      <c r="D142" s="101" t="str">
        <f aca="false">Equipos!G140</f>
        <v>Scanner</v>
      </c>
      <c r="E142" s="101" t="str">
        <f aca="false">Equipos!I140</f>
        <v>Drager </v>
      </c>
      <c r="F142" s="101" t="str">
        <f aca="false">Equipos!J140</f>
        <v>Primus </v>
      </c>
      <c r="G142" s="100" t="str">
        <f aca="false">Equipos!K140</f>
        <v>ARYA-0173</v>
      </c>
      <c r="H142" s="101"/>
      <c r="I142" s="102"/>
      <c r="J142" s="102"/>
      <c r="K142" s="103" t="s">
        <v>330</v>
      </c>
      <c r="L142" s="103"/>
      <c r="M142" s="102"/>
      <c r="N142" s="102"/>
      <c r="O142" s="102"/>
      <c r="P142" s="102"/>
      <c r="Q142" s="102"/>
      <c r="R142" s="102"/>
      <c r="S142" s="102"/>
      <c r="T142" s="102"/>
      <c r="U142" s="101" t="n">
        <f aca="false">V142+W142+X142+COUNTIF(I142:T142,"R")</f>
        <v>1</v>
      </c>
      <c r="V142" s="101" t="n">
        <f aca="false">COUNTIF(I142:T142,"E")</f>
        <v>0</v>
      </c>
      <c r="W142" s="101" t="n">
        <f aca="false">COUNTIF(I142:T142,"X")</f>
        <v>0</v>
      </c>
      <c r="X142" s="101" t="n">
        <f aca="false">COUNTIF(I142:T142,"C2")+COUNTIF(I142:T142,"C3")</f>
        <v>0</v>
      </c>
      <c r="Y142" s="101" t="n">
        <f aca="true">SUMPRODUCT((I142:INDEX(I142:T142,MONTH(TODAY()))="X")*1)</f>
        <v>0</v>
      </c>
      <c r="Z142" s="104" t="n">
        <f aca="false">IFERROR(V142/U142,"")</f>
        <v>0</v>
      </c>
    </row>
    <row r="143" customFormat="false" ht="15" hidden="false" customHeight="true" outlineLevel="0" collapsed="false">
      <c r="A143" s="100" t="n">
        <f aca="false">Equipos!C141</f>
        <v>0</v>
      </c>
      <c r="B143" s="101" t="n">
        <f aca="false">Equipos!D141</f>
        <v>0</v>
      </c>
      <c r="C143" s="101" t="n">
        <f aca="false">Equipos!E141</f>
        <v>0</v>
      </c>
      <c r="D143" s="101" t="n">
        <f aca="false">Equipos!G141</f>
        <v>0</v>
      </c>
      <c r="E143" s="101" t="n">
        <f aca="false">Equipos!I141</f>
        <v>0</v>
      </c>
      <c r="F143" s="101" t="n">
        <f aca="false">Equipos!J141</f>
        <v>0</v>
      </c>
      <c r="G143" s="100" t="n">
        <f aca="false">Equipos!K141</f>
        <v>0</v>
      </c>
      <c r="H143" s="101"/>
      <c r="I143" s="102"/>
      <c r="J143" s="102"/>
      <c r="K143" s="102"/>
      <c r="L143" s="102"/>
      <c r="M143" s="102"/>
      <c r="N143" s="102"/>
      <c r="O143" s="102"/>
      <c r="P143" s="102"/>
      <c r="Q143" s="102"/>
      <c r="R143" s="102"/>
      <c r="S143" s="102"/>
      <c r="T143" s="102"/>
      <c r="U143" s="101" t="n">
        <f aca="false">V143+W143+X143+COUNTIF(I143:T143,"R")</f>
        <v>0</v>
      </c>
      <c r="V143" s="101" t="n">
        <f aca="false">COUNTIF(I143:T143,"E")</f>
        <v>0</v>
      </c>
      <c r="W143" s="101" t="n">
        <f aca="false">COUNTIF(I143:T143,"X")</f>
        <v>0</v>
      </c>
      <c r="X143" s="101" t="n">
        <f aca="false">COUNTIF(I143:T143,"C2")+COUNTIF(I143:T143,"C3")</f>
        <v>0</v>
      </c>
      <c r="Y143" s="101" t="n">
        <f aca="true">SUMPRODUCT((I143:INDEX(I143:T143,MONTH(TODAY()))="X")*1)</f>
        <v>0</v>
      </c>
      <c r="Z143" s="104" t="str">
        <f aca="false">IFERROR(V143/U143,"")</f>
        <v/>
      </c>
    </row>
    <row r="144" customFormat="false" ht="15" hidden="false" customHeight="true" outlineLevel="0" collapsed="false">
      <c r="A144" s="100" t="str">
        <f aca="false">Equipos!C142</f>
        <v>2-024393</v>
      </c>
      <c r="B144" s="101" t="str">
        <f aca="false">Equipos!D142</f>
        <v>Máquina de Anestesia</v>
      </c>
      <c r="C144" s="101" t="str">
        <f aca="false">Equipos!E142</f>
        <v>Pabellón Quirúrgico</v>
      </c>
      <c r="D144" s="101" t="str">
        <f aca="false">Equipos!G142</f>
        <v>Pasillo</v>
      </c>
      <c r="E144" s="101" t="str">
        <f aca="false">Equipos!I142</f>
        <v>Drager </v>
      </c>
      <c r="F144" s="101" t="str">
        <f aca="false">Equipos!J142</f>
        <v>Primus</v>
      </c>
      <c r="G144" s="100" t="str">
        <f aca="false">Equipos!K142</f>
        <v>ARXK-0016</v>
      </c>
      <c r="H144" s="101"/>
      <c r="I144" s="102"/>
      <c r="J144" s="102"/>
      <c r="K144" s="103" t="s">
        <v>330</v>
      </c>
      <c r="L144" s="103"/>
      <c r="M144" s="102"/>
      <c r="N144" s="102"/>
      <c r="O144" s="102"/>
      <c r="P144" s="102"/>
      <c r="Q144" s="102"/>
      <c r="R144" s="102"/>
      <c r="S144" s="102"/>
      <c r="T144" s="102"/>
      <c r="U144" s="101" t="n">
        <f aca="false">V144+W144+X144+COUNTIF(I144:T144,"R")</f>
        <v>1</v>
      </c>
      <c r="V144" s="101" t="n">
        <f aca="false">COUNTIF(I144:T144,"E")</f>
        <v>0</v>
      </c>
      <c r="W144" s="101" t="n">
        <f aca="false">COUNTIF(I144:T144,"X")</f>
        <v>0</v>
      </c>
      <c r="X144" s="101" t="n">
        <f aca="false">COUNTIF(I144:T144,"C2")+COUNTIF(I144:T144,"C3")</f>
        <v>0</v>
      </c>
      <c r="Y144" s="101" t="n">
        <f aca="true">SUMPRODUCT((I144:INDEX(I144:T144,MONTH(TODAY()))="X")*1)</f>
        <v>0</v>
      </c>
      <c r="Z144" s="104" t="n">
        <f aca="false">IFERROR(V144/U144,"")</f>
        <v>0</v>
      </c>
    </row>
    <row r="145" customFormat="false" ht="15" hidden="false" customHeight="true" outlineLevel="0" collapsed="false">
      <c r="A145" s="100" t="str">
        <f aca="false">Equipos!C143</f>
        <v>2-117817</v>
      </c>
      <c r="B145" s="101" t="str">
        <f aca="false">Equipos!D143</f>
        <v>Máquina de Anestesia</v>
      </c>
      <c r="C145" s="101" t="str">
        <f aca="false">Equipos!E143</f>
        <v>Pabellón Quirúrgico (Prestado a Pabellón CMA)</v>
      </c>
      <c r="D145" s="101" t="str">
        <f aca="false">Equipos!G143</f>
        <v>2do piso</v>
      </c>
      <c r="E145" s="101" t="str">
        <f aca="false">Equipos!I143</f>
        <v>Drager</v>
      </c>
      <c r="F145" s="101" t="str">
        <f aca="false">Equipos!J143</f>
        <v>Primus IE</v>
      </c>
      <c r="G145" s="100" t="str">
        <f aca="false">Equipos!K143</f>
        <v>ASMB-0232</v>
      </c>
      <c r="H145" s="101"/>
      <c r="I145" s="102"/>
      <c r="J145" s="102"/>
      <c r="K145" s="103" t="s">
        <v>330</v>
      </c>
      <c r="L145" s="103" t="s">
        <v>328</v>
      </c>
      <c r="M145" s="102"/>
      <c r="N145" s="102"/>
      <c r="O145" s="102"/>
      <c r="P145" s="102"/>
      <c r="Q145" s="102"/>
      <c r="R145" s="102"/>
      <c r="S145" s="102"/>
      <c r="T145" s="102"/>
      <c r="U145" s="101" t="n">
        <f aca="false">V145+W145+X145+COUNTIF(I145:T145,"R")</f>
        <v>2</v>
      </c>
      <c r="V145" s="101" t="n">
        <f aca="false">COUNTIF(I145:T145,"E")</f>
        <v>1</v>
      </c>
      <c r="W145" s="101" t="n">
        <f aca="false">COUNTIF(I145:T145,"X")</f>
        <v>0</v>
      </c>
      <c r="X145" s="101" t="n">
        <f aca="false">COUNTIF(I145:T145,"C2")+COUNTIF(I145:T145,"C3")</f>
        <v>0</v>
      </c>
      <c r="Y145" s="101" t="n">
        <f aca="true">SUMPRODUCT((I145:INDEX(I145:T145,MONTH(TODAY()))="X")*1)</f>
        <v>0</v>
      </c>
      <c r="Z145" s="104" t="n">
        <f aca="false">IFERROR(V145/U145,"")</f>
        <v>0.5</v>
      </c>
    </row>
    <row r="146" customFormat="false" ht="15" hidden="false" customHeight="true" outlineLevel="0" collapsed="false">
      <c r="A146" s="100" t="str">
        <f aca="false">Equipos!C144</f>
        <v>2-024458</v>
      </c>
      <c r="B146" s="101" t="str">
        <f aca="false">Equipos!D144</f>
        <v>Máquina de Anestesia</v>
      </c>
      <c r="C146" s="101" t="str">
        <f aca="false">Equipos!E144</f>
        <v>Pabellón Quirúrgico (Prestado a Imagenología)</v>
      </c>
      <c r="D146" s="101" t="str">
        <f aca="false">Equipos!G144</f>
        <v>Angiógrafo 1er piso</v>
      </c>
      <c r="E146" s="101" t="str">
        <f aca="false">Equipos!I144</f>
        <v>Drager </v>
      </c>
      <c r="F146" s="101" t="str">
        <f aca="false">Equipos!J144</f>
        <v>Primus </v>
      </c>
      <c r="G146" s="100" t="str">
        <f aca="false">Equipos!K144</f>
        <v>ASCB-0130</v>
      </c>
      <c r="H146" s="101"/>
      <c r="I146" s="102"/>
      <c r="J146" s="102"/>
      <c r="K146" s="103" t="s">
        <v>331</v>
      </c>
      <c r="L146" s="102"/>
      <c r="M146" s="102"/>
      <c r="N146" s="102"/>
      <c r="O146" s="102"/>
      <c r="P146" s="102"/>
      <c r="Q146" s="102"/>
      <c r="R146" s="102"/>
      <c r="S146" s="102"/>
      <c r="T146" s="102"/>
      <c r="U146" s="101" t="n">
        <f aca="false">V146+W146+X146+COUNTIF(I146:T146,"R")</f>
        <v>1</v>
      </c>
      <c r="V146" s="101" t="n">
        <f aca="false">COUNTIF(I146:T146,"E")</f>
        <v>0</v>
      </c>
      <c r="W146" s="101" t="n">
        <f aca="false">COUNTIF(I146:T146,"X")</f>
        <v>0</v>
      </c>
      <c r="X146" s="101" t="n">
        <f aca="false">COUNTIF(I146:T146,"C2")+COUNTIF(I146:T146,"C3")</f>
        <v>1</v>
      </c>
      <c r="Y146" s="101" t="n">
        <f aca="true">SUMPRODUCT((I146:INDEX(I146:T146,MONTH(TODAY()))="X")*1)</f>
        <v>0</v>
      </c>
      <c r="Z146" s="104" t="n">
        <f aca="false">IFERROR(V146/U146,"")</f>
        <v>0</v>
      </c>
    </row>
    <row r="147" customFormat="false" ht="15" hidden="false" customHeight="true" outlineLevel="0" collapsed="false">
      <c r="A147" s="100" t="str">
        <f aca="false">Equipos!C145</f>
        <v>2-024296</v>
      </c>
      <c r="B147" s="101" t="str">
        <f aca="false">Equipos!D145</f>
        <v>Máquina de Anestesia</v>
      </c>
      <c r="C147" s="101" t="str">
        <f aca="false">Equipos!E145</f>
        <v>Pabellón Quirúrgico</v>
      </c>
      <c r="D147" s="101" t="str">
        <f aca="false">Equipos!G145</f>
        <v>Pabellón 3</v>
      </c>
      <c r="E147" s="101" t="str">
        <f aca="false">Equipos!I145</f>
        <v>Drager </v>
      </c>
      <c r="F147" s="101" t="str">
        <f aca="false">Equipos!J145</f>
        <v>Primus</v>
      </c>
      <c r="G147" s="100" t="str">
        <f aca="false">Equipos!K145</f>
        <v>ASCB-0129</v>
      </c>
      <c r="H147" s="101"/>
      <c r="I147" s="102"/>
      <c r="J147" s="102"/>
      <c r="K147" s="103" t="s">
        <v>328</v>
      </c>
      <c r="L147" s="102"/>
      <c r="M147" s="102"/>
      <c r="N147" s="102"/>
      <c r="O147" s="102"/>
      <c r="P147" s="102"/>
      <c r="Q147" s="102"/>
      <c r="R147" s="102"/>
      <c r="S147" s="102"/>
      <c r="T147" s="102"/>
      <c r="U147" s="101" t="n">
        <f aca="false">V147+W147+X147+COUNTIF(I147:T147,"R")</f>
        <v>1</v>
      </c>
      <c r="V147" s="101" t="n">
        <f aca="false">COUNTIF(I147:T147,"E")</f>
        <v>1</v>
      </c>
      <c r="W147" s="101" t="n">
        <f aca="false">COUNTIF(I147:T147,"X")</f>
        <v>0</v>
      </c>
      <c r="X147" s="101" t="n">
        <f aca="false">COUNTIF(I147:T147,"C2")+COUNTIF(I147:T147,"C3")</f>
        <v>0</v>
      </c>
      <c r="Y147" s="101" t="n">
        <f aca="true">SUMPRODUCT((I147:INDEX(I147:T147,MONTH(TODAY()))="X")*1)</f>
        <v>0</v>
      </c>
      <c r="Z147" s="104" t="n">
        <f aca="false">IFERROR(V147/U147,"")</f>
        <v>1</v>
      </c>
    </row>
    <row r="148" customFormat="false" ht="15" hidden="false" customHeight="true" outlineLevel="0" collapsed="false">
      <c r="A148" s="100" t="n">
        <f aca="false">Equipos!C146</f>
        <v>0</v>
      </c>
      <c r="B148" s="101" t="n">
        <f aca="false">Equipos!D146</f>
        <v>0</v>
      </c>
      <c r="C148" s="101" t="n">
        <f aca="false">Equipos!E146</f>
        <v>0</v>
      </c>
      <c r="D148" s="101" t="n">
        <f aca="false">Equipos!G146</f>
        <v>0</v>
      </c>
      <c r="E148" s="101" t="n">
        <f aca="false">Equipos!I146</f>
        <v>0</v>
      </c>
      <c r="F148" s="101" t="n">
        <f aca="false">Equipos!J146</f>
        <v>0</v>
      </c>
      <c r="G148" s="100" t="n">
        <f aca="false">Equipos!K146</f>
        <v>0</v>
      </c>
      <c r="H148" s="101"/>
      <c r="I148" s="102"/>
      <c r="J148" s="102"/>
      <c r="K148" s="102"/>
      <c r="L148" s="102"/>
      <c r="M148" s="102"/>
      <c r="N148" s="102"/>
      <c r="O148" s="102"/>
      <c r="P148" s="102"/>
      <c r="Q148" s="102"/>
      <c r="R148" s="102"/>
      <c r="S148" s="102"/>
      <c r="T148" s="102"/>
      <c r="U148" s="101" t="n">
        <f aca="false">V148+W148+X148+COUNTIF(I148:T148,"R")</f>
        <v>0</v>
      </c>
      <c r="V148" s="101" t="n">
        <f aca="false">COUNTIF(I148:T148,"E")</f>
        <v>0</v>
      </c>
      <c r="W148" s="101" t="n">
        <f aca="false">COUNTIF(I148:T148,"X")</f>
        <v>0</v>
      </c>
      <c r="X148" s="101" t="n">
        <f aca="false">COUNTIF(I148:T148,"C2")+COUNTIF(I148:T148,"C3")</f>
        <v>0</v>
      </c>
      <c r="Y148" s="101" t="n">
        <f aca="true">SUMPRODUCT((I148:INDEX(I148:T148,MONTH(TODAY()))="X")*1)</f>
        <v>0</v>
      </c>
      <c r="Z148" s="104" t="str">
        <f aca="false">IFERROR(V148/U148,"")</f>
        <v/>
      </c>
    </row>
    <row r="149" customFormat="false" ht="15" hidden="false" customHeight="true" outlineLevel="0" collapsed="false">
      <c r="A149" s="100" t="str">
        <f aca="false">Equipos!C147</f>
        <v>2-117816</v>
      </c>
      <c r="B149" s="101" t="str">
        <f aca="false">Equipos!D147</f>
        <v>Máquina de Anestesia</v>
      </c>
      <c r="C149" s="101" t="str">
        <f aca="false">Equipos!E147</f>
        <v>Pabellón Quirúrgico</v>
      </c>
      <c r="D149" s="101" t="str">
        <f aca="false">Equipos!G147</f>
        <v>BODEGA</v>
      </c>
      <c r="E149" s="101" t="str">
        <f aca="false">Equipos!I147</f>
        <v>Drager</v>
      </c>
      <c r="F149" s="101" t="str">
        <f aca="false">Equipos!J147</f>
        <v>Primus IE</v>
      </c>
      <c r="G149" s="100" t="str">
        <f aca="false">Equipos!K147</f>
        <v>ASMB-0231</v>
      </c>
      <c r="H149" s="101"/>
      <c r="I149" s="102"/>
      <c r="J149" s="102"/>
      <c r="K149" s="103" t="s">
        <v>331</v>
      </c>
      <c r="L149" s="102"/>
      <c r="M149" s="102"/>
      <c r="N149" s="102"/>
      <c r="O149" s="102"/>
      <c r="P149" s="102"/>
      <c r="Q149" s="102"/>
      <c r="R149" s="102" t="s">
        <v>331</v>
      </c>
      <c r="S149" s="102"/>
      <c r="T149" s="102"/>
      <c r="U149" s="101" t="n">
        <f aca="false">V149+W149+X149+COUNTIF(I149:T149,"R")</f>
        <v>2</v>
      </c>
      <c r="V149" s="101" t="n">
        <f aca="false">COUNTIF(I149:T149,"E")</f>
        <v>0</v>
      </c>
      <c r="W149" s="101" t="n">
        <f aca="false">COUNTIF(I149:T149,"X")</f>
        <v>0</v>
      </c>
      <c r="X149" s="101" t="n">
        <f aca="false">COUNTIF(I149:T149,"C2")+COUNTIF(I149:T149,"C3")</f>
        <v>2</v>
      </c>
      <c r="Y149" s="101" t="n">
        <f aca="true">SUMPRODUCT((I149:INDEX(I149:T149,MONTH(TODAY()))="X")*1)</f>
        <v>0</v>
      </c>
      <c r="Z149" s="104" t="n">
        <f aca="false">IFERROR(V149/U149,"")</f>
        <v>0</v>
      </c>
    </row>
    <row r="150" customFormat="false" ht="15" hidden="false" customHeight="true" outlineLevel="0" collapsed="false">
      <c r="A150" s="100" t="str">
        <f aca="false">Equipos!C148</f>
        <v>2-117815</v>
      </c>
      <c r="B150" s="101" t="str">
        <f aca="false">Equipos!D148</f>
        <v>Máquina de Anestesia</v>
      </c>
      <c r="C150" s="101" t="str">
        <f aca="false">Equipos!E148</f>
        <v>Pabellón Quirúrgico</v>
      </c>
      <c r="D150" s="101" t="str">
        <f aca="false">Equipos!G148</f>
        <v>Pabellón 7 Urgencia</v>
      </c>
      <c r="E150" s="101" t="str">
        <f aca="false">Equipos!I148</f>
        <v>Drager</v>
      </c>
      <c r="F150" s="101" t="str">
        <f aca="false">Equipos!J148</f>
        <v>Primus IE</v>
      </c>
      <c r="G150" s="100" t="str">
        <f aca="false">Equipos!K148</f>
        <v>ASMB-0230</v>
      </c>
      <c r="H150" s="101"/>
      <c r="I150" s="102"/>
      <c r="J150" s="102"/>
      <c r="K150" s="103" t="s">
        <v>330</v>
      </c>
      <c r="L150" s="103" t="s">
        <v>328</v>
      </c>
      <c r="M150" s="102"/>
      <c r="N150" s="102"/>
      <c r="O150" s="102"/>
      <c r="P150" s="102"/>
      <c r="Q150" s="102"/>
      <c r="R150" s="102"/>
      <c r="S150" s="102"/>
      <c r="T150" s="102"/>
      <c r="U150" s="101" t="n">
        <f aca="false">V150+W150+X150+COUNTIF(I150:T150,"R")</f>
        <v>2</v>
      </c>
      <c r="V150" s="101" t="n">
        <f aca="false">COUNTIF(I150:T150,"E")</f>
        <v>1</v>
      </c>
      <c r="W150" s="101" t="n">
        <f aca="false">COUNTIF(I150:T150,"X")</f>
        <v>0</v>
      </c>
      <c r="X150" s="101" t="n">
        <f aca="false">COUNTIF(I150:T150,"C2")+COUNTIF(I150:T150,"C3")</f>
        <v>0</v>
      </c>
      <c r="Y150" s="101" t="n">
        <f aca="true">SUMPRODUCT((I150:INDEX(I150:T150,MONTH(TODAY()))="X")*1)</f>
        <v>0</v>
      </c>
      <c r="Z150" s="104" t="n">
        <f aca="false">IFERROR(V150/U150,"")</f>
        <v>0.5</v>
      </c>
    </row>
    <row r="151" customFormat="false" ht="15" hidden="false" customHeight="true" outlineLevel="0" collapsed="false">
      <c r="A151" s="100" t="str">
        <f aca="false">Equipos!C149</f>
        <v>2-017350</v>
      </c>
      <c r="B151" s="101" t="str">
        <f aca="false">Equipos!D149</f>
        <v>Máquina de Anestesia</v>
      </c>
      <c r="C151" s="101" t="str">
        <f aca="false">Equipos!E149</f>
        <v>Pabellón Quirúrgico</v>
      </c>
      <c r="D151" s="101" t="str">
        <f aca="false">Equipos!G149</f>
        <v>Equipamiento clinico</v>
      </c>
      <c r="E151" s="101" t="str">
        <f aca="false">Equipos!I149</f>
        <v>Drager</v>
      </c>
      <c r="F151" s="101" t="str">
        <f aca="false">Equipos!J149</f>
        <v>Primus </v>
      </c>
      <c r="G151" s="100" t="str">
        <f aca="false">Equipos!K149</f>
        <v>ARYA-0174</v>
      </c>
      <c r="H151" s="101"/>
      <c r="I151" s="102"/>
      <c r="J151" s="102"/>
      <c r="K151" s="103" t="s">
        <v>330</v>
      </c>
      <c r="L151" s="103" t="s">
        <v>328</v>
      </c>
      <c r="M151" s="102"/>
      <c r="N151" s="102"/>
      <c r="O151" s="102"/>
      <c r="P151" s="102"/>
      <c r="Q151" s="102"/>
      <c r="R151" s="102"/>
      <c r="S151" s="102"/>
      <c r="T151" s="102"/>
      <c r="U151" s="101" t="n">
        <f aca="false">V151+W151+X151+COUNTIF(I151:T151,"R")</f>
        <v>2</v>
      </c>
      <c r="V151" s="101" t="n">
        <f aca="false">COUNTIF(I151:T151,"E")</f>
        <v>1</v>
      </c>
      <c r="W151" s="101" t="n">
        <f aca="false">COUNTIF(I151:T151,"X")</f>
        <v>0</v>
      </c>
      <c r="X151" s="101" t="n">
        <f aca="false">COUNTIF(I151:T151,"C2")+COUNTIF(I151:T151,"C3")</f>
        <v>0</v>
      </c>
      <c r="Y151" s="101" t="n">
        <f aca="true">SUMPRODUCT((I151:INDEX(I151:T151,MONTH(TODAY()))="X")*1)</f>
        <v>0</v>
      </c>
      <c r="Z151" s="104" t="n">
        <f aca="false">IFERROR(V151/U151,"")</f>
        <v>0.5</v>
      </c>
    </row>
    <row r="152" customFormat="false" ht="15" hidden="false" customHeight="true" outlineLevel="0" collapsed="false">
      <c r="A152" s="100" t="n">
        <f aca="false">Equipos!C150</f>
        <v>0</v>
      </c>
      <c r="B152" s="101" t="n">
        <f aca="false">Equipos!D150</f>
        <v>0</v>
      </c>
      <c r="C152" s="101" t="n">
        <f aca="false">Equipos!E150</f>
        <v>0</v>
      </c>
      <c r="D152" s="101" t="n">
        <f aca="false">Equipos!G150</f>
        <v>0</v>
      </c>
      <c r="E152" s="101" t="n">
        <f aca="false">Equipos!I150</f>
        <v>0</v>
      </c>
      <c r="F152" s="101" t="n">
        <f aca="false">Equipos!J150</f>
        <v>0</v>
      </c>
      <c r="G152" s="100" t="n">
        <f aca="false">Equipos!K150</f>
        <v>0</v>
      </c>
      <c r="H152" s="101"/>
      <c r="I152" s="102"/>
      <c r="J152" s="102"/>
      <c r="K152" s="102"/>
      <c r="L152" s="102"/>
      <c r="M152" s="102"/>
      <c r="N152" s="102"/>
      <c r="O152" s="102"/>
      <c r="P152" s="102"/>
      <c r="Q152" s="102"/>
      <c r="R152" s="102"/>
      <c r="S152" s="102"/>
      <c r="T152" s="102"/>
      <c r="U152" s="101" t="n">
        <f aca="false">V152+W152+X152+COUNTIF(I152:T152,"R")</f>
        <v>0</v>
      </c>
      <c r="V152" s="101" t="n">
        <f aca="false">COUNTIF(I152:T152,"E")</f>
        <v>0</v>
      </c>
      <c r="W152" s="101" t="n">
        <f aca="false">COUNTIF(I152:T152,"X")</f>
        <v>0</v>
      </c>
      <c r="X152" s="101" t="n">
        <f aca="false">COUNTIF(I152:T152,"C2")+COUNTIF(I152:T152,"C3")</f>
        <v>0</v>
      </c>
      <c r="Y152" s="101" t="n">
        <f aca="true">SUMPRODUCT((I152:INDEX(I152:T152,MONTH(TODAY()))="X")*1)</f>
        <v>0</v>
      </c>
      <c r="Z152" s="104" t="str">
        <f aca="false">IFERROR(V152/U152,"")</f>
        <v/>
      </c>
    </row>
    <row r="153" customFormat="false" ht="15" hidden="false" customHeight="true" outlineLevel="0" collapsed="false">
      <c r="A153" s="100" t="str">
        <f aca="false">Equipos!C151</f>
        <v>2-017325</v>
      </c>
      <c r="B153" s="101" t="str">
        <f aca="false">Equipos!D151</f>
        <v>Máquina de Anestesia</v>
      </c>
      <c r="C153" s="101" t="str">
        <f aca="false">Equipos!E151</f>
        <v>Pabellón Quirúrgico</v>
      </c>
      <c r="D153" s="101" t="str">
        <f aca="false">Equipos!G151</f>
        <v>Pabellón 8</v>
      </c>
      <c r="E153" s="101" t="str">
        <f aca="false">Equipos!I151</f>
        <v>Drager </v>
      </c>
      <c r="F153" s="101" t="str">
        <f aca="false">Equipos!J151</f>
        <v>Primus </v>
      </c>
      <c r="G153" s="100" t="str">
        <f aca="false">Equipos!K151</f>
        <v>ASDK-0158</v>
      </c>
      <c r="H153" s="101"/>
      <c r="I153" s="102"/>
      <c r="J153" s="102"/>
      <c r="K153" s="103" t="s">
        <v>330</v>
      </c>
      <c r="L153" s="103"/>
      <c r="M153" s="102"/>
      <c r="N153" s="102"/>
      <c r="O153" s="102"/>
      <c r="P153" s="102"/>
      <c r="Q153" s="102"/>
      <c r="R153" s="102"/>
      <c r="S153" s="102"/>
      <c r="T153" s="102"/>
      <c r="U153" s="101" t="n">
        <f aca="false">V153+W153+X153+COUNTIF(I153:T153,"R")</f>
        <v>1</v>
      </c>
      <c r="V153" s="101" t="n">
        <f aca="false">COUNTIF(I153:T153,"E")</f>
        <v>0</v>
      </c>
      <c r="W153" s="101" t="n">
        <f aca="false">COUNTIF(I153:T153,"X")</f>
        <v>0</v>
      </c>
      <c r="X153" s="101" t="n">
        <f aca="false">COUNTIF(I153:T153,"C2")+COUNTIF(I153:T153,"C3")</f>
        <v>0</v>
      </c>
      <c r="Y153" s="101" t="n">
        <f aca="true">SUMPRODUCT((I153:INDEX(I153:T153,MONTH(TODAY()))="X")*1)</f>
        <v>0</v>
      </c>
      <c r="Z153" s="104" t="n">
        <f aca="false">IFERROR(V153/U153,"")</f>
        <v>0</v>
      </c>
    </row>
    <row r="154" customFormat="false" ht="15" hidden="false" customHeight="true" outlineLevel="0" collapsed="false">
      <c r="A154" s="100" t="n">
        <f aca="false">Equipos!C152</f>
        <v>0</v>
      </c>
      <c r="B154" s="101" t="n">
        <f aca="false">Equipos!D152</f>
        <v>0</v>
      </c>
      <c r="C154" s="101" t="n">
        <f aca="false">Equipos!E152</f>
        <v>0</v>
      </c>
      <c r="D154" s="101" t="n">
        <f aca="false">Equipos!G152</f>
        <v>0</v>
      </c>
      <c r="E154" s="101" t="n">
        <f aca="false">Equipos!I152</f>
        <v>0</v>
      </c>
      <c r="F154" s="101" t="n">
        <f aca="false">Equipos!J152</f>
        <v>0</v>
      </c>
      <c r="G154" s="100" t="n">
        <f aca="false">Equipos!K152</f>
        <v>0</v>
      </c>
      <c r="H154" s="101"/>
      <c r="I154" s="102"/>
      <c r="J154" s="102"/>
      <c r="K154" s="102"/>
      <c r="L154" s="102"/>
      <c r="M154" s="102"/>
      <c r="N154" s="102"/>
      <c r="O154" s="102"/>
      <c r="P154" s="102"/>
      <c r="Q154" s="102"/>
      <c r="R154" s="102"/>
      <c r="S154" s="102"/>
      <c r="T154" s="102"/>
      <c r="U154" s="101" t="n">
        <f aca="false">V154+W154+X154+COUNTIF(I154:T154,"R")</f>
        <v>0</v>
      </c>
      <c r="V154" s="101" t="n">
        <f aca="false">COUNTIF(I154:T154,"E")</f>
        <v>0</v>
      </c>
      <c r="W154" s="101" t="n">
        <f aca="false">COUNTIF(I154:T154,"X")</f>
        <v>0</v>
      </c>
      <c r="X154" s="101" t="n">
        <f aca="false">COUNTIF(I154:T154,"C2")+COUNTIF(I154:T154,"C3")</f>
        <v>0</v>
      </c>
      <c r="Y154" s="101" t="n">
        <f aca="true">SUMPRODUCT((I154:INDEX(I154:T154,MONTH(TODAY()))="X")*1)</f>
        <v>0</v>
      </c>
      <c r="Z154" s="104" t="str">
        <f aca="false">IFERROR(V154/U154,"")</f>
        <v/>
      </c>
    </row>
    <row r="155" customFormat="false" ht="15" hidden="false" customHeight="true" outlineLevel="0" collapsed="false">
      <c r="A155" s="100" t="str">
        <f aca="false">Equipos!C153</f>
        <v>2-112256</v>
      </c>
      <c r="B155" s="101" t="str">
        <f aca="false">Equipos!D153</f>
        <v>Máquina de Anestesia</v>
      </c>
      <c r="C155" s="101" t="str">
        <f aca="false">Equipos!E153</f>
        <v>Pabellón Quirúrgico</v>
      </c>
      <c r="D155" s="101" t="str">
        <f aca="false">Equipos!G153</f>
        <v>BODEGA</v>
      </c>
      <c r="E155" s="101" t="str">
        <f aca="false">Equipos!I153</f>
        <v>Drager</v>
      </c>
      <c r="F155" s="101" t="str">
        <f aca="false">Equipos!J153</f>
        <v>Fabius GS</v>
      </c>
      <c r="G155" s="100" t="str">
        <f aca="false">Equipos!K153</f>
        <v>ARYL-0080</v>
      </c>
      <c r="H155" s="101"/>
      <c r="I155" s="102"/>
      <c r="J155" s="102"/>
      <c r="K155" s="103" t="s">
        <v>330</v>
      </c>
      <c r="L155" s="103" t="s">
        <v>328</v>
      </c>
      <c r="M155" s="102"/>
      <c r="N155" s="102"/>
      <c r="O155" s="102"/>
      <c r="P155" s="102"/>
      <c r="Q155" s="102"/>
      <c r="R155" s="102"/>
      <c r="S155" s="102"/>
      <c r="T155" s="102"/>
      <c r="U155" s="101" t="n">
        <f aca="false">V155+W155+X155+COUNTIF(I155:T155,"R")</f>
        <v>2</v>
      </c>
      <c r="V155" s="101" t="n">
        <f aca="false">COUNTIF(I155:T155,"E")</f>
        <v>1</v>
      </c>
      <c r="W155" s="101" t="n">
        <f aca="false">COUNTIF(I155:T155,"X")</f>
        <v>0</v>
      </c>
      <c r="X155" s="101" t="n">
        <f aca="false">COUNTIF(I155:T155,"C2")+COUNTIF(I155:T155,"C3")</f>
        <v>0</v>
      </c>
      <c r="Y155" s="101" t="n">
        <f aca="true">SUMPRODUCT((I155:INDEX(I155:T155,MONTH(TODAY()))="X")*1)</f>
        <v>0</v>
      </c>
      <c r="Z155" s="104" t="n">
        <f aca="false">IFERROR(V155/U155,"")</f>
        <v>0.5</v>
      </c>
    </row>
    <row r="156" customFormat="false" ht="15" hidden="false" customHeight="true" outlineLevel="0" collapsed="false">
      <c r="A156" s="100" t="str">
        <f aca="false">Equipos!C154</f>
        <v>2-024253</v>
      </c>
      <c r="B156" s="101" t="str">
        <f aca="false">Equipos!D154</f>
        <v>Máquina de Anestesia</v>
      </c>
      <c r="C156" s="101" t="str">
        <f aca="false">Equipos!E154</f>
        <v>Imagenología</v>
      </c>
      <c r="D156" s="101" t="str">
        <f aca="false">Equipos!G154</f>
        <v>Resonador</v>
      </c>
      <c r="E156" s="101" t="str">
        <f aca="false">Equipos!I154</f>
        <v>Datex Ohmeda </v>
      </c>
      <c r="F156" s="101" t="str">
        <f aca="false">Equipos!J154</f>
        <v>Aestiva/5 MRI</v>
      </c>
      <c r="G156" s="100" t="str">
        <f aca="false">Equipos!K154</f>
        <v>AMTK00245</v>
      </c>
      <c r="H156" s="101"/>
      <c r="I156" s="102"/>
      <c r="J156" s="102"/>
      <c r="K156" s="103" t="s">
        <v>330</v>
      </c>
      <c r="L156" s="103" t="s">
        <v>328</v>
      </c>
      <c r="M156" s="102"/>
      <c r="N156" s="102"/>
      <c r="O156" s="102"/>
      <c r="P156" s="102"/>
      <c r="Q156" s="102"/>
      <c r="R156" s="102"/>
      <c r="S156" s="102"/>
      <c r="T156" s="102"/>
      <c r="U156" s="101" t="n">
        <f aca="false">V156+W156+X156+COUNTIF(I156:T156,"R")</f>
        <v>2</v>
      </c>
      <c r="V156" s="101" t="n">
        <f aca="false">COUNTIF(I156:T156,"E")</f>
        <v>1</v>
      </c>
      <c r="W156" s="101" t="n">
        <f aca="false">COUNTIF(I156:T156,"X")</f>
        <v>0</v>
      </c>
      <c r="X156" s="101" t="n">
        <f aca="false">COUNTIF(I156:T156,"C2")+COUNTIF(I156:T156,"C3")</f>
        <v>0</v>
      </c>
      <c r="Y156" s="101" t="n">
        <f aca="true">SUMPRODUCT((I156:INDEX(I156:T156,MONTH(TODAY()))="X")*1)</f>
        <v>0</v>
      </c>
      <c r="Z156" s="104" t="n">
        <f aca="false">IFERROR(V156/U156,"")</f>
        <v>0.5</v>
      </c>
    </row>
    <row r="157" customFormat="false" ht="15" hidden="false" customHeight="true" outlineLevel="0" collapsed="false">
      <c r="A157" s="100" t="n">
        <f aca="false">Equipos!C155</f>
        <v>0</v>
      </c>
      <c r="B157" s="101" t="n">
        <f aca="false">Equipos!D155</f>
        <v>0</v>
      </c>
      <c r="C157" s="101" t="n">
        <f aca="false">Equipos!E155</f>
        <v>0</v>
      </c>
      <c r="D157" s="101" t="n">
        <f aca="false">Equipos!G155</f>
        <v>0</v>
      </c>
      <c r="E157" s="101" t="n">
        <f aca="false">Equipos!I155</f>
        <v>0</v>
      </c>
      <c r="F157" s="101" t="n">
        <f aca="false">Equipos!J155</f>
        <v>0</v>
      </c>
      <c r="G157" s="100" t="n">
        <f aca="false">Equipos!K155</f>
        <v>0</v>
      </c>
      <c r="H157" s="101"/>
      <c r="I157" s="102"/>
      <c r="J157" s="102"/>
      <c r="K157" s="102"/>
      <c r="L157" s="102"/>
      <c r="M157" s="102"/>
      <c r="N157" s="102"/>
      <c r="O157" s="102"/>
      <c r="P157" s="102"/>
      <c r="Q157" s="102"/>
      <c r="R157" s="102"/>
      <c r="S157" s="102"/>
      <c r="T157" s="102"/>
      <c r="U157" s="101" t="n">
        <f aca="false">V157+W157+X157+COUNTIF(I157:T157,"R")</f>
        <v>0</v>
      </c>
      <c r="V157" s="101" t="n">
        <f aca="false">COUNTIF(I157:T157,"E")</f>
        <v>0</v>
      </c>
      <c r="W157" s="101" t="n">
        <f aca="false">COUNTIF(I157:T157,"X")</f>
        <v>0</v>
      </c>
      <c r="X157" s="101" t="n">
        <f aca="false">COUNTIF(I157:T157,"C2")+COUNTIF(I157:T157,"C3")</f>
        <v>0</v>
      </c>
      <c r="Y157" s="101" t="n">
        <f aca="true">SUMPRODUCT((I157:INDEX(I157:T157,MONTH(TODAY()))="X")*1)</f>
        <v>0</v>
      </c>
      <c r="Z157" s="104" t="str">
        <f aca="false">IFERROR(V157/U157,"")</f>
        <v/>
      </c>
    </row>
    <row r="158" customFormat="false" ht="15" hidden="false" customHeight="true" outlineLevel="0" collapsed="false">
      <c r="A158" s="100" t="str">
        <f aca="false">Equipos!C156</f>
        <v>2-016193</v>
      </c>
      <c r="B158" s="101" t="str">
        <f aca="false">Equipos!D156</f>
        <v>Máquina de Anestesia</v>
      </c>
      <c r="C158" s="101" t="str">
        <f aca="false">Equipos!E156</f>
        <v>Pabellón (Prestado a Hemodinamia)</v>
      </c>
      <c r="D158" s="101" t="str">
        <f aca="false">Equipos!G156</f>
        <v>Pabellón Hemodinamia</v>
      </c>
      <c r="E158" s="101" t="str">
        <f aca="false">Equipos!I156</f>
        <v>Drager</v>
      </c>
      <c r="F158" s="101" t="str">
        <f aca="false">Equipos!J156</f>
        <v>Primus</v>
      </c>
      <c r="G158" s="100" t="str">
        <f aca="false">Equipos!K156</f>
        <v>ARXK-0015</v>
      </c>
      <c r="H158" s="101"/>
      <c r="I158" s="102"/>
      <c r="J158" s="102"/>
      <c r="K158" s="103" t="s">
        <v>330</v>
      </c>
      <c r="L158" s="103" t="s">
        <v>328</v>
      </c>
      <c r="M158" s="102"/>
      <c r="N158" s="102"/>
      <c r="O158" s="102"/>
      <c r="P158" s="102"/>
      <c r="Q158" s="102"/>
      <c r="R158" s="102"/>
      <c r="S158" s="102"/>
      <c r="T158" s="102"/>
      <c r="U158" s="101" t="n">
        <f aca="false">V158+W158+X158+COUNTIF(I158:T158,"R")</f>
        <v>2</v>
      </c>
      <c r="V158" s="101" t="n">
        <f aca="false">COUNTIF(I158:T158,"E")</f>
        <v>1</v>
      </c>
      <c r="W158" s="101" t="n">
        <f aca="false">COUNTIF(I158:T158,"X")</f>
        <v>0</v>
      </c>
      <c r="X158" s="101" t="n">
        <f aca="false">COUNTIF(I158:T158,"C2")+COUNTIF(I158:T158,"C3")</f>
        <v>0</v>
      </c>
      <c r="Y158" s="101" t="n">
        <f aca="true">SUMPRODUCT((I158:INDEX(I158:T158,MONTH(TODAY()))="X")*1)</f>
        <v>0</v>
      </c>
      <c r="Z158" s="104" t="n">
        <f aca="false">IFERROR(V158/U158,"")</f>
        <v>0.5</v>
      </c>
    </row>
    <row r="159" customFormat="false" ht="15" hidden="false" customHeight="true" outlineLevel="0" collapsed="false">
      <c r="A159" s="100" t="str">
        <f aca="false">Equipos!C157</f>
        <v>2-022660</v>
      </c>
      <c r="B159" s="101" t="str">
        <f aca="false">Equipos!D157</f>
        <v>Máquina de Anestesia</v>
      </c>
      <c r="C159" s="101" t="str">
        <f aca="false">Equipos!E157</f>
        <v>Pabellones Gineco-Obstétricos</v>
      </c>
      <c r="D159" s="101" t="str">
        <f aca="false">Equipos!G157</f>
        <v>Pabellón 1</v>
      </c>
      <c r="E159" s="101" t="str">
        <f aca="false">Equipos!I157</f>
        <v>Drager</v>
      </c>
      <c r="F159" s="101" t="str">
        <f aca="false">Equipos!J157</f>
        <v>Primus IE</v>
      </c>
      <c r="G159" s="100" t="str">
        <f aca="false">Equipos!K157</f>
        <v>ASHB-0263</v>
      </c>
      <c r="H159" s="101"/>
      <c r="I159" s="102"/>
      <c r="J159" s="102"/>
      <c r="K159" s="103" t="s">
        <v>328</v>
      </c>
      <c r="L159" s="102"/>
      <c r="M159" s="102"/>
      <c r="N159" s="102"/>
      <c r="O159" s="102"/>
      <c r="P159" s="102"/>
      <c r="Q159" s="102"/>
      <c r="R159" s="102"/>
      <c r="S159" s="102"/>
      <c r="T159" s="102"/>
      <c r="U159" s="101" t="n">
        <f aca="false">V159+W159+X159+COUNTIF(I159:T159,"R")</f>
        <v>1</v>
      </c>
      <c r="V159" s="101" t="n">
        <f aca="false">COUNTIF(I159:T159,"E")</f>
        <v>1</v>
      </c>
      <c r="W159" s="101" t="n">
        <f aca="false">COUNTIF(I159:T159,"X")</f>
        <v>0</v>
      </c>
      <c r="X159" s="101" t="n">
        <f aca="false">COUNTIF(I159:T159,"C2")+COUNTIF(I159:T159,"C3")</f>
        <v>0</v>
      </c>
      <c r="Y159" s="101" t="n">
        <f aca="true">SUMPRODUCT((I159:INDEX(I159:T159,MONTH(TODAY()))="X")*1)</f>
        <v>0</v>
      </c>
      <c r="Z159" s="104" t="n">
        <f aca="false">IFERROR(V159/U159,"")</f>
        <v>1</v>
      </c>
    </row>
    <row r="160" customFormat="false" ht="15" hidden="false" customHeight="true" outlineLevel="0" collapsed="false">
      <c r="A160" s="100" t="str">
        <f aca="false">Equipos!C158</f>
        <v>2-024370</v>
      </c>
      <c r="B160" s="101" t="str">
        <f aca="false">Equipos!D158</f>
        <v>Máquina de Anestesia</v>
      </c>
      <c r="C160" s="101" t="str">
        <f aca="false">Equipos!E158</f>
        <v>Pabellón Quirúrgico</v>
      </c>
      <c r="D160" s="101" t="str">
        <f aca="false">Equipos!G158</f>
        <v>Pabellón 1</v>
      </c>
      <c r="E160" s="101" t="str">
        <f aca="false">Equipos!I158</f>
        <v>Drager </v>
      </c>
      <c r="F160" s="101" t="str">
        <f aca="false">Equipos!J158</f>
        <v>Primus IE</v>
      </c>
      <c r="G160" s="100" t="str">
        <f aca="false">Equipos!K158</f>
        <v>ASHB-0262</v>
      </c>
      <c r="H160" s="101"/>
      <c r="I160" s="102"/>
      <c r="J160" s="102"/>
      <c r="K160" s="103" t="s">
        <v>331</v>
      </c>
      <c r="L160" s="103" t="s">
        <v>328</v>
      </c>
      <c r="M160" s="102"/>
      <c r="N160" s="102"/>
      <c r="O160" s="102"/>
      <c r="P160" s="102"/>
      <c r="Q160" s="102"/>
      <c r="R160" s="102"/>
      <c r="S160" s="102"/>
      <c r="T160" s="102"/>
      <c r="U160" s="101" t="n">
        <f aca="false">V160+W160+X160+COUNTIF(I160:T160,"R")</f>
        <v>2</v>
      </c>
      <c r="V160" s="101" t="n">
        <f aca="false">COUNTIF(I160:T160,"E")</f>
        <v>1</v>
      </c>
      <c r="W160" s="101" t="n">
        <f aca="false">COUNTIF(I160:T160,"X")</f>
        <v>0</v>
      </c>
      <c r="X160" s="101" t="n">
        <f aca="false">COUNTIF(I160:T160,"C2")+COUNTIF(I160:T160,"C3")</f>
        <v>1</v>
      </c>
      <c r="Y160" s="101" t="n">
        <f aca="true">SUMPRODUCT((I160:INDEX(I160:T160,MONTH(TODAY()))="X")*1)</f>
        <v>0</v>
      </c>
      <c r="Z160" s="104" t="n">
        <f aca="false">IFERROR(V160/U160,"")</f>
        <v>0.5</v>
      </c>
    </row>
    <row r="161" customFormat="false" ht="15" hidden="false" customHeight="true" outlineLevel="0" collapsed="false">
      <c r="A161" s="100" t="str">
        <f aca="false">Equipos!C159</f>
        <v>2-024352</v>
      </c>
      <c r="B161" s="101" t="str">
        <f aca="false">Equipos!D159</f>
        <v>Máquina de Anestesia</v>
      </c>
      <c r="C161" s="101" t="str">
        <f aca="false">Equipos!E159</f>
        <v>Pabellón Quirúrgico</v>
      </c>
      <c r="D161" s="101" t="str">
        <f aca="false">Equipos!G159</f>
        <v>Pabellón 1</v>
      </c>
      <c r="E161" s="101" t="str">
        <f aca="false">Equipos!I159</f>
        <v>Drager </v>
      </c>
      <c r="F161" s="101" t="str">
        <f aca="false">Equipos!J159</f>
        <v>Primus IE</v>
      </c>
      <c r="G161" s="100" t="str">
        <f aca="false">Equipos!K159</f>
        <v>ASHB-0261</v>
      </c>
      <c r="H161" s="101"/>
      <c r="I161" s="102"/>
      <c r="J161" s="102"/>
      <c r="K161" s="103" t="s">
        <v>330</v>
      </c>
      <c r="L161" s="103"/>
      <c r="M161" s="102"/>
      <c r="N161" s="102"/>
      <c r="O161" s="102"/>
      <c r="P161" s="102"/>
      <c r="Q161" s="102"/>
      <c r="R161" s="102"/>
      <c r="S161" s="102"/>
      <c r="T161" s="102"/>
      <c r="U161" s="101" t="n">
        <f aca="false">V161+W161+X161+COUNTIF(I161:T161,"R")</f>
        <v>1</v>
      </c>
      <c r="V161" s="101" t="n">
        <f aca="false">COUNTIF(I161:T161,"E")</f>
        <v>0</v>
      </c>
      <c r="W161" s="101" t="n">
        <f aca="false">COUNTIF(I161:T161,"X")</f>
        <v>0</v>
      </c>
      <c r="X161" s="101" t="n">
        <f aca="false">COUNTIF(I161:T161,"C2")+COUNTIF(I161:T161,"C3")</f>
        <v>0</v>
      </c>
      <c r="Y161" s="101" t="n">
        <f aca="true">SUMPRODUCT((I161:INDEX(I161:T161,MONTH(TODAY()))="X")*1)</f>
        <v>0</v>
      </c>
      <c r="Z161" s="104" t="n">
        <f aca="false">IFERROR(V161/U161,"")</f>
        <v>0</v>
      </c>
    </row>
    <row r="162" customFormat="false" ht="15" hidden="false" customHeight="true" outlineLevel="0" collapsed="false">
      <c r="A162" s="100" t="str">
        <f aca="false">Equipos!C160</f>
        <v>2-118716</v>
      </c>
      <c r="B162" s="101" t="str">
        <f aca="false">Equipos!D160</f>
        <v>Máquina de Anestesia</v>
      </c>
      <c r="C162" s="101" t="str">
        <f aca="false">Equipos!E160</f>
        <v>Pabellón Quirúrgico</v>
      </c>
      <c r="D162" s="101" t="str">
        <f aca="false">Equipos!G160</f>
        <v>Bodega Pabellón Central</v>
      </c>
      <c r="E162" s="101" t="str">
        <f aca="false">Equipos!I160</f>
        <v>Drager</v>
      </c>
      <c r="F162" s="101" t="str">
        <f aca="false">Equipos!J160</f>
        <v>Primus IE</v>
      </c>
      <c r="G162" s="100" t="str">
        <f aca="false">Equipos!K160</f>
        <v>ASMB-0233</v>
      </c>
      <c r="H162" s="101"/>
      <c r="I162" s="102"/>
      <c r="J162" s="102"/>
      <c r="K162" s="103" t="s">
        <v>330</v>
      </c>
      <c r="L162" s="103" t="s">
        <v>328</v>
      </c>
      <c r="M162" s="102"/>
      <c r="N162" s="102"/>
      <c r="O162" s="102"/>
      <c r="P162" s="102"/>
      <c r="Q162" s="102"/>
      <c r="R162" s="102"/>
      <c r="S162" s="102"/>
      <c r="T162" s="102"/>
      <c r="U162" s="101" t="n">
        <f aca="false">V162+W162+X162+COUNTIF(I162:T162,"R")</f>
        <v>2</v>
      </c>
      <c r="V162" s="101" t="n">
        <f aca="false">COUNTIF(I162:T162,"E")</f>
        <v>1</v>
      </c>
      <c r="W162" s="101" t="n">
        <f aca="false">COUNTIF(I162:T162,"X")</f>
        <v>0</v>
      </c>
      <c r="X162" s="101" t="n">
        <f aca="false">COUNTIF(I162:T162,"C2")+COUNTIF(I162:T162,"C3")</f>
        <v>0</v>
      </c>
      <c r="Y162" s="101" t="n">
        <f aca="true">SUMPRODUCT((I162:INDEX(I162:T162,MONTH(TODAY()))="X")*1)</f>
        <v>0</v>
      </c>
      <c r="Z162" s="104" t="n">
        <f aca="false">IFERROR(V162/U162,"")</f>
        <v>0.5</v>
      </c>
    </row>
    <row r="163" customFormat="false" ht="15" hidden="false" customHeight="true" outlineLevel="0" collapsed="false">
      <c r="A163" s="100" t="str">
        <f aca="false">Equipos!C161</f>
        <v>2-118800</v>
      </c>
      <c r="B163" s="101" t="str">
        <f aca="false">Equipos!D161</f>
        <v>Máquina de Anestesia</v>
      </c>
      <c r="C163" s="101" t="str">
        <f aca="false">Equipos!E161</f>
        <v>Pabellón Quirúrgico (Prestado a Pabellón CMA)</v>
      </c>
      <c r="D163" s="101" t="str">
        <f aca="false">Equipos!G161</f>
        <v>PabellónCMA 2</v>
      </c>
      <c r="E163" s="101" t="str">
        <f aca="false">Equipos!I161</f>
        <v>Drager</v>
      </c>
      <c r="F163" s="101" t="str">
        <f aca="false">Equipos!J161</f>
        <v>Primus</v>
      </c>
      <c r="G163" s="100" t="str">
        <f aca="false">Equipos!K161</f>
        <v>ASMB-0234</v>
      </c>
      <c r="H163" s="101"/>
      <c r="I163" s="102"/>
      <c r="J163" s="102"/>
      <c r="K163" s="103" t="s">
        <v>330</v>
      </c>
      <c r="L163" s="103"/>
      <c r="M163" s="102"/>
      <c r="N163" s="102"/>
      <c r="O163" s="102"/>
      <c r="P163" s="102"/>
      <c r="Q163" s="102"/>
      <c r="R163" s="102"/>
      <c r="S163" s="102"/>
      <c r="T163" s="102"/>
      <c r="U163" s="101" t="n">
        <f aca="false">V163+W163+X163+COUNTIF(I163:T163,"R")</f>
        <v>1</v>
      </c>
      <c r="V163" s="101" t="n">
        <f aca="false">COUNTIF(I163:T163,"E")</f>
        <v>0</v>
      </c>
      <c r="W163" s="101" t="n">
        <f aca="false">COUNTIF(I163:T163,"X")</f>
        <v>0</v>
      </c>
      <c r="X163" s="101" t="n">
        <f aca="false">COUNTIF(I163:T163,"C2")+COUNTIF(I163:T163,"C3")</f>
        <v>0</v>
      </c>
      <c r="Y163" s="101" t="n">
        <f aca="true">SUMPRODUCT((I163:INDEX(I163:T163,MONTH(TODAY()))="X")*1)</f>
        <v>0</v>
      </c>
      <c r="Z163" s="104" t="n">
        <f aca="false">IFERROR(V163/U163,"")</f>
        <v>0</v>
      </c>
    </row>
    <row r="164" customFormat="false" ht="15" hidden="false" customHeight="true" outlineLevel="0" collapsed="false">
      <c r="A164" s="100" t="str">
        <f aca="false">Equipos!C162</f>
        <v>2-118822</v>
      </c>
      <c r="B164" s="101" t="str">
        <f aca="false">Equipos!D162</f>
        <v>Máquina de Anestesia</v>
      </c>
      <c r="C164" s="101" t="str">
        <f aca="false">Equipos!E162</f>
        <v>Pabellón Quirúrgico</v>
      </c>
      <c r="D164" s="101" t="str">
        <f aca="false">Equipos!G162</f>
        <v>Pabellón 2</v>
      </c>
      <c r="E164" s="101" t="str">
        <f aca="false">Equipos!I162</f>
        <v>Drager</v>
      </c>
      <c r="F164" s="101" t="str">
        <f aca="false">Equipos!J162</f>
        <v>Perseus A500</v>
      </c>
      <c r="G164" s="100" t="str">
        <f aca="false">Equipos!K162</f>
        <v>ASMK-0087</v>
      </c>
      <c r="H164" s="101"/>
      <c r="I164" s="102"/>
      <c r="J164" s="102"/>
      <c r="K164" s="103" t="s">
        <v>330</v>
      </c>
      <c r="L164" s="103" t="s">
        <v>328</v>
      </c>
      <c r="M164" s="102"/>
      <c r="N164" s="102"/>
      <c r="O164" s="102"/>
      <c r="P164" s="102"/>
      <c r="Q164" s="102"/>
      <c r="R164" s="102"/>
      <c r="S164" s="102"/>
      <c r="T164" s="102"/>
      <c r="U164" s="101" t="n">
        <f aca="false">V164+W164+X164+COUNTIF(I164:T164,"R")</f>
        <v>2</v>
      </c>
      <c r="V164" s="101" t="n">
        <f aca="false">COUNTIF(I164:T164,"E")</f>
        <v>1</v>
      </c>
      <c r="W164" s="101" t="n">
        <f aca="false">COUNTIF(I164:T164,"X")</f>
        <v>0</v>
      </c>
      <c r="X164" s="101" t="n">
        <f aca="false">COUNTIF(I164:T164,"C2")+COUNTIF(I164:T164,"C3")</f>
        <v>0</v>
      </c>
      <c r="Y164" s="101" t="n">
        <f aca="true">SUMPRODUCT((I164:INDEX(I164:T164,MONTH(TODAY()))="X")*1)</f>
        <v>0</v>
      </c>
      <c r="Z164" s="104" t="n">
        <f aca="false">IFERROR(V164/U164,"")</f>
        <v>0.5</v>
      </c>
    </row>
    <row r="165" customFormat="false" ht="15" hidden="false" customHeight="true" outlineLevel="0" collapsed="false">
      <c r="A165" s="100" t="str">
        <f aca="false">Equipos!C163</f>
        <v>2-118850</v>
      </c>
      <c r="B165" s="101" t="str">
        <f aca="false">Equipos!D163</f>
        <v>Máquina de Anestesia</v>
      </c>
      <c r="C165" s="101" t="str">
        <f aca="false">Equipos!E163</f>
        <v>Pabellón Quirúrgico</v>
      </c>
      <c r="D165" s="101" t="str">
        <f aca="false">Equipos!G163</f>
        <v>Pabellón</v>
      </c>
      <c r="E165" s="101" t="str">
        <f aca="false">Equipos!I163</f>
        <v>Drager</v>
      </c>
      <c r="F165" s="101" t="str">
        <f aca="false">Equipos!J163</f>
        <v>Perseus A500</v>
      </c>
      <c r="G165" s="100" t="str">
        <f aca="false">Equipos!K163</f>
        <v>ASMK-0086</v>
      </c>
      <c r="H165" s="101"/>
      <c r="I165" s="102"/>
      <c r="J165" s="102"/>
      <c r="K165" s="103" t="s">
        <v>330</v>
      </c>
      <c r="L165" s="103" t="s">
        <v>328</v>
      </c>
      <c r="M165" s="102"/>
      <c r="N165" s="102"/>
      <c r="O165" s="102"/>
      <c r="P165" s="102"/>
      <c r="Q165" s="102"/>
      <c r="R165" s="102"/>
      <c r="S165" s="102"/>
      <c r="T165" s="102"/>
      <c r="U165" s="101" t="n">
        <f aca="false">V165+W165+X165+COUNTIF(I165:T165,"R")</f>
        <v>2</v>
      </c>
      <c r="V165" s="101" t="n">
        <f aca="false">COUNTIF(I165:T165,"E")</f>
        <v>1</v>
      </c>
      <c r="W165" s="101" t="n">
        <f aca="false">COUNTIF(I165:T165,"X")</f>
        <v>0</v>
      </c>
      <c r="X165" s="101" t="n">
        <f aca="false">COUNTIF(I165:T165,"C2")+COUNTIF(I165:T165,"C3")</f>
        <v>0</v>
      </c>
      <c r="Y165" s="101" t="n">
        <f aca="true">SUMPRODUCT((I165:INDEX(I165:T165,MONTH(TODAY()))="X")*1)</f>
        <v>0</v>
      </c>
      <c r="Z165" s="104" t="n">
        <f aca="false">IFERROR(V165/U165,"")</f>
        <v>0.5</v>
      </c>
    </row>
    <row r="166" customFormat="false" ht="15" hidden="false" customHeight="true" outlineLevel="0" collapsed="false">
      <c r="A166" s="100" t="str">
        <f aca="false">Equipos!C164</f>
        <v>2-118851</v>
      </c>
      <c r="B166" s="101" t="str">
        <f aca="false">Equipos!D164</f>
        <v>Máquina de Anestesia</v>
      </c>
      <c r="C166" s="101" t="str">
        <f aca="false">Equipos!E164</f>
        <v>Pabellón Quirúrgico</v>
      </c>
      <c r="D166" s="101" t="str">
        <f aca="false">Equipos!G164</f>
        <v>Pabellón 10</v>
      </c>
      <c r="E166" s="101" t="str">
        <f aca="false">Equipos!I164</f>
        <v>Drager</v>
      </c>
      <c r="F166" s="101" t="str">
        <f aca="false">Equipos!J164</f>
        <v>Perseus A500</v>
      </c>
      <c r="G166" s="100" t="str">
        <f aca="false">Equipos!K164</f>
        <v>ASMK-0085</v>
      </c>
      <c r="H166" s="101"/>
      <c r="I166" s="102"/>
      <c r="J166" s="102"/>
      <c r="K166" s="103" t="s">
        <v>330</v>
      </c>
      <c r="L166" s="102"/>
      <c r="M166" s="102"/>
      <c r="N166" s="102"/>
      <c r="O166" s="102"/>
      <c r="P166" s="102"/>
      <c r="Q166" s="102"/>
      <c r="R166" s="102"/>
      <c r="S166" s="102"/>
      <c r="T166" s="102"/>
      <c r="U166" s="101" t="n">
        <f aca="false">V166+W166+X166+COUNTIF(I166:T166,"R")</f>
        <v>1</v>
      </c>
      <c r="V166" s="101" t="n">
        <f aca="false">COUNTIF(I166:T166,"E")</f>
        <v>0</v>
      </c>
      <c r="W166" s="101" t="n">
        <f aca="false">COUNTIF(I166:T166,"X")</f>
        <v>0</v>
      </c>
      <c r="X166" s="101" t="n">
        <f aca="false">COUNTIF(I166:T166,"C2")+COUNTIF(I166:T166,"C3")</f>
        <v>0</v>
      </c>
      <c r="Y166" s="101" t="n">
        <f aca="true">SUMPRODUCT((I166:INDEX(I166:T166,MONTH(TODAY()))="X")*1)</f>
        <v>0</v>
      </c>
      <c r="Z166" s="104" t="n">
        <f aca="false">IFERROR(V166/U166,"")</f>
        <v>0</v>
      </c>
    </row>
    <row r="167" customFormat="false" ht="15" hidden="false" customHeight="true" outlineLevel="0" collapsed="false">
      <c r="A167" s="100" t="str">
        <f aca="false">Equipos!C165</f>
        <v>2-118840</v>
      </c>
      <c r="B167" s="101" t="str">
        <f aca="false">Equipos!D165</f>
        <v>Máquina de Anestesia</v>
      </c>
      <c r="C167" s="101" t="str">
        <f aca="false">Equipos!E165</f>
        <v>Pabellón Quirúrgico</v>
      </c>
      <c r="D167" s="101" t="str">
        <f aca="false">Equipos!G165</f>
        <v>Pabellón 5</v>
      </c>
      <c r="E167" s="101" t="str">
        <f aca="false">Equipos!I165</f>
        <v>Drager</v>
      </c>
      <c r="F167" s="101" t="str">
        <f aca="false">Equipos!J165</f>
        <v>Primus</v>
      </c>
      <c r="G167" s="100" t="str">
        <f aca="false">Equipos!K165</f>
        <v>ASMK-0178</v>
      </c>
      <c r="H167" s="101"/>
      <c r="I167" s="102"/>
      <c r="J167" s="102"/>
      <c r="K167" s="103" t="s">
        <v>330</v>
      </c>
      <c r="L167" s="103"/>
      <c r="M167" s="102"/>
      <c r="N167" s="102"/>
      <c r="O167" s="102"/>
      <c r="P167" s="102"/>
      <c r="Q167" s="102"/>
      <c r="R167" s="102"/>
      <c r="S167" s="102"/>
      <c r="T167" s="102"/>
      <c r="U167" s="101" t="n">
        <f aca="false">V167+W167+X167+COUNTIF(I167:T167,"R")</f>
        <v>1</v>
      </c>
      <c r="V167" s="101" t="n">
        <f aca="false">COUNTIF(I167:T167,"E")</f>
        <v>0</v>
      </c>
      <c r="W167" s="101" t="n">
        <f aca="false">COUNTIF(I167:T167,"X")</f>
        <v>0</v>
      </c>
      <c r="X167" s="101" t="n">
        <f aca="false">COUNTIF(I167:T167,"C2")+COUNTIF(I167:T167,"C3")</f>
        <v>0</v>
      </c>
      <c r="Y167" s="101" t="n">
        <f aca="true">SUMPRODUCT((I167:INDEX(I167:T167,MONTH(TODAY()))="X")*1)</f>
        <v>0</v>
      </c>
      <c r="Z167" s="104" t="n">
        <f aca="false">IFERROR(V167/U167,"")</f>
        <v>0</v>
      </c>
    </row>
    <row r="168" customFormat="false" ht="15" hidden="false" customHeight="true" outlineLevel="0" collapsed="false">
      <c r="A168" s="100" t="str">
        <f aca="false">Equipos!C166</f>
        <v>2-118843</v>
      </c>
      <c r="B168" s="101" t="str">
        <f aca="false">Equipos!D166</f>
        <v>Máquina de Anestesia</v>
      </c>
      <c r="C168" s="101" t="str">
        <f aca="false">Equipos!E166</f>
        <v>Pabellón Quirúrgico</v>
      </c>
      <c r="D168" s="101" t="str">
        <f aca="false">Equipos!G166</f>
        <v>Pabellón 3 </v>
      </c>
      <c r="E168" s="101" t="str">
        <f aca="false">Equipos!I166</f>
        <v>Drager</v>
      </c>
      <c r="F168" s="101" t="str">
        <f aca="false">Equipos!J166</f>
        <v>Primus</v>
      </c>
      <c r="G168" s="100" t="str">
        <f aca="false">Equipos!K166</f>
        <v>ASMK-0179</v>
      </c>
      <c r="H168" s="101"/>
      <c r="I168" s="102"/>
      <c r="J168" s="102"/>
      <c r="K168" s="103" t="s">
        <v>330</v>
      </c>
      <c r="L168" s="103"/>
      <c r="M168" s="102"/>
      <c r="N168" s="102"/>
      <c r="O168" s="102"/>
      <c r="P168" s="102"/>
      <c r="Q168" s="102"/>
      <c r="R168" s="102"/>
      <c r="S168" s="102"/>
      <c r="T168" s="102"/>
      <c r="U168" s="101" t="n">
        <f aca="false">V168+W168+X168+COUNTIF(I168:T168,"R")</f>
        <v>1</v>
      </c>
      <c r="V168" s="101" t="n">
        <f aca="false">COUNTIF(I168:T168,"E")</f>
        <v>0</v>
      </c>
      <c r="W168" s="101" t="n">
        <f aca="false">COUNTIF(I168:T168,"X")</f>
        <v>0</v>
      </c>
      <c r="X168" s="101" t="n">
        <f aca="false">COUNTIF(I168:T168,"C2")+COUNTIF(I168:T168,"C3")</f>
        <v>0</v>
      </c>
      <c r="Y168" s="101" t="n">
        <f aca="true">SUMPRODUCT((I168:INDEX(I168:T168,MONTH(TODAY()))="X")*1)</f>
        <v>0</v>
      </c>
      <c r="Z168" s="104" t="n">
        <f aca="false">IFERROR(V168/U168,"")</f>
        <v>0</v>
      </c>
    </row>
    <row r="169" customFormat="false" ht="15" hidden="false" customHeight="true" outlineLevel="0" collapsed="false">
      <c r="A169" s="100" t="str">
        <f aca="false">Equipos!C167</f>
        <v>2-118847</v>
      </c>
      <c r="B169" s="101" t="str">
        <f aca="false">Equipos!D167</f>
        <v>Máquina de Anestesia</v>
      </c>
      <c r="C169" s="101" t="str">
        <f aca="false">Equipos!E167</f>
        <v>Pabellón Quirúrgico (Prestado a Imagenología)</v>
      </c>
      <c r="D169" s="101" t="str">
        <f aca="false">Equipos!G167</f>
        <v>Resonador</v>
      </c>
      <c r="E169" s="101" t="str">
        <f aca="false">Equipos!I167</f>
        <v>Drager</v>
      </c>
      <c r="F169" s="101" t="str">
        <f aca="false">Equipos!J167</f>
        <v>Fabius MRI</v>
      </c>
      <c r="G169" s="100" t="str">
        <f aca="false">Equipos!K167</f>
        <v>ASML-0015</v>
      </c>
      <c r="H169" s="101"/>
      <c r="I169" s="102"/>
      <c r="J169" s="102"/>
      <c r="K169" s="103" t="s">
        <v>330</v>
      </c>
      <c r="L169" s="103" t="s">
        <v>328</v>
      </c>
      <c r="M169" s="102"/>
      <c r="N169" s="102"/>
      <c r="O169" s="102"/>
      <c r="P169" s="102"/>
      <c r="Q169" s="102"/>
      <c r="R169" s="102"/>
      <c r="S169" s="102"/>
      <c r="T169" s="102"/>
      <c r="U169" s="101" t="n">
        <f aca="false">V169+W169+X169+COUNTIF(I169:T169,"R")</f>
        <v>2</v>
      </c>
      <c r="V169" s="101" t="n">
        <f aca="false">COUNTIF(I169:T169,"E")</f>
        <v>1</v>
      </c>
      <c r="W169" s="101" t="n">
        <f aca="false">COUNTIF(I169:T169,"X")</f>
        <v>0</v>
      </c>
      <c r="X169" s="101" t="n">
        <f aca="false">COUNTIF(I169:T169,"C2")+COUNTIF(I169:T169,"C3")</f>
        <v>0</v>
      </c>
      <c r="Y169" s="101" t="n">
        <f aca="true">SUMPRODUCT((I169:INDEX(I169:T169,MONTH(TODAY()))="X")*1)</f>
        <v>0</v>
      </c>
      <c r="Z169" s="104" t="n">
        <f aca="false">IFERROR(V169/U169,"")</f>
        <v>0.5</v>
      </c>
    </row>
    <row r="170" customFormat="false" ht="15" hidden="false" customHeight="true" outlineLevel="0" collapsed="false">
      <c r="A170" s="100" t="str">
        <f aca="false">Equipos!C168</f>
        <v>2-003535</v>
      </c>
      <c r="B170" s="101" t="str">
        <f aca="false">Equipos!D168</f>
        <v>Ventilador Mecánico </v>
      </c>
      <c r="C170" s="101" t="str">
        <f aca="false">Equipos!E168</f>
        <v>UPC Adulto</v>
      </c>
      <c r="D170" s="101" t="str">
        <f aca="false">Equipos!G168</f>
        <v>UPC-P2-SA07</v>
      </c>
      <c r="E170" s="101" t="str">
        <f aca="false">Equipos!I168</f>
        <v>Puritan Bennett</v>
      </c>
      <c r="F170" s="101" t="str">
        <f aca="false">Equipos!J168</f>
        <v>840/Sin Comp.</v>
      </c>
      <c r="G170" s="100" t="str">
        <f aca="false">Equipos!K168</f>
        <v>3510094199</v>
      </c>
      <c r="H170" s="101"/>
      <c r="I170" s="102"/>
      <c r="J170" s="102"/>
      <c r="K170" s="103" t="s">
        <v>330</v>
      </c>
      <c r="L170" s="103" t="s">
        <v>328</v>
      </c>
      <c r="M170" s="102"/>
      <c r="N170" s="102"/>
      <c r="O170" s="102"/>
      <c r="P170" s="102"/>
      <c r="Q170" s="102"/>
      <c r="R170" s="102"/>
      <c r="S170" s="102"/>
      <c r="T170" s="102"/>
      <c r="U170" s="101" t="n">
        <f aca="false">V170+W170+X170+COUNTIF(I170:T170,"R")</f>
        <v>2</v>
      </c>
      <c r="V170" s="101" t="n">
        <f aca="false">COUNTIF(I170:T170,"E")</f>
        <v>1</v>
      </c>
      <c r="W170" s="101" t="n">
        <f aca="false">COUNTIF(I170:T170,"X")</f>
        <v>0</v>
      </c>
      <c r="X170" s="101" t="n">
        <f aca="false">COUNTIF(I170:T170,"C2")+COUNTIF(I170:T170,"C3")</f>
        <v>0</v>
      </c>
      <c r="Y170" s="101" t="n">
        <f aca="true">SUMPRODUCT((I170:INDEX(I170:T170,MONTH(TODAY()))="X")*1)</f>
        <v>0</v>
      </c>
      <c r="Z170" s="104" t="n">
        <f aca="false">IFERROR(V170/U170,"")</f>
        <v>0.5</v>
      </c>
    </row>
    <row r="171" customFormat="false" ht="15" hidden="false" customHeight="true" outlineLevel="0" collapsed="false">
      <c r="A171" s="100" t="str">
        <f aca="false">Equipos!C169</f>
        <v>2-121199</v>
      </c>
      <c r="B171" s="101" t="str">
        <f aca="false">Equipos!D169</f>
        <v>Ventilador Mecánico </v>
      </c>
      <c r="C171" s="101" t="str">
        <f aca="false">Equipos!E169</f>
        <v>UPC Adulto</v>
      </c>
      <c r="D171" s="101" t="n">
        <f aca="false">Equipos!G169</f>
        <v>0</v>
      </c>
      <c r="E171" s="101" t="str">
        <f aca="false">Equipos!I169</f>
        <v>MEK ICS</v>
      </c>
      <c r="F171" s="101" t="str">
        <f aca="false">Equipos!J169</f>
        <v>MTV1000</v>
      </c>
      <c r="G171" s="100" t="str">
        <f aca="false">Equipos!K169</f>
        <v>MTV1KUA1C0139</v>
      </c>
      <c r="H171" s="101"/>
      <c r="I171" s="102"/>
      <c r="J171" s="102"/>
      <c r="K171" s="102"/>
      <c r="L171" s="103" t="s">
        <v>328</v>
      </c>
      <c r="M171" s="102"/>
      <c r="N171" s="102"/>
      <c r="O171" s="102"/>
      <c r="P171" s="102"/>
      <c r="Q171" s="102"/>
      <c r="R171" s="102"/>
      <c r="S171" s="102"/>
      <c r="T171" s="102"/>
      <c r="U171" s="101" t="n">
        <f aca="false">V171+W171+X171+COUNTIF(I171:T171,"R")</f>
        <v>1</v>
      </c>
      <c r="V171" s="101" t="n">
        <f aca="false">COUNTIF(I171:T171,"E")</f>
        <v>1</v>
      </c>
      <c r="W171" s="101" t="n">
        <f aca="false">COUNTIF(I171:T171,"X")</f>
        <v>0</v>
      </c>
      <c r="X171" s="101" t="n">
        <f aca="false">COUNTIF(I171:T171,"C2")+COUNTIF(I171:T171,"C3")</f>
        <v>0</v>
      </c>
      <c r="Y171" s="101" t="n">
        <f aca="true">SUMPRODUCT((I171:INDEX(I171:T171,MONTH(TODAY()))="X")*1)</f>
        <v>0</v>
      </c>
      <c r="Z171" s="104" t="n">
        <f aca="false">IFERROR(V171/U171,"")</f>
        <v>1</v>
      </c>
    </row>
    <row r="172" customFormat="false" ht="15" hidden="false" customHeight="true" outlineLevel="0" collapsed="false">
      <c r="A172" s="100" t="str">
        <f aca="false">Equipos!C170</f>
        <v>200717-011500</v>
      </c>
      <c r="B172" s="101" t="str">
        <f aca="false">Equipos!D170</f>
        <v>Ventilador Mecánico </v>
      </c>
      <c r="C172" s="101" t="str">
        <f aca="false">Equipos!E170</f>
        <v>UPC Adulto</v>
      </c>
      <c r="D172" s="101" t="n">
        <f aca="false">Equipos!G170</f>
        <v>0</v>
      </c>
      <c r="E172" s="101" t="str">
        <f aca="false">Equipos!I170</f>
        <v>Drager</v>
      </c>
      <c r="F172" s="101" t="str">
        <f aca="false">Equipos!J170</f>
        <v>Savina 300 Classic</v>
      </c>
      <c r="G172" s="100" t="str">
        <f aca="false">Equipos!K170</f>
        <v>ASSM-0041</v>
      </c>
      <c r="H172" s="101"/>
      <c r="I172" s="102"/>
      <c r="J172" s="103" t="s">
        <v>328</v>
      </c>
      <c r="K172" s="102"/>
      <c r="L172" s="103" t="s">
        <v>328</v>
      </c>
      <c r="M172" s="102"/>
      <c r="N172" s="102"/>
      <c r="O172" s="102"/>
      <c r="P172" s="102"/>
      <c r="Q172" s="102"/>
      <c r="R172" s="102"/>
      <c r="S172" s="102"/>
      <c r="T172" s="102"/>
      <c r="U172" s="101" t="n">
        <f aca="false">V172+W172+X172+COUNTIF(I172:T172,"R")</f>
        <v>2</v>
      </c>
      <c r="V172" s="101" t="n">
        <f aca="false">COUNTIF(I172:T172,"E")</f>
        <v>2</v>
      </c>
      <c r="W172" s="101" t="n">
        <f aca="false">COUNTIF(I172:T172,"X")</f>
        <v>0</v>
      </c>
      <c r="X172" s="101" t="n">
        <f aca="false">COUNTIF(I172:T172,"C2")+COUNTIF(I172:T172,"C3")</f>
        <v>0</v>
      </c>
      <c r="Y172" s="101" t="n">
        <f aca="true">SUMPRODUCT((I172:INDEX(I172:T172,MONTH(TODAY()))="X")*1)</f>
        <v>0</v>
      </c>
      <c r="Z172" s="104" t="n">
        <f aca="false">IFERROR(V172/U172,"")</f>
        <v>1</v>
      </c>
    </row>
    <row r="173" customFormat="false" ht="15" hidden="false" customHeight="true" outlineLevel="0" collapsed="false">
      <c r="A173" s="100" t="str">
        <f aca="false">Equipos!C171</f>
        <v>2-013579</v>
      </c>
      <c r="B173" s="101" t="str">
        <f aca="false">Equipos!D171</f>
        <v>Ventilador Mecánico </v>
      </c>
      <c r="C173" s="101" t="str">
        <f aca="false">Equipos!E171</f>
        <v>UPC Adulto</v>
      </c>
      <c r="D173" s="101" t="str">
        <f aca="false">Equipos!G171</f>
        <v>UPC-P2-SA19</v>
      </c>
      <c r="E173" s="101" t="str">
        <f aca="false">Equipos!I171</f>
        <v>Puritan Bennett</v>
      </c>
      <c r="F173" s="101" t="n">
        <f aca="false">Equipos!J171</f>
        <v>840</v>
      </c>
      <c r="G173" s="100" t="str">
        <f aca="false">Equipos!K171</f>
        <v>3510094181</v>
      </c>
      <c r="H173" s="101"/>
      <c r="I173" s="102"/>
      <c r="J173" s="102"/>
      <c r="K173" s="103" t="s">
        <v>330</v>
      </c>
      <c r="L173" s="103" t="s">
        <v>328</v>
      </c>
      <c r="M173" s="102"/>
      <c r="N173" s="102"/>
      <c r="O173" s="102"/>
      <c r="P173" s="102"/>
      <c r="Q173" s="102"/>
      <c r="R173" s="102"/>
      <c r="S173" s="102"/>
      <c r="T173" s="102"/>
      <c r="U173" s="101" t="n">
        <f aca="false">V173+W173+X173+COUNTIF(I173:T173,"R")</f>
        <v>2</v>
      </c>
      <c r="V173" s="101" t="n">
        <f aca="false">COUNTIF(I173:T173,"E")</f>
        <v>1</v>
      </c>
      <c r="W173" s="101" t="n">
        <f aca="false">COUNTIF(I173:T173,"X")</f>
        <v>0</v>
      </c>
      <c r="X173" s="101" t="n">
        <f aca="false">COUNTIF(I173:T173,"C2")+COUNTIF(I173:T173,"C3")</f>
        <v>0</v>
      </c>
      <c r="Y173" s="101" t="n">
        <f aca="true">SUMPRODUCT((I173:INDEX(I173:T173,MONTH(TODAY()))="X")*1)</f>
        <v>0</v>
      </c>
      <c r="Z173" s="104" t="n">
        <f aca="false">IFERROR(V173/U173,"")</f>
        <v>0.5</v>
      </c>
    </row>
    <row r="174" customFormat="false" ht="15" hidden="false" customHeight="true" outlineLevel="0" collapsed="false">
      <c r="A174" s="100" t="str">
        <f aca="false">Equipos!C172</f>
        <v>2-112306</v>
      </c>
      <c r="B174" s="101" t="str">
        <f aca="false">Equipos!D172</f>
        <v>Ventilador Mecánico </v>
      </c>
      <c r="C174" s="101" t="str">
        <f aca="false">Equipos!E172</f>
        <v>UPC Adulto</v>
      </c>
      <c r="D174" s="101" t="str">
        <f aca="false">Equipos!G172</f>
        <v>UPC-P2-SA19</v>
      </c>
      <c r="E174" s="101" t="str">
        <f aca="false">Equipos!I172</f>
        <v>Puritan Bennett</v>
      </c>
      <c r="F174" s="101" t="str">
        <f aca="false">Equipos!J172</f>
        <v>840/Sin Comp.</v>
      </c>
      <c r="G174" s="100" t="str">
        <f aca="false">Equipos!K172</f>
        <v>3510094192</v>
      </c>
      <c r="H174" s="101"/>
      <c r="I174" s="102"/>
      <c r="J174" s="102"/>
      <c r="K174" s="103" t="s">
        <v>330</v>
      </c>
      <c r="L174" s="103" t="s">
        <v>328</v>
      </c>
      <c r="M174" s="102"/>
      <c r="N174" s="102"/>
      <c r="O174" s="102"/>
      <c r="P174" s="102"/>
      <c r="Q174" s="102"/>
      <c r="R174" s="102"/>
      <c r="S174" s="102"/>
      <c r="T174" s="102"/>
      <c r="U174" s="101" t="n">
        <f aca="false">V174+W174+X174+COUNTIF(I174:T174,"R")</f>
        <v>2</v>
      </c>
      <c r="V174" s="101" t="n">
        <f aca="false">COUNTIF(I174:T174,"E")</f>
        <v>1</v>
      </c>
      <c r="W174" s="101" t="n">
        <f aca="false">COUNTIF(I174:T174,"X")</f>
        <v>0</v>
      </c>
      <c r="X174" s="101" t="n">
        <f aca="false">COUNTIF(I174:T174,"C2")+COUNTIF(I174:T174,"C3")</f>
        <v>0</v>
      </c>
      <c r="Y174" s="101" t="n">
        <f aca="true">SUMPRODUCT((I174:INDEX(I174:T174,MONTH(TODAY()))="X")*1)</f>
        <v>0</v>
      </c>
      <c r="Z174" s="104" t="n">
        <f aca="false">IFERROR(V174/U174,"")</f>
        <v>0.5</v>
      </c>
    </row>
    <row r="175" customFormat="false" ht="15" hidden="false" customHeight="true" outlineLevel="0" collapsed="false">
      <c r="A175" s="100" t="str">
        <f aca="false">Equipos!C173</f>
        <v>2-121782</v>
      </c>
      <c r="B175" s="101" t="str">
        <f aca="false">Equipos!D173</f>
        <v>Ventilador Mecánico </v>
      </c>
      <c r="C175" s="101" t="str">
        <f aca="false">Equipos!E173</f>
        <v>UPC Cardiovascular</v>
      </c>
      <c r="D175" s="101" t="n">
        <f aca="false">Equipos!G173</f>
        <v>0</v>
      </c>
      <c r="E175" s="101" t="str">
        <f aca="false">Equipos!I173</f>
        <v>Puritan Bennett</v>
      </c>
      <c r="F175" s="101" t="str">
        <f aca="false">Equipos!J173</f>
        <v>980/cc</v>
      </c>
      <c r="G175" s="100" t="str">
        <f aca="false">Equipos!K173</f>
        <v>35B2101536</v>
      </c>
      <c r="H175" s="101"/>
      <c r="I175" s="102"/>
      <c r="J175" s="102"/>
      <c r="K175" s="103" t="s">
        <v>330</v>
      </c>
      <c r="L175" s="103" t="s">
        <v>328</v>
      </c>
      <c r="M175" s="102"/>
      <c r="N175" s="102"/>
      <c r="O175" s="102"/>
      <c r="P175" s="102"/>
      <c r="Q175" s="102"/>
      <c r="R175" s="102"/>
      <c r="S175" s="102"/>
      <c r="T175" s="102"/>
      <c r="U175" s="101" t="n">
        <f aca="false">V175+W175+X175+COUNTIF(I175:T175,"R")</f>
        <v>2</v>
      </c>
      <c r="V175" s="101" t="n">
        <f aca="false">COUNTIF(I175:T175,"E")</f>
        <v>1</v>
      </c>
      <c r="W175" s="101" t="n">
        <f aca="false">COUNTIF(I175:T175,"X")</f>
        <v>0</v>
      </c>
      <c r="X175" s="101" t="n">
        <f aca="false">COUNTIF(I175:T175,"C2")+COUNTIF(I175:T175,"C3")</f>
        <v>0</v>
      </c>
      <c r="Y175" s="101" t="n">
        <f aca="true">SUMPRODUCT((I175:INDEX(I175:T175,MONTH(TODAY()))="X")*1)</f>
        <v>0</v>
      </c>
      <c r="Z175" s="104" t="n">
        <f aca="false">IFERROR(V175/U175,"")</f>
        <v>0.5</v>
      </c>
    </row>
    <row r="176" customFormat="false" ht="15" hidden="false" customHeight="true" outlineLevel="0" collapsed="false">
      <c r="A176" s="100" t="str">
        <f aca="false">Equipos!C174</f>
        <v>2-121200</v>
      </c>
      <c r="B176" s="101" t="str">
        <f aca="false">Equipos!D174</f>
        <v>Ventilador Mecánico </v>
      </c>
      <c r="C176" s="101" t="str">
        <f aca="false">Equipos!E174</f>
        <v>UPC Cardiovascular</v>
      </c>
      <c r="D176" s="101" t="n">
        <f aca="false">Equipos!G174</f>
        <v>0</v>
      </c>
      <c r="E176" s="101" t="str">
        <f aca="false">Equipos!I174</f>
        <v>MEK ICS</v>
      </c>
      <c r="F176" s="101" t="str">
        <f aca="false">Equipos!J174</f>
        <v>MTV1000</v>
      </c>
      <c r="G176" s="100" t="str">
        <f aca="false">Equipos!K174</f>
        <v>MTV1KUA1B0123</v>
      </c>
      <c r="H176" s="101"/>
      <c r="I176" s="102"/>
      <c r="J176" s="102"/>
      <c r="K176" s="102"/>
      <c r="L176" s="103" t="s">
        <v>328</v>
      </c>
      <c r="M176" s="102"/>
      <c r="N176" s="102"/>
      <c r="O176" s="102"/>
      <c r="P176" s="102"/>
      <c r="Q176" s="102"/>
      <c r="R176" s="102"/>
      <c r="S176" s="102"/>
      <c r="T176" s="102"/>
      <c r="U176" s="101" t="n">
        <f aca="false">V176+W176+X176+COUNTIF(I176:T176,"R")</f>
        <v>1</v>
      </c>
      <c r="V176" s="101" t="n">
        <f aca="false">COUNTIF(I176:T176,"E")</f>
        <v>1</v>
      </c>
      <c r="W176" s="101" t="n">
        <f aca="false">COUNTIF(I176:T176,"X")</f>
        <v>0</v>
      </c>
      <c r="X176" s="101" t="n">
        <f aca="false">COUNTIF(I176:T176,"C2")+COUNTIF(I176:T176,"C3")</f>
        <v>0</v>
      </c>
      <c r="Y176" s="101" t="n">
        <f aca="true">SUMPRODUCT((I176:INDEX(I176:T176,MONTH(TODAY()))="X")*1)</f>
        <v>0</v>
      </c>
      <c r="Z176" s="104" t="n">
        <f aca="false">IFERROR(V176/U176,"")</f>
        <v>1</v>
      </c>
    </row>
    <row r="177" customFormat="false" ht="15" hidden="false" customHeight="true" outlineLevel="0" collapsed="false">
      <c r="A177" s="100" t="str">
        <f aca="false">Equipos!C175</f>
        <v>2-121783</v>
      </c>
      <c r="B177" s="101" t="str">
        <f aca="false">Equipos!D175</f>
        <v>Ventilador Mecánico </v>
      </c>
      <c r="C177" s="101" t="str">
        <f aca="false">Equipos!E175</f>
        <v>UPC Cardiovascular</v>
      </c>
      <c r="D177" s="101" t="n">
        <f aca="false">Equipos!G175</f>
        <v>0</v>
      </c>
      <c r="E177" s="101" t="str">
        <f aca="false">Equipos!I175</f>
        <v>Puritan Bennett</v>
      </c>
      <c r="F177" s="101" t="str">
        <f aca="false">Equipos!J175</f>
        <v>980/cc</v>
      </c>
      <c r="G177" s="100" t="str">
        <f aca="false">Equipos!K175</f>
        <v>35B2101595</v>
      </c>
      <c r="H177" s="101"/>
      <c r="I177" s="102"/>
      <c r="J177" s="102"/>
      <c r="K177" s="103" t="s">
        <v>330</v>
      </c>
      <c r="L177" s="103" t="s">
        <v>328</v>
      </c>
      <c r="M177" s="102"/>
      <c r="N177" s="102"/>
      <c r="O177" s="102"/>
      <c r="P177" s="102"/>
      <c r="Q177" s="102"/>
      <c r="R177" s="102"/>
      <c r="S177" s="102"/>
      <c r="T177" s="102"/>
      <c r="U177" s="101" t="n">
        <f aca="false">V177+W177+X177+COUNTIF(I177:T177,"R")</f>
        <v>2</v>
      </c>
      <c r="V177" s="101" t="n">
        <f aca="false">COUNTIF(I177:T177,"E")</f>
        <v>1</v>
      </c>
      <c r="W177" s="101" t="n">
        <f aca="false">COUNTIF(I177:T177,"X")</f>
        <v>0</v>
      </c>
      <c r="X177" s="101" t="n">
        <f aca="false">COUNTIF(I177:T177,"C2")+COUNTIF(I177:T177,"C3")</f>
        <v>0</v>
      </c>
      <c r="Y177" s="101" t="n">
        <f aca="true">SUMPRODUCT((I177:INDEX(I177:T177,MONTH(TODAY()))="X")*1)</f>
        <v>0</v>
      </c>
      <c r="Z177" s="104" t="n">
        <f aca="false">IFERROR(V177/U177,"")</f>
        <v>0.5</v>
      </c>
    </row>
    <row r="178" customFormat="false" ht="15" hidden="false" customHeight="true" outlineLevel="0" collapsed="false">
      <c r="A178" s="100" t="str">
        <f aca="false">Equipos!C176</f>
        <v>121010-005326</v>
      </c>
      <c r="B178" s="101" t="str">
        <f aca="false">Equipos!D176</f>
        <v>Ventilador Mecánico </v>
      </c>
      <c r="C178" s="101" t="str">
        <f aca="false">Equipos!E176</f>
        <v>UPC Adulto</v>
      </c>
      <c r="D178" s="101" t="n">
        <f aca="false">Equipos!G176</f>
        <v>0</v>
      </c>
      <c r="E178" s="101" t="str">
        <f aca="false">Equipos!I176</f>
        <v>Flight Medical</v>
      </c>
      <c r="F178" s="101" t="str">
        <f aca="false">Equipos!J176</f>
        <v>Flight 60</v>
      </c>
      <c r="G178" s="100" t="str">
        <f aca="false">Equipos!K176</f>
        <v>16124260</v>
      </c>
      <c r="H178" s="101"/>
      <c r="I178" s="103" t="s">
        <v>328</v>
      </c>
      <c r="J178" s="102"/>
      <c r="K178" s="102"/>
      <c r="L178" s="102"/>
      <c r="M178" s="102"/>
      <c r="N178" s="102"/>
      <c r="O178" s="102"/>
      <c r="P178" s="102"/>
      <c r="Q178" s="102"/>
      <c r="R178" s="102"/>
      <c r="S178" s="102"/>
      <c r="T178" s="102"/>
      <c r="U178" s="101" t="n">
        <f aca="false">V178+W178+X178+COUNTIF(I178:T178,"R")</f>
        <v>1</v>
      </c>
      <c r="V178" s="101" t="n">
        <f aca="false">COUNTIF(I178:T178,"E")</f>
        <v>1</v>
      </c>
      <c r="W178" s="101" t="n">
        <f aca="false">COUNTIF(I178:T178,"X")</f>
        <v>0</v>
      </c>
      <c r="X178" s="101" t="n">
        <f aca="false">COUNTIF(I178:T178,"C2")+COUNTIF(I178:T178,"C3")</f>
        <v>0</v>
      </c>
      <c r="Y178" s="101" t="n">
        <f aca="true">SUMPRODUCT((I178:INDEX(I178:T178,MONTH(TODAY()))="X")*1)</f>
        <v>0</v>
      </c>
      <c r="Z178" s="104" t="n">
        <f aca="false">IFERROR(V178/U178,"")</f>
        <v>1</v>
      </c>
    </row>
    <row r="179" customFormat="false" ht="15" hidden="false" customHeight="true" outlineLevel="0" collapsed="false">
      <c r="A179" s="100" t="str">
        <f aca="false">Equipos!C177</f>
        <v>2-121784</v>
      </c>
      <c r="B179" s="101" t="str">
        <f aca="false">Equipos!D177</f>
        <v>Ventilador Mecánico </v>
      </c>
      <c r="C179" s="101" t="str">
        <f aca="false">Equipos!E177</f>
        <v>UPC Cardiovascular</v>
      </c>
      <c r="D179" s="101" t="n">
        <f aca="false">Equipos!G177</f>
        <v>0</v>
      </c>
      <c r="E179" s="101" t="str">
        <f aca="false">Equipos!I177</f>
        <v>Puritan Bennett</v>
      </c>
      <c r="F179" s="101" t="str">
        <f aca="false">Equipos!J177</f>
        <v>980/cc</v>
      </c>
      <c r="G179" s="100" t="str">
        <f aca="false">Equipos!K177</f>
        <v>35B2101546</v>
      </c>
      <c r="H179" s="101"/>
      <c r="I179" s="102"/>
      <c r="J179" s="102"/>
      <c r="K179" s="103" t="s">
        <v>330</v>
      </c>
      <c r="L179" s="103" t="s">
        <v>328</v>
      </c>
      <c r="M179" s="102"/>
      <c r="N179" s="102"/>
      <c r="O179" s="102"/>
      <c r="P179" s="102"/>
      <c r="Q179" s="102"/>
      <c r="R179" s="102"/>
      <c r="S179" s="102"/>
      <c r="T179" s="102"/>
      <c r="U179" s="101" t="n">
        <f aca="false">V179+W179+X179+COUNTIF(I179:T179,"R")</f>
        <v>2</v>
      </c>
      <c r="V179" s="101" t="n">
        <f aca="false">COUNTIF(I179:T179,"E")</f>
        <v>1</v>
      </c>
      <c r="W179" s="101" t="n">
        <f aca="false">COUNTIF(I179:T179,"X")</f>
        <v>0</v>
      </c>
      <c r="X179" s="101" t="n">
        <f aca="false">COUNTIF(I179:T179,"C2")+COUNTIF(I179:T179,"C3")</f>
        <v>0</v>
      </c>
      <c r="Y179" s="101" t="n">
        <f aca="true">SUMPRODUCT((I179:INDEX(I179:T179,MONTH(TODAY()))="X")*1)</f>
        <v>0</v>
      </c>
      <c r="Z179" s="104" t="n">
        <f aca="false">IFERROR(V179/U179,"")</f>
        <v>0.5</v>
      </c>
    </row>
    <row r="180" customFormat="false" ht="15" hidden="false" customHeight="true" outlineLevel="0" collapsed="false">
      <c r="A180" s="100" t="str">
        <f aca="false">Equipos!C178</f>
        <v>972-006742</v>
      </c>
      <c r="B180" s="101" t="str">
        <f aca="false">Equipos!D178</f>
        <v>Ventilador Mecánico </v>
      </c>
      <c r="C180" s="101" t="str">
        <f aca="false">Equipos!E178</f>
        <v>UPC Cardiovascular</v>
      </c>
      <c r="D180" s="101" t="n">
        <f aca="false">Equipos!G178</f>
        <v>0</v>
      </c>
      <c r="E180" s="101" t="str">
        <f aca="false">Equipos!I178</f>
        <v>Puritan Bennett</v>
      </c>
      <c r="F180" s="101" t="n">
        <f aca="false">Equipos!J178</f>
        <v>980</v>
      </c>
      <c r="G180" s="100" t="str">
        <f aca="false">Equipos!K178</f>
        <v>35B2004446</v>
      </c>
      <c r="H180" s="101"/>
      <c r="I180" s="103" t="s">
        <v>328</v>
      </c>
      <c r="J180" s="102"/>
      <c r="K180" s="102"/>
      <c r="L180" s="102"/>
      <c r="M180" s="102" t="s">
        <v>329</v>
      </c>
      <c r="N180" s="102"/>
      <c r="O180" s="102"/>
      <c r="P180" s="102"/>
      <c r="Q180" s="102"/>
      <c r="R180" s="102"/>
      <c r="S180" s="102"/>
      <c r="T180" s="102"/>
      <c r="U180" s="101" t="n">
        <f aca="false">V180+W180+X180+COUNTIF(I180:T180,"R")</f>
        <v>2</v>
      </c>
      <c r="V180" s="101" t="n">
        <f aca="false">COUNTIF(I180:T180,"E")</f>
        <v>1</v>
      </c>
      <c r="W180" s="101" t="n">
        <f aca="false">COUNTIF(I180:T180,"X")</f>
        <v>1</v>
      </c>
      <c r="X180" s="101" t="n">
        <f aca="false">COUNTIF(I180:T180,"C2")+COUNTIF(I180:T180,"C3")</f>
        <v>0</v>
      </c>
      <c r="Y180" s="101" t="n">
        <f aca="true">SUMPRODUCT((I180:INDEX(I180:T180,MONTH(TODAY()))="X")*1)</f>
        <v>1</v>
      </c>
      <c r="Z180" s="104" t="n">
        <f aca="false">IFERROR(V180/U180,"")</f>
        <v>0.5</v>
      </c>
    </row>
    <row r="181" customFormat="false" ht="15" hidden="false" customHeight="true" outlineLevel="0" collapsed="false">
      <c r="A181" s="100" t="n">
        <f aca="false">Equipos!C179</f>
        <v>0</v>
      </c>
      <c r="B181" s="101" t="n">
        <f aca="false">Equipos!D179</f>
        <v>0</v>
      </c>
      <c r="C181" s="101" t="n">
        <f aca="false">Equipos!E179</f>
        <v>0</v>
      </c>
      <c r="D181" s="101" t="n">
        <f aca="false">Equipos!G179</f>
        <v>0</v>
      </c>
      <c r="E181" s="101" t="n">
        <f aca="false">Equipos!I179</f>
        <v>0</v>
      </c>
      <c r="F181" s="101" t="n">
        <f aca="false">Equipos!J179</f>
        <v>0</v>
      </c>
      <c r="G181" s="100" t="n">
        <f aca="false">Equipos!K179</f>
        <v>0</v>
      </c>
      <c r="H181" s="101"/>
      <c r="I181" s="102"/>
      <c r="J181" s="102"/>
      <c r="K181" s="102"/>
      <c r="L181" s="102"/>
      <c r="M181" s="102"/>
      <c r="N181" s="102"/>
      <c r="O181" s="102"/>
      <c r="P181" s="102"/>
      <c r="Q181" s="102"/>
      <c r="R181" s="102"/>
      <c r="S181" s="102"/>
      <c r="T181" s="102"/>
      <c r="U181" s="101" t="n">
        <f aca="false">V181+W181+X181+COUNTIF(I181:T181,"R")</f>
        <v>0</v>
      </c>
      <c r="V181" s="101" t="n">
        <f aca="false">COUNTIF(I181:T181,"E")</f>
        <v>0</v>
      </c>
      <c r="W181" s="101" t="n">
        <f aca="false">COUNTIF(I181:T181,"X")</f>
        <v>0</v>
      </c>
      <c r="X181" s="101" t="n">
        <f aca="false">COUNTIF(I181:T181,"C2")+COUNTIF(I181:T181,"C3")</f>
        <v>0</v>
      </c>
      <c r="Y181" s="101" t="n">
        <f aca="true">SUMPRODUCT((I181:INDEX(I181:T181,MONTH(TODAY()))="X")*1)</f>
        <v>0</v>
      </c>
      <c r="Z181" s="104" t="str">
        <f aca="false">IFERROR(V181/U181,"")</f>
        <v/>
      </c>
    </row>
    <row r="182" customFormat="false" ht="15" hidden="false" customHeight="true" outlineLevel="0" collapsed="false">
      <c r="A182" s="100" t="n">
        <f aca="false">Equipos!C180</f>
        <v>0</v>
      </c>
      <c r="B182" s="101" t="n">
        <f aca="false">Equipos!D180</f>
        <v>0</v>
      </c>
      <c r="C182" s="101" t="n">
        <f aca="false">Equipos!E180</f>
        <v>0</v>
      </c>
      <c r="D182" s="101" t="n">
        <f aca="false">Equipos!G180</f>
        <v>0</v>
      </c>
      <c r="E182" s="101" t="n">
        <f aca="false">Equipos!I180</f>
        <v>0</v>
      </c>
      <c r="F182" s="101" t="n">
        <f aca="false">Equipos!J180</f>
        <v>0</v>
      </c>
      <c r="G182" s="100" t="n">
        <f aca="false">Equipos!K180</f>
        <v>0</v>
      </c>
      <c r="H182" s="101"/>
      <c r="I182" s="102"/>
      <c r="J182" s="102"/>
      <c r="K182" s="102"/>
      <c r="L182" s="102"/>
      <c r="M182" s="102"/>
      <c r="N182" s="102"/>
      <c r="O182" s="102"/>
      <c r="P182" s="102"/>
      <c r="Q182" s="102"/>
      <c r="R182" s="102"/>
      <c r="S182" s="102"/>
      <c r="T182" s="102"/>
      <c r="U182" s="101" t="n">
        <f aca="false">V182+W182+X182+COUNTIF(I182:T182,"R")</f>
        <v>0</v>
      </c>
      <c r="V182" s="101" t="n">
        <f aca="false">COUNTIF(I182:T182,"E")</f>
        <v>0</v>
      </c>
      <c r="W182" s="101" t="n">
        <f aca="false">COUNTIF(I182:T182,"X")</f>
        <v>0</v>
      </c>
      <c r="X182" s="101" t="n">
        <f aca="false">COUNTIF(I182:T182,"C2")+COUNTIF(I182:T182,"C3")</f>
        <v>0</v>
      </c>
      <c r="Y182" s="101" t="n">
        <f aca="true">SUMPRODUCT((I182:INDEX(I182:T182,MONTH(TODAY()))="X")*1)</f>
        <v>0</v>
      </c>
      <c r="Z182" s="104" t="str">
        <f aca="false">IFERROR(V182/U182,"")</f>
        <v/>
      </c>
    </row>
    <row r="183" customFormat="false" ht="15" hidden="false" customHeight="true" outlineLevel="0" collapsed="false">
      <c r="A183" s="100" t="n">
        <f aca="false">Equipos!C181</f>
        <v>0</v>
      </c>
      <c r="B183" s="101" t="n">
        <f aca="false">Equipos!D181</f>
        <v>0</v>
      </c>
      <c r="C183" s="101" t="n">
        <f aca="false">Equipos!E181</f>
        <v>0</v>
      </c>
      <c r="D183" s="101" t="n">
        <f aca="false">Equipos!G181</f>
        <v>0</v>
      </c>
      <c r="E183" s="101" t="n">
        <f aca="false">Equipos!I181</f>
        <v>0</v>
      </c>
      <c r="F183" s="101" t="n">
        <f aca="false">Equipos!J181</f>
        <v>0</v>
      </c>
      <c r="G183" s="100" t="n">
        <f aca="false">Equipos!K181</f>
        <v>0</v>
      </c>
      <c r="H183" s="101"/>
      <c r="I183" s="102"/>
      <c r="J183" s="102"/>
      <c r="K183" s="102"/>
      <c r="L183" s="102"/>
      <c r="M183" s="102"/>
      <c r="N183" s="102"/>
      <c r="O183" s="102"/>
      <c r="P183" s="102"/>
      <c r="Q183" s="102"/>
      <c r="R183" s="102"/>
      <c r="S183" s="102"/>
      <c r="T183" s="102"/>
      <c r="U183" s="101" t="n">
        <f aca="false">V183+W183+X183+COUNTIF(I183:T183,"R")</f>
        <v>0</v>
      </c>
      <c r="V183" s="101" t="n">
        <f aca="false">COUNTIF(I183:T183,"E")</f>
        <v>0</v>
      </c>
      <c r="W183" s="101" t="n">
        <f aca="false">COUNTIF(I183:T183,"X")</f>
        <v>0</v>
      </c>
      <c r="X183" s="101" t="n">
        <f aca="false">COUNTIF(I183:T183,"C2")+COUNTIF(I183:T183,"C3")</f>
        <v>0</v>
      </c>
      <c r="Y183" s="101" t="n">
        <f aca="true">SUMPRODUCT((I183:INDEX(I183:T183,MONTH(TODAY()))="X")*1)</f>
        <v>0</v>
      </c>
      <c r="Z183" s="104" t="str">
        <f aca="false">IFERROR(V183/U183,"")</f>
        <v/>
      </c>
    </row>
    <row r="184" customFormat="false" ht="15" hidden="false" customHeight="true" outlineLevel="0" collapsed="false">
      <c r="A184" s="100" t="n">
        <f aca="false">Equipos!C182</f>
        <v>0</v>
      </c>
      <c r="B184" s="101" t="n">
        <f aca="false">Equipos!D182</f>
        <v>0</v>
      </c>
      <c r="C184" s="101" t="n">
        <f aca="false">Equipos!E182</f>
        <v>0</v>
      </c>
      <c r="D184" s="101" t="n">
        <f aca="false">Equipos!G182</f>
        <v>0</v>
      </c>
      <c r="E184" s="101" t="n">
        <f aca="false">Equipos!I182</f>
        <v>0</v>
      </c>
      <c r="F184" s="101" t="n">
        <f aca="false">Equipos!J182</f>
        <v>0</v>
      </c>
      <c r="G184" s="100" t="n">
        <f aca="false">Equipos!K182</f>
        <v>0</v>
      </c>
      <c r="H184" s="101"/>
      <c r="I184" s="102"/>
      <c r="J184" s="102"/>
      <c r="K184" s="102"/>
      <c r="L184" s="102"/>
      <c r="M184" s="102"/>
      <c r="N184" s="102"/>
      <c r="O184" s="102"/>
      <c r="P184" s="102"/>
      <c r="Q184" s="102"/>
      <c r="R184" s="102"/>
      <c r="S184" s="102"/>
      <c r="T184" s="102"/>
      <c r="U184" s="101" t="n">
        <f aca="false">V184+W184+X184+COUNTIF(I184:T184,"R")</f>
        <v>0</v>
      </c>
      <c r="V184" s="101" t="n">
        <f aca="false">COUNTIF(I184:T184,"E")</f>
        <v>0</v>
      </c>
      <c r="W184" s="101" t="n">
        <f aca="false">COUNTIF(I184:T184,"X")</f>
        <v>0</v>
      </c>
      <c r="X184" s="101" t="n">
        <f aca="false">COUNTIF(I184:T184,"C2")+COUNTIF(I184:T184,"C3")</f>
        <v>0</v>
      </c>
      <c r="Y184" s="101" t="n">
        <f aca="true">SUMPRODUCT((I184:INDEX(I184:T184,MONTH(TODAY()))="X")*1)</f>
        <v>0</v>
      </c>
      <c r="Z184" s="104" t="str">
        <f aca="false">IFERROR(V184/U184,"")</f>
        <v/>
      </c>
    </row>
    <row r="185" customFormat="false" ht="15" hidden="false" customHeight="true" outlineLevel="0" collapsed="false">
      <c r="A185" s="100" t="str">
        <f aca="false">Equipos!C183</f>
        <v>2-003526</v>
      </c>
      <c r="B185" s="101" t="str">
        <f aca="false">Equipos!D183</f>
        <v>Ventilador Mecánico </v>
      </c>
      <c r="C185" s="101" t="str">
        <f aca="false">Equipos!E183</f>
        <v>UPC Adulto</v>
      </c>
      <c r="D185" s="101" t="str">
        <f aca="false">Equipos!G183</f>
        <v>UPC-P2-SA08</v>
      </c>
      <c r="E185" s="101" t="str">
        <f aca="false">Equipos!I183</f>
        <v>Drager </v>
      </c>
      <c r="F185" s="101" t="str">
        <f aca="false">Equipos!J183</f>
        <v>Oxylog 3000</v>
      </c>
      <c r="G185" s="100" t="str">
        <f aca="false">Equipos!K183</f>
        <v>ASCL-0116</v>
      </c>
      <c r="H185" s="101"/>
      <c r="I185" s="102"/>
      <c r="J185" s="102"/>
      <c r="K185" s="102"/>
      <c r="L185" s="103" t="s">
        <v>329</v>
      </c>
      <c r="M185" s="103"/>
      <c r="N185" s="102"/>
      <c r="O185" s="102"/>
      <c r="P185" s="102"/>
      <c r="Q185" s="102"/>
      <c r="R185" s="102"/>
      <c r="S185" s="102"/>
      <c r="T185" s="102"/>
      <c r="U185" s="101" t="n">
        <f aca="false">V185+W185+X185+COUNTIF(I185:T185,"R")</f>
        <v>1</v>
      </c>
      <c r="V185" s="101" t="n">
        <f aca="false">COUNTIF(I185:T185,"E")</f>
        <v>0</v>
      </c>
      <c r="W185" s="101" t="n">
        <f aca="false">COUNTIF(I185:T185,"X")</f>
        <v>1</v>
      </c>
      <c r="X185" s="101" t="n">
        <f aca="false">COUNTIF(I185:T185,"C2")+COUNTIF(I185:T185,"C3")</f>
        <v>0</v>
      </c>
      <c r="Y185" s="101" t="n">
        <f aca="true">SUMPRODUCT((I185:INDEX(I185:T185,MONTH(TODAY()))="X")*1)</f>
        <v>1</v>
      </c>
      <c r="Z185" s="104" t="n">
        <f aca="false">IFERROR(V185/U185,"")</f>
        <v>0</v>
      </c>
    </row>
    <row r="186" customFormat="false" ht="15" hidden="false" customHeight="true" outlineLevel="0" collapsed="false">
      <c r="A186" s="100" t="str">
        <f aca="false">Equipos!C184</f>
        <v>2-116302</v>
      </c>
      <c r="B186" s="101" t="str">
        <f aca="false">Equipos!D184</f>
        <v>Ventilador Mecánico </v>
      </c>
      <c r="C186" s="101" t="str">
        <f aca="false">Equipos!E184</f>
        <v>UPC Pediátrica</v>
      </c>
      <c r="D186" s="101" t="str">
        <f aca="false">Equipos!G184</f>
        <v>Sala de equipos</v>
      </c>
      <c r="E186" s="101" t="str">
        <f aca="false">Equipos!I184</f>
        <v>Drager</v>
      </c>
      <c r="F186" s="101" t="str">
        <f aca="false">Equipos!J184</f>
        <v>Evita V300</v>
      </c>
      <c r="G186" s="100" t="str">
        <f aca="false">Equipos!K184</f>
        <v>ASJA-0097</v>
      </c>
      <c r="H186" s="101"/>
      <c r="I186" s="102"/>
      <c r="J186" s="102"/>
      <c r="K186" s="102"/>
      <c r="L186" s="102"/>
      <c r="M186" s="103" t="s">
        <v>329</v>
      </c>
      <c r="N186" s="102"/>
      <c r="O186" s="102"/>
      <c r="P186" s="102"/>
      <c r="Q186" s="102"/>
      <c r="R186" s="102"/>
      <c r="S186" s="102"/>
      <c r="T186" s="102"/>
      <c r="U186" s="101" t="n">
        <f aca="false">V186+W186+X186+COUNTIF(I186:T186,"R")</f>
        <v>1</v>
      </c>
      <c r="V186" s="101" t="n">
        <f aca="false">COUNTIF(I186:T186,"E")</f>
        <v>0</v>
      </c>
      <c r="W186" s="101" t="n">
        <f aca="false">COUNTIF(I186:T186,"X")</f>
        <v>1</v>
      </c>
      <c r="X186" s="101" t="n">
        <f aca="false">COUNTIF(I186:T186,"C2")+COUNTIF(I186:T186,"C3")</f>
        <v>0</v>
      </c>
      <c r="Y186" s="101" t="n">
        <f aca="true">SUMPRODUCT((I186:INDEX(I186:T186,MONTH(TODAY()))="X")*1)</f>
        <v>1</v>
      </c>
      <c r="Z186" s="104" t="n">
        <f aca="false">IFERROR(V186/U186,"")</f>
        <v>0</v>
      </c>
    </row>
    <row r="187" customFormat="false" ht="15" hidden="false" customHeight="true" outlineLevel="0" collapsed="false">
      <c r="A187" s="100" t="n">
        <f aca="false">Equipos!C185</f>
        <v>0</v>
      </c>
      <c r="B187" s="101" t="n">
        <f aca="false">Equipos!D185</f>
        <v>0</v>
      </c>
      <c r="C187" s="101" t="n">
        <f aca="false">Equipos!E185</f>
        <v>0</v>
      </c>
      <c r="D187" s="101" t="n">
        <f aca="false">Equipos!G185</f>
        <v>0</v>
      </c>
      <c r="E187" s="101" t="n">
        <f aca="false">Equipos!I185</f>
        <v>0</v>
      </c>
      <c r="F187" s="101" t="n">
        <f aca="false">Equipos!J185</f>
        <v>0</v>
      </c>
      <c r="G187" s="100" t="n">
        <f aca="false">Equipos!K185</f>
        <v>0</v>
      </c>
      <c r="H187" s="101"/>
      <c r="I187" s="102"/>
      <c r="J187" s="102"/>
      <c r="K187" s="102"/>
      <c r="L187" s="102"/>
      <c r="M187" s="102"/>
      <c r="N187" s="102"/>
      <c r="O187" s="102"/>
      <c r="P187" s="102"/>
      <c r="Q187" s="102"/>
      <c r="R187" s="102"/>
      <c r="S187" s="102"/>
      <c r="T187" s="102"/>
      <c r="U187" s="101" t="n">
        <f aca="false">V187+W187+X187+COUNTIF(I187:T187,"R")</f>
        <v>0</v>
      </c>
      <c r="V187" s="101" t="n">
        <f aca="false">COUNTIF(I187:T187,"E")</f>
        <v>0</v>
      </c>
      <c r="W187" s="101" t="n">
        <f aca="false">COUNTIF(I187:T187,"X")</f>
        <v>0</v>
      </c>
      <c r="X187" s="101" t="n">
        <f aca="false">COUNTIF(I187:T187,"C2")+COUNTIF(I187:T187,"C3")</f>
        <v>0</v>
      </c>
      <c r="Y187" s="101" t="n">
        <f aca="true">SUMPRODUCT((I187:INDEX(I187:T187,MONTH(TODAY()))="X")*1)</f>
        <v>0</v>
      </c>
      <c r="Z187" s="104" t="str">
        <f aca="false">IFERROR(V187/U187,"")</f>
        <v/>
      </c>
    </row>
    <row r="188" customFormat="false" ht="15" hidden="false" customHeight="true" outlineLevel="0" collapsed="false">
      <c r="A188" s="100" t="n">
        <f aca="false">Equipos!C186</f>
        <v>0</v>
      </c>
      <c r="B188" s="101" t="n">
        <f aca="false">Equipos!D186</f>
        <v>0</v>
      </c>
      <c r="C188" s="101" t="n">
        <f aca="false">Equipos!E186</f>
        <v>0</v>
      </c>
      <c r="D188" s="101" t="n">
        <f aca="false">Equipos!G186</f>
        <v>0</v>
      </c>
      <c r="E188" s="101" t="n">
        <f aca="false">Equipos!I186</f>
        <v>0</v>
      </c>
      <c r="F188" s="101" t="n">
        <f aca="false">Equipos!J186</f>
        <v>0</v>
      </c>
      <c r="G188" s="100" t="n">
        <f aca="false">Equipos!K186</f>
        <v>0</v>
      </c>
      <c r="H188" s="101"/>
      <c r="I188" s="102"/>
      <c r="J188" s="102"/>
      <c r="K188" s="102"/>
      <c r="L188" s="102"/>
      <c r="M188" s="102"/>
      <c r="N188" s="102"/>
      <c r="O188" s="102"/>
      <c r="P188" s="102"/>
      <c r="Q188" s="102"/>
      <c r="R188" s="102"/>
      <c r="S188" s="102"/>
      <c r="T188" s="102"/>
      <c r="U188" s="101" t="n">
        <f aca="false">V188+W188+X188+COUNTIF(I188:T188,"R")</f>
        <v>0</v>
      </c>
      <c r="V188" s="101" t="n">
        <f aca="false">COUNTIF(I188:T188,"E")</f>
        <v>0</v>
      </c>
      <c r="W188" s="101" t="n">
        <f aca="false">COUNTIF(I188:T188,"X")</f>
        <v>0</v>
      </c>
      <c r="X188" s="101" t="n">
        <f aca="false">COUNTIF(I188:T188,"C2")+COUNTIF(I188:T188,"C3")</f>
        <v>0</v>
      </c>
      <c r="Y188" s="101" t="n">
        <f aca="true">SUMPRODUCT((I188:INDEX(I188:T188,MONTH(TODAY()))="X")*1)</f>
        <v>0</v>
      </c>
      <c r="Z188" s="104" t="str">
        <f aca="false">IFERROR(V188/U188,"")</f>
        <v/>
      </c>
    </row>
    <row r="189" customFormat="false" ht="15" hidden="false" customHeight="true" outlineLevel="0" collapsed="false">
      <c r="A189" s="100" t="n">
        <f aca="false">Equipos!C187</f>
        <v>0</v>
      </c>
      <c r="B189" s="101" t="n">
        <f aca="false">Equipos!D187</f>
        <v>0</v>
      </c>
      <c r="C189" s="101" t="n">
        <f aca="false">Equipos!E187</f>
        <v>0</v>
      </c>
      <c r="D189" s="101" t="n">
        <f aca="false">Equipos!G187</f>
        <v>0</v>
      </c>
      <c r="E189" s="101" t="n">
        <f aca="false">Equipos!I187</f>
        <v>0</v>
      </c>
      <c r="F189" s="101" t="n">
        <f aca="false">Equipos!J187</f>
        <v>0</v>
      </c>
      <c r="G189" s="100" t="n">
        <f aca="false">Equipos!K187</f>
        <v>0</v>
      </c>
      <c r="H189" s="101"/>
      <c r="I189" s="102"/>
      <c r="J189" s="102"/>
      <c r="K189" s="102"/>
      <c r="L189" s="102"/>
      <c r="M189" s="102"/>
      <c r="N189" s="102"/>
      <c r="O189" s="102"/>
      <c r="P189" s="102"/>
      <c r="Q189" s="102"/>
      <c r="R189" s="102"/>
      <c r="S189" s="102"/>
      <c r="T189" s="102"/>
      <c r="U189" s="101" t="n">
        <f aca="false">V189+W189+X189+COUNTIF(I189:T189,"R")</f>
        <v>0</v>
      </c>
      <c r="V189" s="101" t="n">
        <f aca="false">COUNTIF(I189:T189,"E")</f>
        <v>0</v>
      </c>
      <c r="W189" s="101" t="n">
        <f aca="false">COUNTIF(I189:T189,"X")</f>
        <v>0</v>
      </c>
      <c r="X189" s="101" t="n">
        <f aca="false">COUNTIF(I189:T189,"C2")+COUNTIF(I189:T189,"C3")</f>
        <v>0</v>
      </c>
      <c r="Y189" s="101" t="n">
        <f aca="true">SUMPRODUCT((I189:INDEX(I189:T189,MONTH(TODAY()))="X")*1)</f>
        <v>0</v>
      </c>
      <c r="Z189" s="104" t="str">
        <f aca="false">IFERROR(V189/U189,"")</f>
        <v/>
      </c>
    </row>
    <row r="190" customFormat="false" ht="15" hidden="false" customHeight="true" outlineLevel="0" collapsed="false">
      <c r="A190" s="100" t="str">
        <f aca="false">Equipos!C188</f>
        <v>2-003462</v>
      </c>
      <c r="B190" s="101" t="str">
        <f aca="false">Equipos!D188</f>
        <v>Ventilador Mecánico </v>
      </c>
      <c r="C190" s="101" t="str">
        <f aca="false">Equipos!E188</f>
        <v>UPC Cardiovascular</v>
      </c>
      <c r="D190" s="101" t="str">
        <f aca="false">Equipos!G188</f>
        <v>SALA EQUIPOS</v>
      </c>
      <c r="E190" s="101" t="str">
        <f aca="false">Equipos!I188</f>
        <v>Puritan Bennett</v>
      </c>
      <c r="F190" s="101" t="str">
        <f aca="false">Equipos!J188</f>
        <v>840/Sin Comp.</v>
      </c>
      <c r="G190" s="100" t="str">
        <f aca="false">Equipos!K188</f>
        <v>3510094107</v>
      </c>
      <c r="H190" s="101"/>
      <c r="I190" s="102"/>
      <c r="J190" s="102"/>
      <c r="K190" s="103" t="s">
        <v>330</v>
      </c>
      <c r="L190" s="103" t="s">
        <v>328</v>
      </c>
      <c r="M190" s="102"/>
      <c r="N190" s="102"/>
      <c r="O190" s="102"/>
      <c r="P190" s="102"/>
      <c r="Q190" s="102"/>
      <c r="R190" s="102"/>
      <c r="S190" s="102"/>
      <c r="T190" s="102"/>
      <c r="U190" s="101" t="n">
        <f aca="false">V190+W190+X190+COUNTIF(I190:T190,"R")</f>
        <v>2</v>
      </c>
      <c r="V190" s="101" t="n">
        <f aca="false">COUNTIF(I190:T190,"E")</f>
        <v>1</v>
      </c>
      <c r="W190" s="101" t="n">
        <f aca="false">COUNTIF(I190:T190,"X")</f>
        <v>0</v>
      </c>
      <c r="X190" s="101" t="n">
        <f aca="false">COUNTIF(I190:T190,"C2")+COUNTIF(I190:T190,"C3")</f>
        <v>0</v>
      </c>
      <c r="Y190" s="101" t="n">
        <f aca="true">SUMPRODUCT((I190:INDEX(I190:T190,MONTH(TODAY()))="X")*1)</f>
        <v>0</v>
      </c>
      <c r="Z190" s="104" t="n">
        <f aca="false">IFERROR(V190/U190,"")</f>
        <v>0.5</v>
      </c>
    </row>
    <row r="191" customFormat="false" ht="15" hidden="false" customHeight="true" outlineLevel="0" collapsed="false">
      <c r="A191" s="100" t="str">
        <f aca="false">Equipos!C189</f>
        <v>2-135144</v>
      </c>
      <c r="B191" s="101" t="str">
        <f aca="false">Equipos!D189</f>
        <v>Ventilador Mecánico </v>
      </c>
      <c r="C191" s="101" t="str">
        <f aca="false">Equipos!E189</f>
        <v>SAMU</v>
      </c>
      <c r="D191" s="101" t="n">
        <f aca="false">Equipos!G189</f>
        <v>0</v>
      </c>
      <c r="E191" s="101" t="str">
        <f aca="false">Equipos!I189</f>
        <v>Newport</v>
      </c>
      <c r="F191" s="101" t="str">
        <f aca="false">Equipos!J189</f>
        <v>HT70 PLUS</v>
      </c>
      <c r="G191" s="100" t="str">
        <f aca="false">Equipos!K189</f>
        <v>HT7P200663</v>
      </c>
      <c r="H191" s="101"/>
      <c r="I191" s="102"/>
      <c r="J191" s="102"/>
      <c r="K191" s="103" t="s">
        <v>330</v>
      </c>
      <c r="L191" s="103" t="s">
        <v>328</v>
      </c>
      <c r="M191" s="102"/>
      <c r="N191" s="102"/>
      <c r="O191" s="102"/>
      <c r="P191" s="102"/>
      <c r="Q191" s="102"/>
      <c r="R191" s="102"/>
      <c r="S191" s="102"/>
      <c r="T191" s="102"/>
      <c r="U191" s="101" t="n">
        <f aca="false">V191+W191+X191+COUNTIF(I191:T191,"R")</f>
        <v>2</v>
      </c>
      <c r="V191" s="101" t="n">
        <f aca="false">COUNTIF(I191:T191,"E")</f>
        <v>1</v>
      </c>
      <c r="W191" s="101" t="n">
        <f aca="false">COUNTIF(I191:T191,"X")</f>
        <v>0</v>
      </c>
      <c r="X191" s="101" t="n">
        <f aca="false">COUNTIF(I191:T191,"C2")+COUNTIF(I191:T191,"C3")</f>
        <v>0</v>
      </c>
      <c r="Y191" s="101" t="n">
        <f aca="true">SUMPRODUCT((I191:INDEX(I191:T191,MONTH(TODAY()))="X")*1)</f>
        <v>0</v>
      </c>
      <c r="Z191" s="104" t="n">
        <f aca="false">IFERROR(V191/U191,"")</f>
        <v>0.5</v>
      </c>
    </row>
    <row r="192" customFormat="false" ht="15" hidden="false" customHeight="true" outlineLevel="0" collapsed="false">
      <c r="A192" s="100" t="n">
        <f aca="false">Equipos!C190</f>
        <v>0</v>
      </c>
      <c r="B192" s="101" t="n">
        <f aca="false">Equipos!D190</f>
        <v>0</v>
      </c>
      <c r="C192" s="101" t="n">
        <f aca="false">Equipos!E190</f>
        <v>0</v>
      </c>
      <c r="D192" s="101" t="n">
        <f aca="false">Equipos!G190</f>
        <v>0</v>
      </c>
      <c r="E192" s="101" t="n">
        <f aca="false">Equipos!I190</f>
        <v>0</v>
      </c>
      <c r="F192" s="101" t="n">
        <f aca="false">Equipos!J190</f>
        <v>0</v>
      </c>
      <c r="G192" s="100" t="n">
        <f aca="false">Equipos!K190</f>
        <v>0</v>
      </c>
      <c r="H192" s="101"/>
      <c r="I192" s="102"/>
      <c r="J192" s="102"/>
      <c r="K192" s="102"/>
      <c r="L192" s="102"/>
      <c r="M192" s="102"/>
      <c r="N192" s="102"/>
      <c r="O192" s="102"/>
      <c r="P192" s="102"/>
      <c r="Q192" s="102"/>
      <c r="R192" s="102"/>
      <c r="S192" s="102"/>
      <c r="T192" s="102"/>
      <c r="U192" s="101" t="n">
        <f aca="false">V192+W192+X192+COUNTIF(I192:T192,"R")</f>
        <v>0</v>
      </c>
      <c r="V192" s="101" t="n">
        <f aca="false">COUNTIF(I192:T192,"E")</f>
        <v>0</v>
      </c>
      <c r="W192" s="101" t="n">
        <f aca="false">COUNTIF(I192:T192,"X")</f>
        <v>0</v>
      </c>
      <c r="X192" s="101" t="n">
        <f aca="false">COUNTIF(I192:T192,"C2")+COUNTIF(I192:T192,"C3")</f>
        <v>0</v>
      </c>
      <c r="Y192" s="101" t="n">
        <f aca="true">SUMPRODUCT((I192:INDEX(I192:T192,MONTH(TODAY()))="X")*1)</f>
        <v>0</v>
      </c>
      <c r="Z192" s="104" t="str">
        <f aca="false">IFERROR(V192/U192,"")</f>
        <v/>
      </c>
    </row>
    <row r="193" customFormat="false" ht="15" hidden="false" customHeight="true" outlineLevel="0" collapsed="false">
      <c r="A193" s="100" t="n">
        <f aca="false">Equipos!C191</f>
        <v>0</v>
      </c>
      <c r="B193" s="101" t="n">
        <f aca="false">Equipos!D191</f>
        <v>0</v>
      </c>
      <c r="C193" s="101" t="n">
        <f aca="false">Equipos!E191</f>
        <v>0</v>
      </c>
      <c r="D193" s="101" t="n">
        <f aca="false">Equipos!G191</f>
        <v>0</v>
      </c>
      <c r="E193" s="101" t="n">
        <f aca="false">Equipos!I191</f>
        <v>0</v>
      </c>
      <c r="F193" s="101" t="n">
        <f aca="false">Equipos!J191</f>
        <v>0</v>
      </c>
      <c r="G193" s="100" t="n">
        <f aca="false">Equipos!K191</f>
        <v>0</v>
      </c>
      <c r="H193" s="101"/>
      <c r="I193" s="102"/>
      <c r="J193" s="102"/>
      <c r="K193" s="102"/>
      <c r="L193" s="102"/>
      <c r="M193" s="102"/>
      <c r="N193" s="102"/>
      <c r="O193" s="102"/>
      <c r="P193" s="102"/>
      <c r="Q193" s="102"/>
      <c r="R193" s="102"/>
      <c r="S193" s="102"/>
      <c r="T193" s="102"/>
      <c r="U193" s="101" t="n">
        <f aca="false">V193+W193+X193+COUNTIF(I193:T193,"R")</f>
        <v>0</v>
      </c>
      <c r="V193" s="101" t="n">
        <f aca="false">COUNTIF(I193:T193,"E")</f>
        <v>0</v>
      </c>
      <c r="W193" s="101" t="n">
        <f aca="false">COUNTIF(I193:T193,"X")</f>
        <v>0</v>
      </c>
      <c r="X193" s="101" t="n">
        <f aca="false">COUNTIF(I193:T193,"C2")+COUNTIF(I193:T193,"C3")</f>
        <v>0</v>
      </c>
      <c r="Y193" s="101" t="n">
        <f aca="true">SUMPRODUCT((I193:INDEX(I193:T193,MONTH(TODAY()))="X")*1)</f>
        <v>0</v>
      </c>
      <c r="Z193" s="104" t="str">
        <f aca="false">IFERROR(V193/U193,"")</f>
        <v/>
      </c>
    </row>
    <row r="194" customFormat="false" ht="15" hidden="false" customHeight="true" outlineLevel="0" collapsed="false">
      <c r="A194" s="100" t="str">
        <f aca="false">Equipos!C192</f>
        <v>2-003461</v>
      </c>
      <c r="B194" s="101" t="str">
        <f aca="false">Equipos!D192</f>
        <v>Ventilador Mecánico </v>
      </c>
      <c r="C194" s="101" t="str">
        <f aca="false">Equipos!E192</f>
        <v>UPC Cardiovascular</v>
      </c>
      <c r="D194" s="101" t="str">
        <f aca="false">Equipos!G192</f>
        <v>SALA EQUIPOS</v>
      </c>
      <c r="E194" s="101" t="str">
        <f aca="false">Equipos!I192</f>
        <v>Puritan Bennett</v>
      </c>
      <c r="F194" s="101" t="n">
        <f aca="false">Equipos!J192</f>
        <v>840</v>
      </c>
      <c r="G194" s="100" t="str">
        <f aca="false">Equipos!K192</f>
        <v>3510053116</v>
      </c>
      <c r="H194" s="101"/>
      <c r="I194" s="102"/>
      <c r="J194" s="102"/>
      <c r="K194" s="103" t="s">
        <v>330</v>
      </c>
      <c r="L194" s="103" t="s">
        <v>328</v>
      </c>
      <c r="M194" s="102"/>
      <c r="N194" s="102"/>
      <c r="O194" s="102"/>
      <c r="P194" s="102"/>
      <c r="Q194" s="102"/>
      <c r="R194" s="102"/>
      <c r="S194" s="102"/>
      <c r="T194" s="102"/>
      <c r="U194" s="101" t="n">
        <f aca="false">V194+W194+X194+COUNTIF(I194:T194,"R")</f>
        <v>2</v>
      </c>
      <c r="V194" s="101" t="n">
        <f aca="false">COUNTIF(I194:T194,"E")</f>
        <v>1</v>
      </c>
      <c r="W194" s="101" t="n">
        <f aca="false">COUNTIF(I194:T194,"X")</f>
        <v>0</v>
      </c>
      <c r="X194" s="101" t="n">
        <f aca="false">COUNTIF(I194:T194,"C2")+COUNTIF(I194:T194,"C3")</f>
        <v>0</v>
      </c>
      <c r="Y194" s="101" t="n">
        <f aca="true">SUMPRODUCT((I194:INDEX(I194:T194,MONTH(TODAY()))="X")*1)</f>
        <v>0</v>
      </c>
      <c r="Z194" s="104" t="n">
        <f aca="false">IFERROR(V194/U194,"")</f>
        <v>0.5</v>
      </c>
    </row>
    <row r="195" customFormat="false" ht="15" hidden="false" customHeight="true" outlineLevel="0" collapsed="false">
      <c r="A195" s="100" t="str">
        <f aca="false">Equipos!C193</f>
        <v>2-003452</v>
      </c>
      <c r="B195" s="101" t="str">
        <f aca="false">Equipos!D193</f>
        <v>Ventilador Mecánico </v>
      </c>
      <c r="C195" s="101" t="str">
        <f aca="false">Equipos!E193</f>
        <v>UPC Cardiovascular</v>
      </c>
      <c r="D195" s="101" t="str">
        <f aca="false">Equipos!G193</f>
        <v>SALA EQUIPOS</v>
      </c>
      <c r="E195" s="101" t="str">
        <f aca="false">Equipos!I193</f>
        <v>Puritan Bennett</v>
      </c>
      <c r="F195" s="101" t="n">
        <f aca="false">Equipos!J193</f>
        <v>840</v>
      </c>
      <c r="G195" s="100" t="str">
        <f aca="false">Equipos!K193</f>
        <v>3510053070</v>
      </c>
      <c r="H195" s="101"/>
      <c r="I195" s="102"/>
      <c r="J195" s="102"/>
      <c r="K195" s="103" t="s">
        <v>330</v>
      </c>
      <c r="L195" s="103" t="s">
        <v>328</v>
      </c>
      <c r="M195" s="102"/>
      <c r="N195" s="102"/>
      <c r="O195" s="102"/>
      <c r="P195" s="102"/>
      <c r="Q195" s="102"/>
      <c r="R195" s="102"/>
      <c r="S195" s="102"/>
      <c r="T195" s="102"/>
      <c r="U195" s="101" t="n">
        <f aca="false">V195+W195+X195+COUNTIF(I195:T195,"R")</f>
        <v>2</v>
      </c>
      <c r="V195" s="101" t="n">
        <f aca="false">COUNTIF(I195:T195,"E")</f>
        <v>1</v>
      </c>
      <c r="W195" s="101" t="n">
        <f aca="false">COUNTIF(I195:T195,"X")</f>
        <v>0</v>
      </c>
      <c r="X195" s="101" t="n">
        <f aca="false">COUNTIF(I195:T195,"C2")+COUNTIF(I195:T195,"C3")</f>
        <v>0</v>
      </c>
      <c r="Y195" s="101" t="n">
        <f aca="true">SUMPRODUCT((I195:INDEX(I195:T195,MONTH(TODAY()))="X")*1)</f>
        <v>0</v>
      </c>
      <c r="Z195" s="104" t="n">
        <f aca="false">IFERROR(V195/U195,"")</f>
        <v>0.5</v>
      </c>
    </row>
    <row r="196" customFormat="false" ht="15" hidden="false" customHeight="true" outlineLevel="0" collapsed="false">
      <c r="A196" s="100" t="n">
        <f aca="false">Equipos!C194</f>
        <v>0</v>
      </c>
      <c r="B196" s="101" t="n">
        <f aca="false">Equipos!D194</f>
        <v>0</v>
      </c>
      <c r="C196" s="101" t="n">
        <f aca="false">Equipos!E194</f>
        <v>0</v>
      </c>
      <c r="D196" s="101" t="n">
        <f aca="false">Equipos!G194</f>
        <v>0</v>
      </c>
      <c r="E196" s="101" t="n">
        <f aca="false">Equipos!I194</f>
        <v>0</v>
      </c>
      <c r="F196" s="101" t="n">
        <f aca="false">Equipos!J194</f>
        <v>0</v>
      </c>
      <c r="G196" s="100" t="n">
        <f aca="false">Equipos!K194</f>
        <v>0</v>
      </c>
      <c r="H196" s="101"/>
      <c r="I196" s="102"/>
      <c r="J196" s="102"/>
      <c r="K196" s="102"/>
      <c r="L196" s="102"/>
      <c r="M196" s="102"/>
      <c r="N196" s="102"/>
      <c r="O196" s="102"/>
      <c r="P196" s="102"/>
      <c r="Q196" s="102"/>
      <c r="R196" s="102"/>
      <c r="S196" s="102"/>
      <c r="T196" s="102"/>
      <c r="U196" s="101" t="n">
        <f aca="false">V196+W196+X196+COUNTIF(I196:T196,"R")</f>
        <v>0</v>
      </c>
      <c r="V196" s="101" t="n">
        <f aca="false">COUNTIF(I196:T196,"E")</f>
        <v>0</v>
      </c>
      <c r="W196" s="101" t="n">
        <f aca="false">COUNTIF(I196:T196,"X")</f>
        <v>0</v>
      </c>
      <c r="X196" s="101" t="n">
        <f aca="false">COUNTIF(I196:T196,"C2")+COUNTIF(I196:T196,"C3")</f>
        <v>0</v>
      </c>
      <c r="Y196" s="101" t="n">
        <f aca="true">SUMPRODUCT((I196:INDEX(I196:T196,MONTH(TODAY()))="X")*1)</f>
        <v>0</v>
      </c>
      <c r="Z196" s="104" t="str">
        <f aca="false">IFERROR(V196/U196,"")</f>
        <v/>
      </c>
    </row>
    <row r="197" customFormat="false" ht="15" hidden="false" customHeight="true" outlineLevel="0" collapsed="false">
      <c r="A197" s="100" t="str">
        <f aca="false">Equipos!C195</f>
        <v>2-112294</v>
      </c>
      <c r="B197" s="101" t="str">
        <f aca="false">Equipos!D195</f>
        <v>Ventilador Alta Frecuencia</v>
      </c>
      <c r="C197" s="101" t="str">
        <f aca="false">Equipos!E195</f>
        <v>UPC Pediátrica </v>
      </c>
      <c r="D197" s="101" t="str">
        <f aca="false">Equipos!G195</f>
        <v>UPC-P2-SA44</v>
      </c>
      <c r="E197" s="101" t="str">
        <f aca="false">Equipos!I195</f>
        <v>CareFusion</v>
      </c>
      <c r="F197" s="101" t="str">
        <f aca="false">Equipos!J195</f>
        <v>Sensormedics 3100A </v>
      </c>
      <c r="G197" s="100" t="str">
        <f aca="false">Equipos!K195</f>
        <v>AJW01025</v>
      </c>
      <c r="H197" s="101"/>
      <c r="I197" s="102"/>
      <c r="J197" s="102"/>
      <c r="K197" s="102"/>
      <c r="L197" s="103" t="s">
        <v>328</v>
      </c>
      <c r="M197" s="102"/>
      <c r="N197" s="102"/>
      <c r="O197" s="102"/>
      <c r="P197" s="102"/>
      <c r="Q197" s="102"/>
      <c r="R197" s="102"/>
      <c r="S197" s="102"/>
      <c r="T197" s="102"/>
      <c r="U197" s="101" t="n">
        <f aca="false">V197+W197+X197+COUNTIF(I197:T197,"R")</f>
        <v>1</v>
      </c>
      <c r="V197" s="101" t="n">
        <f aca="false">COUNTIF(I197:T197,"E")</f>
        <v>1</v>
      </c>
      <c r="W197" s="101" t="n">
        <f aca="false">COUNTIF(I197:T197,"X")</f>
        <v>0</v>
      </c>
      <c r="X197" s="101" t="n">
        <f aca="false">COUNTIF(I197:T197,"C2")+COUNTIF(I197:T197,"C3")</f>
        <v>0</v>
      </c>
      <c r="Y197" s="101" t="n">
        <f aca="true">SUMPRODUCT((I197:INDEX(I197:T197,MONTH(TODAY()))="X")*1)</f>
        <v>0</v>
      </c>
      <c r="Z197" s="104" t="n">
        <f aca="false">IFERROR(V197/U197,"")</f>
        <v>1</v>
      </c>
    </row>
    <row r="198" customFormat="false" ht="15" hidden="false" customHeight="true" outlineLevel="0" collapsed="false">
      <c r="A198" s="100" t="str">
        <f aca="false">Equipos!C196</f>
        <v>2-119687</v>
      </c>
      <c r="B198" s="101" t="str">
        <f aca="false">Equipos!D196</f>
        <v>Ventilador Mecánico </v>
      </c>
      <c r="C198" s="101" t="str">
        <f aca="false">Equipos!E196</f>
        <v>UPC Adulto</v>
      </c>
      <c r="D198" s="101" t="str">
        <f aca="false">Equipos!G196</f>
        <v>UPC-P2-BG14</v>
      </c>
      <c r="E198" s="101" t="str">
        <f aca="false">Equipos!I196</f>
        <v>Drager</v>
      </c>
      <c r="F198" s="101" t="str">
        <f aca="false">Equipos!J196</f>
        <v>Evita V300/SC</v>
      </c>
      <c r="G198" s="100" t="str">
        <f aca="false">Equipos!K196</f>
        <v>ASLE-0157</v>
      </c>
      <c r="H198" s="101"/>
      <c r="I198" s="102"/>
      <c r="J198" s="102"/>
      <c r="K198" s="102"/>
      <c r="L198" s="103" t="s">
        <v>329</v>
      </c>
      <c r="M198" s="103" t="s">
        <v>328</v>
      </c>
      <c r="N198" s="102"/>
      <c r="O198" s="102"/>
      <c r="P198" s="102"/>
      <c r="Q198" s="102"/>
      <c r="R198" s="102"/>
      <c r="S198" s="102"/>
      <c r="T198" s="102"/>
      <c r="U198" s="101" t="n">
        <f aca="false">V198+W198+X198+COUNTIF(I198:T198,"R")</f>
        <v>2</v>
      </c>
      <c r="V198" s="101" t="n">
        <f aca="false">COUNTIF(I198:T198,"E")</f>
        <v>1</v>
      </c>
      <c r="W198" s="101" t="n">
        <f aca="false">COUNTIF(I198:T198,"X")</f>
        <v>1</v>
      </c>
      <c r="X198" s="101" t="n">
        <f aca="false">COUNTIF(I198:T198,"C2")+COUNTIF(I198:T198,"C3")</f>
        <v>0</v>
      </c>
      <c r="Y198" s="101" t="n">
        <f aca="true">SUMPRODUCT((I198:INDEX(I198:T198,MONTH(TODAY()))="X")*1)</f>
        <v>1</v>
      </c>
      <c r="Z198" s="104" t="n">
        <f aca="false">IFERROR(V198/U198,"")</f>
        <v>0.5</v>
      </c>
    </row>
    <row r="199" customFormat="false" ht="15" hidden="false" customHeight="true" outlineLevel="0" collapsed="false">
      <c r="A199" s="100" t="str">
        <f aca="false">Equipos!C197</f>
        <v>2-121208</v>
      </c>
      <c r="B199" s="101" t="str">
        <f aca="false">Equipos!D197</f>
        <v>Ventilador Mecánico </v>
      </c>
      <c r="C199" s="101" t="str">
        <f aca="false">Equipos!E197</f>
        <v>UPC Adulto</v>
      </c>
      <c r="D199" s="101" t="n">
        <f aca="false">Equipos!G197</f>
        <v>0</v>
      </c>
      <c r="E199" s="101" t="str">
        <f aca="false">Equipos!I197</f>
        <v>MEK ICS</v>
      </c>
      <c r="F199" s="101" t="str">
        <f aca="false">Equipos!J197</f>
        <v>MV2000 EVO5</v>
      </c>
      <c r="G199" s="100" t="str">
        <f aca="false">Equipos!K197</f>
        <v>MV2000UA1D0803</v>
      </c>
      <c r="H199" s="101"/>
      <c r="I199" s="102"/>
      <c r="J199" s="102"/>
      <c r="K199" s="102"/>
      <c r="L199" s="103" t="s">
        <v>328</v>
      </c>
      <c r="M199" s="102"/>
      <c r="N199" s="102"/>
      <c r="O199" s="102"/>
      <c r="P199" s="102"/>
      <c r="Q199" s="102"/>
      <c r="R199" s="102"/>
      <c r="S199" s="102"/>
      <c r="T199" s="102"/>
      <c r="U199" s="101" t="n">
        <f aca="false">V199+W199+X199+COUNTIF(I199:T199,"R")</f>
        <v>1</v>
      </c>
      <c r="V199" s="101" t="n">
        <f aca="false">COUNTIF(I199:T199,"E")</f>
        <v>1</v>
      </c>
      <c r="W199" s="101" t="n">
        <f aca="false">COUNTIF(I199:T199,"X")</f>
        <v>0</v>
      </c>
      <c r="X199" s="101" t="n">
        <f aca="false">COUNTIF(I199:T199,"C2")+COUNTIF(I199:T199,"C3")</f>
        <v>0</v>
      </c>
      <c r="Y199" s="101" t="n">
        <f aca="true">SUMPRODUCT((I199:INDEX(I199:T199,MONTH(TODAY()))="X")*1)</f>
        <v>0</v>
      </c>
      <c r="Z199" s="104" t="n">
        <f aca="false">IFERROR(V199/U199,"")</f>
        <v>1</v>
      </c>
    </row>
    <row r="200" customFormat="false" ht="15" hidden="false" customHeight="true" outlineLevel="0" collapsed="false">
      <c r="A200" s="100" t="n">
        <f aca="false">Equipos!C198</f>
        <v>0</v>
      </c>
      <c r="B200" s="101" t="n">
        <f aca="false">Equipos!D198</f>
        <v>0</v>
      </c>
      <c r="C200" s="101" t="n">
        <f aca="false">Equipos!E198</f>
        <v>0</v>
      </c>
      <c r="D200" s="101" t="n">
        <f aca="false">Equipos!G198</f>
        <v>0</v>
      </c>
      <c r="E200" s="101" t="n">
        <f aca="false">Equipos!I198</f>
        <v>0</v>
      </c>
      <c r="F200" s="101" t="n">
        <f aca="false">Equipos!J198</f>
        <v>0</v>
      </c>
      <c r="G200" s="100" t="n">
        <f aca="false">Equipos!K198</f>
        <v>0</v>
      </c>
      <c r="H200" s="101"/>
      <c r="I200" s="102"/>
      <c r="J200" s="102"/>
      <c r="K200" s="102"/>
      <c r="L200" s="102"/>
      <c r="M200" s="102"/>
      <c r="N200" s="102"/>
      <c r="O200" s="102"/>
      <c r="P200" s="102"/>
      <c r="Q200" s="102"/>
      <c r="R200" s="102"/>
      <c r="S200" s="102"/>
      <c r="T200" s="102"/>
      <c r="U200" s="101" t="n">
        <f aca="false">V200+W200+X200+COUNTIF(I200:T200,"R")</f>
        <v>0</v>
      </c>
      <c r="V200" s="101" t="n">
        <f aca="false">COUNTIF(I200:T200,"E")</f>
        <v>0</v>
      </c>
      <c r="W200" s="101" t="n">
        <f aca="false">COUNTIF(I200:T200,"X")</f>
        <v>0</v>
      </c>
      <c r="X200" s="101" t="n">
        <f aca="false">COUNTIF(I200:T200,"C2")+COUNTIF(I200:T200,"C3")</f>
        <v>0</v>
      </c>
      <c r="Y200" s="101" t="n">
        <f aca="true">SUMPRODUCT((I200:INDEX(I200:T200,MONTH(TODAY()))="X")*1)</f>
        <v>0</v>
      </c>
      <c r="Z200" s="104" t="str">
        <f aca="false">IFERROR(V200/U200,"")</f>
        <v/>
      </c>
    </row>
    <row r="201" customFormat="false" ht="15" hidden="false" customHeight="true" outlineLevel="0" collapsed="false">
      <c r="A201" s="100" t="str">
        <f aca="false">Equipos!C199</f>
        <v>2-112298</v>
      </c>
      <c r="B201" s="101" t="str">
        <f aca="false">Equipos!D199</f>
        <v>Ventilador Mecánico </v>
      </c>
      <c r="C201" s="101" t="str">
        <f aca="false">Equipos!E199</f>
        <v>UPC Pediátrica </v>
      </c>
      <c r="D201" s="101" t="str">
        <f aca="false">Equipos!G199</f>
        <v>UPC-P2-SA44</v>
      </c>
      <c r="E201" s="101" t="str">
        <f aca="false">Equipos!I199</f>
        <v>Maquet</v>
      </c>
      <c r="F201" s="101" t="str">
        <f aca="false">Equipos!J199</f>
        <v>Servo i</v>
      </c>
      <c r="G201" s="100" t="str">
        <f aca="false">Equipos!K199</f>
        <v>15062</v>
      </c>
      <c r="H201" s="101"/>
      <c r="I201" s="102"/>
      <c r="J201" s="102"/>
      <c r="K201" s="103" t="s">
        <v>330</v>
      </c>
      <c r="L201" s="103" t="s">
        <v>328</v>
      </c>
      <c r="M201" s="102"/>
      <c r="N201" s="102"/>
      <c r="O201" s="102"/>
      <c r="P201" s="102"/>
      <c r="Q201" s="102"/>
      <c r="R201" s="102"/>
      <c r="S201" s="102"/>
      <c r="T201" s="102"/>
      <c r="U201" s="101" t="n">
        <f aca="false">V201+W201+X201+COUNTIF(I201:T201,"R")</f>
        <v>2</v>
      </c>
      <c r="V201" s="101" t="n">
        <f aca="false">COUNTIF(I201:T201,"E")</f>
        <v>1</v>
      </c>
      <c r="W201" s="101" t="n">
        <f aca="false">COUNTIF(I201:T201,"X")</f>
        <v>0</v>
      </c>
      <c r="X201" s="101" t="n">
        <f aca="false">COUNTIF(I201:T201,"C2")+COUNTIF(I201:T201,"C3")</f>
        <v>0</v>
      </c>
      <c r="Y201" s="101" t="n">
        <f aca="true">SUMPRODUCT((I201:INDEX(I201:T201,MONTH(TODAY()))="X")*1)</f>
        <v>0</v>
      </c>
      <c r="Z201" s="104" t="n">
        <f aca="false">IFERROR(V201/U201,"")</f>
        <v>0.5</v>
      </c>
    </row>
    <row r="202" customFormat="false" ht="15" hidden="false" customHeight="true" outlineLevel="0" collapsed="false">
      <c r="A202" s="100" t="str">
        <f aca="false">Equipos!C200</f>
        <v>2-112299</v>
      </c>
      <c r="B202" s="101" t="str">
        <f aca="false">Equipos!D200</f>
        <v>Ventilador Mecánico </v>
      </c>
      <c r="C202" s="101" t="str">
        <f aca="false">Equipos!E200</f>
        <v>UPC Pediátrica </v>
      </c>
      <c r="D202" s="101" t="str">
        <f aca="false">Equipos!G200</f>
        <v>UPC-P2-SA44</v>
      </c>
      <c r="E202" s="101" t="str">
        <f aca="false">Equipos!I200</f>
        <v>Maquet</v>
      </c>
      <c r="F202" s="101" t="str">
        <f aca="false">Equipos!J200</f>
        <v>Servo i</v>
      </c>
      <c r="G202" s="100" t="str">
        <f aca="false">Equipos!K200</f>
        <v>27409</v>
      </c>
      <c r="H202" s="101"/>
      <c r="I202" s="102"/>
      <c r="J202" s="102"/>
      <c r="K202" s="103" t="s">
        <v>330</v>
      </c>
      <c r="L202" s="103" t="s">
        <v>328</v>
      </c>
      <c r="M202" s="102"/>
      <c r="N202" s="102"/>
      <c r="O202" s="102"/>
      <c r="P202" s="102"/>
      <c r="Q202" s="102"/>
      <c r="R202" s="102"/>
      <c r="S202" s="102"/>
      <c r="T202" s="102"/>
      <c r="U202" s="101" t="n">
        <f aca="false">V202+W202+X202+COUNTIF(I202:T202,"R")</f>
        <v>2</v>
      </c>
      <c r="V202" s="101" t="n">
        <f aca="false">COUNTIF(I202:T202,"E")</f>
        <v>1</v>
      </c>
      <c r="W202" s="101" t="n">
        <f aca="false">COUNTIF(I202:T202,"X")</f>
        <v>0</v>
      </c>
      <c r="X202" s="101" t="n">
        <f aca="false">COUNTIF(I202:T202,"C2")+COUNTIF(I202:T202,"C3")</f>
        <v>0</v>
      </c>
      <c r="Y202" s="101" t="n">
        <f aca="true">SUMPRODUCT((I202:INDEX(I202:T202,MONTH(TODAY()))="X")*1)</f>
        <v>0</v>
      </c>
      <c r="Z202" s="104" t="n">
        <f aca="false">IFERROR(V202/U202,"")</f>
        <v>0.5</v>
      </c>
    </row>
    <row r="203" customFormat="false" ht="15" hidden="false" customHeight="true" outlineLevel="0" collapsed="false">
      <c r="A203" s="100" t="n">
        <f aca="false">Equipos!C201</f>
        <v>0</v>
      </c>
      <c r="B203" s="101" t="n">
        <f aca="false">Equipos!D201</f>
        <v>0</v>
      </c>
      <c r="C203" s="101" t="n">
        <f aca="false">Equipos!E201</f>
        <v>0</v>
      </c>
      <c r="D203" s="101" t="n">
        <f aca="false">Equipos!G201</f>
        <v>0</v>
      </c>
      <c r="E203" s="101" t="n">
        <f aca="false">Equipos!I201</f>
        <v>0</v>
      </c>
      <c r="F203" s="101" t="n">
        <f aca="false">Equipos!J201</f>
        <v>0</v>
      </c>
      <c r="G203" s="100" t="n">
        <f aca="false">Equipos!K201</f>
        <v>0</v>
      </c>
      <c r="H203" s="101"/>
      <c r="I203" s="102"/>
      <c r="J203" s="102"/>
      <c r="K203" s="102"/>
      <c r="L203" s="102"/>
      <c r="M203" s="102"/>
      <c r="N203" s="102"/>
      <c r="O203" s="102"/>
      <c r="P203" s="102"/>
      <c r="Q203" s="102"/>
      <c r="R203" s="102"/>
      <c r="S203" s="102"/>
      <c r="T203" s="102"/>
      <c r="U203" s="101" t="n">
        <f aca="false">V203+W203+X203+COUNTIF(I203:T203,"R")</f>
        <v>0</v>
      </c>
      <c r="V203" s="101" t="n">
        <f aca="false">COUNTIF(I203:T203,"E")</f>
        <v>0</v>
      </c>
      <c r="W203" s="101" t="n">
        <f aca="false">COUNTIF(I203:T203,"X")</f>
        <v>0</v>
      </c>
      <c r="X203" s="101" t="n">
        <f aca="false">COUNTIF(I203:T203,"C2")+COUNTIF(I203:T203,"C3")</f>
        <v>0</v>
      </c>
      <c r="Y203" s="101" t="n">
        <f aca="true">SUMPRODUCT((I203:INDEX(I203:T203,MONTH(TODAY()))="X")*1)</f>
        <v>0</v>
      </c>
      <c r="Z203" s="104" t="str">
        <f aca="false">IFERROR(V203/U203,"")</f>
        <v/>
      </c>
    </row>
    <row r="204" customFormat="false" ht="15" hidden="false" customHeight="true" outlineLevel="0" collapsed="false">
      <c r="A204" s="100" t="str">
        <f aca="false">Equipos!C202</f>
        <v>2-112301</v>
      </c>
      <c r="B204" s="101" t="str">
        <f aca="false">Equipos!D202</f>
        <v>Ventilador Mecánico </v>
      </c>
      <c r="C204" s="101" t="str">
        <f aca="false">Equipos!E202</f>
        <v>UPC Pediátrica </v>
      </c>
      <c r="D204" s="101" t="str">
        <f aca="false">Equipos!G202</f>
        <v>UPC-P2-SA44</v>
      </c>
      <c r="E204" s="101" t="str">
        <f aca="false">Equipos!I202</f>
        <v>Maquet</v>
      </c>
      <c r="F204" s="101" t="str">
        <f aca="false">Equipos!J202</f>
        <v>Servo i RM</v>
      </c>
      <c r="G204" s="100" t="str">
        <f aca="false">Equipos!K202</f>
        <v>27406</v>
      </c>
      <c r="H204" s="101"/>
      <c r="I204" s="102"/>
      <c r="J204" s="102"/>
      <c r="K204" s="103" t="s">
        <v>331</v>
      </c>
      <c r="L204" s="102"/>
      <c r="M204" s="102"/>
      <c r="N204" s="102"/>
      <c r="O204" s="102"/>
      <c r="P204" s="102"/>
      <c r="Q204" s="102"/>
      <c r="R204" s="102"/>
      <c r="S204" s="102"/>
      <c r="T204" s="102"/>
      <c r="U204" s="101" t="n">
        <f aca="false">V204+W204+X204+COUNTIF(I204:T204,"R")</f>
        <v>1</v>
      </c>
      <c r="V204" s="101" t="n">
        <f aca="false">COUNTIF(I204:T204,"E")</f>
        <v>0</v>
      </c>
      <c r="W204" s="101" t="n">
        <f aca="false">COUNTIF(I204:T204,"X")</f>
        <v>0</v>
      </c>
      <c r="X204" s="101" t="n">
        <f aca="false">COUNTIF(I204:T204,"C2")+COUNTIF(I204:T204,"C3")</f>
        <v>1</v>
      </c>
      <c r="Y204" s="101" t="n">
        <f aca="true">SUMPRODUCT((I204:INDEX(I204:T204,MONTH(TODAY()))="X")*1)</f>
        <v>0</v>
      </c>
      <c r="Z204" s="104" t="n">
        <f aca="false">IFERROR(V204/U204,"")</f>
        <v>0</v>
      </c>
    </row>
    <row r="205" customFormat="false" ht="15" hidden="false" customHeight="true" outlineLevel="0" collapsed="false">
      <c r="A205" s="100" t="n">
        <f aca="false">Equipos!C203</f>
        <v>0</v>
      </c>
      <c r="B205" s="101" t="n">
        <f aca="false">Equipos!D203</f>
        <v>0</v>
      </c>
      <c r="C205" s="101" t="n">
        <f aca="false">Equipos!E203</f>
        <v>0</v>
      </c>
      <c r="D205" s="101" t="n">
        <f aca="false">Equipos!G203</f>
        <v>0</v>
      </c>
      <c r="E205" s="101" t="n">
        <f aca="false">Equipos!I203</f>
        <v>0</v>
      </c>
      <c r="F205" s="101" t="n">
        <f aca="false">Equipos!J203</f>
        <v>0</v>
      </c>
      <c r="G205" s="100" t="n">
        <f aca="false">Equipos!K203</f>
        <v>0</v>
      </c>
      <c r="H205" s="101"/>
      <c r="I205" s="102"/>
      <c r="J205" s="102"/>
      <c r="K205" s="102"/>
      <c r="L205" s="102"/>
      <c r="M205" s="102"/>
      <c r="N205" s="102"/>
      <c r="O205" s="102"/>
      <c r="P205" s="102"/>
      <c r="Q205" s="102"/>
      <c r="R205" s="102"/>
      <c r="S205" s="102"/>
      <c r="T205" s="102"/>
      <c r="U205" s="101" t="n">
        <f aca="false">V205+W205+X205+COUNTIF(I205:T205,"R")</f>
        <v>0</v>
      </c>
      <c r="V205" s="101" t="n">
        <f aca="false">COUNTIF(I205:T205,"E")</f>
        <v>0</v>
      </c>
      <c r="W205" s="101" t="n">
        <f aca="false">COUNTIF(I205:T205,"X")</f>
        <v>0</v>
      </c>
      <c r="X205" s="101" t="n">
        <f aca="false">COUNTIF(I205:T205,"C2")+COUNTIF(I205:T205,"C3")</f>
        <v>0</v>
      </c>
      <c r="Y205" s="101" t="n">
        <f aca="true">SUMPRODUCT((I205:INDEX(I205:T205,MONTH(TODAY()))="X")*1)</f>
        <v>0</v>
      </c>
      <c r="Z205" s="104" t="str">
        <f aca="false">IFERROR(V205/U205,"")</f>
        <v/>
      </c>
    </row>
    <row r="206" customFormat="false" ht="15" hidden="false" customHeight="true" outlineLevel="0" collapsed="false">
      <c r="A206" s="100" t="str">
        <f aca="false">Equipos!C204</f>
        <v>2-125486</v>
      </c>
      <c r="B206" s="101" t="str">
        <f aca="false">Equipos!D204</f>
        <v>Ventilador Mecánico </v>
      </c>
      <c r="C206" s="101" t="str">
        <f aca="false">Equipos!E204</f>
        <v>UPC Pediátrica</v>
      </c>
      <c r="D206" s="101" t="str">
        <f aca="false">Equipos!G204</f>
        <v>Oficina </v>
      </c>
      <c r="E206" s="101" t="str">
        <f aca="false">Equipos!I204</f>
        <v>Philips</v>
      </c>
      <c r="F206" s="101" t="str">
        <f aca="false">Equipos!J204</f>
        <v>Trilogy 202</v>
      </c>
      <c r="G206" s="100" t="str">
        <f aca="false">Equipos!K204</f>
        <v>TV019111110</v>
      </c>
      <c r="H206" s="101"/>
      <c r="I206" s="102"/>
      <c r="J206" s="102"/>
      <c r="K206" s="103" t="s">
        <v>328</v>
      </c>
      <c r="L206" s="102"/>
      <c r="M206" s="102"/>
      <c r="N206" s="102"/>
      <c r="O206" s="102"/>
      <c r="P206" s="102"/>
      <c r="Q206" s="102"/>
      <c r="R206" s="102"/>
      <c r="S206" s="102"/>
      <c r="T206" s="102"/>
      <c r="U206" s="101" t="n">
        <f aca="false">V206+W206+X206+COUNTIF(I206:T206,"R")</f>
        <v>1</v>
      </c>
      <c r="V206" s="101" t="n">
        <f aca="false">COUNTIF(I206:T206,"E")</f>
        <v>1</v>
      </c>
      <c r="W206" s="101" t="n">
        <f aca="false">COUNTIF(I206:T206,"X")</f>
        <v>0</v>
      </c>
      <c r="X206" s="101" t="n">
        <f aca="false">COUNTIF(I206:T206,"C2")+COUNTIF(I206:T206,"C3")</f>
        <v>0</v>
      </c>
      <c r="Y206" s="101" t="n">
        <f aca="true">SUMPRODUCT((I206:INDEX(I206:T206,MONTH(TODAY()))="X")*1)</f>
        <v>0</v>
      </c>
      <c r="Z206" s="104" t="n">
        <f aca="false">IFERROR(V206/U206,"")</f>
        <v>1</v>
      </c>
    </row>
    <row r="207" customFormat="false" ht="15" hidden="false" customHeight="true" outlineLevel="0" collapsed="false">
      <c r="A207" s="100" t="str">
        <f aca="false">Equipos!C205</f>
        <v>2-116303</v>
      </c>
      <c r="B207" s="101" t="str">
        <f aca="false">Equipos!D205</f>
        <v>Ventilador Mecánico </v>
      </c>
      <c r="C207" s="101" t="str">
        <f aca="false">Equipos!E205</f>
        <v>UPC Pediátrica </v>
      </c>
      <c r="D207" s="101" t="str">
        <f aca="false">Equipos!G205</f>
        <v>Sala de equipos</v>
      </c>
      <c r="E207" s="101" t="str">
        <f aca="false">Equipos!I205</f>
        <v>Drager</v>
      </c>
      <c r="F207" s="101" t="str">
        <f aca="false">Equipos!J205</f>
        <v>Evita V300</v>
      </c>
      <c r="G207" s="100" t="str">
        <f aca="false">Equipos!K205</f>
        <v>ASJA-0098</v>
      </c>
      <c r="H207" s="101"/>
      <c r="I207" s="102"/>
      <c r="J207" s="102"/>
      <c r="K207" s="102"/>
      <c r="L207" s="102"/>
      <c r="M207" s="103" t="s">
        <v>329</v>
      </c>
      <c r="N207" s="102"/>
      <c r="O207" s="102"/>
      <c r="P207" s="102"/>
      <c r="Q207" s="102"/>
      <c r="R207" s="102"/>
      <c r="S207" s="102"/>
      <c r="T207" s="102"/>
      <c r="U207" s="101" t="n">
        <f aca="false">V207+W207+X207+COUNTIF(I207:T207,"R")</f>
        <v>1</v>
      </c>
      <c r="V207" s="101" t="n">
        <f aca="false">COUNTIF(I207:T207,"E")</f>
        <v>0</v>
      </c>
      <c r="W207" s="101" t="n">
        <f aca="false">COUNTIF(I207:T207,"X")</f>
        <v>1</v>
      </c>
      <c r="X207" s="101" t="n">
        <f aca="false">COUNTIF(I207:T207,"C2")+COUNTIF(I207:T207,"C3")</f>
        <v>0</v>
      </c>
      <c r="Y207" s="101" t="n">
        <f aca="true">SUMPRODUCT((I207:INDEX(I207:T207,MONTH(TODAY()))="X")*1)</f>
        <v>1</v>
      </c>
      <c r="Z207" s="104" t="n">
        <f aca="false">IFERROR(V207/U207,"")</f>
        <v>0</v>
      </c>
    </row>
    <row r="208" customFormat="false" ht="15" hidden="false" customHeight="true" outlineLevel="0" collapsed="false">
      <c r="A208" s="100" t="str">
        <f aca="false">Equipos!C206</f>
        <v>2-116304</v>
      </c>
      <c r="B208" s="101" t="str">
        <f aca="false">Equipos!D206</f>
        <v>Ventilador Mecánico </v>
      </c>
      <c r="C208" s="101" t="str">
        <f aca="false">Equipos!E206</f>
        <v>UPC Pediátrica </v>
      </c>
      <c r="D208" s="101" t="str">
        <f aca="false">Equipos!G206</f>
        <v>Sala de equipos</v>
      </c>
      <c r="E208" s="101" t="str">
        <f aca="false">Equipos!I206</f>
        <v>Drager</v>
      </c>
      <c r="F208" s="101" t="str">
        <f aca="false">Equipos!J206</f>
        <v>Evita V300</v>
      </c>
      <c r="G208" s="100" t="str">
        <f aca="false">Equipos!K206</f>
        <v>ASJF-0007</v>
      </c>
      <c r="H208" s="101"/>
      <c r="I208" s="102"/>
      <c r="J208" s="102"/>
      <c r="K208" s="102"/>
      <c r="L208" s="102"/>
      <c r="M208" s="103" t="s">
        <v>329</v>
      </c>
      <c r="N208" s="102"/>
      <c r="O208" s="102"/>
      <c r="P208" s="102"/>
      <c r="Q208" s="102"/>
      <c r="R208" s="102"/>
      <c r="S208" s="102"/>
      <c r="T208" s="102"/>
      <c r="U208" s="101" t="n">
        <f aca="false">V208+W208+X208+COUNTIF(I208:T208,"R")</f>
        <v>1</v>
      </c>
      <c r="V208" s="101" t="n">
        <f aca="false">COUNTIF(I208:T208,"E")</f>
        <v>0</v>
      </c>
      <c r="W208" s="101" t="n">
        <f aca="false">COUNTIF(I208:T208,"X")</f>
        <v>1</v>
      </c>
      <c r="X208" s="101" t="n">
        <f aca="false">COUNTIF(I208:T208,"C2")+COUNTIF(I208:T208,"C3")</f>
        <v>0</v>
      </c>
      <c r="Y208" s="101" t="n">
        <f aca="true">SUMPRODUCT((I208:INDEX(I208:T208,MONTH(TODAY()))="X")*1)</f>
        <v>1</v>
      </c>
      <c r="Z208" s="104" t="n">
        <f aca="false">IFERROR(V208/U208,"")</f>
        <v>0</v>
      </c>
    </row>
    <row r="209" customFormat="false" ht="15" hidden="false" customHeight="true" outlineLevel="0" collapsed="false">
      <c r="A209" s="100" t="str">
        <f aca="false">Equipos!C207</f>
        <v>2-116305</v>
      </c>
      <c r="B209" s="101" t="str">
        <f aca="false">Equipos!D207</f>
        <v>Ventilador Mecánico </v>
      </c>
      <c r="C209" s="101" t="str">
        <f aca="false">Equipos!E207</f>
        <v>UPC Pediátrica </v>
      </c>
      <c r="D209" s="101" t="str">
        <f aca="false">Equipos!G207</f>
        <v>Sala de equipos</v>
      </c>
      <c r="E209" s="101" t="str">
        <f aca="false">Equipos!I207</f>
        <v>Drager</v>
      </c>
      <c r="F209" s="101" t="str">
        <f aca="false">Equipos!J207</f>
        <v>Evita V300</v>
      </c>
      <c r="G209" s="100" t="str">
        <f aca="false">Equipos!K207</f>
        <v>ASJF-0008</v>
      </c>
      <c r="H209" s="101"/>
      <c r="I209" s="102"/>
      <c r="J209" s="102"/>
      <c r="K209" s="102"/>
      <c r="L209" s="102"/>
      <c r="M209" s="103" t="s">
        <v>329</v>
      </c>
      <c r="N209" s="102"/>
      <c r="O209" s="102"/>
      <c r="P209" s="102"/>
      <c r="Q209" s="102"/>
      <c r="R209" s="102"/>
      <c r="S209" s="102"/>
      <c r="T209" s="102"/>
      <c r="U209" s="101" t="n">
        <f aca="false">V209+W209+X209+COUNTIF(I209:T209,"R")</f>
        <v>1</v>
      </c>
      <c r="V209" s="101" t="n">
        <f aca="false">COUNTIF(I209:T209,"E")</f>
        <v>0</v>
      </c>
      <c r="W209" s="101" t="n">
        <f aca="false">COUNTIF(I209:T209,"X")</f>
        <v>1</v>
      </c>
      <c r="X209" s="101" t="n">
        <f aca="false">COUNTIF(I209:T209,"C2")+COUNTIF(I209:T209,"C3")</f>
        <v>0</v>
      </c>
      <c r="Y209" s="101" t="n">
        <f aca="true">SUMPRODUCT((I209:INDEX(I209:T209,MONTH(TODAY()))="X")*1)</f>
        <v>1</v>
      </c>
      <c r="Z209" s="104" t="n">
        <f aca="false">IFERROR(V209/U209,"")</f>
        <v>0</v>
      </c>
    </row>
    <row r="210" customFormat="false" ht="15" hidden="false" customHeight="true" outlineLevel="0" collapsed="false">
      <c r="A210" s="100" t="str">
        <f aca="false">Equipos!C208</f>
        <v>2-116306</v>
      </c>
      <c r="B210" s="101" t="str">
        <f aca="false">Equipos!D208</f>
        <v>Ventilador Mecánico </v>
      </c>
      <c r="C210" s="101" t="str">
        <f aca="false">Equipos!E208</f>
        <v>UPC Pediátrica</v>
      </c>
      <c r="D210" s="101" t="str">
        <f aca="false">Equipos!G208</f>
        <v>Sala de equipos</v>
      </c>
      <c r="E210" s="101" t="str">
        <f aca="false">Equipos!I208</f>
        <v>Drager</v>
      </c>
      <c r="F210" s="101" t="str">
        <f aca="false">Equipos!J208</f>
        <v>Evita V300</v>
      </c>
      <c r="G210" s="100" t="str">
        <f aca="false">Equipos!K208</f>
        <v>ASJL-0149</v>
      </c>
      <c r="H210" s="101"/>
      <c r="I210" s="102"/>
      <c r="J210" s="102"/>
      <c r="K210" s="102"/>
      <c r="L210" s="102"/>
      <c r="M210" s="103" t="s">
        <v>329</v>
      </c>
      <c r="N210" s="102"/>
      <c r="O210" s="102"/>
      <c r="P210" s="102"/>
      <c r="Q210" s="102"/>
      <c r="R210" s="102"/>
      <c r="S210" s="102"/>
      <c r="T210" s="102"/>
      <c r="U210" s="101" t="n">
        <f aca="false">V210+W210+X210+COUNTIF(I210:T210,"R")</f>
        <v>1</v>
      </c>
      <c r="V210" s="101" t="n">
        <f aca="false">COUNTIF(I210:T210,"E")</f>
        <v>0</v>
      </c>
      <c r="W210" s="101" t="n">
        <f aca="false">COUNTIF(I210:T210,"X")</f>
        <v>1</v>
      </c>
      <c r="X210" s="101" t="n">
        <f aca="false">COUNTIF(I210:T210,"C2")+COUNTIF(I210:T210,"C3")</f>
        <v>0</v>
      </c>
      <c r="Y210" s="101" t="n">
        <f aca="true">SUMPRODUCT((I210:INDEX(I210:T210,MONTH(TODAY()))="X")*1)</f>
        <v>1</v>
      </c>
      <c r="Z210" s="104" t="n">
        <f aca="false">IFERROR(V210/U210,"")</f>
        <v>0</v>
      </c>
    </row>
    <row r="211" customFormat="false" ht="15" hidden="false" customHeight="true" outlineLevel="0" collapsed="false">
      <c r="A211" s="100" t="str">
        <f aca="false">Equipos!C209</f>
        <v>2-116307</v>
      </c>
      <c r="B211" s="101" t="str">
        <f aca="false">Equipos!D209</f>
        <v>Ventilador Mecánico </v>
      </c>
      <c r="C211" s="101" t="str">
        <f aca="false">Equipos!E209</f>
        <v>UPC Pediátrica</v>
      </c>
      <c r="D211" s="101" t="str">
        <f aca="false">Equipos!G209</f>
        <v>Sala de equipos</v>
      </c>
      <c r="E211" s="101" t="str">
        <f aca="false">Equipos!I209</f>
        <v>Drager</v>
      </c>
      <c r="F211" s="101" t="str">
        <f aca="false">Equipos!J209</f>
        <v>Evita V300</v>
      </c>
      <c r="G211" s="100" t="str">
        <f aca="false">Equipos!K209</f>
        <v>ASJA-0099</v>
      </c>
      <c r="H211" s="101"/>
      <c r="I211" s="102"/>
      <c r="J211" s="102"/>
      <c r="K211" s="102"/>
      <c r="L211" s="102"/>
      <c r="M211" s="102" t="s">
        <v>329</v>
      </c>
      <c r="N211" s="102"/>
      <c r="O211" s="102"/>
      <c r="P211" s="102"/>
      <c r="Q211" s="102"/>
      <c r="R211" s="102"/>
      <c r="S211" s="102"/>
      <c r="T211" s="102"/>
      <c r="U211" s="101" t="n">
        <f aca="false">V211+W211+X211+COUNTIF(I211:T211,"R")</f>
        <v>1</v>
      </c>
      <c r="V211" s="101" t="n">
        <f aca="false">COUNTIF(I211:T211,"E")</f>
        <v>0</v>
      </c>
      <c r="W211" s="101" t="n">
        <f aca="false">COUNTIF(I211:T211,"X")</f>
        <v>1</v>
      </c>
      <c r="X211" s="101" t="n">
        <f aca="false">COUNTIF(I211:T211,"C2")+COUNTIF(I211:T211,"C3")</f>
        <v>0</v>
      </c>
      <c r="Y211" s="101" t="n">
        <f aca="true">SUMPRODUCT((I211:INDEX(I211:T211,MONTH(TODAY()))="X")*1)</f>
        <v>1</v>
      </c>
      <c r="Z211" s="104" t="n">
        <f aca="false">IFERROR(V211/U211,"")</f>
        <v>0</v>
      </c>
    </row>
    <row r="212" customFormat="false" ht="15" hidden="false" customHeight="true" outlineLevel="0" collapsed="false">
      <c r="A212" s="100" t="str">
        <f aca="false">Equipos!C210</f>
        <v>2-116308</v>
      </c>
      <c r="B212" s="101" t="str">
        <f aca="false">Equipos!D210</f>
        <v>Ventilador Mecánico </v>
      </c>
      <c r="C212" s="101" t="str">
        <f aca="false">Equipos!E210</f>
        <v>UPC Pediátrica</v>
      </c>
      <c r="D212" s="101" t="str">
        <f aca="false">Equipos!G210</f>
        <v>Sala de equipos</v>
      </c>
      <c r="E212" s="101" t="str">
        <f aca="false">Equipos!I210</f>
        <v>Drager</v>
      </c>
      <c r="F212" s="101" t="str">
        <f aca="false">Equipos!J210</f>
        <v>Evita V300</v>
      </c>
      <c r="G212" s="100" t="str">
        <f aca="false">Equipos!K210</f>
        <v>ASJA-0096</v>
      </c>
      <c r="H212" s="101"/>
      <c r="I212" s="102"/>
      <c r="J212" s="102"/>
      <c r="K212" s="102"/>
      <c r="L212" s="102"/>
      <c r="M212" s="103" t="s">
        <v>329</v>
      </c>
      <c r="N212" s="102"/>
      <c r="O212" s="102"/>
      <c r="P212" s="102"/>
      <c r="Q212" s="102"/>
      <c r="R212" s="102"/>
      <c r="S212" s="102"/>
      <c r="T212" s="102"/>
      <c r="U212" s="101" t="n">
        <f aca="false">V212+W212+X212+COUNTIF(I212:T212,"R")</f>
        <v>1</v>
      </c>
      <c r="V212" s="101" t="n">
        <f aca="false">COUNTIF(I212:T212,"E")</f>
        <v>0</v>
      </c>
      <c r="W212" s="101" t="n">
        <f aca="false">COUNTIF(I212:T212,"X")</f>
        <v>1</v>
      </c>
      <c r="X212" s="101" t="n">
        <f aca="false">COUNTIF(I212:T212,"C2")+COUNTIF(I212:T212,"C3")</f>
        <v>0</v>
      </c>
      <c r="Y212" s="101" t="n">
        <f aca="true">SUMPRODUCT((I212:INDEX(I212:T212,MONTH(TODAY()))="X")*1)</f>
        <v>1</v>
      </c>
      <c r="Z212" s="104" t="n">
        <f aca="false">IFERROR(V212/U212,"")</f>
        <v>0</v>
      </c>
    </row>
    <row r="213" customFormat="false" ht="15" hidden="false" customHeight="true" outlineLevel="0" collapsed="false">
      <c r="A213" s="100" t="str">
        <f aca="false">Equipos!C211</f>
        <v>2-013602</v>
      </c>
      <c r="B213" s="101" t="str">
        <f aca="false">Equipos!D211</f>
        <v>Ventilador Mecánico </v>
      </c>
      <c r="C213" s="101" t="str">
        <f aca="false">Equipos!E211</f>
        <v>UPC Adulto</v>
      </c>
      <c r="D213" s="101" t="str">
        <f aca="false">Equipos!G211</f>
        <v>UPC-P2-SA19</v>
      </c>
      <c r="E213" s="101" t="str">
        <f aca="false">Equipos!I211</f>
        <v>Drager </v>
      </c>
      <c r="F213" s="101" t="str">
        <f aca="false">Equipos!J211</f>
        <v>Carina </v>
      </c>
      <c r="G213" s="100" t="str">
        <f aca="false">Equipos!K211</f>
        <v>SRYM-0043</v>
      </c>
      <c r="H213" s="101"/>
      <c r="I213" s="102"/>
      <c r="J213" s="103" t="s">
        <v>333</v>
      </c>
      <c r="K213" s="102"/>
      <c r="L213" s="102"/>
      <c r="M213" s="102"/>
      <c r="N213" s="102"/>
      <c r="O213" s="102"/>
      <c r="P213" s="102"/>
      <c r="Q213" s="102"/>
      <c r="R213" s="102"/>
      <c r="S213" s="102"/>
      <c r="T213" s="102"/>
      <c r="U213" s="101" t="n">
        <f aca="false">V213+W213+X213+COUNTIF(I213:T213,"R")</f>
        <v>0</v>
      </c>
      <c r="V213" s="101" t="n">
        <f aca="false">COUNTIF(I213:T213,"E")</f>
        <v>0</v>
      </c>
      <c r="W213" s="101" t="n">
        <f aca="false">COUNTIF(I213:T213,"X")</f>
        <v>0</v>
      </c>
      <c r="X213" s="101" t="n">
        <f aca="false">COUNTIF(I213:T213,"C2")+COUNTIF(I213:T213,"C3")</f>
        <v>0</v>
      </c>
      <c r="Y213" s="101" t="n">
        <f aca="true">SUMPRODUCT((I213:INDEX(I213:T213,MONTH(TODAY()))="X")*1)</f>
        <v>0</v>
      </c>
      <c r="Z213" s="104" t="str">
        <f aca="false">IFERROR(V213/U213,"")</f>
        <v/>
      </c>
    </row>
    <row r="214" customFormat="false" ht="15" hidden="false" customHeight="true" outlineLevel="0" collapsed="false">
      <c r="A214" s="100" t="str">
        <f aca="false">Equipos!C212</f>
        <v>2-112313</v>
      </c>
      <c r="B214" s="101" t="str">
        <f aca="false">Equipos!D212</f>
        <v>Ventilador Mecánico </v>
      </c>
      <c r="C214" s="101" t="str">
        <f aca="false">Equipos!E212</f>
        <v>Neonatología</v>
      </c>
      <c r="D214" s="101" t="n">
        <f aca="false">Equipos!G212</f>
        <v>0</v>
      </c>
      <c r="E214" s="101" t="str">
        <f aca="false">Equipos!I212</f>
        <v>Drager </v>
      </c>
      <c r="F214" s="101" t="str">
        <f aca="false">Equipos!J212</f>
        <v>VN500</v>
      </c>
      <c r="G214" s="100" t="str">
        <f aca="false">Equipos!K212</f>
        <v>ASDB-0042</v>
      </c>
      <c r="H214" s="101"/>
      <c r="I214" s="103"/>
      <c r="J214" s="102"/>
      <c r="K214" s="102"/>
      <c r="L214" s="102"/>
      <c r="M214" s="102" t="s">
        <v>329</v>
      </c>
      <c r="N214" s="102"/>
      <c r="O214" s="102"/>
      <c r="P214" s="102"/>
      <c r="Q214" s="102"/>
      <c r="R214" s="102"/>
      <c r="S214" s="102"/>
      <c r="T214" s="102"/>
      <c r="U214" s="101" t="n">
        <f aca="false">V214+W214+X214+COUNTIF(I214:T214,"R")</f>
        <v>1</v>
      </c>
      <c r="V214" s="101" t="n">
        <f aca="false">COUNTIF(I214:T214,"E")</f>
        <v>0</v>
      </c>
      <c r="W214" s="101" t="n">
        <f aca="false">COUNTIF(I214:T214,"X")</f>
        <v>1</v>
      </c>
      <c r="X214" s="101" t="n">
        <f aca="false">COUNTIF(I214:T214,"C2")+COUNTIF(I214:T214,"C3")</f>
        <v>0</v>
      </c>
      <c r="Y214" s="101" t="n">
        <f aca="true">SUMPRODUCT((I214:INDEX(I214:T214,MONTH(TODAY()))="X")*1)</f>
        <v>1</v>
      </c>
      <c r="Z214" s="104" t="n">
        <f aca="false">IFERROR(V214/U214,"")</f>
        <v>0</v>
      </c>
    </row>
    <row r="215" customFormat="false" ht="15" hidden="false" customHeight="true" outlineLevel="0" collapsed="false">
      <c r="A215" s="100" t="str">
        <f aca="false">Equipos!C213</f>
        <v>2-027983</v>
      </c>
      <c r="B215" s="101" t="str">
        <f aca="false">Equipos!D213</f>
        <v>Ventilador Alta Frecuencia</v>
      </c>
      <c r="C215" s="101" t="str">
        <f aca="false">Equipos!E213</f>
        <v>Neonatología</v>
      </c>
      <c r="D215" s="101" t="n">
        <f aca="false">Equipos!G213</f>
        <v>0</v>
      </c>
      <c r="E215" s="101" t="str">
        <f aca="false">Equipos!I213</f>
        <v>CareFusion</v>
      </c>
      <c r="F215" s="101" t="str">
        <f aca="false">Equipos!J213</f>
        <v>Sensormedics 3100A</v>
      </c>
      <c r="G215" s="100" t="str">
        <f aca="false">Equipos!K213</f>
        <v>TMA24453</v>
      </c>
      <c r="H215" s="101"/>
      <c r="I215" s="102"/>
      <c r="J215" s="102"/>
      <c r="K215" s="102"/>
      <c r="L215" s="103" t="s">
        <v>328</v>
      </c>
      <c r="M215" s="102"/>
      <c r="N215" s="102"/>
      <c r="O215" s="102"/>
      <c r="P215" s="102"/>
      <c r="Q215" s="102"/>
      <c r="R215" s="102"/>
      <c r="S215" s="102"/>
      <c r="T215" s="102"/>
      <c r="U215" s="101" t="n">
        <f aca="false">V215+W215+X215+COUNTIF(I215:T215,"R")</f>
        <v>1</v>
      </c>
      <c r="V215" s="101" t="n">
        <f aca="false">COUNTIF(I215:T215,"E")</f>
        <v>1</v>
      </c>
      <c r="W215" s="101" t="n">
        <f aca="false">COUNTIF(I215:T215,"X")</f>
        <v>0</v>
      </c>
      <c r="X215" s="101" t="n">
        <f aca="false">COUNTIF(I215:T215,"C2")+COUNTIF(I215:T215,"C3")</f>
        <v>0</v>
      </c>
      <c r="Y215" s="101" t="n">
        <f aca="true">SUMPRODUCT((I215:INDEX(I215:T215,MONTH(TODAY()))="X")*1)</f>
        <v>0</v>
      </c>
      <c r="Z215" s="104" t="n">
        <f aca="false">IFERROR(V215/U215,"")</f>
        <v>1</v>
      </c>
    </row>
    <row r="216" customFormat="false" ht="15" hidden="false" customHeight="true" outlineLevel="0" collapsed="false">
      <c r="A216" s="100" t="str">
        <f aca="false">Equipos!C214</f>
        <v>2-112304</v>
      </c>
      <c r="B216" s="101" t="str">
        <f aca="false">Equipos!D214</f>
        <v>Ventilador Alta Frecuencia</v>
      </c>
      <c r="C216" s="101" t="str">
        <f aca="false">Equipos!E214</f>
        <v>UPC Pediátrica</v>
      </c>
      <c r="D216" s="101" t="str">
        <f aca="false">Equipos!G214</f>
        <v>UPC-P2-SA44</v>
      </c>
      <c r="E216" s="101" t="str">
        <f aca="false">Equipos!I214</f>
        <v>CareFusion</v>
      </c>
      <c r="F216" s="101" t="str">
        <f aca="false">Equipos!J214</f>
        <v>Sensormedics 3100B</v>
      </c>
      <c r="G216" s="100" t="str">
        <f aca="false">Equipos!K214</f>
        <v>BBW01018</v>
      </c>
      <c r="H216" s="101"/>
      <c r="I216" s="102"/>
      <c r="J216" s="102"/>
      <c r="K216" s="102"/>
      <c r="L216" s="103" t="s">
        <v>328</v>
      </c>
      <c r="M216" s="102"/>
      <c r="N216" s="102"/>
      <c r="O216" s="102"/>
      <c r="P216" s="102"/>
      <c r="Q216" s="102"/>
      <c r="R216" s="102"/>
      <c r="S216" s="102"/>
      <c r="T216" s="102"/>
      <c r="U216" s="101" t="n">
        <f aca="false">V216+W216+X216+COUNTIF(I216:T216,"R")</f>
        <v>1</v>
      </c>
      <c r="V216" s="101" t="n">
        <f aca="false">COUNTIF(I216:T216,"E")</f>
        <v>1</v>
      </c>
      <c r="W216" s="101" t="n">
        <f aca="false">COUNTIF(I216:T216,"X")</f>
        <v>0</v>
      </c>
      <c r="X216" s="101" t="n">
        <f aca="false">COUNTIF(I216:T216,"C2")+COUNTIF(I216:T216,"C3")</f>
        <v>0</v>
      </c>
      <c r="Y216" s="101" t="n">
        <f aca="true">SUMPRODUCT((I216:INDEX(I216:T216,MONTH(TODAY()))="X")*1)</f>
        <v>0</v>
      </c>
      <c r="Z216" s="104" t="n">
        <f aca="false">IFERROR(V216/U216,"")</f>
        <v>1</v>
      </c>
    </row>
    <row r="217" customFormat="false" ht="15" hidden="false" customHeight="true" outlineLevel="0" collapsed="false">
      <c r="A217" s="100" t="str">
        <f aca="false">Equipos!C215</f>
        <v>2-125487</v>
      </c>
      <c r="B217" s="101" t="str">
        <f aca="false">Equipos!D215</f>
        <v>Ventilador Mecánico </v>
      </c>
      <c r="C217" s="101" t="str">
        <f aca="false">Equipos!E215</f>
        <v>UPC Pediátrica</v>
      </c>
      <c r="D217" s="101" t="str">
        <f aca="false">Equipos!G215</f>
        <v>Oficina </v>
      </c>
      <c r="E217" s="101" t="str">
        <f aca="false">Equipos!I215</f>
        <v>Philips</v>
      </c>
      <c r="F217" s="101" t="str">
        <f aca="false">Equipos!J215</f>
        <v>Trilogy 202</v>
      </c>
      <c r="G217" s="100" t="str">
        <f aca="false">Equipos!K215</f>
        <v>TV020010610</v>
      </c>
      <c r="H217" s="101"/>
      <c r="I217" s="102"/>
      <c r="J217" s="102"/>
      <c r="K217" s="103" t="s">
        <v>328</v>
      </c>
      <c r="L217" s="102"/>
      <c r="M217" s="102"/>
      <c r="N217" s="102"/>
      <c r="O217" s="102"/>
      <c r="P217" s="102"/>
      <c r="Q217" s="102"/>
      <c r="R217" s="102"/>
      <c r="S217" s="102"/>
      <c r="T217" s="102"/>
      <c r="U217" s="101" t="n">
        <f aca="false">V217+W217+X217+COUNTIF(I217:T217,"R")</f>
        <v>1</v>
      </c>
      <c r="V217" s="101" t="n">
        <f aca="false">COUNTIF(I217:T217,"E")</f>
        <v>1</v>
      </c>
      <c r="W217" s="101" t="n">
        <f aca="false">COUNTIF(I217:T217,"X")</f>
        <v>0</v>
      </c>
      <c r="X217" s="101" t="n">
        <f aca="false">COUNTIF(I217:T217,"C2")+COUNTIF(I217:T217,"C3")</f>
        <v>0</v>
      </c>
      <c r="Y217" s="101" t="n">
        <f aca="true">SUMPRODUCT((I217:INDEX(I217:T217,MONTH(TODAY()))="X")*1)</f>
        <v>0</v>
      </c>
      <c r="Z217" s="104" t="n">
        <f aca="false">IFERROR(V217/U217,"")</f>
        <v>1</v>
      </c>
    </row>
    <row r="218" customFormat="false" ht="15" hidden="false" customHeight="true" outlineLevel="0" collapsed="false">
      <c r="A218" s="100" t="str">
        <f aca="false">Equipos!C216</f>
        <v>2-125490</v>
      </c>
      <c r="B218" s="101" t="str">
        <f aca="false">Equipos!D216</f>
        <v>Ventilador Mecánico </v>
      </c>
      <c r="C218" s="101" t="str">
        <f aca="false">Equipos!E216</f>
        <v>Urgencia Adulto (Prestado a Urgencia Infantil)</v>
      </c>
      <c r="D218" s="101" t="str">
        <f aca="false">Equipos!G216</f>
        <v>Reanimación</v>
      </c>
      <c r="E218" s="101" t="str">
        <f aca="false">Equipos!I216</f>
        <v>Philips</v>
      </c>
      <c r="F218" s="101" t="str">
        <f aca="false">Equipos!J216</f>
        <v>Trilogy 202</v>
      </c>
      <c r="G218" s="100" t="str">
        <f aca="false">Equipos!K216</f>
        <v>TV019111203</v>
      </c>
      <c r="H218" s="101"/>
      <c r="I218" s="102"/>
      <c r="J218" s="102"/>
      <c r="K218" s="103" t="s">
        <v>330</v>
      </c>
      <c r="L218" s="103" t="s">
        <v>328</v>
      </c>
      <c r="M218" s="102"/>
      <c r="N218" s="102"/>
      <c r="O218" s="102"/>
      <c r="P218" s="102"/>
      <c r="Q218" s="102"/>
      <c r="R218" s="102"/>
      <c r="S218" s="102"/>
      <c r="T218" s="102"/>
      <c r="U218" s="101" t="n">
        <f aca="false">V218+W218+X218+COUNTIF(I218:T218,"R")</f>
        <v>2</v>
      </c>
      <c r="V218" s="101" t="n">
        <f aca="false">COUNTIF(I218:T218,"E")</f>
        <v>1</v>
      </c>
      <c r="W218" s="101" t="n">
        <f aca="false">COUNTIF(I218:T218,"X")</f>
        <v>0</v>
      </c>
      <c r="X218" s="101" t="n">
        <f aca="false">COUNTIF(I218:T218,"C2")+COUNTIF(I218:T218,"C3")</f>
        <v>0</v>
      </c>
      <c r="Y218" s="101" t="n">
        <f aca="true">SUMPRODUCT((I218:INDEX(I218:T218,MONTH(TODAY()))="X")*1)</f>
        <v>0</v>
      </c>
      <c r="Z218" s="104" t="n">
        <f aca="false">IFERROR(V218/U218,"")</f>
        <v>0.5</v>
      </c>
    </row>
    <row r="219" customFormat="false" ht="15" hidden="false" customHeight="true" outlineLevel="0" collapsed="false">
      <c r="A219" s="100" t="str">
        <f aca="false">Equipos!C217</f>
        <v>2-118676</v>
      </c>
      <c r="B219" s="101" t="str">
        <f aca="false">Equipos!D217</f>
        <v>Ventilador Mecánico </v>
      </c>
      <c r="C219" s="101" t="str">
        <f aca="false">Equipos!E217</f>
        <v>Urgencia Adulto</v>
      </c>
      <c r="D219" s="101" t="str">
        <f aca="false">Equipos!G217</f>
        <v>Sala equipos SUA</v>
      </c>
      <c r="E219" s="101" t="str">
        <f aca="false">Equipos!I217</f>
        <v>Drager</v>
      </c>
      <c r="F219" s="101" t="str">
        <f aca="false">Equipos!J217</f>
        <v>Carina </v>
      </c>
      <c r="G219" s="100" t="str">
        <f aca="false">Equipos!K217</f>
        <v>ASHC-0026</v>
      </c>
      <c r="H219" s="101"/>
      <c r="I219" s="102"/>
      <c r="J219" s="102"/>
      <c r="K219" s="102"/>
      <c r="L219" s="102"/>
      <c r="M219" s="103" t="s">
        <v>328</v>
      </c>
      <c r="N219" s="102"/>
      <c r="O219" s="102"/>
      <c r="P219" s="102"/>
      <c r="Q219" s="102"/>
      <c r="R219" s="102"/>
      <c r="S219" s="102"/>
      <c r="T219" s="102"/>
      <c r="U219" s="101" t="n">
        <f aca="false">V219+W219+X219+COUNTIF(I219:T219,"R")</f>
        <v>1</v>
      </c>
      <c r="V219" s="101" t="n">
        <f aca="false">COUNTIF(I219:T219,"E")</f>
        <v>1</v>
      </c>
      <c r="W219" s="101" t="n">
        <f aca="false">COUNTIF(I219:T219,"X")</f>
        <v>0</v>
      </c>
      <c r="X219" s="101" t="n">
        <f aca="false">COUNTIF(I219:T219,"C2")+COUNTIF(I219:T219,"C3")</f>
        <v>0</v>
      </c>
      <c r="Y219" s="101" t="n">
        <f aca="true">SUMPRODUCT((I219:INDEX(I219:T219,MONTH(TODAY()))="X")*1)</f>
        <v>0</v>
      </c>
      <c r="Z219" s="104" t="n">
        <f aca="false">IFERROR(V219/U219,"")</f>
        <v>1</v>
      </c>
    </row>
    <row r="220" customFormat="false" ht="15" hidden="false" customHeight="true" outlineLevel="0" collapsed="false">
      <c r="A220" s="100" t="str">
        <f aca="false">Equipos!C218</f>
        <v>2-119313</v>
      </c>
      <c r="B220" s="101" t="str">
        <f aca="false">Equipos!D218</f>
        <v>Ventilador Mecánico </v>
      </c>
      <c r="C220" s="101" t="str">
        <f aca="false">Equipos!E218</f>
        <v>UPC Cardiovascular</v>
      </c>
      <c r="D220" s="101" t="str">
        <f aca="false">Equipos!G218</f>
        <v>SALA EQUIPOS</v>
      </c>
      <c r="E220" s="101" t="str">
        <f aca="false">Equipos!I218</f>
        <v>Philips</v>
      </c>
      <c r="F220" s="101" t="str">
        <f aca="false">Equipos!J218</f>
        <v>Respironic V60</v>
      </c>
      <c r="G220" s="100" t="str">
        <f aca="false">Equipos!K218</f>
        <v>201038729</v>
      </c>
      <c r="H220" s="101"/>
      <c r="I220" s="102"/>
      <c r="J220" s="102"/>
      <c r="K220" s="103" t="s">
        <v>328</v>
      </c>
      <c r="L220" s="102"/>
      <c r="M220" s="102"/>
      <c r="N220" s="102"/>
      <c r="O220" s="102"/>
      <c r="P220" s="102"/>
      <c r="Q220" s="102"/>
      <c r="R220" s="102"/>
      <c r="S220" s="102"/>
      <c r="T220" s="102"/>
      <c r="U220" s="101" t="n">
        <f aca="false">V220+W220+X220+COUNTIF(I220:T220,"R")</f>
        <v>1</v>
      </c>
      <c r="V220" s="101" t="n">
        <f aca="false">COUNTIF(I220:T220,"E")</f>
        <v>1</v>
      </c>
      <c r="W220" s="101" t="n">
        <f aca="false">COUNTIF(I220:T220,"X")</f>
        <v>0</v>
      </c>
      <c r="X220" s="101" t="n">
        <f aca="false">COUNTIF(I220:T220,"C2")+COUNTIF(I220:T220,"C3")</f>
        <v>0</v>
      </c>
      <c r="Y220" s="101" t="n">
        <f aca="true">SUMPRODUCT((I220:INDEX(I220:T220,MONTH(TODAY()))="X")*1)</f>
        <v>0</v>
      </c>
      <c r="Z220" s="104" t="n">
        <f aca="false">IFERROR(V220/U220,"")</f>
        <v>1</v>
      </c>
    </row>
    <row r="221" customFormat="false" ht="15" hidden="false" customHeight="true" outlineLevel="0" collapsed="false">
      <c r="A221" s="100" t="str">
        <f aca="false">Equipos!C219</f>
        <v>2-125491</v>
      </c>
      <c r="B221" s="101" t="str">
        <f aca="false">Equipos!D219</f>
        <v>Ventilador Mecánico </v>
      </c>
      <c r="C221" s="101" t="str">
        <f aca="false">Equipos!E219</f>
        <v>Urgencia Adulto</v>
      </c>
      <c r="D221" s="101" t="str">
        <f aca="false">Equipos!G219</f>
        <v>Sala equipos SUA</v>
      </c>
      <c r="E221" s="101" t="str">
        <f aca="false">Equipos!I219</f>
        <v>Philips</v>
      </c>
      <c r="F221" s="101" t="str">
        <f aca="false">Equipos!J219</f>
        <v>Trilogy 202</v>
      </c>
      <c r="G221" s="100" t="str">
        <f aca="false">Equipos!K219</f>
        <v>TV02001060B</v>
      </c>
      <c r="H221" s="101"/>
      <c r="I221" s="102"/>
      <c r="J221" s="102"/>
      <c r="K221" s="103" t="s">
        <v>328</v>
      </c>
      <c r="L221" s="102"/>
      <c r="M221" s="102"/>
      <c r="N221" s="102"/>
      <c r="O221" s="102"/>
      <c r="P221" s="102"/>
      <c r="Q221" s="102"/>
      <c r="R221" s="102"/>
      <c r="S221" s="102"/>
      <c r="T221" s="102"/>
      <c r="U221" s="101" t="n">
        <f aca="false">V221+W221+X221+COUNTIF(I221:T221,"R")</f>
        <v>1</v>
      </c>
      <c r="V221" s="101" t="n">
        <f aca="false">COUNTIF(I221:T221,"E")</f>
        <v>1</v>
      </c>
      <c r="W221" s="101" t="n">
        <f aca="false">COUNTIF(I221:T221,"X")</f>
        <v>0</v>
      </c>
      <c r="X221" s="101" t="n">
        <f aca="false">COUNTIF(I221:T221,"C2")+COUNTIF(I221:T221,"C3")</f>
        <v>0</v>
      </c>
      <c r="Y221" s="101" t="n">
        <f aca="true">SUMPRODUCT((I221:INDEX(I221:T221,MONTH(TODAY()))="X")*1)</f>
        <v>0</v>
      </c>
      <c r="Z221" s="104" t="n">
        <f aca="false">IFERROR(V221/U221,"")</f>
        <v>1</v>
      </c>
    </row>
    <row r="222" customFormat="false" ht="15" hidden="false" customHeight="true" outlineLevel="0" collapsed="false">
      <c r="A222" s="100" t="str">
        <f aca="false">Equipos!C220</f>
        <v>2-116288</v>
      </c>
      <c r="B222" s="101" t="str">
        <f aca="false">Equipos!D220</f>
        <v>Ventilador Mecánico </v>
      </c>
      <c r="C222" s="101" t="str">
        <f aca="false">Equipos!E220</f>
        <v>Neonatología</v>
      </c>
      <c r="D222" s="101" t="n">
        <f aca="false">Equipos!G220</f>
        <v>0</v>
      </c>
      <c r="E222" s="101" t="str">
        <f aca="false">Equipos!I220</f>
        <v>Drager</v>
      </c>
      <c r="F222" s="101" t="str">
        <f aca="false">Equipos!J220</f>
        <v>VN500</v>
      </c>
      <c r="G222" s="100" t="str">
        <f aca="false">Equipos!K220</f>
        <v>ASJL-0099</v>
      </c>
      <c r="H222" s="101"/>
      <c r="I222" s="102"/>
      <c r="J222" s="102"/>
      <c r="K222" s="102"/>
      <c r="L222" s="102"/>
      <c r="M222" s="103" t="s">
        <v>328</v>
      </c>
      <c r="N222" s="102"/>
      <c r="O222" s="102"/>
      <c r="P222" s="102"/>
      <c r="Q222" s="102"/>
      <c r="R222" s="102"/>
      <c r="S222" s="102"/>
      <c r="T222" s="102"/>
      <c r="U222" s="101" t="n">
        <f aca="false">V222+W222+X222+COUNTIF(I222:T222,"R")</f>
        <v>1</v>
      </c>
      <c r="V222" s="101" t="n">
        <f aca="false">COUNTIF(I222:T222,"E")</f>
        <v>1</v>
      </c>
      <c r="W222" s="101" t="n">
        <f aca="false">COUNTIF(I222:T222,"X")</f>
        <v>0</v>
      </c>
      <c r="X222" s="101" t="n">
        <f aca="false">COUNTIF(I222:T222,"C2")+COUNTIF(I222:T222,"C3")</f>
        <v>0</v>
      </c>
      <c r="Y222" s="101" t="n">
        <f aca="true">SUMPRODUCT((I222:INDEX(I222:T222,MONTH(TODAY()))="X")*1)</f>
        <v>0</v>
      </c>
      <c r="Z222" s="104" t="n">
        <f aca="false">IFERROR(V222/U222,"")</f>
        <v>1</v>
      </c>
    </row>
    <row r="223" customFormat="false" ht="15" hidden="false" customHeight="true" outlineLevel="0" collapsed="false">
      <c r="A223" s="100" t="str">
        <f aca="false">Equipos!C221</f>
        <v>2-125488</v>
      </c>
      <c r="B223" s="101" t="str">
        <f aca="false">Equipos!D221</f>
        <v>Ventilador Mecánico </v>
      </c>
      <c r="C223" s="101" t="str">
        <f aca="false">Equipos!E221</f>
        <v>UPC Pediátrica</v>
      </c>
      <c r="D223" s="101" t="str">
        <f aca="false">Equipos!G221</f>
        <v>Oficina </v>
      </c>
      <c r="E223" s="101" t="str">
        <f aca="false">Equipos!I221</f>
        <v>Philips</v>
      </c>
      <c r="F223" s="101" t="str">
        <f aca="false">Equipos!J221</f>
        <v>Trilogy 202</v>
      </c>
      <c r="G223" s="100" t="str">
        <f aca="false">Equipos!K221</f>
        <v>TV020010608</v>
      </c>
      <c r="H223" s="101"/>
      <c r="I223" s="102"/>
      <c r="J223" s="102"/>
      <c r="K223" s="103" t="s">
        <v>328</v>
      </c>
      <c r="L223" s="102"/>
      <c r="M223" s="102"/>
      <c r="N223" s="102"/>
      <c r="O223" s="102"/>
      <c r="P223" s="102"/>
      <c r="Q223" s="102"/>
      <c r="R223" s="102"/>
      <c r="S223" s="102"/>
      <c r="T223" s="102"/>
      <c r="U223" s="101" t="n">
        <f aca="false">V223+W223+X223+COUNTIF(I223:T223,"R")</f>
        <v>1</v>
      </c>
      <c r="V223" s="101" t="n">
        <f aca="false">COUNTIF(I223:T223,"E")</f>
        <v>1</v>
      </c>
      <c r="W223" s="101" t="n">
        <f aca="false">COUNTIF(I223:T223,"X")</f>
        <v>0</v>
      </c>
      <c r="X223" s="101" t="n">
        <f aca="false">COUNTIF(I223:T223,"C2")+COUNTIF(I223:T223,"C3")</f>
        <v>0</v>
      </c>
      <c r="Y223" s="101" t="n">
        <f aca="true">SUMPRODUCT((I223:INDEX(I223:T223,MONTH(TODAY()))="X")*1)</f>
        <v>0</v>
      </c>
      <c r="Z223" s="104" t="n">
        <f aca="false">IFERROR(V223/U223,"")</f>
        <v>1</v>
      </c>
    </row>
    <row r="224" customFormat="false" ht="15" hidden="false" customHeight="true" outlineLevel="0" collapsed="false">
      <c r="A224" s="100" t="str">
        <f aca="false">Equipos!C222</f>
        <v>2-116289</v>
      </c>
      <c r="B224" s="101" t="str">
        <f aca="false">Equipos!D222</f>
        <v>Ventilador Mecánico </v>
      </c>
      <c r="C224" s="101" t="str">
        <f aca="false">Equipos!E222</f>
        <v>Neonatología</v>
      </c>
      <c r="D224" s="101" t="n">
        <f aca="false">Equipos!G222</f>
        <v>0</v>
      </c>
      <c r="E224" s="101" t="str">
        <f aca="false">Equipos!I222</f>
        <v>Drager</v>
      </c>
      <c r="F224" s="101" t="str">
        <f aca="false">Equipos!J222</f>
        <v>VN500</v>
      </c>
      <c r="G224" s="100" t="str">
        <f aca="false">Equipos!K222</f>
        <v>ASKK-0196</v>
      </c>
      <c r="H224" s="101"/>
      <c r="I224" s="102"/>
      <c r="J224" s="102"/>
      <c r="K224" s="102"/>
      <c r="L224" s="102"/>
      <c r="M224" s="103" t="s">
        <v>328</v>
      </c>
      <c r="N224" s="102"/>
      <c r="O224" s="102"/>
      <c r="P224" s="102"/>
      <c r="Q224" s="102"/>
      <c r="R224" s="102"/>
      <c r="S224" s="102"/>
      <c r="T224" s="102"/>
      <c r="U224" s="101" t="n">
        <f aca="false">V224+W224+X224+COUNTIF(I224:T224,"R")</f>
        <v>1</v>
      </c>
      <c r="V224" s="101" t="n">
        <f aca="false">COUNTIF(I224:T224,"E")</f>
        <v>1</v>
      </c>
      <c r="W224" s="101" t="n">
        <f aca="false">COUNTIF(I224:T224,"X")</f>
        <v>0</v>
      </c>
      <c r="X224" s="101" t="n">
        <f aca="false">COUNTIF(I224:T224,"C2")+COUNTIF(I224:T224,"C3")</f>
        <v>0</v>
      </c>
      <c r="Y224" s="101" t="n">
        <f aca="true">SUMPRODUCT((I224:INDEX(I224:T224,MONTH(TODAY()))="X")*1)</f>
        <v>0</v>
      </c>
      <c r="Z224" s="104" t="n">
        <f aca="false">IFERROR(V224/U224,"")</f>
        <v>1</v>
      </c>
    </row>
    <row r="225" customFormat="false" ht="15" hidden="false" customHeight="true" outlineLevel="0" collapsed="false">
      <c r="A225" s="100" t="n">
        <f aca="false">Equipos!C223</f>
        <v>0</v>
      </c>
      <c r="B225" s="101" t="n">
        <f aca="false">Equipos!D223</f>
        <v>0</v>
      </c>
      <c r="C225" s="101" t="n">
        <f aca="false">Equipos!E223</f>
        <v>0</v>
      </c>
      <c r="D225" s="101" t="n">
        <f aca="false">Equipos!G223</f>
        <v>0</v>
      </c>
      <c r="E225" s="101" t="n">
        <f aca="false">Equipos!I223</f>
        <v>0</v>
      </c>
      <c r="F225" s="101" t="n">
        <f aca="false">Equipos!J223</f>
        <v>0</v>
      </c>
      <c r="G225" s="100" t="n">
        <f aca="false">Equipos!K223</f>
        <v>0</v>
      </c>
      <c r="H225" s="101"/>
      <c r="I225" s="102"/>
      <c r="J225" s="102"/>
      <c r="K225" s="102"/>
      <c r="L225" s="102"/>
      <c r="M225" s="102"/>
      <c r="N225" s="102"/>
      <c r="O225" s="102"/>
      <c r="P225" s="102"/>
      <c r="Q225" s="102"/>
      <c r="R225" s="102"/>
      <c r="S225" s="102"/>
      <c r="T225" s="102"/>
      <c r="U225" s="101" t="n">
        <f aca="false">V225+W225+X225+COUNTIF(I225:T225,"R")</f>
        <v>0</v>
      </c>
      <c r="V225" s="101" t="n">
        <f aca="false">COUNTIF(I225:T225,"E")</f>
        <v>0</v>
      </c>
      <c r="W225" s="101" t="n">
        <f aca="false">COUNTIF(I225:T225,"X")</f>
        <v>0</v>
      </c>
      <c r="X225" s="101" t="n">
        <f aca="false">COUNTIF(I225:T225,"C2")+COUNTIF(I225:T225,"C3")</f>
        <v>0</v>
      </c>
      <c r="Y225" s="101" t="n">
        <f aca="true">SUMPRODUCT((I225:INDEX(I225:T225,MONTH(TODAY()))="X")*1)</f>
        <v>0</v>
      </c>
      <c r="Z225" s="104" t="str">
        <f aca="false">IFERROR(V225/U225,"")</f>
        <v/>
      </c>
    </row>
    <row r="226" customFormat="false" ht="15" hidden="false" customHeight="true" outlineLevel="0" collapsed="false">
      <c r="A226" s="100" t="n">
        <f aca="false">Equipos!C224</f>
        <v>0</v>
      </c>
      <c r="B226" s="101" t="n">
        <f aca="false">Equipos!D224</f>
        <v>0</v>
      </c>
      <c r="C226" s="101" t="n">
        <f aca="false">Equipos!E224</f>
        <v>0</v>
      </c>
      <c r="D226" s="101" t="n">
        <f aca="false">Equipos!G224</f>
        <v>0</v>
      </c>
      <c r="E226" s="101" t="n">
        <f aca="false">Equipos!I224</f>
        <v>0</v>
      </c>
      <c r="F226" s="101" t="n">
        <f aca="false">Equipos!J224</f>
        <v>0</v>
      </c>
      <c r="G226" s="100" t="n">
        <f aca="false">Equipos!K224</f>
        <v>0</v>
      </c>
      <c r="H226" s="101"/>
      <c r="I226" s="102"/>
      <c r="J226" s="102"/>
      <c r="K226" s="102"/>
      <c r="L226" s="102"/>
      <c r="M226" s="102"/>
      <c r="N226" s="102"/>
      <c r="O226" s="102"/>
      <c r="P226" s="102"/>
      <c r="Q226" s="102"/>
      <c r="R226" s="102"/>
      <c r="S226" s="102"/>
      <c r="T226" s="102"/>
      <c r="U226" s="101" t="n">
        <f aca="false">V226+W226+X226+COUNTIF(I226:T226,"R")</f>
        <v>0</v>
      </c>
      <c r="V226" s="101" t="n">
        <f aca="false">COUNTIF(I226:T226,"E")</f>
        <v>0</v>
      </c>
      <c r="W226" s="101" t="n">
        <f aca="false">COUNTIF(I226:T226,"X")</f>
        <v>0</v>
      </c>
      <c r="X226" s="101" t="n">
        <f aca="false">COUNTIF(I226:T226,"C2")+COUNTIF(I226:T226,"C3")</f>
        <v>0</v>
      </c>
      <c r="Y226" s="101" t="n">
        <f aca="true">SUMPRODUCT((I226:INDEX(I226:T226,MONTH(TODAY()))="X")*1)</f>
        <v>0</v>
      </c>
      <c r="Z226" s="104" t="str">
        <f aca="false">IFERROR(V226/U226,"")</f>
        <v/>
      </c>
    </row>
    <row r="227" customFormat="false" ht="15" hidden="false" customHeight="true" outlineLevel="0" collapsed="false">
      <c r="A227" s="100" t="n">
        <f aca="false">Equipos!C225</f>
        <v>0</v>
      </c>
      <c r="B227" s="101" t="n">
        <f aca="false">Equipos!D225</f>
        <v>0</v>
      </c>
      <c r="C227" s="101" t="n">
        <f aca="false">Equipos!E225</f>
        <v>0</v>
      </c>
      <c r="D227" s="101" t="n">
        <f aca="false">Equipos!G225</f>
        <v>0</v>
      </c>
      <c r="E227" s="101" t="n">
        <f aca="false">Equipos!I225</f>
        <v>0</v>
      </c>
      <c r="F227" s="101" t="n">
        <f aca="false">Equipos!J225</f>
        <v>0</v>
      </c>
      <c r="G227" s="100" t="n">
        <f aca="false">Equipos!K225</f>
        <v>0</v>
      </c>
      <c r="H227" s="101"/>
      <c r="I227" s="102"/>
      <c r="J227" s="102"/>
      <c r="K227" s="102"/>
      <c r="L227" s="102"/>
      <c r="M227" s="102"/>
      <c r="N227" s="102"/>
      <c r="O227" s="102"/>
      <c r="P227" s="102"/>
      <c r="Q227" s="102"/>
      <c r="R227" s="102"/>
      <c r="S227" s="102"/>
      <c r="T227" s="102"/>
      <c r="U227" s="101" t="n">
        <f aca="false">V227+W227+X227+COUNTIF(I227:T227,"R")</f>
        <v>0</v>
      </c>
      <c r="V227" s="101" t="n">
        <f aca="false">COUNTIF(I227:T227,"E")</f>
        <v>0</v>
      </c>
      <c r="W227" s="101" t="n">
        <f aca="false">COUNTIF(I227:T227,"X")</f>
        <v>0</v>
      </c>
      <c r="X227" s="101" t="n">
        <f aca="false">COUNTIF(I227:T227,"C2")+COUNTIF(I227:T227,"C3")</f>
        <v>0</v>
      </c>
      <c r="Y227" s="101" t="n">
        <f aca="true">SUMPRODUCT((I227:INDEX(I227:T227,MONTH(TODAY()))="X")*1)</f>
        <v>0</v>
      </c>
      <c r="Z227" s="104" t="str">
        <f aca="false">IFERROR(V227/U227,"")</f>
        <v/>
      </c>
    </row>
    <row r="228" customFormat="false" ht="15" hidden="false" customHeight="true" outlineLevel="0" collapsed="false">
      <c r="A228" s="100" t="n">
        <f aca="false">Equipos!C226</f>
        <v>0</v>
      </c>
      <c r="B228" s="101" t="n">
        <f aca="false">Equipos!D226</f>
        <v>0</v>
      </c>
      <c r="C228" s="101" t="n">
        <f aca="false">Equipos!E226</f>
        <v>0</v>
      </c>
      <c r="D228" s="101" t="n">
        <f aca="false">Equipos!G226</f>
        <v>0</v>
      </c>
      <c r="E228" s="101" t="n">
        <f aca="false">Equipos!I226</f>
        <v>0</v>
      </c>
      <c r="F228" s="101" t="n">
        <f aca="false">Equipos!J226</f>
        <v>0</v>
      </c>
      <c r="G228" s="100" t="n">
        <f aca="false">Equipos!K226</f>
        <v>0</v>
      </c>
      <c r="H228" s="101"/>
      <c r="I228" s="102"/>
      <c r="J228" s="102"/>
      <c r="K228" s="102"/>
      <c r="L228" s="102"/>
      <c r="M228" s="102"/>
      <c r="N228" s="102"/>
      <c r="O228" s="102"/>
      <c r="P228" s="102"/>
      <c r="Q228" s="102"/>
      <c r="R228" s="102"/>
      <c r="S228" s="102"/>
      <c r="T228" s="102"/>
      <c r="U228" s="101" t="n">
        <f aca="false">V228+W228+X228+COUNTIF(I228:T228,"R")</f>
        <v>0</v>
      </c>
      <c r="V228" s="101" t="n">
        <f aca="false">COUNTIF(I228:T228,"E")</f>
        <v>0</v>
      </c>
      <c r="W228" s="101" t="n">
        <f aca="false">COUNTIF(I228:T228,"X")</f>
        <v>0</v>
      </c>
      <c r="X228" s="101" t="n">
        <f aca="false">COUNTIF(I228:T228,"C2")+COUNTIF(I228:T228,"C3")</f>
        <v>0</v>
      </c>
      <c r="Y228" s="101" t="n">
        <f aca="true">SUMPRODUCT((I228:INDEX(I228:T228,MONTH(TODAY()))="X")*1)</f>
        <v>0</v>
      </c>
      <c r="Z228" s="104" t="str">
        <f aca="false">IFERROR(V228/U228,"")</f>
        <v/>
      </c>
    </row>
    <row r="229" customFormat="false" ht="15" hidden="false" customHeight="true" outlineLevel="0" collapsed="false">
      <c r="A229" s="100" t="str">
        <f aca="false">Equipos!C227</f>
        <v>2-125401</v>
      </c>
      <c r="B229" s="101" t="str">
        <f aca="false">Equipos!D227</f>
        <v>Ventilador Mecánico </v>
      </c>
      <c r="C229" s="101" t="str">
        <f aca="false">Equipos!E227</f>
        <v>SAMU</v>
      </c>
      <c r="D229" s="101" t="n">
        <f aca="false">Equipos!G227</f>
        <v>0</v>
      </c>
      <c r="E229" s="101" t="str">
        <f aca="false">Equipos!I227</f>
        <v>Hamilton</v>
      </c>
      <c r="F229" s="101" t="str">
        <f aca="false">Equipos!J227</f>
        <v>T1</v>
      </c>
      <c r="G229" s="100" t="str">
        <f aca="false">Equipos!K227</f>
        <v>27365</v>
      </c>
      <c r="H229" s="101"/>
      <c r="I229" s="102"/>
      <c r="J229" s="102"/>
      <c r="K229" s="103" t="s">
        <v>328</v>
      </c>
      <c r="L229" s="102"/>
      <c r="M229" s="102"/>
      <c r="N229" s="102"/>
      <c r="O229" s="102"/>
      <c r="P229" s="102"/>
      <c r="Q229" s="102"/>
      <c r="R229" s="102"/>
      <c r="S229" s="102"/>
      <c r="T229" s="102"/>
      <c r="U229" s="101" t="n">
        <f aca="false">V229+W229+X229+COUNTIF(I229:T229,"R")</f>
        <v>1</v>
      </c>
      <c r="V229" s="101" t="n">
        <f aca="false">COUNTIF(I229:T229,"E")</f>
        <v>1</v>
      </c>
      <c r="W229" s="101" t="n">
        <f aca="false">COUNTIF(I229:T229,"X")</f>
        <v>0</v>
      </c>
      <c r="X229" s="101" t="n">
        <f aca="false">COUNTIF(I229:T229,"C2")+COUNTIF(I229:T229,"C3")</f>
        <v>0</v>
      </c>
      <c r="Y229" s="101" t="n">
        <f aca="true">SUMPRODUCT((I229:INDEX(I229:T229,MONTH(TODAY()))="X")*1)</f>
        <v>0</v>
      </c>
      <c r="Z229" s="104" t="n">
        <f aca="false">IFERROR(V229/U229,"")</f>
        <v>1</v>
      </c>
    </row>
    <row r="230" customFormat="false" ht="15" hidden="false" customHeight="true" outlineLevel="0" collapsed="false">
      <c r="A230" s="100" t="str">
        <f aca="false">Equipos!C228</f>
        <v>2-112320</v>
      </c>
      <c r="B230" s="101" t="str">
        <f aca="false">Equipos!D228</f>
        <v>Ventilador Mecánico </v>
      </c>
      <c r="C230" s="101" t="str">
        <f aca="false">Equipos!E228</f>
        <v>Urgencia Adulto</v>
      </c>
      <c r="D230" s="101" t="str">
        <f aca="false">Equipos!G228</f>
        <v>Sala equipos SUA</v>
      </c>
      <c r="E230" s="101" t="str">
        <f aca="false">Equipos!I228</f>
        <v>Drager</v>
      </c>
      <c r="F230" s="101" t="str">
        <f aca="false">Equipos!J228</f>
        <v>Oxylog 3000</v>
      </c>
      <c r="G230" s="100" t="str">
        <f aca="false">Equipos!K228</f>
        <v>ASCL-0118</v>
      </c>
      <c r="H230" s="101"/>
      <c r="I230" s="102"/>
      <c r="J230" s="102"/>
      <c r="K230" s="102"/>
      <c r="L230" s="102"/>
      <c r="M230" s="103" t="s">
        <v>328</v>
      </c>
      <c r="N230" s="102"/>
      <c r="O230" s="102"/>
      <c r="P230" s="102"/>
      <c r="Q230" s="102"/>
      <c r="R230" s="102"/>
      <c r="S230" s="102"/>
      <c r="T230" s="102"/>
      <c r="U230" s="101" t="n">
        <f aca="false">V230+W230+X230+COUNTIF(I230:T230,"R")</f>
        <v>1</v>
      </c>
      <c r="V230" s="101" t="n">
        <f aca="false">COUNTIF(I230:T230,"E")</f>
        <v>1</v>
      </c>
      <c r="W230" s="101" t="n">
        <f aca="false">COUNTIF(I230:T230,"X")</f>
        <v>0</v>
      </c>
      <c r="X230" s="101" t="n">
        <f aca="false">COUNTIF(I230:T230,"C2")+COUNTIF(I230:T230,"C3")</f>
        <v>0</v>
      </c>
      <c r="Y230" s="101" t="n">
        <f aca="true">SUMPRODUCT((I230:INDEX(I230:T230,MONTH(TODAY()))="X")*1)</f>
        <v>0</v>
      </c>
      <c r="Z230" s="104" t="n">
        <f aca="false">IFERROR(V230/U230,"")</f>
        <v>1</v>
      </c>
    </row>
    <row r="231" customFormat="false" ht="15" hidden="false" customHeight="true" outlineLevel="0" collapsed="false">
      <c r="A231" s="100" t="n">
        <f aca="false">Equipos!C229</f>
        <v>0</v>
      </c>
      <c r="B231" s="101" t="n">
        <f aca="false">Equipos!D229</f>
        <v>0</v>
      </c>
      <c r="C231" s="101" t="n">
        <f aca="false">Equipos!E229</f>
        <v>0</v>
      </c>
      <c r="D231" s="101" t="n">
        <f aca="false">Equipos!G229</f>
        <v>0</v>
      </c>
      <c r="E231" s="101" t="n">
        <f aca="false">Equipos!I229</f>
        <v>0</v>
      </c>
      <c r="F231" s="101" t="n">
        <f aca="false">Equipos!J229</f>
        <v>0</v>
      </c>
      <c r="G231" s="100" t="n">
        <f aca="false">Equipos!K229</f>
        <v>0</v>
      </c>
      <c r="H231" s="101"/>
      <c r="I231" s="102"/>
      <c r="J231" s="102"/>
      <c r="K231" s="102"/>
      <c r="L231" s="102"/>
      <c r="M231" s="102"/>
      <c r="N231" s="102"/>
      <c r="O231" s="102"/>
      <c r="P231" s="102"/>
      <c r="Q231" s="102"/>
      <c r="R231" s="102"/>
      <c r="S231" s="102"/>
      <c r="T231" s="102"/>
      <c r="U231" s="101" t="n">
        <f aca="false">V231+W231+X231+COUNTIF(I231:T231,"R")</f>
        <v>0</v>
      </c>
      <c r="V231" s="101" t="n">
        <f aca="false">COUNTIF(I231:T231,"E")</f>
        <v>0</v>
      </c>
      <c r="W231" s="101" t="n">
        <f aca="false">COUNTIF(I231:T231,"X")</f>
        <v>0</v>
      </c>
      <c r="X231" s="101" t="n">
        <f aca="false">COUNTIF(I231:T231,"C2")+COUNTIF(I231:T231,"C3")</f>
        <v>0</v>
      </c>
      <c r="Y231" s="101" t="n">
        <f aca="true">SUMPRODUCT((I231:INDEX(I231:T231,MONTH(TODAY()))="X")*1)</f>
        <v>0</v>
      </c>
      <c r="Z231" s="104" t="str">
        <f aca="false">IFERROR(V231/U231,"")</f>
        <v/>
      </c>
    </row>
    <row r="232" customFormat="false" ht="15" hidden="false" customHeight="true" outlineLevel="0" collapsed="false">
      <c r="A232" s="100" t="str">
        <f aca="false">Equipos!C230</f>
        <v>2-007500</v>
      </c>
      <c r="B232" s="101" t="str">
        <f aca="false">Equipos!D230</f>
        <v>Ventilador Mecánico </v>
      </c>
      <c r="C232" s="101" t="str">
        <f aca="false">Equipos!E230</f>
        <v>UPC Adulto</v>
      </c>
      <c r="D232" s="101" t="n">
        <f aca="false">Equipos!G230</f>
        <v>0</v>
      </c>
      <c r="E232" s="101" t="str">
        <f aca="false">Equipos!I230</f>
        <v>Puritan Bennett</v>
      </c>
      <c r="F232" s="101" t="str">
        <f aca="false">Equipos!J230</f>
        <v>840/Sin Comp.</v>
      </c>
      <c r="G232" s="100" t="str">
        <f aca="false">Equipos!K230</f>
        <v>3510053115</v>
      </c>
      <c r="H232" s="101"/>
      <c r="I232" s="102"/>
      <c r="J232" s="102"/>
      <c r="K232" s="103" t="s">
        <v>331</v>
      </c>
      <c r="L232" s="102"/>
      <c r="M232" s="102"/>
      <c r="N232" s="102"/>
      <c r="O232" s="102"/>
      <c r="P232" s="102"/>
      <c r="Q232" s="102"/>
      <c r="R232" s="102"/>
      <c r="S232" s="102"/>
      <c r="T232" s="102"/>
      <c r="U232" s="101" t="n">
        <f aca="false">V232+W232+X232+COUNTIF(I232:T232,"R")</f>
        <v>1</v>
      </c>
      <c r="V232" s="101" t="n">
        <f aca="false">COUNTIF(I232:T232,"E")</f>
        <v>0</v>
      </c>
      <c r="W232" s="101" t="n">
        <f aca="false">COUNTIF(I232:T232,"X")</f>
        <v>0</v>
      </c>
      <c r="X232" s="101" t="n">
        <f aca="false">COUNTIF(I232:T232,"C2")+COUNTIF(I232:T232,"C3")</f>
        <v>1</v>
      </c>
      <c r="Y232" s="101" t="n">
        <f aca="true">SUMPRODUCT((I232:INDEX(I232:T232,MONTH(TODAY()))="X")*1)</f>
        <v>0</v>
      </c>
      <c r="Z232" s="104" t="n">
        <f aca="false">IFERROR(V232/U232,"")</f>
        <v>0</v>
      </c>
    </row>
    <row r="233" customFormat="false" ht="15" hidden="false" customHeight="true" outlineLevel="0" collapsed="false">
      <c r="A233" s="100" t="str">
        <f aca="false">Equipos!C231</f>
        <v>2-121785</v>
      </c>
      <c r="B233" s="101" t="str">
        <f aca="false">Equipos!D231</f>
        <v>Ventilador Mecánico </v>
      </c>
      <c r="C233" s="101" t="str">
        <f aca="false">Equipos!E231</f>
        <v>UPC Cardiovascular</v>
      </c>
      <c r="D233" s="101" t="n">
        <f aca="false">Equipos!G231</f>
        <v>0</v>
      </c>
      <c r="E233" s="101" t="str">
        <f aca="false">Equipos!I231</f>
        <v>Puritan Bennett</v>
      </c>
      <c r="F233" s="101" t="str">
        <f aca="false">Equipos!J231</f>
        <v>980/cc</v>
      </c>
      <c r="G233" s="100" t="str">
        <f aca="false">Equipos!K231</f>
        <v>35B2100833</v>
      </c>
      <c r="H233" s="101"/>
      <c r="I233" s="102"/>
      <c r="J233" s="102"/>
      <c r="K233" s="103" t="s">
        <v>330</v>
      </c>
      <c r="L233" s="103" t="s">
        <v>328</v>
      </c>
      <c r="M233" s="102"/>
      <c r="N233" s="102"/>
      <c r="O233" s="102"/>
      <c r="P233" s="102"/>
      <c r="Q233" s="102"/>
      <c r="R233" s="102"/>
      <c r="S233" s="102"/>
      <c r="T233" s="102"/>
      <c r="U233" s="101" t="n">
        <f aca="false">V233+W233+X233+COUNTIF(I233:T233,"R")</f>
        <v>2</v>
      </c>
      <c r="V233" s="101" t="n">
        <f aca="false">COUNTIF(I233:T233,"E")</f>
        <v>1</v>
      </c>
      <c r="W233" s="101" t="n">
        <f aca="false">COUNTIF(I233:T233,"X")</f>
        <v>0</v>
      </c>
      <c r="X233" s="101" t="n">
        <f aca="false">COUNTIF(I233:T233,"C2")+COUNTIF(I233:T233,"C3")</f>
        <v>0</v>
      </c>
      <c r="Y233" s="101" t="n">
        <f aca="true">SUMPRODUCT((I233:INDEX(I233:T233,MONTH(TODAY()))="X")*1)</f>
        <v>0</v>
      </c>
      <c r="Z233" s="104" t="n">
        <f aca="false">IFERROR(V233/U233,"")</f>
        <v>0.5</v>
      </c>
    </row>
    <row r="234" customFormat="false" ht="15" hidden="false" customHeight="true" outlineLevel="0" collapsed="false">
      <c r="A234" s="100" t="str">
        <f aca="false">Equipos!C232</f>
        <v>2-125348</v>
      </c>
      <c r="B234" s="101" t="str">
        <f aca="false">Equipos!D232</f>
        <v>Ventilador Mecánico </v>
      </c>
      <c r="C234" s="101" t="str">
        <f aca="false">Equipos!E232</f>
        <v>SAMU</v>
      </c>
      <c r="D234" s="101" t="n">
        <f aca="false">Equipos!G232</f>
        <v>0</v>
      </c>
      <c r="E234" s="101" t="str">
        <f aca="false">Equipos!I232</f>
        <v>Hamilton</v>
      </c>
      <c r="F234" s="101" t="str">
        <f aca="false">Equipos!J232</f>
        <v>T1</v>
      </c>
      <c r="G234" s="100" t="str">
        <f aca="false">Equipos!K232</f>
        <v>27332</v>
      </c>
      <c r="H234" s="101"/>
      <c r="I234" s="102"/>
      <c r="J234" s="102"/>
      <c r="K234" s="103" t="s">
        <v>328</v>
      </c>
      <c r="L234" s="102"/>
      <c r="M234" s="102"/>
      <c r="N234" s="102"/>
      <c r="O234" s="102"/>
      <c r="P234" s="102"/>
      <c r="Q234" s="102"/>
      <c r="R234" s="102"/>
      <c r="S234" s="102"/>
      <c r="T234" s="102"/>
      <c r="U234" s="101" t="n">
        <f aca="false">V234+W234+X234+COUNTIF(I234:T234,"R")</f>
        <v>1</v>
      </c>
      <c r="V234" s="101" t="n">
        <f aca="false">COUNTIF(I234:T234,"E")</f>
        <v>1</v>
      </c>
      <c r="W234" s="101" t="n">
        <f aca="false">COUNTIF(I234:T234,"X")</f>
        <v>0</v>
      </c>
      <c r="X234" s="101" t="n">
        <f aca="false">COUNTIF(I234:T234,"C2")+COUNTIF(I234:T234,"C3")</f>
        <v>0</v>
      </c>
      <c r="Y234" s="101" t="n">
        <f aca="true">SUMPRODUCT((I234:INDEX(I234:T234,MONTH(TODAY()))="X")*1)</f>
        <v>0</v>
      </c>
      <c r="Z234" s="104" t="n">
        <f aca="false">IFERROR(V234/U234,"")</f>
        <v>1</v>
      </c>
    </row>
    <row r="235" customFormat="false" ht="15" hidden="false" customHeight="true" outlineLevel="0" collapsed="false">
      <c r="A235" s="100" t="str">
        <f aca="false">Equipos!C233</f>
        <v>2-116290</v>
      </c>
      <c r="B235" s="101" t="str">
        <f aca="false">Equipos!D233</f>
        <v>Ventilador Mecánico </v>
      </c>
      <c r="C235" s="101" t="str">
        <f aca="false">Equipos!E233</f>
        <v>Neonatología</v>
      </c>
      <c r="D235" s="101" t="n">
        <f aca="false">Equipos!G233</f>
        <v>0</v>
      </c>
      <c r="E235" s="101" t="str">
        <f aca="false">Equipos!I233</f>
        <v>Drager</v>
      </c>
      <c r="F235" s="101" t="str">
        <f aca="false">Equipos!J233</f>
        <v>VN500</v>
      </c>
      <c r="G235" s="100" t="str">
        <f aca="false">Equipos!K233</f>
        <v>ASKK-0198</v>
      </c>
      <c r="H235" s="101"/>
      <c r="I235" s="102"/>
      <c r="J235" s="102"/>
      <c r="K235" s="102"/>
      <c r="L235" s="102"/>
      <c r="M235" s="103" t="s">
        <v>328</v>
      </c>
      <c r="N235" s="102"/>
      <c r="O235" s="102"/>
      <c r="P235" s="102"/>
      <c r="Q235" s="102"/>
      <c r="R235" s="102"/>
      <c r="S235" s="102"/>
      <c r="T235" s="102"/>
      <c r="U235" s="101" t="n">
        <f aca="false">V235+W235+X235+COUNTIF(I235:T235,"R")</f>
        <v>1</v>
      </c>
      <c r="V235" s="101" t="n">
        <f aca="false">COUNTIF(I235:T235,"E")</f>
        <v>1</v>
      </c>
      <c r="W235" s="101" t="n">
        <f aca="false">COUNTIF(I235:T235,"X")</f>
        <v>0</v>
      </c>
      <c r="X235" s="101" t="n">
        <f aca="false">COUNTIF(I235:T235,"C2")+COUNTIF(I235:T235,"C3")</f>
        <v>0</v>
      </c>
      <c r="Y235" s="101" t="n">
        <f aca="true">SUMPRODUCT((I235:INDEX(I235:T235,MONTH(TODAY()))="X")*1)</f>
        <v>0</v>
      </c>
      <c r="Z235" s="104" t="n">
        <f aca="false">IFERROR(V235/U235,"")</f>
        <v>1</v>
      </c>
    </row>
    <row r="236" customFormat="false" ht="15" hidden="false" customHeight="true" outlineLevel="0" collapsed="false">
      <c r="A236" s="100" t="str">
        <f aca="false">Equipos!C234</f>
        <v>2-133451</v>
      </c>
      <c r="B236" s="101" t="str">
        <f aca="false">Equipos!D234</f>
        <v>Ventilador Mecánico </v>
      </c>
      <c r="C236" s="101" t="str">
        <f aca="false">Equipos!E234</f>
        <v>Urgencia Adulto</v>
      </c>
      <c r="D236" s="101" t="n">
        <f aca="false">Equipos!G234</f>
        <v>0</v>
      </c>
      <c r="E236" s="101" t="str">
        <f aca="false">Equipos!I234</f>
        <v>Hamilton</v>
      </c>
      <c r="F236" s="101" t="str">
        <f aca="false">Equipos!J234</f>
        <v>MR1</v>
      </c>
      <c r="G236" s="100" t="str">
        <f aca="false">Equipos!K234</f>
        <v>5497</v>
      </c>
      <c r="H236" s="101"/>
      <c r="I236" s="102"/>
      <c r="J236" s="102"/>
      <c r="K236" s="103" t="s">
        <v>328</v>
      </c>
      <c r="L236" s="102"/>
      <c r="M236" s="102"/>
      <c r="N236" s="102"/>
      <c r="O236" s="102"/>
      <c r="P236" s="102"/>
      <c r="Q236" s="102"/>
      <c r="R236" s="102"/>
      <c r="S236" s="102"/>
      <c r="T236" s="102"/>
      <c r="U236" s="101" t="n">
        <f aca="false">V236+W236+X236+COUNTIF(I236:T236,"R")</f>
        <v>1</v>
      </c>
      <c r="V236" s="101" t="n">
        <f aca="false">COUNTIF(I236:T236,"E")</f>
        <v>1</v>
      </c>
      <c r="W236" s="101" t="n">
        <f aca="false">COUNTIF(I236:T236,"X")</f>
        <v>0</v>
      </c>
      <c r="X236" s="101" t="n">
        <f aca="false">COUNTIF(I236:T236,"C2")+COUNTIF(I236:T236,"C3")</f>
        <v>0</v>
      </c>
      <c r="Y236" s="101" t="n">
        <f aca="true">SUMPRODUCT((I236:INDEX(I236:T236,MONTH(TODAY()))="X")*1)</f>
        <v>0</v>
      </c>
      <c r="Z236" s="104" t="n">
        <f aca="false">IFERROR(V236/U236,"")</f>
        <v>1</v>
      </c>
    </row>
    <row r="237" customFormat="false" ht="15" hidden="false" customHeight="true" outlineLevel="0" collapsed="false">
      <c r="A237" s="100" t="n">
        <f aca="false">Equipos!C235</f>
        <v>0</v>
      </c>
      <c r="B237" s="101" t="n">
        <f aca="false">Equipos!D235</f>
        <v>0</v>
      </c>
      <c r="C237" s="101" t="n">
        <f aca="false">Equipos!E235</f>
        <v>0</v>
      </c>
      <c r="D237" s="101" t="n">
        <f aca="false">Equipos!G235</f>
        <v>0</v>
      </c>
      <c r="E237" s="101" t="n">
        <f aca="false">Equipos!I235</f>
        <v>0</v>
      </c>
      <c r="F237" s="101" t="n">
        <f aca="false">Equipos!J235</f>
        <v>0</v>
      </c>
      <c r="G237" s="100" t="n">
        <f aca="false">Equipos!K235</f>
        <v>0</v>
      </c>
      <c r="H237" s="101"/>
      <c r="I237" s="102"/>
      <c r="J237" s="102"/>
      <c r="K237" s="102"/>
      <c r="L237" s="102"/>
      <c r="M237" s="102"/>
      <c r="N237" s="102"/>
      <c r="O237" s="102"/>
      <c r="P237" s="102"/>
      <c r="Q237" s="102"/>
      <c r="R237" s="102"/>
      <c r="S237" s="102"/>
      <c r="T237" s="102"/>
      <c r="U237" s="101" t="n">
        <f aca="false">V237+W237+X237+COUNTIF(I237:T237,"R")</f>
        <v>0</v>
      </c>
      <c r="V237" s="101" t="n">
        <f aca="false">COUNTIF(I237:T237,"E")</f>
        <v>0</v>
      </c>
      <c r="W237" s="101" t="n">
        <f aca="false">COUNTIF(I237:T237,"X")</f>
        <v>0</v>
      </c>
      <c r="X237" s="101" t="n">
        <f aca="false">COUNTIF(I237:T237,"C2")+COUNTIF(I237:T237,"C3")</f>
        <v>0</v>
      </c>
      <c r="Y237" s="101" t="n">
        <f aca="true">SUMPRODUCT((I237:INDEX(I237:T237,MONTH(TODAY()))="X")*1)</f>
        <v>0</v>
      </c>
      <c r="Z237" s="104" t="str">
        <f aca="false">IFERROR(V237/U237,"")</f>
        <v/>
      </c>
    </row>
    <row r="238" customFormat="false" ht="15" hidden="false" customHeight="true" outlineLevel="0" collapsed="false">
      <c r="A238" s="100" t="str">
        <f aca="false">Equipos!C236</f>
        <v>2-112325</v>
      </c>
      <c r="B238" s="101" t="str">
        <f aca="false">Equipos!D236</f>
        <v>Ventilador Mecánico </v>
      </c>
      <c r="C238" s="101" t="str">
        <f aca="false">Equipos!E236</f>
        <v>Urgencia Adulto (Prestado a UPC Cardiovascular)</v>
      </c>
      <c r="D238" s="101" t="str">
        <f aca="false">Equipos!G236</f>
        <v>UPC Cardiovascular</v>
      </c>
      <c r="E238" s="101" t="str">
        <f aca="false">Equipos!I236</f>
        <v>Puritan Bennett</v>
      </c>
      <c r="F238" s="101" t="str">
        <f aca="false">Equipos!J236</f>
        <v>840/Sin Comp.</v>
      </c>
      <c r="G238" s="100" t="str">
        <f aca="false">Equipos!K236</f>
        <v>3512141901</v>
      </c>
      <c r="H238" s="101"/>
      <c r="I238" s="102"/>
      <c r="J238" s="102"/>
      <c r="K238" s="103" t="s">
        <v>330</v>
      </c>
      <c r="L238" s="103" t="s">
        <v>328</v>
      </c>
      <c r="M238" s="102"/>
      <c r="N238" s="102"/>
      <c r="O238" s="102"/>
      <c r="P238" s="102"/>
      <c r="Q238" s="102"/>
      <c r="R238" s="102"/>
      <c r="S238" s="102"/>
      <c r="T238" s="102"/>
      <c r="U238" s="101" t="n">
        <f aca="false">V238+W238+X238+COUNTIF(I238:T238,"R")</f>
        <v>2</v>
      </c>
      <c r="V238" s="101" t="n">
        <f aca="false">COUNTIF(I238:T238,"E")</f>
        <v>1</v>
      </c>
      <c r="W238" s="101" t="n">
        <f aca="false">COUNTIF(I238:T238,"X")</f>
        <v>0</v>
      </c>
      <c r="X238" s="101" t="n">
        <f aca="false">COUNTIF(I238:T238,"C2")+COUNTIF(I238:T238,"C3")</f>
        <v>0</v>
      </c>
      <c r="Y238" s="101" t="n">
        <f aca="true">SUMPRODUCT((I238:INDEX(I238:T238,MONTH(TODAY()))="X")*1)</f>
        <v>0</v>
      </c>
      <c r="Z238" s="104" t="n">
        <f aca="false">IFERROR(V238/U238,"")</f>
        <v>0.5</v>
      </c>
    </row>
    <row r="239" customFormat="false" ht="15" hidden="false" customHeight="true" outlineLevel="0" collapsed="false">
      <c r="A239" s="100" t="str">
        <f aca="false">Equipos!C237</f>
        <v>2-007497</v>
      </c>
      <c r="B239" s="101" t="str">
        <f aca="false">Equipos!D237</f>
        <v>Ventilador Mecánico </v>
      </c>
      <c r="C239" s="101" t="str">
        <f aca="false">Equipos!E237</f>
        <v>UPC Adulto</v>
      </c>
      <c r="D239" s="101" t="str">
        <f aca="false">Equipos!G237</f>
        <v>UPC-P2-SA19</v>
      </c>
      <c r="E239" s="101" t="str">
        <f aca="false">Equipos!I237</f>
        <v>Drager </v>
      </c>
      <c r="F239" s="101" t="str">
        <f aca="false">Equipos!J237</f>
        <v>Oxylog 3000</v>
      </c>
      <c r="G239" s="100" t="str">
        <f aca="false">Equipos!K237</f>
        <v>ASFM-0081</v>
      </c>
      <c r="H239" s="101"/>
      <c r="I239" s="103"/>
      <c r="J239" s="102"/>
      <c r="K239" s="102"/>
      <c r="L239" s="102" t="s">
        <v>329</v>
      </c>
      <c r="M239" s="102"/>
      <c r="N239" s="102"/>
      <c r="O239" s="102"/>
      <c r="P239" s="102"/>
      <c r="Q239" s="102"/>
      <c r="R239" s="102"/>
      <c r="S239" s="102"/>
      <c r="T239" s="102"/>
      <c r="U239" s="101" t="n">
        <f aca="false">V239+W239+X239+COUNTIF(I239:T239,"R")</f>
        <v>1</v>
      </c>
      <c r="V239" s="101" t="n">
        <f aca="false">COUNTIF(I239:T239,"E")</f>
        <v>0</v>
      </c>
      <c r="W239" s="101" t="n">
        <f aca="false">COUNTIF(I239:T239,"X")</f>
        <v>1</v>
      </c>
      <c r="X239" s="101" t="n">
        <f aca="false">COUNTIF(I239:T239,"C2")+COUNTIF(I239:T239,"C3")</f>
        <v>0</v>
      </c>
      <c r="Y239" s="101" t="n">
        <f aca="true">SUMPRODUCT((I239:INDEX(I239:T239,MONTH(TODAY()))="X")*1)</f>
        <v>1</v>
      </c>
      <c r="Z239" s="104" t="n">
        <f aca="false">IFERROR(V239/U239,"")</f>
        <v>0</v>
      </c>
    </row>
    <row r="240" customFormat="false" ht="15" hidden="false" customHeight="true" outlineLevel="0" collapsed="false">
      <c r="A240" s="100" t="str">
        <f aca="false">Equipos!C238</f>
        <v>2-013598</v>
      </c>
      <c r="B240" s="101" t="str">
        <f aca="false">Equipos!D238</f>
        <v>Ventilador Mecánico </v>
      </c>
      <c r="C240" s="101" t="str">
        <f aca="false">Equipos!E238</f>
        <v>UPC Adulto</v>
      </c>
      <c r="D240" s="101" t="str">
        <f aca="false">Equipos!G238</f>
        <v>UPC-P2-SA19</v>
      </c>
      <c r="E240" s="101" t="str">
        <f aca="false">Equipos!I238</f>
        <v>Drager </v>
      </c>
      <c r="F240" s="101" t="str">
        <f aca="false">Equipos!J238</f>
        <v>Oxylog 3000</v>
      </c>
      <c r="G240" s="100" t="str">
        <f aca="false">Equipos!K238</f>
        <v>ASFM-0082</v>
      </c>
      <c r="H240" s="101"/>
      <c r="I240" s="102"/>
      <c r="J240" s="102"/>
      <c r="K240" s="102"/>
      <c r="L240" s="103" t="s">
        <v>329</v>
      </c>
      <c r="M240" s="103"/>
      <c r="N240" s="102"/>
      <c r="O240" s="102"/>
      <c r="P240" s="102"/>
      <c r="Q240" s="102"/>
      <c r="R240" s="102"/>
      <c r="S240" s="102"/>
      <c r="T240" s="102"/>
      <c r="U240" s="101" t="n">
        <f aca="false">V240+W240+X240+COUNTIF(I240:T240,"R")</f>
        <v>1</v>
      </c>
      <c r="V240" s="101" t="n">
        <f aca="false">COUNTIF(I240:T240,"E")</f>
        <v>0</v>
      </c>
      <c r="W240" s="101" t="n">
        <f aca="false">COUNTIF(I240:T240,"X")</f>
        <v>1</v>
      </c>
      <c r="X240" s="101" t="n">
        <f aca="false">COUNTIF(I240:T240,"C2")+COUNTIF(I240:T240,"C3")</f>
        <v>0</v>
      </c>
      <c r="Y240" s="101" t="n">
        <f aca="true">SUMPRODUCT((I240:INDEX(I240:T240,MONTH(TODAY()))="X")*1)</f>
        <v>1</v>
      </c>
      <c r="Z240" s="104" t="n">
        <f aca="false">IFERROR(V240/U240,"")</f>
        <v>0</v>
      </c>
    </row>
    <row r="241" customFormat="false" ht="15" hidden="false" customHeight="true" outlineLevel="0" collapsed="false">
      <c r="A241" s="100" t="str">
        <f aca="false">Equipos!C239</f>
        <v>2-112326</v>
      </c>
      <c r="B241" s="101" t="str">
        <f aca="false">Equipos!D239</f>
        <v>Ventilador Mecánico </v>
      </c>
      <c r="C241" s="101" t="str">
        <f aca="false">Equipos!E239</f>
        <v>UPC Adulto</v>
      </c>
      <c r="D241" s="101" t="n">
        <f aca="false">Equipos!G239</f>
        <v>0</v>
      </c>
      <c r="E241" s="101" t="str">
        <f aca="false">Equipos!I239</f>
        <v>Drager</v>
      </c>
      <c r="F241" s="101" t="str">
        <f aca="false">Equipos!J239</f>
        <v>Carina </v>
      </c>
      <c r="G241" s="100" t="str">
        <f aca="false">Equipos!K239</f>
        <v>ASFN-0010</v>
      </c>
      <c r="H241" s="101"/>
      <c r="I241" s="103"/>
      <c r="J241" s="102"/>
      <c r="K241" s="102"/>
      <c r="L241" s="102" t="s">
        <v>329</v>
      </c>
      <c r="M241" s="102"/>
      <c r="N241" s="102"/>
      <c r="O241" s="102"/>
      <c r="P241" s="102"/>
      <c r="Q241" s="102"/>
      <c r="R241" s="102"/>
      <c r="S241" s="102"/>
      <c r="T241" s="102"/>
      <c r="U241" s="101" t="n">
        <f aca="false">V241+W241+X241+COUNTIF(I241:T241,"R")</f>
        <v>1</v>
      </c>
      <c r="V241" s="101" t="n">
        <f aca="false">COUNTIF(I241:T241,"E")</f>
        <v>0</v>
      </c>
      <c r="W241" s="101" t="n">
        <f aca="false">COUNTIF(I241:T241,"X")</f>
        <v>1</v>
      </c>
      <c r="X241" s="101" t="n">
        <f aca="false">COUNTIF(I241:T241,"C2")+COUNTIF(I241:T241,"C3")</f>
        <v>0</v>
      </c>
      <c r="Y241" s="101" t="n">
        <f aca="true">SUMPRODUCT((I241:INDEX(I241:T241,MONTH(TODAY()))="X")*1)</f>
        <v>1</v>
      </c>
      <c r="Z241" s="104" t="n">
        <f aca="false">IFERROR(V241/U241,"")</f>
        <v>0</v>
      </c>
    </row>
    <row r="242" customFormat="false" ht="15" hidden="false" customHeight="true" outlineLevel="0" collapsed="false">
      <c r="A242" s="100" t="str">
        <f aca="false">Equipos!C240</f>
        <v>2-013590</v>
      </c>
      <c r="B242" s="101" t="str">
        <f aca="false">Equipos!D240</f>
        <v>Ventilador Mecánico </v>
      </c>
      <c r="C242" s="101" t="str">
        <f aca="false">Equipos!E240</f>
        <v>UPC Adulto</v>
      </c>
      <c r="D242" s="101" t="str">
        <f aca="false">Equipos!G240</f>
        <v>UPC-P2-SA19</v>
      </c>
      <c r="E242" s="101" t="str">
        <f aca="false">Equipos!I240</f>
        <v>Drager</v>
      </c>
      <c r="F242" s="101" t="str">
        <f aca="false">Equipos!J240</f>
        <v>Carina </v>
      </c>
      <c r="G242" s="100" t="str">
        <f aca="false">Equipos!K240</f>
        <v>ASFN-0008</v>
      </c>
      <c r="H242" s="101"/>
      <c r="I242" s="103" t="s">
        <v>330</v>
      </c>
      <c r="J242" s="102"/>
      <c r="K242" s="102"/>
      <c r="L242" s="103" t="s">
        <v>331</v>
      </c>
      <c r="M242" s="103" t="s">
        <v>328</v>
      </c>
      <c r="N242" s="102"/>
      <c r="O242" s="102"/>
      <c r="P242" s="102"/>
      <c r="Q242" s="102"/>
      <c r="R242" s="102"/>
      <c r="S242" s="102"/>
      <c r="T242" s="102"/>
      <c r="U242" s="101" t="n">
        <f aca="false">V242+W242+X242+COUNTIF(I242:T242,"R")</f>
        <v>3</v>
      </c>
      <c r="V242" s="101" t="n">
        <f aca="false">COUNTIF(I242:T242,"E")</f>
        <v>1</v>
      </c>
      <c r="W242" s="101" t="n">
        <f aca="false">COUNTIF(I242:T242,"X")</f>
        <v>0</v>
      </c>
      <c r="X242" s="101" t="n">
        <f aca="false">COUNTIF(I242:T242,"C2")+COUNTIF(I242:T242,"C3")</f>
        <v>1</v>
      </c>
      <c r="Y242" s="101" t="n">
        <f aca="true">SUMPRODUCT((I242:INDEX(I242:T242,MONTH(TODAY()))="X")*1)</f>
        <v>0</v>
      </c>
      <c r="Z242" s="104" t="n">
        <f aca="false">IFERROR(V242/U242,"")</f>
        <v>0.333333333333333</v>
      </c>
    </row>
    <row r="243" customFormat="false" ht="15" hidden="false" customHeight="true" outlineLevel="0" collapsed="false">
      <c r="A243" s="100" t="str">
        <f aca="false">Equipos!C241</f>
        <v>2-013589</v>
      </c>
      <c r="B243" s="101" t="str">
        <f aca="false">Equipos!D241</f>
        <v>Ventilador Mecánico </v>
      </c>
      <c r="C243" s="101" t="str">
        <f aca="false">Equipos!E241</f>
        <v>UPC Adulto</v>
      </c>
      <c r="D243" s="101" t="str">
        <f aca="false">Equipos!G241</f>
        <v>UPC-P2-SA19</v>
      </c>
      <c r="E243" s="101" t="str">
        <f aca="false">Equipos!I241</f>
        <v>Drager</v>
      </c>
      <c r="F243" s="101" t="str">
        <f aca="false">Equipos!J241</f>
        <v>Carina </v>
      </c>
      <c r="G243" s="100" t="str">
        <f aca="false">Equipos!K241</f>
        <v>ASFN-0007</v>
      </c>
      <c r="H243" s="101"/>
      <c r="I243" s="103"/>
      <c r="J243" s="102"/>
      <c r="K243" s="102"/>
      <c r="L243" s="102" t="s">
        <v>329</v>
      </c>
      <c r="M243" s="102"/>
      <c r="N243" s="102"/>
      <c r="O243" s="102"/>
      <c r="P243" s="102"/>
      <c r="Q243" s="102"/>
      <c r="R243" s="102"/>
      <c r="S243" s="102"/>
      <c r="T243" s="102"/>
      <c r="U243" s="101" t="n">
        <f aca="false">V243+W243+X243+COUNTIF(I243:T243,"R")</f>
        <v>1</v>
      </c>
      <c r="V243" s="101" t="n">
        <f aca="false">COUNTIF(I243:T243,"E")</f>
        <v>0</v>
      </c>
      <c r="W243" s="101" t="n">
        <f aca="false">COUNTIF(I243:T243,"X")</f>
        <v>1</v>
      </c>
      <c r="X243" s="101" t="n">
        <f aca="false">COUNTIF(I243:T243,"C2")+COUNTIF(I243:T243,"C3")</f>
        <v>0</v>
      </c>
      <c r="Y243" s="101" t="n">
        <f aca="true">SUMPRODUCT((I243:INDEX(I243:T243,MONTH(TODAY()))="X")*1)</f>
        <v>1</v>
      </c>
      <c r="Z243" s="104" t="n">
        <f aca="false">IFERROR(V243/U243,"")</f>
        <v>0</v>
      </c>
    </row>
    <row r="244" customFormat="false" ht="15" hidden="false" customHeight="true" outlineLevel="0" collapsed="false">
      <c r="A244" s="100" t="str">
        <f aca="false">Equipos!C242</f>
        <v>2-013592</v>
      </c>
      <c r="B244" s="101" t="str">
        <f aca="false">Equipos!D242</f>
        <v>Ventilador Mecánico </v>
      </c>
      <c r="C244" s="101" t="str">
        <f aca="false">Equipos!E242</f>
        <v>UPC Adulto</v>
      </c>
      <c r="D244" s="101" t="str">
        <f aca="false">Equipos!G242</f>
        <v>UPC-P2-SA19</v>
      </c>
      <c r="E244" s="101" t="str">
        <f aca="false">Equipos!I242</f>
        <v>Drager</v>
      </c>
      <c r="F244" s="101" t="str">
        <f aca="false">Equipos!J242</f>
        <v>Carina </v>
      </c>
      <c r="G244" s="100" t="str">
        <f aca="false">Equipos!K242</f>
        <v>ASFN-0006</v>
      </c>
      <c r="H244" s="101"/>
      <c r="I244" s="103" t="s">
        <v>328</v>
      </c>
      <c r="J244" s="102"/>
      <c r="K244" s="102"/>
      <c r="L244" s="103" t="s">
        <v>330</v>
      </c>
      <c r="M244" s="103" t="s">
        <v>328</v>
      </c>
      <c r="N244" s="102"/>
      <c r="O244" s="102"/>
      <c r="P244" s="102"/>
      <c r="Q244" s="102"/>
      <c r="R244" s="102"/>
      <c r="S244" s="102"/>
      <c r="T244" s="102"/>
      <c r="U244" s="101" t="n">
        <f aca="false">V244+W244+X244+COUNTIF(I244:T244,"R")</f>
        <v>3</v>
      </c>
      <c r="V244" s="101" t="n">
        <f aca="false">COUNTIF(I244:T244,"E")</f>
        <v>2</v>
      </c>
      <c r="W244" s="101" t="n">
        <f aca="false">COUNTIF(I244:T244,"X")</f>
        <v>0</v>
      </c>
      <c r="X244" s="101" t="n">
        <f aca="false">COUNTIF(I244:T244,"C2")+COUNTIF(I244:T244,"C3")</f>
        <v>0</v>
      </c>
      <c r="Y244" s="101" t="n">
        <f aca="true">SUMPRODUCT((I244:INDEX(I244:T244,MONTH(TODAY()))="X")*1)</f>
        <v>0</v>
      </c>
      <c r="Z244" s="104" t="n">
        <f aca="false">IFERROR(V244/U244,"")</f>
        <v>0.666666666666667</v>
      </c>
    </row>
    <row r="245" customFormat="false" ht="15" hidden="false" customHeight="true" outlineLevel="0" collapsed="false">
      <c r="A245" s="100" t="str">
        <f aca="false">Equipos!C243</f>
        <v>2-112327</v>
      </c>
      <c r="B245" s="101" t="str">
        <f aca="false">Equipos!D243</f>
        <v>Ventilador Mecánico </v>
      </c>
      <c r="C245" s="101" t="str">
        <f aca="false">Equipos!E243</f>
        <v>UPC Adulto</v>
      </c>
      <c r="D245" s="101" t="n">
        <f aca="false">Equipos!G243</f>
        <v>0</v>
      </c>
      <c r="E245" s="101" t="str">
        <f aca="false">Equipos!I243</f>
        <v>Drager</v>
      </c>
      <c r="F245" s="101" t="str">
        <f aca="false">Equipos!J243</f>
        <v>Carina </v>
      </c>
      <c r="G245" s="100" t="str">
        <f aca="false">Equipos!K243</f>
        <v>ASFN-0009</v>
      </c>
      <c r="H245" s="101"/>
      <c r="I245" s="102"/>
      <c r="J245" s="102"/>
      <c r="K245" s="102"/>
      <c r="L245" s="102" t="s">
        <v>330</v>
      </c>
      <c r="M245" s="103" t="s">
        <v>328</v>
      </c>
      <c r="N245" s="102"/>
      <c r="O245" s="102"/>
      <c r="P245" s="102"/>
      <c r="Q245" s="102"/>
      <c r="R245" s="102"/>
      <c r="S245" s="102"/>
      <c r="T245" s="102"/>
      <c r="U245" s="101" t="n">
        <f aca="false">V245+W245+X245+COUNTIF(I245:T245,"R")</f>
        <v>2</v>
      </c>
      <c r="V245" s="101" t="n">
        <f aca="false">COUNTIF(I245:T245,"E")</f>
        <v>1</v>
      </c>
      <c r="W245" s="101" t="n">
        <f aca="false">COUNTIF(I245:T245,"X")</f>
        <v>0</v>
      </c>
      <c r="X245" s="101" t="n">
        <f aca="false">COUNTIF(I245:T245,"C2")+COUNTIF(I245:T245,"C3")</f>
        <v>0</v>
      </c>
      <c r="Y245" s="101" t="n">
        <f aca="true">SUMPRODUCT((I245:INDEX(I245:T245,MONTH(TODAY()))="X")*1)</f>
        <v>0</v>
      </c>
      <c r="Z245" s="104" t="n">
        <f aca="false">IFERROR(V245/U245,"")</f>
        <v>0.5</v>
      </c>
    </row>
    <row r="246" customFormat="false" ht="15" hidden="false" customHeight="true" outlineLevel="0" collapsed="false">
      <c r="A246" s="100" t="str">
        <f aca="false">Equipos!C244</f>
        <v>2-110574</v>
      </c>
      <c r="B246" s="101" t="str">
        <f aca="false">Equipos!D244</f>
        <v>Ventilador Mecánico </v>
      </c>
      <c r="C246" s="101" t="str">
        <f aca="false">Equipos!E244</f>
        <v>UPC Adulto</v>
      </c>
      <c r="D246" s="101" t="str">
        <f aca="false">Equipos!G244</f>
        <v>UPC-P2-SA02</v>
      </c>
      <c r="E246" s="101" t="str">
        <f aca="false">Equipos!I244</f>
        <v>Drager</v>
      </c>
      <c r="F246" s="101" t="str">
        <f aca="false">Equipos!J244</f>
        <v>Evita V300</v>
      </c>
      <c r="G246" s="100" t="str">
        <f aca="false">Equipos!K244</f>
        <v>ASHK-0158</v>
      </c>
      <c r="H246" s="101"/>
      <c r="I246" s="102"/>
      <c r="J246" s="102"/>
      <c r="K246" s="102"/>
      <c r="L246" s="103" t="s">
        <v>329</v>
      </c>
      <c r="M246" s="103"/>
      <c r="N246" s="102"/>
      <c r="O246" s="102"/>
      <c r="P246" s="102"/>
      <c r="Q246" s="102"/>
      <c r="R246" s="102"/>
      <c r="S246" s="102"/>
      <c r="T246" s="102"/>
      <c r="U246" s="101" t="n">
        <f aca="false">V246+W246+X246+COUNTIF(I246:T246,"R")</f>
        <v>1</v>
      </c>
      <c r="V246" s="101" t="n">
        <f aca="false">COUNTIF(I246:T246,"E")</f>
        <v>0</v>
      </c>
      <c r="W246" s="101" t="n">
        <f aca="false">COUNTIF(I246:T246,"X")</f>
        <v>1</v>
      </c>
      <c r="X246" s="101" t="n">
        <f aca="false">COUNTIF(I246:T246,"C2")+COUNTIF(I246:T246,"C3")</f>
        <v>0</v>
      </c>
      <c r="Y246" s="101" t="n">
        <f aca="true">SUMPRODUCT((I246:INDEX(I246:T246,MONTH(TODAY()))="X")*1)</f>
        <v>1</v>
      </c>
      <c r="Z246" s="104" t="n">
        <f aca="false">IFERROR(V246/U246,"")</f>
        <v>0</v>
      </c>
    </row>
    <row r="247" customFormat="false" ht="15" hidden="false" customHeight="true" outlineLevel="0" collapsed="false">
      <c r="A247" s="100" t="str">
        <f aca="false">Equipos!C245</f>
        <v>2-110572</v>
      </c>
      <c r="B247" s="101" t="str">
        <f aca="false">Equipos!D245</f>
        <v>Ventilador Mecánico </v>
      </c>
      <c r="C247" s="101" t="str">
        <f aca="false">Equipos!E245</f>
        <v>UPC Adulto</v>
      </c>
      <c r="D247" s="101" t="str">
        <f aca="false">Equipos!G245</f>
        <v>UPC-P2-SA02</v>
      </c>
      <c r="E247" s="101" t="str">
        <f aca="false">Equipos!I245</f>
        <v>Drager</v>
      </c>
      <c r="F247" s="101" t="str">
        <f aca="false">Equipos!J245</f>
        <v>Evita V300</v>
      </c>
      <c r="G247" s="100" t="str">
        <f aca="false">Equipos!K245</f>
        <v>ASHK-0163</v>
      </c>
      <c r="H247" s="101"/>
      <c r="I247" s="102"/>
      <c r="J247" s="102"/>
      <c r="K247" s="102"/>
      <c r="L247" s="103" t="s">
        <v>329</v>
      </c>
      <c r="M247" s="103"/>
      <c r="N247" s="102"/>
      <c r="O247" s="102"/>
      <c r="P247" s="102"/>
      <c r="Q247" s="102"/>
      <c r="R247" s="102"/>
      <c r="S247" s="102"/>
      <c r="T247" s="102"/>
      <c r="U247" s="101" t="n">
        <f aca="false">V247+W247+X247+COUNTIF(I247:T247,"R")</f>
        <v>1</v>
      </c>
      <c r="V247" s="101" t="n">
        <f aca="false">COUNTIF(I247:T247,"E")</f>
        <v>0</v>
      </c>
      <c r="W247" s="101" t="n">
        <f aca="false">COUNTIF(I247:T247,"X")</f>
        <v>1</v>
      </c>
      <c r="X247" s="101" t="n">
        <f aca="false">COUNTIF(I247:T247,"C2")+COUNTIF(I247:T247,"C3")</f>
        <v>0</v>
      </c>
      <c r="Y247" s="101" t="n">
        <f aca="true">SUMPRODUCT((I247:INDEX(I247:T247,MONTH(TODAY()))="X")*1)</f>
        <v>1</v>
      </c>
      <c r="Z247" s="104" t="n">
        <f aca="false">IFERROR(V247/U247,"")</f>
        <v>0</v>
      </c>
    </row>
    <row r="248" customFormat="false" ht="15" hidden="false" customHeight="true" outlineLevel="0" collapsed="false">
      <c r="A248" s="100" t="str">
        <f aca="false">Equipos!C246</f>
        <v>2-110575</v>
      </c>
      <c r="B248" s="101" t="str">
        <f aca="false">Equipos!D246</f>
        <v>Ventilador Mecánico </v>
      </c>
      <c r="C248" s="101" t="str">
        <f aca="false">Equipos!E246</f>
        <v>UPC Adulto</v>
      </c>
      <c r="D248" s="101" t="str">
        <f aca="false">Equipos!G246</f>
        <v>UPC-P2-SA02</v>
      </c>
      <c r="E248" s="101" t="str">
        <f aca="false">Equipos!I246</f>
        <v>Drager</v>
      </c>
      <c r="F248" s="101" t="str">
        <f aca="false">Equipos!J246</f>
        <v>Evita V300</v>
      </c>
      <c r="G248" s="100" t="str">
        <f aca="false">Equipos!K246</f>
        <v>ASHK-0162</v>
      </c>
      <c r="H248" s="101"/>
      <c r="I248" s="102"/>
      <c r="J248" s="102"/>
      <c r="K248" s="102"/>
      <c r="L248" s="103" t="s">
        <v>329</v>
      </c>
      <c r="M248" s="103"/>
      <c r="N248" s="102"/>
      <c r="O248" s="102"/>
      <c r="P248" s="102"/>
      <c r="Q248" s="102"/>
      <c r="R248" s="102"/>
      <c r="S248" s="102"/>
      <c r="T248" s="102"/>
      <c r="U248" s="101" t="n">
        <f aca="false">V248+W248+X248+COUNTIF(I248:T248,"R")</f>
        <v>1</v>
      </c>
      <c r="V248" s="101" t="n">
        <f aca="false">COUNTIF(I248:T248,"E")</f>
        <v>0</v>
      </c>
      <c r="W248" s="101" t="n">
        <f aca="false">COUNTIF(I248:T248,"X")</f>
        <v>1</v>
      </c>
      <c r="X248" s="101" t="n">
        <f aca="false">COUNTIF(I248:T248,"C2")+COUNTIF(I248:T248,"C3")</f>
        <v>0</v>
      </c>
      <c r="Y248" s="101" t="n">
        <f aca="true">SUMPRODUCT((I248:INDEX(I248:T248,MONTH(TODAY()))="X")*1)</f>
        <v>1</v>
      </c>
      <c r="Z248" s="104" t="n">
        <f aca="false">IFERROR(V248/U248,"")</f>
        <v>0</v>
      </c>
    </row>
    <row r="249" customFormat="false" ht="15" hidden="false" customHeight="true" outlineLevel="0" collapsed="false">
      <c r="A249" s="100" t="str">
        <f aca="false">Equipos!C247</f>
        <v>2-110565</v>
      </c>
      <c r="B249" s="101" t="str">
        <f aca="false">Equipos!D247</f>
        <v>Ventilador Mecánico </v>
      </c>
      <c r="C249" s="101" t="str">
        <f aca="false">Equipos!E247</f>
        <v>UPC Adulto</v>
      </c>
      <c r="D249" s="101" t="str">
        <f aca="false">Equipos!G247</f>
        <v>UPC-P2-SA02</v>
      </c>
      <c r="E249" s="101" t="str">
        <f aca="false">Equipos!I247</f>
        <v>Drager</v>
      </c>
      <c r="F249" s="101" t="str">
        <f aca="false">Equipos!J247</f>
        <v>Evita V300</v>
      </c>
      <c r="G249" s="100" t="str">
        <f aca="false">Equipos!K247</f>
        <v>ASHK-0148</v>
      </c>
      <c r="H249" s="101"/>
      <c r="I249" s="102"/>
      <c r="J249" s="102"/>
      <c r="K249" s="102"/>
      <c r="L249" s="102" t="s">
        <v>329</v>
      </c>
      <c r="M249" s="102"/>
      <c r="N249" s="102"/>
      <c r="O249" s="102"/>
      <c r="P249" s="102"/>
      <c r="Q249" s="102"/>
      <c r="R249" s="102"/>
      <c r="S249" s="102"/>
      <c r="T249" s="102"/>
      <c r="U249" s="101" t="n">
        <f aca="false">V249+W249+X249+COUNTIF(I249:T249,"R")</f>
        <v>1</v>
      </c>
      <c r="V249" s="101" t="n">
        <f aca="false">COUNTIF(I249:T249,"E")</f>
        <v>0</v>
      </c>
      <c r="W249" s="101" t="n">
        <f aca="false">COUNTIF(I249:T249,"X")</f>
        <v>1</v>
      </c>
      <c r="X249" s="101" t="n">
        <f aca="false">COUNTIF(I249:T249,"C2")+COUNTIF(I249:T249,"C3")</f>
        <v>0</v>
      </c>
      <c r="Y249" s="101" t="n">
        <f aca="true">SUMPRODUCT((I249:INDEX(I249:T249,MONTH(TODAY()))="X")*1)</f>
        <v>1</v>
      </c>
      <c r="Z249" s="104" t="n">
        <f aca="false">IFERROR(V249/U249,"")</f>
        <v>0</v>
      </c>
    </row>
    <row r="250" customFormat="false" ht="15" hidden="false" customHeight="true" outlineLevel="0" collapsed="false">
      <c r="A250" s="100" t="str">
        <f aca="false">Equipos!C248</f>
        <v>2-110571</v>
      </c>
      <c r="B250" s="101" t="str">
        <f aca="false">Equipos!D248</f>
        <v>Ventilador Mecánico </v>
      </c>
      <c r="C250" s="101" t="str">
        <f aca="false">Equipos!E248</f>
        <v>UPC Adulto</v>
      </c>
      <c r="D250" s="101" t="str">
        <f aca="false">Equipos!G248</f>
        <v>UPC-P2-SA02</v>
      </c>
      <c r="E250" s="101" t="str">
        <f aca="false">Equipos!I248</f>
        <v>Drager</v>
      </c>
      <c r="F250" s="101" t="str">
        <f aca="false">Equipos!J248</f>
        <v>Evita V300</v>
      </c>
      <c r="G250" s="100" t="str">
        <f aca="false">Equipos!K248</f>
        <v>ASHK-0151</v>
      </c>
      <c r="H250" s="101"/>
      <c r="I250" s="103" t="s">
        <v>330</v>
      </c>
      <c r="J250" s="102"/>
      <c r="K250" s="102"/>
      <c r="L250" s="103" t="s">
        <v>329</v>
      </c>
      <c r="M250" s="103" t="s">
        <v>328</v>
      </c>
      <c r="N250" s="102"/>
      <c r="O250" s="102"/>
      <c r="P250" s="102"/>
      <c r="Q250" s="102"/>
      <c r="R250" s="102"/>
      <c r="S250" s="102"/>
      <c r="T250" s="102"/>
      <c r="U250" s="101" t="n">
        <f aca="false">V250+W250+X250+COUNTIF(I250:T250,"R")</f>
        <v>3</v>
      </c>
      <c r="V250" s="101" t="n">
        <f aca="false">COUNTIF(I250:T250,"E")</f>
        <v>1</v>
      </c>
      <c r="W250" s="101" t="n">
        <f aca="false">COUNTIF(I250:T250,"X")</f>
        <v>1</v>
      </c>
      <c r="X250" s="101" t="n">
        <f aca="false">COUNTIF(I250:T250,"C2")+COUNTIF(I250:T250,"C3")</f>
        <v>0</v>
      </c>
      <c r="Y250" s="101" t="n">
        <f aca="true">SUMPRODUCT((I250:INDEX(I250:T250,MONTH(TODAY()))="X")*1)</f>
        <v>1</v>
      </c>
      <c r="Z250" s="104" t="n">
        <f aca="false">IFERROR(V250/U250,"")</f>
        <v>0.333333333333333</v>
      </c>
    </row>
    <row r="251" customFormat="false" ht="15" hidden="false" customHeight="true" outlineLevel="0" collapsed="false">
      <c r="A251" s="100" t="str">
        <f aca="false">Equipos!C249</f>
        <v>2-110563</v>
      </c>
      <c r="B251" s="101" t="str">
        <f aca="false">Equipos!D249</f>
        <v>Ventilador Mecánico </v>
      </c>
      <c r="C251" s="101" t="str">
        <f aca="false">Equipos!E249</f>
        <v>UPC Adulto</v>
      </c>
      <c r="D251" s="101" t="str">
        <f aca="false">Equipos!G249</f>
        <v>UPC-P2-SA02</v>
      </c>
      <c r="E251" s="101" t="str">
        <f aca="false">Equipos!I249</f>
        <v>Drager</v>
      </c>
      <c r="F251" s="101" t="str">
        <f aca="false">Equipos!J249</f>
        <v>Evita V300</v>
      </c>
      <c r="G251" s="100" t="str">
        <f aca="false">Equipos!K249</f>
        <v>ASHK-0153</v>
      </c>
      <c r="H251" s="101"/>
      <c r="I251" s="102"/>
      <c r="J251" s="102"/>
      <c r="K251" s="102"/>
      <c r="L251" s="102" t="s">
        <v>329</v>
      </c>
      <c r="M251" s="102"/>
      <c r="N251" s="102"/>
      <c r="O251" s="102"/>
      <c r="P251" s="102"/>
      <c r="Q251" s="102"/>
      <c r="R251" s="102"/>
      <c r="S251" s="102"/>
      <c r="T251" s="102"/>
      <c r="U251" s="101" t="n">
        <f aca="false">V251+W251+X251+COUNTIF(I251:T251,"R")</f>
        <v>1</v>
      </c>
      <c r="V251" s="101" t="n">
        <f aca="false">COUNTIF(I251:T251,"E")</f>
        <v>0</v>
      </c>
      <c r="W251" s="101" t="n">
        <f aca="false">COUNTIF(I251:T251,"X")</f>
        <v>1</v>
      </c>
      <c r="X251" s="101" t="n">
        <f aca="false">COUNTIF(I251:T251,"C2")+COUNTIF(I251:T251,"C3")</f>
        <v>0</v>
      </c>
      <c r="Y251" s="101" t="n">
        <f aca="true">SUMPRODUCT((I251:INDEX(I251:T251,MONTH(TODAY()))="X")*1)</f>
        <v>1</v>
      </c>
      <c r="Z251" s="104" t="n">
        <f aca="false">IFERROR(V251/U251,"")</f>
        <v>0</v>
      </c>
    </row>
    <row r="252" customFormat="false" ht="15" hidden="false" customHeight="true" outlineLevel="0" collapsed="false">
      <c r="A252" s="100" t="str">
        <f aca="false">Equipos!C250</f>
        <v>2-110568</v>
      </c>
      <c r="B252" s="101" t="str">
        <f aca="false">Equipos!D250</f>
        <v>Ventilador Mecánico </v>
      </c>
      <c r="C252" s="101" t="str">
        <f aca="false">Equipos!E250</f>
        <v>UPC Adulto</v>
      </c>
      <c r="D252" s="101" t="str">
        <f aca="false">Equipos!G250</f>
        <v>UPC-P2-SA02</v>
      </c>
      <c r="E252" s="101" t="str">
        <f aca="false">Equipos!I250</f>
        <v>Drager</v>
      </c>
      <c r="F252" s="101" t="str">
        <f aca="false">Equipos!J250</f>
        <v>Evita V300</v>
      </c>
      <c r="G252" s="100" t="str">
        <f aca="false">Equipos!K250</f>
        <v>ASHK-0155</v>
      </c>
      <c r="H252" s="101"/>
      <c r="I252" s="102"/>
      <c r="J252" s="102"/>
      <c r="K252" s="102"/>
      <c r="L252" s="103" t="s">
        <v>329</v>
      </c>
      <c r="M252" s="103"/>
      <c r="N252" s="102"/>
      <c r="O252" s="102"/>
      <c r="P252" s="102"/>
      <c r="Q252" s="102"/>
      <c r="R252" s="102"/>
      <c r="S252" s="102"/>
      <c r="T252" s="102"/>
      <c r="U252" s="101" t="n">
        <f aca="false">V252+W252+X252+COUNTIF(I252:T252,"R")</f>
        <v>1</v>
      </c>
      <c r="V252" s="101" t="n">
        <f aca="false">COUNTIF(I252:T252,"E")</f>
        <v>0</v>
      </c>
      <c r="W252" s="101" t="n">
        <f aca="false">COUNTIF(I252:T252,"X")</f>
        <v>1</v>
      </c>
      <c r="X252" s="101" t="n">
        <f aca="false">COUNTIF(I252:T252,"C2")+COUNTIF(I252:T252,"C3")</f>
        <v>0</v>
      </c>
      <c r="Y252" s="101" t="n">
        <f aca="true">SUMPRODUCT((I252:INDEX(I252:T252,MONTH(TODAY()))="X")*1)</f>
        <v>1</v>
      </c>
      <c r="Z252" s="104" t="n">
        <f aca="false">IFERROR(V252/U252,"")</f>
        <v>0</v>
      </c>
    </row>
    <row r="253" customFormat="false" ht="15" hidden="false" customHeight="true" outlineLevel="0" collapsed="false">
      <c r="A253" s="100" t="str">
        <f aca="false">Equipos!C251</f>
        <v>2-110567</v>
      </c>
      <c r="B253" s="101" t="str">
        <f aca="false">Equipos!D251</f>
        <v>Ventilador Mecánico </v>
      </c>
      <c r="C253" s="101" t="str">
        <f aca="false">Equipos!E251</f>
        <v>UPC Adulto</v>
      </c>
      <c r="D253" s="101" t="str">
        <f aca="false">Equipos!G251</f>
        <v>UPC-P2-SA02</v>
      </c>
      <c r="E253" s="101" t="str">
        <f aca="false">Equipos!I251</f>
        <v>Drager</v>
      </c>
      <c r="F253" s="101" t="str">
        <f aca="false">Equipos!J251</f>
        <v>Evita V300</v>
      </c>
      <c r="G253" s="100" t="str">
        <f aca="false">Equipos!K251</f>
        <v>ASHK-0160</v>
      </c>
      <c r="H253" s="101"/>
      <c r="I253" s="102"/>
      <c r="J253" s="102"/>
      <c r="K253" s="102"/>
      <c r="L253" s="102" t="s">
        <v>329</v>
      </c>
      <c r="M253" s="102"/>
      <c r="N253" s="102"/>
      <c r="O253" s="102"/>
      <c r="P253" s="102"/>
      <c r="Q253" s="102"/>
      <c r="R253" s="102"/>
      <c r="S253" s="102"/>
      <c r="T253" s="102"/>
      <c r="U253" s="101" t="n">
        <f aca="false">V253+W253+X253+COUNTIF(I253:T253,"R")</f>
        <v>1</v>
      </c>
      <c r="V253" s="101" t="n">
        <f aca="false">COUNTIF(I253:T253,"E")</f>
        <v>0</v>
      </c>
      <c r="W253" s="101" t="n">
        <f aca="false">COUNTIF(I253:T253,"X")</f>
        <v>1</v>
      </c>
      <c r="X253" s="101" t="n">
        <f aca="false">COUNTIF(I253:T253,"C2")+COUNTIF(I253:T253,"C3")</f>
        <v>0</v>
      </c>
      <c r="Y253" s="101" t="n">
        <f aca="true">SUMPRODUCT((I253:INDEX(I253:T253,MONTH(TODAY()))="X")*1)</f>
        <v>1</v>
      </c>
      <c r="Z253" s="104" t="n">
        <f aca="false">IFERROR(V253/U253,"")</f>
        <v>0</v>
      </c>
    </row>
    <row r="254" customFormat="false" ht="15" hidden="false" customHeight="true" outlineLevel="0" collapsed="false">
      <c r="A254" s="100" t="str">
        <f aca="false">Equipos!C252</f>
        <v>2-110566</v>
      </c>
      <c r="B254" s="101" t="str">
        <f aca="false">Equipos!D252</f>
        <v>Ventilador Mecánico </v>
      </c>
      <c r="C254" s="101" t="str">
        <f aca="false">Equipos!E252</f>
        <v>UPC Adulto</v>
      </c>
      <c r="D254" s="101" t="str">
        <f aca="false">Equipos!G252</f>
        <v>UPC-P2-SA02</v>
      </c>
      <c r="E254" s="101" t="str">
        <f aca="false">Equipos!I252</f>
        <v>Drager</v>
      </c>
      <c r="F254" s="101" t="str">
        <f aca="false">Equipos!J252</f>
        <v>Evita V300</v>
      </c>
      <c r="G254" s="100" t="str">
        <f aca="false">Equipos!K252</f>
        <v>ASHK-0157</v>
      </c>
      <c r="H254" s="101"/>
      <c r="I254" s="102"/>
      <c r="J254" s="102"/>
      <c r="K254" s="102"/>
      <c r="L254" s="103" t="s">
        <v>329</v>
      </c>
      <c r="M254" s="103"/>
      <c r="N254" s="102"/>
      <c r="O254" s="102"/>
      <c r="P254" s="102"/>
      <c r="Q254" s="102"/>
      <c r="R254" s="102"/>
      <c r="S254" s="102"/>
      <c r="T254" s="102"/>
      <c r="U254" s="101" t="n">
        <f aca="false">V254+W254+X254+COUNTIF(I254:T254,"R")</f>
        <v>1</v>
      </c>
      <c r="V254" s="101" t="n">
        <f aca="false">COUNTIF(I254:T254,"E")</f>
        <v>0</v>
      </c>
      <c r="W254" s="101" t="n">
        <f aca="false">COUNTIF(I254:T254,"X")</f>
        <v>1</v>
      </c>
      <c r="X254" s="101" t="n">
        <f aca="false">COUNTIF(I254:T254,"C2")+COUNTIF(I254:T254,"C3")</f>
        <v>0</v>
      </c>
      <c r="Y254" s="101" t="n">
        <f aca="true">SUMPRODUCT((I254:INDEX(I254:T254,MONTH(TODAY()))="X")*1)</f>
        <v>1</v>
      </c>
      <c r="Z254" s="104" t="n">
        <f aca="false">IFERROR(V254/U254,"")</f>
        <v>0</v>
      </c>
    </row>
    <row r="255" customFormat="false" ht="15" hidden="false" customHeight="true" outlineLevel="0" collapsed="false">
      <c r="A255" s="100" t="str">
        <f aca="false">Equipos!C253</f>
        <v>2-110573</v>
      </c>
      <c r="B255" s="101" t="str">
        <f aca="false">Equipos!D253</f>
        <v>Ventilador Mecánico </v>
      </c>
      <c r="C255" s="101" t="str">
        <f aca="false">Equipos!E253</f>
        <v>UPC Adulto</v>
      </c>
      <c r="D255" s="101" t="str">
        <f aca="false">Equipos!G253</f>
        <v>UPC-P2-SA02</v>
      </c>
      <c r="E255" s="101" t="str">
        <f aca="false">Equipos!I253</f>
        <v>Drager</v>
      </c>
      <c r="F255" s="101" t="str">
        <f aca="false">Equipos!J253</f>
        <v>Evita V300</v>
      </c>
      <c r="G255" s="100" t="str">
        <f aca="false">Equipos!K253</f>
        <v>ASHK-0156</v>
      </c>
      <c r="H255" s="101"/>
      <c r="I255" s="102"/>
      <c r="J255" s="102"/>
      <c r="K255" s="102"/>
      <c r="L255" s="102" t="s">
        <v>329</v>
      </c>
      <c r="M255" s="102"/>
      <c r="N255" s="102"/>
      <c r="O255" s="102"/>
      <c r="P255" s="102"/>
      <c r="Q255" s="102"/>
      <c r="R255" s="102"/>
      <c r="S255" s="102"/>
      <c r="T255" s="102"/>
      <c r="U255" s="101" t="n">
        <f aca="false">V255+W255+X255+COUNTIF(I255:T255,"R")</f>
        <v>1</v>
      </c>
      <c r="V255" s="101" t="n">
        <f aca="false">COUNTIF(I255:T255,"E")</f>
        <v>0</v>
      </c>
      <c r="W255" s="101" t="n">
        <f aca="false">COUNTIF(I255:T255,"X")</f>
        <v>1</v>
      </c>
      <c r="X255" s="101" t="n">
        <f aca="false">COUNTIF(I255:T255,"C2")+COUNTIF(I255:T255,"C3")</f>
        <v>0</v>
      </c>
      <c r="Y255" s="101" t="n">
        <f aca="true">SUMPRODUCT((I255:INDEX(I255:T255,MONTH(TODAY()))="X")*1)</f>
        <v>1</v>
      </c>
      <c r="Z255" s="104" t="n">
        <f aca="false">IFERROR(V255/U255,"")</f>
        <v>0</v>
      </c>
    </row>
    <row r="256" customFormat="false" ht="15" hidden="false" customHeight="true" outlineLevel="0" collapsed="false">
      <c r="A256" s="100" t="str">
        <f aca="false">Equipos!C254</f>
        <v>2-110562</v>
      </c>
      <c r="B256" s="101" t="str">
        <f aca="false">Equipos!D254</f>
        <v>Ventilador Mecánico </v>
      </c>
      <c r="C256" s="101" t="str">
        <f aca="false">Equipos!E254</f>
        <v>UPC Adulto</v>
      </c>
      <c r="D256" s="101" t="str">
        <f aca="false">Equipos!G254</f>
        <v>UPC-P2-SA02</v>
      </c>
      <c r="E256" s="101" t="str">
        <f aca="false">Equipos!I254</f>
        <v>Drager</v>
      </c>
      <c r="F256" s="101" t="str">
        <f aca="false">Equipos!J254</f>
        <v>Evita V300</v>
      </c>
      <c r="G256" s="100" t="str">
        <f aca="false">Equipos!K254</f>
        <v>ASHK-0161</v>
      </c>
      <c r="H256" s="101"/>
      <c r="I256" s="102"/>
      <c r="J256" s="102"/>
      <c r="K256" s="102"/>
      <c r="L256" s="102" t="s">
        <v>329</v>
      </c>
      <c r="M256" s="102"/>
      <c r="N256" s="102"/>
      <c r="O256" s="102"/>
      <c r="P256" s="102"/>
      <c r="Q256" s="102"/>
      <c r="R256" s="102"/>
      <c r="S256" s="102"/>
      <c r="T256" s="102"/>
      <c r="U256" s="101" t="n">
        <f aca="false">V256+W256+X256+COUNTIF(I256:T256,"R")</f>
        <v>1</v>
      </c>
      <c r="V256" s="101" t="n">
        <f aca="false">COUNTIF(I256:T256,"E")</f>
        <v>0</v>
      </c>
      <c r="W256" s="101" t="n">
        <f aca="false">COUNTIF(I256:T256,"X")</f>
        <v>1</v>
      </c>
      <c r="X256" s="101" t="n">
        <f aca="false">COUNTIF(I256:T256,"C2")+COUNTIF(I256:T256,"C3")</f>
        <v>0</v>
      </c>
      <c r="Y256" s="101" t="n">
        <f aca="true">SUMPRODUCT((I256:INDEX(I256:T256,MONTH(TODAY()))="X")*1)</f>
        <v>1</v>
      </c>
      <c r="Z256" s="104" t="n">
        <f aca="false">IFERROR(V256/U256,"")</f>
        <v>0</v>
      </c>
    </row>
    <row r="257" customFormat="false" ht="15" hidden="false" customHeight="true" outlineLevel="0" collapsed="false">
      <c r="A257" s="100" t="str">
        <f aca="false">Equipos!C255</f>
        <v>2-110569</v>
      </c>
      <c r="B257" s="101" t="str">
        <f aca="false">Equipos!D255</f>
        <v>Ventilador Mecánico </v>
      </c>
      <c r="C257" s="101" t="str">
        <f aca="false">Equipos!E255</f>
        <v>UPC Adulto</v>
      </c>
      <c r="D257" s="101" t="str">
        <f aca="false">Equipos!G255</f>
        <v>UPC-P2-SA02</v>
      </c>
      <c r="E257" s="101" t="str">
        <f aca="false">Equipos!I255</f>
        <v>Drager</v>
      </c>
      <c r="F257" s="101" t="str">
        <f aca="false">Equipos!J255</f>
        <v>Evita V300</v>
      </c>
      <c r="G257" s="100" t="str">
        <f aca="false">Equipos!K255</f>
        <v>ASHK-0152</v>
      </c>
      <c r="H257" s="101"/>
      <c r="I257" s="102"/>
      <c r="J257" s="102"/>
      <c r="K257" s="102"/>
      <c r="L257" s="103" t="s">
        <v>329</v>
      </c>
      <c r="M257" s="103"/>
      <c r="N257" s="102"/>
      <c r="O257" s="102"/>
      <c r="P257" s="102"/>
      <c r="Q257" s="102"/>
      <c r="R257" s="102"/>
      <c r="S257" s="102"/>
      <c r="T257" s="102"/>
      <c r="U257" s="101" t="n">
        <f aca="false">V257+W257+X257+COUNTIF(I257:T257,"R")</f>
        <v>1</v>
      </c>
      <c r="V257" s="101" t="n">
        <f aca="false">COUNTIF(I257:T257,"E")</f>
        <v>0</v>
      </c>
      <c r="W257" s="101" t="n">
        <f aca="false">COUNTIF(I257:T257,"X")</f>
        <v>1</v>
      </c>
      <c r="X257" s="101" t="n">
        <f aca="false">COUNTIF(I257:T257,"C2")+COUNTIF(I257:T257,"C3")</f>
        <v>0</v>
      </c>
      <c r="Y257" s="101" t="n">
        <f aca="true">SUMPRODUCT((I257:INDEX(I257:T257,MONTH(TODAY()))="X")*1)</f>
        <v>1</v>
      </c>
      <c r="Z257" s="104" t="n">
        <f aca="false">IFERROR(V257/U257,"")</f>
        <v>0</v>
      </c>
    </row>
    <row r="258" customFormat="false" ht="15" hidden="false" customHeight="true" outlineLevel="0" collapsed="false">
      <c r="A258" s="100" t="str">
        <f aca="false">Equipos!C256</f>
        <v>2-110564</v>
      </c>
      <c r="B258" s="101" t="str">
        <f aca="false">Equipos!D256</f>
        <v>Ventilador Mecánico </v>
      </c>
      <c r="C258" s="101" t="str">
        <f aca="false">Equipos!E256</f>
        <v>UPC Adulto</v>
      </c>
      <c r="D258" s="101" t="str">
        <f aca="false">Equipos!G256</f>
        <v>UPC-P2-SA02</v>
      </c>
      <c r="E258" s="101" t="str">
        <f aca="false">Equipos!I256</f>
        <v>Drager</v>
      </c>
      <c r="F258" s="101" t="str">
        <f aca="false">Equipos!J256</f>
        <v>Evita V300</v>
      </c>
      <c r="G258" s="100" t="str">
        <f aca="false">Equipos!K256</f>
        <v>ASHK-0154</v>
      </c>
      <c r="H258" s="101"/>
      <c r="I258" s="103"/>
      <c r="J258" s="102"/>
      <c r="K258" s="102"/>
      <c r="L258" s="102" t="s">
        <v>329</v>
      </c>
      <c r="M258" s="102"/>
      <c r="N258" s="102"/>
      <c r="O258" s="102"/>
      <c r="P258" s="102"/>
      <c r="Q258" s="102"/>
      <c r="R258" s="102"/>
      <c r="S258" s="102"/>
      <c r="T258" s="102"/>
      <c r="U258" s="101" t="n">
        <f aca="false">V258+W258+X258+COUNTIF(I258:T258,"R")</f>
        <v>1</v>
      </c>
      <c r="V258" s="101" t="n">
        <f aca="false">COUNTIF(I258:T258,"E")</f>
        <v>0</v>
      </c>
      <c r="W258" s="101" t="n">
        <f aca="false">COUNTIF(I258:T258,"X")</f>
        <v>1</v>
      </c>
      <c r="X258" s="101" t="n">
        <f aca="false">COUNTIF(I258:T258,"C2")+COUNTIF(I258:T258,"C3")</f>
        <v>0</v>
      </c>
      <c r="Y258" s="101" t="n">
        <f aca="true">SUMPRODUCT((I258:INDEX(I258:T258,MONTH(TODAY()))="X")*1)</f>
        <v>1</v>
      </c>
      <c r="Z258" s="104" t="n">
        <f aca="false">IFERROR(V258/U258,"")</f>
        <v>0</v>
      </c>
    </row>
    <row r="259" customFormat="false" ht="15" hidden="false" customHeight="true" outlineLevel="0" collapsed="false">
      <c r="A259" s="100" t="str">
        <f aca="false">Equipos!C257</f>
        <v>2-110570</v>
      </c>
      <c r="B259" s="101" t="str">
        <f aca="false">Equipos!D257</f>
        <v>Ventilador Mecánico </v>
      </c>
      <c r="C259" s="101" t="str">
        <f aca="false">Equipos!E257</f>
        <v>UPC Adulto</v>
      </c>
      <c r="D259" s="101" t="str">
        <f aca="false">Equipos!G257</f>
        <v>UPC-P2-SA02</v>
      </c>
      <c r="E259" s="101" t="str">
        <f aca="false">Equipos!I257</f>
        <v>Drager</v>
      </c>
      <c r="F259" s="101" t="str">
        <f aca="false">Equipos!J257</f>
        <v>Evita V300</v>
      </c>
      <c r="G259" s="100" t="str">
        <f aca="false">Equipos!K257</f>
        <v>ASHK-0159</v>
      </c>
      <c r="H259" s="101"/>
      <c r="I259" s="102"/>
      <c r="J259" s="102"/>
      <c r="K259" s="102"/>
      <c r="L259" s="102" t="s">
        <v>329</v>
      </c>
      <c r="M259" s="102"/>
      <c r="N259" s="102"/>
      <c r="O259" s="102"/>
      <c r="P259" s="102"/>
      <c r="Q259" s="102"/>
      <c r="R259" s="102"/>
      <c r="S259" s="102"/>
      <c r="T259" s="102"/>
      <c r="U259" s="101" t="n">
        <f aca="false">V259+W259+X259+COUNTIF(I259:T259,"R")</f>
        <v>1</v>
      </c>
      <c r="V259" s="101" t="n">
        <f aca="false">COUNTIF(I259:T259,"E")</f>
        <v>0</v>
      </c>
      <c r="W259" s="101" t="n">
        <f aca="false">COUNTIF(I259:T259,"X")</f>
        <v>1</v>
      </c>
      <c r="X259" s="101" t="n">
        <f aca="false">COUNTIF(I259:T259,"C2")+COUNTIF(I259:T259,"C3")</f>
        <v>0</v>
      </c>
      <c r="Y259" s="101" t="n">
        <f aca="true">SUMPRODUCT((I259:INDEX(I259:T259,MONTH(TODAY()))="X")*1)</f>
        <v>1</v>
      </c>
      <c r="Z259" s="104" t="n">
        <f aca="false">IFERROR(V259/U259,"")</f>
        <v>0</v>
      </c>
    </row>
    <row r="260" customFormat="false" ht="15" hidden="false" customHeight="true" outlineLevel="0" collapsed="false">
      <c r="A260" s="100" t="n">
        <f aca="false">Equipos!C258</f>
        <v>0</v>
      </c>
      <c r="B260" s="101" t="n">
        <f aca="false">Equipos!D258</f>
        <v>0</v>
      </c>
      <c r="C260" s="101" t="n">
        <f aca="false">Equipos!E258</f>
        <v>0</v>
      </c>
      <c r="D260" s="101" t="n">
        <f aca="false">Equipos!G258</f>
        <v>0</v>
      </c>
      <c r="E260" s="101" t="n">
        <f aca="false">Equipos!I258</f>
        <v>0</v>
      </c>
      <c r="F260" s="101" t="n">
        <f aca="false">Equipos!J258</f>
        <v>0</v>
      </c>
      <c r="G260" s="100" t="n">
        <f aca="false">Equipos!K258</f>
        <v>0</v>
      </c>
      <c r="H260" s="101"/>
      <c r="I260" s="102"/>
      <c r="J260" s="102"/>
      <c r="K260" s="102"/>
      <c r="L260" s="102"/>
      <c r="M260" s="102"/>
      <c r="N260" s="102"/>
      <c r="O260" s="102"/>
      <c r="P260" s="102"/>
      <c r="Q260" s="102"/>
      <c r="R260" s="102"/>
      <c r="S260" s="102"/>
      <c r="T260" s="102"/>
      <c r="U260" s="101" t="n">
        <f aca="false">V260+W260+X260+COUNTIF(I260:T260,"R")</f>
        <v>0</v>
      </c>
      <c r="V260" s="101" t="n">
        <f aca="false">COUNTIF(I260:T260,"E")</f>
        <v>0</v>
      </c>
      <c r="W260" s="101" t="n">
        <f aca="false">COUNTIF(I260:T260,"X")</f>
        <v>0</v>
      </c>
      <c r="X260" s="101" t="n">
        <f aca="false">COUNTIF(I260:T260,"C2")+COUNTIF(I260:T260,"C3")</f>
        <v>0</v>
      </c>
      <c r="Y260" s="101" t="n">
        <f aca="true">SUMPRODUCT((I260:INDEX(I260:T260,MONTH(TODAY()))="X")*1)</f>
        <v>0</v>
      </c>
      <c r="Z260" s="104" t="str">
        <f aca="false">IFERROR(V260/U260,"")</f>
        <v/>
      </c>
    </row>
    <row r="261" customFormat="false" ht="15" hidden="false" customHeight="true" outlineLevel="0" collapsed="false">
      <c r="A261" s="100" t="str">
        <f aca="false">Equipos!C259</f>
        <v>2-121214</v>
      </c>
      <c r="B261" s="101" t="str">
        <f aca="false">Equipos!D259</f>
        <v>Ventilador Mecánico </v>
      </c>
      <c r="C261" s="101" t="str">
        <f aca="false">Equipos!E259</f>
        <v>UPC Adulto</v>
      </c>
      <c r="D261" s="101" t="n">
        <f aca="false">Equipos!G259</f>
        <v>0</v>
      </c>
      <c r="E261" s="101" t="str">
        <f aca="false">Equipos!I259</f>
        <v>MEK ICS</v>
      </c>
      <c r="F261" s="101" t="str">
        <f aca="false">Equipos!J259</f>
        <v>MV2000 EVO5</v>
      </c>
      <c r="G261" s="100" t="str">
        <f aca="false">Equipos!K259</f>
        <v>MV2000UA1D0984</v>
      </c>
      <c r="H261" s="101"/>
      <c r="I261" s="102"/>
      <c r="J261" s="102"/>
      <c r="K261" s="102"/>
      <c r="L261" s="103" t="s">
        <v>328</v>
      </c>
      <c r="M261" s="102"/>
      <c r="N261" s="102"/>
      <c r="O261" s="102"/>
      <c r="P261" s="102"/>
      <c r="Q261" s="102"/>
      <c r="R261" s="102"/>
      <c r="S261" s="102"/>
      <c r="T261" s="102"/>
      <c r="U261" s="101" t="n">
        <f aca="false">V261+W261+X261+COUNTIF(I261:T261,"R")</f>
        <v>1</v>
      </c>
      <c r="V261" s="101" t="n">
        <f aca="false">COUNTIF(I261:T261,"E")</f>
        <v>1</v>
      </c>
      <c r="W261" s="101" t="n">
        <f aca="false">COUNTIF(I261:T261,"X")</f>
        <v>0</v>
      </c>
      <c r="X261" s="101" t="n">
        <f aca="false">COUNTIF(I261:T261,"C2")+COUNTIF(I261:T261,"C3")</f>
        <v>0</v>
      </c>
      <c r="Y261" s="101" t="n">
        <f aca="true">SUMPRODUCT((I261:INDEX(I261:T261,MONTH(TODAY()))="X")*1)</f>
        <v>0</v>
      </c>
      <c r="Z261" s="104" t="n">
        <f aca="false">IFERROR(V261/U261,"")</f>
        <v>1</v>
      </c>
    </row>
    <row r="262" customFormat="false" ht="15" hidden="false" customHeight="true" outlineLevel="0" collapsed="false">
      <c r="A262" s="100" t="str">
        <f aca="false">Equipos!C260</f>
        <v>2-013588</v>
      </c>
      <c r="B262" s="101" t="str">
        <f aca="false">Equipos!D260</f>
        <v>Ventilador Mecánico </v>
      </c>
      <c r="C262" s="101" t="str">
        <f aca="false">Equipos!E260</f>
        <v>UPC Adulto</v>
      </c>
      <c r="D262" s="101" t="str">
        <f aca="false">Equipos!G260</f>
        <v>UPC-P2-SA19</v>
      </c>
      <c r="E262" s="101" t="str">
        <f aca="false">Equipos!I260</f>
        <v>Maquet</v>
      </c>
      <c r="F262" s="101" t="str">
        <f aca="false">Equipos!J260</f>
        <v>Servo i RM</v>
      </c>
      <c r="G262" s="100" t="str">
        <f aca="false">Equipos!K260</f>
        <v>79510</v>
      </c>
      <c r="H262" s="101"/>
      <c r="I262" s="102"/>
      <c r="J262" s="102"/>
      <c r="K262" s="103" t="s">
        <v>330</v>
      </c>
      <c r="L262" s="103" t="s">
        <v>328</v>
      </c>
      <c r="M262" s="102"/>
      <c r="N262" s="102"/>
      <c r="O262" s="102"/>
      <c r="P262" s="102"/>
      <c r="Q262" s="102"/>
      <c r="R262" s="102"/>
      <c r="S262" s="102"/>
      <c r="T262" s="102"/>
      <c r="U262" s="101" t="n">
        <f aca="false">V262+W262+X262+COUNTIF(I262:T262,"R")</f>
        <v>2</v>
      </c>
      <c r="V262" s="101" t="n">
        <f aca="false">COUNTIF(I262:T262,"E")</f>
        <v>1</v>
      </c>
      <c r="W262" s="101" t="n">
        <f aca="false">COUNTIF(I262:T262,"X")</f>
        <v>0</v>
      </c>
      <c r="X262" s="101" t="n">
        <f aca="false">COUNTIF(I262:T262,"C2")+COUNTIF(I262:T262,"C3")</f>
        <v>0</v>
      </c>
      <c r="Y262" s="101" t="n">
        <f aca="true">SUMPRODUCT((I262:INDEX(I262:T262,MONTH(TODAY()))="X")*1)</f>
        <v>0</v>
      </c>
      <c r="Z262" s="104" t="n">
        <f aca="false">IFERROR(V262/U262,"")</f>
        <v>0.5</v>
      </c>
    </row>
    <row r="263" customFormat="false" ht="15" hidden="false" customHeight="true" outlineLevel="0" collapsed="false">
      <c r="A263" s="100" t="n">
        <f aca="false">Equipos!C261</f>
        <v>0</v>
      </c>
      <c r="B263" s="101" t="n">
        <f aca="false">Equipos!D261</f>
        <v>0</v>
      </c>
      <c r="C263" s="101" t="n">
        <f aca="false">Equipos!E261</f>
        <v>0</v>
      </c>
      <c r="D263" s="101" t="n">
        <f aca="false">Equipos!G261</f>
        <v>0</v>
      </c>
      <c r="E263" s="101" t="n">
        <f aca="false">Equipos!I261</f>
        <v>0</v>
      </c>
      <c r="F263" s="101" t="n">
        <f aca="false">Equipos!J261</f>
        <v>0</v>
      </c>
      <c r="G263" s="100" t="n">
        <f aca="false">Equipos!K261</f>
        <v>0</v>
      </c>
      <c r="H263" s="101"/>
      <c r="I263" s="102"/>
      <c r="J263" s="102"/>
      <c r="K263" s="102"/>
      <c r="L263" s="102"/>
      <c r="M263" s="102"/>
      <c r="N263" s="102"/>
      <c r="O263" s="102"/>
      <c r="P263" s="102"/>
      <c r="Q263" s="102"/>
      <c r="R263" s="102"/>
      <c r="S263" s="102"/>
      <c r="T263" s="102"/>
      <c r="U263" s="101" t="n">
        <f aca="false">V263+W263+X263+COUNTIF(I263:T263,"R")</f>
        <v>0</v>
      </c>
      <c r="V263" s="101" t="n">
        <f aca="false">COUNTIF(I263:T263,"E")</f>
        <v>0</v>
      </c>
      <c r="W263" s="101" t="n">
        <f aca="false">COUNTIF(I263:T263,"X")</f>
        <v>0</v>
      </c>
      <c r="X263" s="101" t="n">
        <f aca="false">COUNTIF(I263:T263,"C2")+COUNTIF(I263:T263,"C3")</f>
        <v>0</v>
      </c>
      <c r="Y263" s="101" t="n">
        <f aca="true">SUMPRODUCT((I263:INDEX(I263:T263,MONTH(TODAY()))="X")*1)</f>
        <v>0</v>
      </c>
      <c r="Z263" s="104" t="str">
        <f aca="false">IFERROR(V263/U263,"")</f>
        <v/>
      </c>
    </row>
    <row r="264" customFormat="false" ht="15" hidden="false" customHeight="true" outlineLevel="0" collapsed="false">
      <c r="A264" s="100" t="str">
        <f aca="false">Equipos!C262</f>
        <v>2-121215</v>
      </c>
      <c r="B264" s="101" t="str">
        <f aca="false">Equipos!D262</f>
        <v>Ventilador Mecánico </v>
      </c>
      <c r="C264" s="101" t="str">
        <f aca="false">Equipos!E262</f>
        <v>UPC Adulto</v>
      </c>
      <c r="D264" s="101" t="n">
        <f aca="false">Equipos!G262</f>
        <v>0</v>
      </c>
      <c r="E264" s="101" t="str">
        <f aca="false">Equipos!I262</f>
        <v>MEK ICS</v>
      </c>
      <c r="F264" s="101" t="str">
        <f aca="false">Equipos!J262</f>
        <v>MV2000 EVO5</v>
      </c>
      <c r="G264" s="100" t="str">
        <f aca="false">Equipos!K262</f>
        <v>MV2000UA1D0987</v>
      </c>
      <c r="H264" s="101"/>
      <c r="I264" s="102"/>
      <c r="J264" s="102"/>
      <c r="K264" s="102"/>
      <c r="L264" s="103" t="s">
        <v>328</v>
      </c>
      <c r="M264" s="102"/>
      <c r="N264" s="102"/>
      <c r="O264" s="102"/>
      <c r="P264" s="102"/>
      <c r="Q264" s="102"/>
      <c r="R264" s="102"/>
      <c r="S264" s="102"/>
      <c r="T264" s="102"/>
      <c r="U264" s="101" t="n">
        <f aca="false">V264+W264+X264+COUNTIF(I264:T264,"R")</f>
        <v>1</v>
      </c>
      <c r="V264" s="101" t="n">
        <f aca="false">COUNTIF(I264:T264,"E")</f>
        <v>1</v>
      </c>
      <c r="W264" s="101" t="n">
        <f aca="false">COUNTIF(I264:T264,"X")</f>
        <v>0</v>
      </c>
      <c r="X264" s="101" t="n">
        <f aca="false">COUNTIF(I264:T264,"C2")+COUNTIF(I264:T264,"C3")</f>
        <v>0</v>
      </c>
      <c r="Y264" s="101" t="n">
        <f aca="true">SUMPRODUCT((I264:INDEX(I264:T264,MONTH(TODAY()))="X")*1)</f>
        <v>0</v>
      </c>
      <c r="Z264" s="104" t="n">
        <f aca="false">IFERROR(V264/U264,"")</f>
        <v>1</v>
      </c>
    </row>
    <row r="265" customFormat="false" ht="15" hidden="false" customHeight="true" outlineLevel="0" collapsed="false">
      <c r="A265" s="100" t="str">
        <f aca="false">Equipos!C263</f>
        <v>2-111146</v>
      </c>
      <c r="B265" s="101" t="str">
        <f aca="false">Equipos!D263</f>
        <v>Ventilador Mecánico </v>
      </c>
      <c r="C265" s="101" t="str">
        <f aca="false">Equipos!E263</f>
        <v>Urgencia Adulto (Prestado a UPC Cardiovascular)</v>
      </c>
      <c r="D265" s="101" t="str">
        <f aca="false">Equipos!G263</f>
        <v>UPC Cardiovascular</v>
      </c>
      <c r="E265" s="101" t="str">
        <f aca="false">Equipos!I263</f>
        <v>Newport </v>
      </c>
      <c r="F265" s="101" t="str">
        <f aca="false">Equipos!J263</f>
        <v>HT70 PLUS</v>
      </c>
      <c r="G265" s="100" t="str">
        <f aca="false">Equipos!K263</f>
        <v>N14HT720413504</v>
      </c>
      <c r="H265" s="101"/>
      <c r="I265" s="102"/>
      <c r="J265" s="102"/>
      <c r="K265" s="103" t="s">
        <v>330</v>
      </c>
      <c r="L265" s="103" t="s">
        <v>328</v>
      </c>
      <c r="M265" s="102"/>
      <c r="N265" s="102"/>
      <c r="O265" s="102"/>
      <c r="P265" s="102"/>
      <c r="Q265" s="102"/>
      <c r="R265" s="102"/>
      <c r="S265" s="102"/>
      <c r="T265" s="102"/>
      <c r="U265" s="101" t="n">
        <f aca="false">V265+W265+X265+COUNTIF(I265:T265,"R")</f>
        <v>2</v>
      </c>
      <c r="V265" s="101" t="n">
        <f aca="false">COUNTIF(I265:T265,"E")</f>
        <v>1</v>
      </c>
      <c r="W265" s="101" t="n">
        <f aca="false">COUNTIF(I265:T265,"X")</f>
        <v>0</v>
      </c>
      <c r="X265" s="101" t="n">
        <f aca="false">COUNTIF(I265:T265,"C2")+COUNTIF(I265:T265,"C3")</f>
        <v>0</v>
      </c>
      <c r="Y265" s="101" t="n">
        <f aca="true">SUMPRODUCT((I265:INDEX(I265:T265,MONTH(TODAY()))="X")*1)</f>
        <v>0</v>
      </c>
      <c r="Z265" s="104" t="n">
        <f aca="false">IFERROR(V265/U265,"")</f>
        <v>0.5</v>
      </c>
    </row>
    <row r="266" customFormat="false" ht="15" hidden="false" customHeight="true" outlineLevel="0" collapsed="false">
      <c r="A266" s="100" t="str">
        <f aca="false">Equipos!C264</f>
        <v>2-116291</v>
      </c>
      <c r="B266" s="101" t="str">
        <f aca="false">Equipos!D264</f>
        <v>Ventilador Mecánico </v>
      </c>
      <c r="C266" s="101" t="str">
        <f aca="false">Equipos!E264</f>
        <v>Neonatología</v>
      </c>
      <c r="D266" s="101" t="n">
        <f aca="false">Equipos!G264</f>
        <v>0</v>
      </c>
      <c r="E266" s="101" t="str">
        <f aca="false">Equipos!I264</f>
        <v>Drager</v>
      </c>
      <c r="F266" s="101" t="str">
        <f aca="false">Equipos!J264</f>
        <v>VN500</v>
      </c>
      <c r="G266" s="100" t="str">
        <f aca="false">Equipos!K264</f>
        <v>ASKK-0199</v>
      </c>
      <c r="H266" s="101"/>
      <c r="I266" s="102"/>
      <c r="J266" s="102"/>
      <c r="K266" s="102"/>
      <c r="L266" s="102"/>
      <c r="M266" s="103" t="s">
        <v>329</v>
      </c>
      <c r="N266" s="102"/>
      <c r="O266" s="102"/>
      <c r="P266" s="102"/>
      <c r="Q266" s="102"/>
      <c r="R266" s="102"/>
      <c r="S266" s="102"/>
      <c r="T266" s="102"/>
      <c r="U266" s="101" t="n">
        <f aca="false">V266+W266+X266+COUNTIF(I266:T266,"R")</f>
        <v>1</v>
      </c>
      <c r="V266" s="101" t="n">
        <f aca="false">COUNTIF(I266:T266,"E")</f>
        <v>0</v>
      </c>
      <c r="W266" s="101" t="n">
        <f aca="false">COUNTIF(I266:T266,"X")</f>
        <v>1</v>
      </c>
      <c r="X266" s="101" t="n">
        <f aca="false">COUNTIF(I266:T266,"C2")+COUNTIF(I266:T266,"C3")</f>
        <v>0</v>
      </c>
      <c r="Y266" s="101" t="n">
        <f aca="true">SUMPRODUCT((I266:INDEX(I266:T266,MONTH(TODAY()))="X")*1)</f>
        <v>1</v>
      </c>
      <c r="Z266" s="104" t="n">
        <f aca="false">IFERROR(V266/U266,"")</f>
        <v>0</v>
      </c>
    </row>
    <row r="267" customFormat="false" ht="15" hidden="false" customHeight="true" outlineLevel="0" collapsed="false">
      <c r="A267" s="100" t="str">
        <f aca="false">Equipos!C265</f>
        <v>2-116292</v>
      </c>
      <c r="B267" s="101" t="str">
        <f aca="false">Equipos!D265</f>
        <v>Ventilador Mecánico </v>
      </c>
      <c r="C267" s="101" t="str">
        <f aca="false">Equipos!E265</f>
        <v>Neonatología</v>
      </c>
      <c r="D267" s="101" t="n">
        <f aca="false">Equipos!G265</f>
        <v>0</v>
      </c>
      <c r="E267" s="101" t="str">
        <f aca="false">Equipos!I265</f>
        <v>Drager</v>
      </c>
      <c r="F267" s="101" t="str">
        <f aca="false">Equipos!J265</f>
        <v>VN500</v>
      </c>
      <c r="G267" s="100" t="str">
        <f aca="false">Equipos!K265</f>
        <v>ASKK-0200</v>
      </c>
      <c r="H267" s="101"/>
      <c r="I267" s="102"/>
      <c r="J267" s="102"/>
      <c r="K267" s="102"/>
      <c r="L267" s="102"/>
      <c r="M267" s="103" t="s">
        <v>328</v>
      </c>
      <c r="N267" s="102"/>
      <c r="O267" s="102"/>
      <c r="P267" s="102"/>
      <c r="Q267" s="102"/>
      <c r="R267" s="102"/>
      <c r="S267" s="102"/>
      <c r="T267" s="102"/>
      <c r="U267" s="101" t="n">
        <f aca="false">V267+W267+X267+COUNTIF(I267:T267,"R")</f>
        <v>1</v>
      </c>
      <c r="V267" s="101" t="n">
        <f aca="false">COUNTIF(I267:T267,"E")</f>
        <v>1</v>
      </c>
      <c r="W267" s="101" t="n">
        <f aca="false">COUNTIF(I267:T267,"X")</f>
        <v>0</v>
      </c>
      <c r="X267" s="101" t="n">
        <f aca="false">COUNTIF(I267:T267,"C2")+COUNTIF(I267:T267,"C3")</f>
        <v>0</v>
      </c>
      <c r="Y267" s="101" t="n">
        <f aca="true">SUMPRODUCT((I267:INDEX(I267:T267,MONTH(TODAY()))="X")*1)</f>
        <v>0</v>
      </c>
      <c r="Z267" s="104" t="n">
        <f aca="false">IFERROR(V267/U267,"")</f>
        <v>1</v>
      </c>
    </row>
    <row r="268" customFormat="false" ht="15" hidden="false" customHeight="true" outlineLevel="0" collapsed="false">
      <c r="A268" s="100" t="str">
        <f aca="false">Equipos!C266</f>
        <v>2-116293</v>
      </c>
      <c r="B268" s="101" t="str">
        <f aca="false">Equipos!D266</f>
        <v>Ventilador Mecánico </v>
      </c>
      <c r="C268" s="101" t="str">
        <f aca="false">Equipos!E266</f>
        <v>Neonatología</v>
      </c>
      <c r="D268" s="101" t="n">
        <f aca="false">Equipos!G266</f>
        <v>0</v>
      </c>
      <c r="E268" s="101" t="str">
        <f aca="false">Equipos!I266</f>
        <v>Drager</v>
      </c>
      <c r="F268" s="101" t="str">
        <f aca="false">Equipos!J266</f>
        <v>VN500</v>
      </c>
      <c r="G268" s="100" t="str">
        <f aca="false">Equipos!K266</f>
        <v>ASKL-0003</v>
      </c>
      <c r="H268" s="101"/>
      <c r="I268" s="102"/>
      <c r="J268" s="102"/>
      <c r="K268" s="102"/>
      <c r="L268" s="102"/>
      <c r="M268" s="103" t="s">
        <v>329</v>
      </c>
      <c r="N268" s="102"/>
      <c r="O268" s="102"/>
      <c r="P268" s="102"/>
      <c r="Q268" s="102"/>
      <c r="R268" s="102"/>
      <c r="S268" s="102"/>
      <c r="T268" s="102"/>
      <c r="U268" s="101" t="n">
        <f aca="false">V268+W268+X268+COUNTIF(I268:T268,"R")</f>
        <v>1</v>
      </c>
      <c r="V268" s="101" t="n">
        <f aca="false">COUNTIF(I268:T268,"E")</f>
        <v>0</v>
      </c>
      <c r="W268" s="101" t="n">
        <f aca="false">COUNTIF(I268:T268,"X")</f>
        <v>1</v>
      </c>
      <c r="X268" s="101" t="n">
        <f aca="false">COUNTIF(I268:T268,"C2")+COUNTIF(I268:T268,"C3")</f>
        <v>0</v>
      </c>
      <c r="Y268" s="101" t="n">
        <f aca="true">SUMPRODUCT((I268:INDEX(I268:T268,MONTH(TODAY()))="X")*1)</f>
        <v>1</v>
      </c>
      <c r="Z268" s="104" t="n">
        <f aca="false">IFERROR(V268/U268,"")</f>
        <v>0</v>
      </c>
    </row>
    <row r="269" customFormat="false" ht="15" hidden="false" customHeight="true" outlineLevel="0" collapsed="false">
      <c r="A269" s="100" t="str">
        <f aca="false">Equipos!C267</f>
        <v>2-116294</v>
      </c>
      <c r="B269" s="101" t="str">
        <f aca="false">Equipos!D267</f>
        <v>Ventilador Mecánico </v>
      </c>
      <c r="C269" s="101" t="str">
        <f aca="false">Equipos!E267</f>
        <v>Neonatología</v>
      </c>
      <c r="D269" s="101" t="n">
        <f aca="false">Equipos!G267</f>
        <v>0</v>
      </c>
      <c r="E269" s="101" t="str">
        <f aca="false">Equipos!I267</f>
        <v>Drager</v>
      </c>
      <c r="F269" s="101" t="str">
        <f aca="false">Equipos!J267</f>
        <v>VN500</v>
      </c>
      <c r="G269" s="100" t="str">
        <f aca="false">Equipos!K267</f>
        <v>ASKL-0004</v>
      </c>
      <c r="H269" s="101"/>
      <c r="I269" s="102"/>
      <c r="J269" s="102"/>
      <c r="K269" s="102"/>
      <c r="L269" s="102"/>
      <c r="M269" s="103" t="s">
        <v>328</v>
      </c>
      <c r="N269" s="102"/>
      <c r="O269" s="102"/>
      <c r="P269" s="102"/>
      <c r="Q269" s="102"/>
      <c r="R269" s="102"/>
      <c r="S269" s="102"/>
      <c r="T269" s="102"/>
      <c r="U269" s="101" t="n">
        <f aca="false">V269+W269+X269+COUNTIF(I269:T269,"R")</f>
        <v>1</v>
      </c>
      <c r="V269" s="101" t="n">
        <f aca="false">COUNTIF(I269:T269,"E")</f>
        <v>1</v>
      </c>
      <c r="W269" s="101" t="n">
        <f aca="false">COUNTIF(I269:T269,"X")</f>
        <v>0</v>
      </c>
      <c r="X269" s="101" t="n">
        <f aca="false">COUNTIF(I269:T269,"C2")+COUNTIF(I269:T269,"C3")</f>
        <v>0</v>
      </c>
      <c r="Y269" s="101" t="n">
        <f aca="true">SUMPRODUCT((I269:INDEX(I269:T269,MONTH(TODAY()))="X")*1)</f>
        <v>0</v>
      </c>
      <c r="Z269" s="104" t="n">
        <f aca="false">IFERROR(V269/U269,"")</f>
        <v>1</v>
      </c>
    </row>
    <row r="270" customFormat="false" ht="15" hidden="false" customHeight="true" outlineLevel="0" collapsed="false">
      <c r="A270" s="100" t="str">
        <f aca="false">Equipos!C268</f>
        <v>2-116295</v>
      </c>
      <c r="B270" s="101" t="str">
        <f aca="false">Equipos!D268</f>
        <v>Ventilador Mecánico </v>
      </c>
      <c r="C270" s="101" t="str">
        <f aca="false">Equipos!E268</f>
        <v>Neonatología</v>
      </c>
      <c r="D270" s="101" t="n">
        <f aca="false">Equipos!G268</f>
        <v>0</v>
      </c>
      <c r="E270" s="101" t="str">
        <f aca="false">Equipos!I268</f>
        <v>Drager</v>
      </c>
      <c r="F270" s="101" t="str">
        <f aca="false">Equipos!J268</f>
        <v>VN500</v>
      </c>
      <c r="G270" s="100" t="str">
        <f aca="false">Equipos!K268</f>
        <v>ASKL-0008</v>
      </c>
      <c r="H270" s="101"/>
      <c r="I270" s="102"/>
      <c r="J270" s="102"/>
      <c r="K270" s="102"/>
      <c r="L270" s="102"/>
      <c r="M270" s="103" t="s">
        <v>329</v>
      </c>
      <c r="N270" s="102"/>
      <c r="O270" s="102"/>
      <c r="P270" s="102"/>
      <c r="Q270" s="102"/>
      <c r="R270" s="102"/>
      <c r="S270" s="102"/>
      <c r="T270" s="102"/>
      <c r="U270" s="101" t="n">
        <f aca="false">V270+W270+X270+COUNTIF(I270:T270,"R")</f>
        <v>1</v>
      </c>
      <c r="V270" s="101" t="n">
        <f aca="false">COUNTIF(I270:T270,"E")</f>
        <v>0</v>
      </c>
      <c r="W270" s="101" t="n">
        <f aca="false">COUNTIF(I270:T270,"X")</f>
        <v>1</v>
      </c>
      <c r="X270" s="101" t="n">
        <f aca="false">COUNTIF(I270:T270,"C2")+COUNTIF(I270:T270,"C3")</f>
        <v>0</v>
      </c>
      <c r="Y270" s="101" t="n">
        <f aca="true">SUMPRODUCT((I270:INDEX(I270:T270,MONTH(TODAY()))="X")*1)</f>
        <v>1</v>
      </c>
      <c r="Z270" s="104" t="n">
        <f aca="false">IFERROR(V270/U270,"")</f>
        <v>0</v>
      </c>
    </row>
    <row r="271" customFormat="false" ht="15" hidden="false" customHeight="true" outlineLevel="0" collapsed="false">
      <c r="A271" s="100" t="str">
        <f aca="false">Equipos!C269</f>
        <v>2-116296</v>
      </c>
      <c r="B271" s="101" t="str">
        <f aca="false">Equipos!D269</f>
        <v>Ventilador Mecánico </v>
      </c>
      <c r="C271" s="101" t="str">
        <f aca="false">Equipos!E269</f>
        <v>Neonatología</v>
      </c>
      <c r="D271" s="101" t="n">
        <f aca="false">Equipos!G269</f>
        <v>0</v>
      </c>
      <c r="E271" s="101" t="str">
        <f aca="false">Equipos!I269</f>
        <v>Drager</v>
      </c>
      <c r="F271" s="101" t="str">
        <f aca="false">Equipos!J269</f>
        <v>VN500</v>
      </c>
      <c r="G271" s="100" t="str">
        <f aca="false">Equipos!K269</f>
        <v>ASKL-0009</v>
      </c>
      <c r="H271" s="101"/>
      <c r="I271" s="102"/>
      <c r="J271" s="102"/>
      <c r="K271" s="102"/>
      <c r="L271" s="102"/>
      <c r="M271" s="103" t="s">
        <v>329</v>
      </c>
      <c r="N271" s="102"/>
      <c r="O271" s="102"/>
      <c r="P271" s="102"/>
      <c r="Q271" s="102"/>
      <c r="R271" s="102"/>
      <c r="S271" s="102"/>
      <c r="T271" s="102"/>
      <c r="U271" s="101" t="n">
        <f aca="false">V271+W271+X271+COUNTIF(I271:T271,"R")</f>
        <v>1</v>
      </c>
      <c r="V271" s="101" t="n">
        <f aca="false">COUNTIF(I271:T271,"E")</f>
        <v>0</v>
      </c>
      <c r="W271" s="101" t="n">
        <f aca="false">COUNTIF(I271:T271,"X")</f>
        <v>1</v>
      </c>
      <c r="X271" s="101" t="n">
        <f aca="false">COUNTIF(I271:T271,"C2")+COUNTIF(I271:T271,"C3")</f>
        <v>0</v>
      </c>
      <c r="Y271" s="101" t="n">
        <f aca="true">SUMPRODUCT((I271:INDEX(I271:T271,MONTH(TODAY()))="X")*1)</f>
        <v>1</v>
      </c>
      <c r="Z271" s="104" t="n">
        <f aca="false">IFERROR(V271/U271,"")</f>
        <v>0</v>
      </c>
    </row>
    <row r="272" customFormat="false" ht="15" hidden="false" customHeight="true" outlineLevel="0" collapsed="false">
      <c r="A272" s="100" t="str">
        <f aca="false">Equipos!C270</f>
        <v>2-116297</v>
      </c>
      <c r="B272" s="101" t="str">
        <f aca="false">Equipos!D270</f>
        <v>Ventilador Mecánico </v>
      </c>
      <c r="C272" s="101" t="str">
        <f aca="false">Equipos!E270</f>
        <v>Neonatología</v>
      </c>
      <c r="D272" s="101" t="n">
        <f aca="false">Equipos!G270</f>
        <v>0</v>
      </c>
      <c r="E272" s="101" t="str">
        <f aca="false">Equipos!I270</f>
        <v>Drager</v>
      </c>
      <c r="F272" s="101" t="str">
        <f aca="false">Equipos!J270</f>
        <v>VN500</v>
      </c>
      <c r="G272" s="100" t="str">
        <f aca="false">Equipos!K270</f>
        <v>ASKK-0201</v>
      </c>
      <c r="H272" s="101"/>
      <c r="I272" s="102"/>
      <c r="J272" s="102"/>
      <c r="K272" s="102"/>
      <c r="L272" s="102"/>
      <c r="M272" s="103" t="s">
        <v>329</v>
      </c>
      <c r="N272" s="102"/>
      <c r="O272" s="102"/>
      <c r="P272" s="102"/>
      <c r="Q272" s="102"/>
      <c r="R272" s="102"/>
      <c r="S272" s="102"/>
      <c r="T272" s="102"/>
      <c r="U272" s="101" t="n">
        <f aca="false">V272+W272+X272+COUNTIF(I272:T272,"R")</f>
        <v>1</v>
      </c>
      <c r="V272" s="101" t="n">
        <f aca="false">COUNTIF(I272:T272,"E")</f>
        <v>0</v>
      </c>
      <c r="W272" s="101" t="n">
        <f aca="false">COUNTIF(I272:T272,"X")</f>
        <v>1</v>
      </c>
      <c r="X272" s="101" t="n">
        <f aca="false">COUNTIF(I272:T272,"C2")+COUNTIF(I272:T272,"C3")</f>
        <v>0</v>
      </c>
      <c r="Y272" s="101" t="n">
        <f aca="true">SUMPRODUCT((I272:INDEX(I272:T272,MONTH(TODAY()))="X")*1)</f>
        <v>1</v>
      </c>
      <c r="Z272" s="104" t="n">
        <f aca="false">IFERROR(V272/U272,"")</f>
        <v>0</v>
      </c>
    </row>
    <row r="273" customFormat="false" ht="15" hidden="false" customHeight="true" outlineLevel="0" collapsed="false">
      <c r="A273" s="100" t="str">
        <f aca="false">Equipos!C271</f>
        <v>2-116298</v>
      </c>
      <c r="B273" s="101" t="str">
        <f aca="false">Equipos!D271</f>
        <v>Ventilador Mecánico </v>
      </c>
      <c r="C273" s="101" t="str">
        <f aca="false">Equipos!E271</f>
        <v>Neonatología</v>
      </c>
      <c r="D273" s="101" t="n">
        <f aca="false">Equipos!G271</f>
        <v>0</v>
      </c>
      <c r="E273" s="101" t="str">
        <f aca="false">Equipos!I271</f>
        <v>Drager</v>
      </c>
      <c r="F273" s="101" t="str">
        <f aca="false">Equipos!J271</f>
        <v>VN500</v>
      </c>
      <c r="G273" s="100" t="str">
        <f aca="false">Equipos!K271</f>
        <v>ASKL-0005</v>
      </c>
      <c r="H273" s="101"/>
      <c r="I273" s="102"/>
      <c r="J273" s="102"/>
      <c r="K273" s="102"/>
      <c r="L273" s="102"/>
      <c r="M273" s="103" t="s">
        <v>328</v>
      </c>
      <c r="N273" s="102"/>
      <c r="O273" s="102"/>
      <c r="P273" s="102"/>
      <c r="Q273" s="102"/>
      <c r="R273" s="102"/>
      <c r="S273" s="102"/>
      <c r="T273" s="102"/>
      <c r="U273" s="101" t="n">
        <f aca="false">V273+W273+X273+COUNTIF(I273:T273,"R")</f>
        <v>1</v>
      </c>
      <c r="V273" s="101" t="n">
        <f aca="false">COUNTIF(I273:T273,"E")</f>
        <v>1</v>
      </c>
      <c r="W273" s="101" t="n">
        <f aca="false">COUNTIF(I273:T273,"X")</f>
        <v>0</v>
      </c>
      <c r="X273" s="101" t="n">
        <f aca="false">COUNTIF(I273:T273,"C2")+COUNTIF(I273:T273,"C3")</f>
        <v>0</v>
      </c>
      <c r="Y273" s="101" t="n">
        <f aca="true">SUMPRODUCT((I273:INDEX(I273:T273,MONTH(TODAY()))="X")*1)</f>
        <v>0</v>
      </c>
      <c r="Z273" s="104" t="n">
        <f aca="false">IFERROR(V273/U273,"")</f>
        <v>1</v>
      </c>
    </row>
    <row r="274" customFormat="false" ht="15" hidden="false" customHeight="true" outlineLevel="0" collapsed="false">
      <c r="A274" s="100" t="str">
        <f aca="false">Equipos!C272</f>
        <v>2-116299</v>
      </c>
      <c r="B274" s="101" t="str">
        <f aca="false">Equipos!D272</f>
        <v>Ventilador Mecánico </v>
      </c>
      <c r="C274" s="101" t="str">
        <f aca="false">Equipos!E272</f>
        <v>Neonatología</v>
      </c>
      <c r="D274" s="101" t="n">
        <f aca="false">Equipos!G272</f>
        <v>0</v>
      </c>
      <c r="E274" s="101" t="str">
        <f aca="false">Equipos!I272</f>
        <v>Drager</v>
      </c>
      <c r="F274" s="101" t="str">
        <f aca="false">Equipos!J272</f>
        <v>VN500</v>
      </c>
      <c r="G274" s="100" t="str">
        <f aca="false">Equipos!K272</f>
        <v>ASKL-0006</v>
      </c>
      <c r="H274" s="101"/>
      <c r="I274" s="102"/>
      <c r="J274" s="102"/>
      <c r="K274" s="102"/>
      <c r="L274" s="102"/>
      <c r="M274" s="102" t="s">
        <v>329</v>
      </c>
      <c r="N274" s="102"/>
      <c r="O274" s="102"/>
      <c r="P274" s="102"/>
      <c r="Q274" s="102"/>
      <c r="R274" s="102"/>
      <c r="S274" s="102"/>
      <c r="T274" s="102"/>
      <c r="U274" s="101" t="n">
        <f aca="false">V274+W274+X274+COUNTIF(I274:T274,"R")</f>
        <v>1</v>
      </c>
      <c r="V274" s="101" t="n">
        <f aca="false">COUNTIF(I274:T274,"E")</f>
        <v>0</v>
      </c>
      <c r="W274" s="101" t="n">
        <f aca="false">COUNTIF(I274:T274,"X")</f>
        <v>1</v>
      </c>
      <c r="X274" s="101" t="n">
        <f aca="false">COUNTIF(I274:T274,"C2")+COUNTIF(I274:T274,"C3")</f>
        <v>0</v>
      </c>
      <c r="Y274" s="101" t="n">
        <f aca="true">SUMPRODUCT((I274:INDEX(I274:T274,MONTH(TODAY()))="X")*1)</f>
        <v>1</v>
      </c>
      <c r="Z274" s="104" t="n">
        <f aca="false">IFERROR(V274/U274,"")</f>
        <v>0</v>
      </c>
    </row>
    <row r="275" customFormat="false" ht="15" hidden="false" customHeight="true" outlineLevel="0" collapsed="false">
      <c r="A275" s="100" t="str">
        <f aca="false">Equipos!C273</f>
        <v>2-116300</v>
      </c>
      <c r="B275" s="101" t="str">
        <f aca="false">Equipos!D273</f>
        <v>Ventilador Mecánico </v>
      </c>
      <c r="C275" s="101" t="str">
        <f aca="false">Equipos!E273</f>
        <v>Neonatología</v>
      </c>
      <c r="D275" s="101" t="n">
        <f aca="false">Equipos!G273</f>
        <v>0</v>
      </c>
      <c r="E275" s="101" t="str">
        <f aca="false">Equipos!I273</f>
        <v>Drager</v>
      </c>
      <c r="F275" s="101" t="str">
        <f aca="false">Equipos!J273</f>
        <v>VN500</v>
      </c>
      <c r="G275" s="100" t="str">
        <f aca="false">Equipos!K273</f>
        <v>ASKL-0007</v>
      </c>
      <c r="H275" s="101"/>
      <c r="I275" s="102"/>
      <c r="J275" s="102"/>
      <c r="K275" s="102"/>
      <c r="L275" s="102"/>
      <c r="M275" s="103" t="s">
        <v>328</v>
      </c>
      <c r="N275" s="102"/>
      <c r="O275" s="102"/>
      <c r="P275" s="102"/>
      <c r="Q275" s="102"/>
      <c r="R275" s="102"/>
      <c r="S275" s="102"/>
      <c r="T275" s="102"/>
      <c r="U275" s="101" t="n">
        <f aca="false">V275+W275+X275+COUNTIF(I275:T275,"R")</f>
        <v>1</v>
      </c>
      <c r="V275" s="101" t="n">
        <f aca="false">COUNTIF(I275:T275,"E")</f>
        <v>1</v>
      </c>
      <c r="W275" s="101" t="n">
        <f aca="false">COUNTIF(I275:T275,"X")</f>
        <v>0</v>
      </c>
      <c r="X275" s="101" t="n">
        <f aca="false">COUNTIF(I275:T275,"C2")+COUNTIF(I275:T275,"C3")</f>
        <v>0</v>
      </c>
      <c r="Y275" s="101" t="n">
        <f aca="true">SUMPRODUCT((I275:INDEX(I275:T275,MONTH(TODAY()))="X")*1)</f>
        <v>0</v>
      </c>
      <c r="Z275" s="104" t="n">
        <f aca="false">IFERROR(V275/U275,"")</f>
        <v>1</v>
      </c>
    </row>
    <row r="276" customFormat="false" ht="15" hidden="false" customHeight="true" outlineLevel="0" collapsed="false">
      <c r="A276" s="100" t="str">
        <f aca="false">Equipos!C274</f>
        <v>2-116301</v>
      </c>
      <c r="B276" s="101" t="str">
        <f aca="false">Equipos!D274</f>
        <v>Ventilador Mecánico </v>
      </c>
      <c r="C276" s="101" t="str">
        <f aca="false">Equipos!E274</f>
        <v>Neonatología</v>
      </c>
      <c r="D276" s="101" t="n">
        <f aca="false">Equipos!G274</f>
        <v>0</v>
      </c>
      <c r="E276" s="101" t="str">
        <f aca="false">Equipos!I274</f>
        <v>Drager</v>
      </c>
      <c r="F276" s="101" t="str">
        <f aca="false">Equipos!J274</f>
        <v>VN500</v>
      </c>
      <c r="G276" s="100" t="str">
        <f aca="false">Equipos!K274</f>
        <v>ASJA-0138</v>
      </c>
      <c r="H276" s="101"/>
      <c r="I276" s="102"/>
      <c r="J276" s="102"/>
      <c r="K276" s="102"/>
      <c r="L276" s="102"/>
      <c r="M276" s="103" t="s">
        <v>329</v>
      </c>
      <c r="N276" s="102"/>
      <c r="O276" s="102"/>
      <c r="P276" s="102"/>
      <c r="Q276" s="102"/>
      <c r="R276" s="102"/>
      <c r="S276" s="102"/>
      <c r="T276" s="102"/>
      <c r="U276" s="101" t="n">
        <f aca="false">V276+W276+X276+COUNTIF(I276:T276,"R")</f>
        <v>1</v>
      </c>
      <c r="V276" s="101" t="n">
        <f aca="false">COUNTIF(I276:T276,"E")</f>
        <v>0</v>
      </c>
      <c r="W276" s="101" t="n">
        <f aca="false">COUNTIF(I276:T276,"X")</f>
        <v>1</v>
      </c>
      <c r="X276" s="101" t="n">
        <f aca="false">COUNTIF(I276:T276,"C2")+COUNTIF(I276:T276,"C3")</f>
        <v>0</v>
      </c>
      <c r="Y276" s="101" t="n">
        <f aca="true">SUMPRODUCT((I276:INDEX(I276:T276,MONTH(TODAY()))="X")*1)</f>
        <v>1</v>
      </c>
      <c r="Z276" s="104" t="n">
        <f aca="false">IFERROR(V276/U276,"")</f>
        <v>0</v>
      </c>
    </row>
    <row r="277" customFormat="false" ht="15" hidden="false" customHeight="true" outlineLevel="0" collapsed="false">
      <c r="A277" s="100" t="str">
        <f aca="false">Equipos!C275</f>
        <v>2-117264</v>
      </c>
      <c r="B277" s="101" t="str">
        <f aca="false">Equipos!D275</f>
        <v>Ventilador Mecánico </v>
      </c>
      <c r="C277" s="101" t="str">
        <f aca="false">Equipos!E275</f>
        <v>SAMU</v>
      </c>
      <c r="D277" s="101" t="str">
        <f aca="false">Equipos!G275</f>
        <v>Base 13</v>
      </c>
      <c r="E277" s="101" t="str">
        <f aca="false">Equipos!I275</f>
        <v>Newport </v>
      </c>
      <c r="F277" s="101" t="str">
        <f aca="false">Equipos!J275</f>
        <v>HT70 PLUS</v>
      </c>
      <c r="G277" s="100" t="str">
        <f aca="false">Equipos!K275</f>
        <v>N17HT720120041</v>
      </c>
      <c r="H277" s="101"/>
      <c r="I277" s="102"/>
      <c r="J277" s="102"/>
      <c r="K277" s="103" t="s">
        <v>330</v>
      </c>
      <c r="L277" s="103" t="s">
        <v>328</v>
      </c>
      <c r="M277" s="102"/>
      <c r="N277" s="102"/>
      <c r="O277" s="102"/>
      <c r="P277" s="102"/>
      <c r="Q277" s="102"/>
      <c r="R277" s="102"/>
      <c r="S277" s="102"/>
      <c r="T277" s="102"/>
      <c r="U277" s="101" t="n">
        <f aca="false">V277+W277+X277+COUNTIF(I277:T277,"R")</f>
        <v>2</v>
      </c>
      <c r="V277" s="101" t="n">
        <f aca="false">COUNTIF(I277:T277,"E")</f>
        <v>1</v>
      </c>
      <c r="W277" s="101" t="n">
        <f aca="false">COUNTIF(I277:T277,"X")</f>
        <v>0</v>
      </c>
      <c r="X277" s="101" t="n">
        <f aca="false">COUNTIF(I277:T277,"C2")+COUNTIF(I277:T277,"C3")</f>
        <v>0</v>
      </c>
      <c r="Y277" s="101" t="n">
        <f aca="true">SUMPRODUCT((I277:INDEX(I277:T277,MONTH(TODAY()))="X")*1)</f>
        <v>0</v>
      </c>
      <c r="Z277" s="104" t="n">
        <f aca="false">IFERROR(V277/U277,"")</f>
        <v>0.5</v>
      </c>
    </row>
    <row r="278" customFormat="false" ht="15" hidden="false" customHeight="true" outlineLevel="0" collapsed="false">
      <c r="A278" s="100" t="str">
        <f aca="false">Equipos!C276</f>
        <v>2-121216</v>
      </c>
      <c r="B278" s="101" t="str">
        <f aca="false">Equipos!D276</f>
        <v>Ventilador Mecánico </v>
      </c>
      <c r="C278" s="101" t="str">
        <f aca="false">Equipos!E276</f>
        <v>UPC Adulto</v>
      </c>
      <c r="D278" s="101" t="n">
        <f aca="false">Equipos!G276</f>
        <v>0</v>
      </c>
      <c r="E278" s="101" t="str">
        <f aca="false">Equipos!I276</f>
        <v>MEK ICS</v>
      </c>
      <c r="F278" s="101" t="str">
        <f aca="false">Equipos!J276</f>
        <v>MV2000 EVO5</v>
      </c>
      <c r="G278" s="100" t="str">
        <f aca="false">Equipos!K276</f>
        <v>MV2000UA1D0775</v>
      </c>
      <c r="H278" s="101"/>
      <c r="I278" s="102"/>
      <c r="J278" s="102"/>
      <c r="K278" s="102"/>
      <c r="L278" s="103" t="s">
        <v>328</v>
      </c>
      <c r="M278" s="102"/>
      <c r="N278" s="102"/>
      <c r="O278" s="102"/>
      <c r="P278" s="102"/>
      <c r="Q278" s="102"/>
      <c r="R278" s="102"/>
      <c r="S278" s="102"/>
      <c r="T278" s="102"/>
      <c r="U278" s="101" t="n">
        <f aca="false">V278+W278+X278+COUNTIF(I278:T278,"R")</f>
        <v>1</v>
      </c>
      <c r="V278" s="101" t="n">
        <f aca="false">COUNTIF(I278:T278,"E")</f>
        <v>1</v>
      </c>
      <c r="W278" s="101" t="n">
        <f aca="false">COUNTIF(I278:T278,"X")</f>
        <v>0</v>
      </c>
      <c r="X278" s="101" t="n">
        <f aca="false">COUNTIF(I278:T278,"C2")+COUNTIF(I278:T278,"C3")</f>
        <v>0</v>
      </c>
      <c r="Y278" s="101" t="n">
        <f aca="true">SUMPRODUCT((I278:INDEX(I278:T278,MONTH(TODAY()))="X")*1)</f>
        <v>0</v>
      </c>
      <c r="Z278" s="104" t="n">
        <f aca="false">IFERROR(V278/U278,"")</f>
        <v>1</v>
      </c>
    </row>
    <row r="279" customFormat="false" ht="15" hidden="false" customHeight="true" outlineLevel="0" collapsed="false">
      <c r="A279" s="100" t="str">
        <f aca="false">Equipos!C277</f>
        <v>2-119888</v>
      </c>
      <c r="B279" s="101" t="str">
        <f aca="false">Equipos!D277</f>
        <v>Ventilador Mecánico </v>
      </c>
      <c r="C279" s="101" t="str">
        <f aca="false">Equipos!E277</f>
        <v>UPC 3er Piso</v>
      </c>
      <c r="D279" s="101" t="str">
        <f aca="false">Equipos!G277</f>
        <v>Sala de equipos</v>
      </c>
      <c r="E279" s="101" t="str">
        <f aca="false">Equipos!I277</f>
        <v>Puritan Bennett</v>
      </c>
      <c r="F279" s="101" t="n">
        <f aca="false">Equipos!J277</f>
        <v>560</v>
      </c>
      <c r="G279" s="100" t="str">
        <f aca="false">Equipos!K277</f>
        <v>40966N0158</v>
      </c>
      <c r="H279" s="101"/>
      <c r="I279" s="102"/>
      <c r="J279" s="102"/>
      <c r="K279" s="103" t="s">
        <v>332</v>
      </c>
      <c r="L279" s="102"/>
      <c r="M279" s="102"/>
      <c r="N279" s="102"/>
      <c r="O279" s="102"/>
      <c r="P279" s="102"/>
      <c r="Q279" s="102"/>
      <c r="R279" s="102"/>
      <c r="S279" s="102"/>
      <c r="T279" s="102"/>
      <c r="U279" s="101" t="n">
        <f aca="false">V279+W279+X279+COUNTIF(I279:T279,"R")</f>
        <v>1</v>
      </c>
      <c r="V279" s="101" t="n">
        <f aca="false">COUNTIF(I279:T279,"E")</f>
        <v>0</v>
      </c>
      <c r="W279" s="101" t="n">
        <f aca="false">COUNTIF(I279:T279,"X")</f>
        <v>0</v>
      </c>
      <c r="X279" s="101" t="n">
        <f aca="false">COUNTIF(I279:T279,"C2")+COUNTIF(I279:T279,"C3")</f>
        <v>1</v>
      </c>
      <c r="Y279" s="101" t="n">
        <f aca="true">SUMPRODUCT((I279:INDEX(I279:T279,MONTH(TODAY()))="X")*1)</f>
        <v>0</v>
      </c>
      <c r="Z279" s="104" t="n">
        <f aca="false">IFERROR(V279/U279,"")</f>
        <v>0</v>
      </c>
    </row>
    <row r="280" customFormat="false" ht="15" hidden="false" customHeight="true" outlineLevel="0" collapsed="false">
      <c r="A280" s="100" t="str">
        <f aca="false">Equipos!C278</f>
        <v>2-119889</v>
      </c>
      <c r="B280" s="101" t="str">
        <f aca="false">Equipos!D278</f>
        <v>Ventilador Mecánico </v>
      </c>
      <c r="C280" s="101" t="str">
        <f aca="false">Equipos!E278</f>
        <v>UPC 3er Piso</v>
      </c>
      <c r="D280" s="101" t="str">
        <f aca="false">Equipos!G278</f>
        <v>Bodega</v>
      </c>
      <c r="E280" s="101" t="str">
        <f aca="false">Equipos!I278</f>
        <v>Puritan Bennett</v>
      </c>
      <c r="F280" s="101" t="n">
        <f aca="false">Equipos!J278</f>
        <v>560</v>
      </c>
      <c r="G280" s="100" t="str">
        <f aca="false">Equipos!K278</f>
        <v>40966N0156</v>
      </c>
      <c r="H280" s="101"/>
      <c r="I280" s="102"/>
      <c r="J280" s="102"/>
      <c r="K280" s="103" t="s">
        <v>330</v>
      </c>
      <c r="L280" s="103" t="s">
        <v>328</v>
      </c>
      <c r="M280" s="102"/>
      <c r="N280" s="102"/>
      <c r="O280" s="102"/>
      <c r="P280" s="102"/>
      <c r="Q280" s="102"/>
      <c r="R280" s="102"/>
      <c r="S280" s="102"/>
      <c r="T280" s="102"/>
      <c r="U280" s="101" t="n">
        <f aca="false">V280+W280+X280+COUNTIF(I280:T280,"R")</f>
        <v>2</v>
      </c>
      <c r="V280" s="101" t="n">
        <f aca="false">COUNTIF(I280:T280,"E")</f>
        <v>1</v>
      </c>
      <c r="W280" s="101" t="n">
        <f aca="false">COUNTIF(I280:T280,"X")</f>
        <v>0</v>
      </c>
      <c r="X280" s="101" t="n">
        <f aca="false">COUNTIF(I280:T280,"C2")+COUNTIF(I280:T280,"C3")</f>
        <v>0</v>
      </c>
      <c r="Y280" s="101" t="n">
        <f aca="true">SUMPRODUCT((I280:INDEX(I280:T280,MONTH(TODAY()))="X")*1)</f>
        <v>0</v>
      </c>
      <c r="Z280" s="104" t="n">
        <f aca="false">IFERROR(V280/U280,"")</f>
        <v>0.5</v>
      </c>
    </row>
    <row r="281" customFormat="false" ht="15" hidden="false" customHeight="true" outlineLevel="0" collapsed="false">
      <c r="A281" s="100" t="str">
        <f aca="false">Equipos!C279</f>
        <v>2-119890</v>
      </c>
      <c r="B281" s="101" t="str">
        <f aca="false">Equipos!D279</f>
        <v>Ventilador Mecánico </v>
      </c>
      <c r="C281" s="101" t="str">
        <f aca="false">Equipos!E279</f>
        <v>UPC 3er Piso</v>
      </c>
      <c r="D281" s="101" t="str">
        <f aca="false">Equipos!G279</f>
        <v>Bodega</v>
      </c>
      <c r="E281" s="101" t="str">
        <f aca="false">Equipos!I279</f>
        <v>Puritan Bennett</v>
      </c>
      <c r="F281" s="101" t="n">
        <f aca="false">Equipos!J279</f>
        <v>560</v>
      </c>
      <c r="G281" s="100" t="str">
        <f aca="false">Equipos!K279</f>
        <v>40966N0134</v>
      </c>
      <c r="H281" s="101"/>
      <c r="I281" s="102"/>
      <c r="J281" s="102"/>
      <c r="K281" s="103" t="s">
        <v>330</v>
      </c>
      <c r="L281" s="103"/>
      <c r="M281" s="102"/>
      <c r="N281" s="102"/>
      <c r="O281" s="102"/>
      <c r="P281" s="102"/>
      <c r="Q281" s="102"/>
      <c r="R281" s="102"/>
      <c r="S281" s="102"/>
      <c r="T281" s="102"/>
      <c r="U281" s="101" t="n">
        <f aca="false">V281+W281+X281+COUNTIF(I281:T281,"R")</f>
        <v>1</v>
      </c>
      <c r="V281" s="101" t="n">
        <f aca="false">COUNTIF(I281:T281,"E")</f>
        <v>0</v>
      </c>
      <c r="W281" s="101" t="n">
        <f aca="false">COUNTIF(I281:T281,"X")</f>
        <v>0</v>
      </c>
      <c r="X281" s="101" t="n">
        <f aca="false">COUNTIF(I281:T281,"C2")+COUNTIF(I281:T281,"C3")</f>
        <v>0</v>
      </c>
      <c r="Y281" s="101" t="n">
        <f aca="true">SUMPRODUCT((I281:INDEX(I281:T281,MONTH(TODAY()))="X")*1)</f>
        <v>0</v>
      </c>
      <c r="Z281" s="104" t="n">
        <f aca="false">IFERROR(V281/U281,"")</f>
        <v>0</v>
      </c>
    </row>
    <row r="282" customFormat="false" ht="15" hidden="false" customHeight="true" outlineLevel="0" collapsed="false">
      <c r="A282" s="100" t="str">
        <f aca="false">Equipos!C280</f>
        <v>2-119891</v>
      </c>
      <c r="B282" s="101" t="str">
        <f aca="false">Equipos!D280</f>
        <v>Ventilador Mecánico </v>
      </c>
      <c r="C282" s="101" t="str">
        <f aca="false">Equipos!E280</f>
        <v>UPC 3er Piso</v>
      </c>
      <c r="D282" s="101" t="str">
        <f aca="false">Equipos!G280</f>
        <v>Bodega</v>
      </c>
      <c r="E282" s="101" t="str">
        <f aca="false">Equipos!I280</f>
        <v>Puritan Bennett</v>
      </c>
      <c r="F282" s="101" t="n">
        <f aca="false">Equipos!J280</f>
        <v>560</v>
      </c>
      <c r="G282" s="100" t="str">
        <f aca="false">Equipos!K280</f>
        <v>40966N0118</v>
      </c>
      <c r="H282" s="101"/>
      <c r="I282" s="102"/>
      <c r="J282" s="102"/>
      <c r="K282" s="103" t="s">
        <v>330</v>
      </c>
      <c r="L282" s="103" t="s">
        <v>328</v>
      </c>
      <c r="M282" s="102"/>
      <c r="N282" s="102"/>
      <c r="O282" s="102"/>
      <c r="P282" s="102"/>
      <c r="Q282" s="102"/>
      <c r="R282" s="102"/>
      <c r="S282" s="102"/>
      <c r="T282" s="102"/>
      <c r="U282" s="101" t="n">
        <f aca="false">V282+W282+X282+COUNTIF(I282:T282,"R")</f>
        <v>2</v>
      </c>
      <c r="V282" s="101" t="n">
        <f aca="false">COUNTIF(I282:T282,"E")</f>
        <v>1</v>
      </c>
      <c r="W282" s="101" t="n">
        <f aca="false">COUNTIF(I282:T282,"X")</f>
        <v>0</v>
      </c>
      <c r="X282" s="101" t="n">
        <f aca="false">COUNTIF(I282:T282,"C2")+COUNTIF(I282:T282,"C3")</f>
        <v>0</v>
      </c>
      <c r="Y282" s="101" t="n">
        <f aca="true">SUMPRODUCT((I282:INDEX(I282:T282,MONTH(TODAY()))="X")*1)</f>
        <v>0</v>
      </c>
      <c r="Z282" s="104" t="n">
        <f aca="false">IFERROR(V282/U282,"")</f>
        <v>0.5</v>
      </c>
    </row>
    <row r="283" customFormat="false" ht="15" hidden="false" customHeight="true" outlineLevel="0" collapsed="false">
      <c r="A283" s="100" t="str">
        <f aca="false">Equipos!C281</f>
        <v>2-119885</v>
      </c>
      <c r="B283" s="101" t="str">
        <f aca="false">Equipos!D281</f>
        <v>Ventilador Mecánico </v>
      </c>
      <c r="C283" s="101" t="str">
        <f aca="false">Equipos!E281</f>
        <v>Urgencia Adulto</v>
      </c>
      <c r="D283" s="101" t="n">
        <f aca="false">Equipos!G281</f>
        <v>0</v>
      </c>
      <c r="E283" s="101" t="str">
        <f aca="false">Equipos!I281</f>
        <v>Puritan Bennett</v>
      </c>
      <c r="F283" s="101" t="n">
        <f aca="false">Equipos!J281</f>
        <v>560</v>
      </c>
      <c r="G283" s="100" t="str">
        <f aca="false">Equipos!K281</f>
        <v>40966N0147</v>
      </c>
      <c r="H283" s="101"/>
      <c r="I283" s="102"/>
      <c r="J283" s="102"/>
      <c r="K283" s="103" t="s">
        <v>332</v>
      </c>
      <c r="L283" s="102"/>
      <c r="M283" s="102"/>
      <c r="N283" s="102"/>
      <c r="O283" s="102"/>
      <c r="P283" s="102"/>
      <c r="Q283" s="102"/>
      <c r="R283" s="102"/>
      <c r="S283" s="102"/>
      <c r="T283" s="102"/>
      <c r="U283" s="101" t="n">
        <f aca="false">V283+W283+X283+COUNTIF(I283:T283,"R")</f>
        <v>1</v>
      </c>
      <c r="V283" s="101" t="n">
        <f aca="false">COUNTIF(I283:T283,"E")</f>
        <v>0</v>
      </c>
      <c r="W283" s="101" t="n">
        <f aca="false">COUNTIF(I283:T283,"X")</f>
        <v>0</v>
      </c>
      <c r="X283" s="101" t="n">
        <f aca="false">COUNTIF(I283:T283,"C2")+COUNTIF(I283:T283,"C3")</f>
        <v>1</v>
      </c>
      <c r="Y283" s="101" t="n">
        <f aca="true">SUMPRODUCT((I283:INDEX(I283:T283,MONTH(TODAY()))="X")*1)</f>
        <v>0</v>
      </c>
      <c r="Z283" s="104" t="n">
        <f aca="false">IFERROR(V283/U283,"")</f>
        <v>0</v>
      </c>
    </row>
    <row r="284" customFormat="false" ht="15" hidden="false" customHeight="true" outlineLevel="0" collapsed="false">
      <c r="A284" s="100" t="str">
        <f aca="false">Equipos!C282</f>
        <v>2-119886</v>
      </c>
      <c r="B284" s="101" t="str">
        <f aca="false">Equipos!D282</f>
        <v>Ventilador Mecánico </v>
      </c>
      <c r="C284" s="101" t="str">
        <f aca="false">Equipos!E282</f>
        <v>Urgencia Adulto (Prestado a UPC Cardiovascular)</v>
      </c>
      <c r="D284" s="101" t="n">
        <f aca="false">Equipos!G282</f>
        <v>0</v>
      </c>
      <c r="E284" s="101" t="str">
        <f aca="false">Equipos!I282</f>
        <v>Puritan Bennett</v>
      </c>
      <c r="F284" s="101" t="n">
        <f aca="false">Equipos!J282</f>
        <v>560</v>
      </c>
      <c r="G284" s="100" t="str">
        <f aca="false">Equipos!K282</f>
        <v>40966N0133</v>
      </c>
      <c r="H284" s="101"/>
      <c r="I284" s="102"/>
      <c r="J284" s="102"/>
      <c r="K284" s="103" t="s">
        <v>330</v>
      </c>
      <c r="L284" s="103" t="s">
        <v>328</v>
      </c>
      <c r="M284" s="102"/>
      <c r="N284" s="102"/>
      <c r="O284" s="102"/>
      <c r="P284" s="102"/>
      <c r="Q284" s="102"/>
      <c r="R284" s="102"/>
      <c r="S284" s="102"/>
      <c r="T284" s="102"/>
      <c r="U284" s="101" t="n">
        <f aca="false">V284+W284+X284+COUNTIF(I284:T284,"R")</f>
        <v>2</v>
      </c>
      <c r="V284" s="101" t="n">
        <f aca="false">COUNTIF(I284:T284,"E")</f>
        <v>1</v>
      </c>
      <c r="W284" s="101" t="n">
        <f aca="false">COUNTIF(I284:T284,"X")</f>
        <v>0</v>
      </c>
      <c r="X284" s="101" t="n">
        <f aca="false">COUNTIF(I284:T284,"C2")+COUNTIF(I284:T284,"C3")</f>
        <v>0</v>
      </c>
      <c r="Y284" s="101" t="n">
        <f aca="true">SUMPRODUCT((I284:INDEX(I284:T284,MONTH(TODAY()))="X")*1)</f>
        <v>0</v>
      </c>
      <c r="Z284" s="104" t="n">
        <f aca="false">IFERROR(V284/U284,"")</f>
        <v>0.5</v>
      </c>
    </row>
    <row r="285" customFormat="false" ht="15" hidden="false" customHeight="true" outlineLevel="0" collapsed="false">
      <c r="A285" s="100" t="str">
        <f aca="false">Equipos!C283</f>
        <v>2-119887</v>
      </c>
      <c r="B285" s="101" t="str">
        <f aca="false">Equipos!D283</f>
        <v>Ventilador Mecánico </v>
      </c>
      <c r="C285" s="101" t="str">
        <f aca="false">Equipos!E283</f>
        <v>Urgencia Adulto (Prestado a UPC 3er piso)</v>
      </c>
      <c r="D285" s="101" t="str">
        <f aca="false">Equipos!G283</f>
        <v>UPC 3er Piso</v>
      </c>
      <c r="E285" s="101" t="str">
        <f aca="false">Equipos!I283</f>
        <v>Puritan Bennett</v>
      </c>
      <c r="F285" s="101" t="n">
        <f aca="false">Equipos!J283</f>
        <v>560</v>
      </c>
      <c r="G285" s="100" t="str">
        <f aca="false">Equipos!K283</f>
        <v>40966N0126</v>
      </c>
      <c r="H285" s="101"/>
      <c r="I285" s="102"/>
      <c r="J285" s="102"/>
      <c r="K285" s="103" t="s">
        <v>330</v>
      </c>
      <c r="L285" s="103" t="s">
        <v>328</v>
      </c>
      <c r="M285" s="102"/>
      <c r="N285" s="102"/>
      <c r="O285" s="102"/>
      <c r="P285" s="102"/>
      <c r="Q285" s="102"/>
      <c r="R285" s="102"/>
      <c r="S285" s="102"/>
      <c r="T285" s="102"/>
      <c r="U285" s="101" t="n">
        <f aca="false">V285+W285+X285+COUNTIF(I285:T285,"R")</f>
        <v>2</v>
      </c>
      <c r="V285" s="101" t="n">
        <f aca="false">COUNTIF(I285:T285,"E")</f>
        <v>1</v>
      </c>
      <c r="W285" s="101" t="n">
        <f aca="false">COUNTIF(I285:T285,"X")</f>
        <v>0</v>
      </c>
      <c r="X285" s="101" t="n">
        <f aca="false">COUNTIF(I285:T285,"C2")+COUNTIF(I285:T285,"C3")</f>
        <v>0</v>
      </c>
      <c r="Y285" s="101" t="n">
        <f aca="true">SUMPRODUCT((I285:INDEX(I285:T285,MONTH(TODAY()))="X")*1)</f>
        <v>0</v>
      </c>
      <c r="Z285" s="104" t="n">
        <f aca="false">IFERROR(V285/U285,"")</f>
        <v>0.5</v>
      </c>
    </row>
    <row r="286" customFormat="false" ht="15" hidden="false" customHeight="true" outlineLevel="0" collapsed="false">
      <c r="A286" s="100" t="str">
        <f aca="false">Equipos!C284</f>
        <v>121010-019703</v>
      </c>
      <c r="B286" s="101" t="str">
        <f aca="false">Equipos!D284</f>
        <v>Ventilador Mecánico </v>
      </c>
      <c r="C286" s="101" t="str">
        <f aca="false">Equipos!E284</f>
        <v>UPC Cardiovascular</v>
      </c>
      <c r="D286" s="101" t="str">
        <f aca="false">Equipos!G284</f>
        <v>SALA EQUIPOS</v>
      </c>
      <c r="E286" s="101" t="str">
        <f aca="false">Equipos!I284</f>
        <v>Newport</v>
      </c>
      <c r="F286" s="101" t="str">
        <f aca="false">Equipos!J284</f>
        <v>HT70 PLUS</v>
      </c>
      <c r="G286" s="100" t="str">
        <f aca="false">Equipos!K284</f>
        <v>HT7P200197</v>
      </c>
      <c r="H286" s="101"/>
      <c r="I286" s="102"/>
      <c r="J286" s="102"/>
      <c r="K286" s="103" t="s">
        <v>330</v>
      </c>
      <c r="L286" s="103" t="s">
        <v>328</v>
      </c>
      <c r="M286" s="102"/>
      <c r="N286" s="102"/>
      <c r="O286" s="102"/>
      <c r="P286" s="102"/>
      <c r="Q286" s="102"/>
      <c r="R286" s="102"/>
      <c r="S286" s="102"/>
      <c r="T286" s="102"/>
      <c r="U286" s="101" t="n">
        <f aca="false">V286+W286+X286+COUNTIF(I286:T286,"R")</f>
        <v>2</v>
      </c>
      <c r="V286" s="101" t="n">
        <f aca="false">COUNTIF(I286:T286,"E")</f>
        <v>1</v>
      </c>
      <c r="W286" s="101" t="n">
        <f aca="false">COUNTIF(I286:T286,"X")</f>
        <v>0</v>
      </c>
      <c r="X286" s="101" t="n">
        <f aca="false">COUNTIF(I286:T286,"C2")+COUNTIF(I286:T286,"C3")</f>
        <v>0</v>
      </c>
      <c r="Y286" s="101" t="n">
        <f aca="true">SUMPRODUCT((I286:INDEX(I286:T286,MONTH(TODAY()))="X")*1)</f>
        <v>0</v>
      </c>
      <c r="Z286" s="104" t="n">
        <f aca="false">IFERROR(V286/U286,"")</f>
        <v>0.5</v>
      </c>
    </row>
    <row r="287" customFormat="false" ht="15" hidden="false" customHeight="true" outlineLevel="0" collapsed="false">
      <c r="A287" s="100" t="str">
        <f aca="false">Equipos!C285</f>
        <v>2-120318</v>
      </c>
      <c r="B287" s="101" t="str">
        <f aca="false">Equipos!D285</f>
        <v>Ventilador Mecánico </v>
      </c>
      <c r="C287" s="101" t="str">
        <f aca="false">Equipos!E285</f>
        <v>UPC 3er Piso (Prestado a Urgencia Adulto)</v>
      </c>
      <c r="D287" s="101" t="str">
        <f aca="false">Equipos!G285</f>
        <v>Urgencia Adulto</v>
      </c>
      <c r="E287" s="101" t="str">
        <f aca="false">Equipos!I285</f>
        <v>Aeonmed</v>
      </c>
      <c r="F287" s="101" t="str">
        <f aca="false">Equipos!J285</f>
        <v>VG70</v>
      </c>
      <c r="G287" s="100" t="str">
        <f aca="false">Equipos!K285</f>
        <v>VG70(E)XZZU6636</v>
      </c>
      <c r="H287" s="101"/>
      <c r="I287" s="102"/>
      <c r="J287" s="102"/>
      <c r="K287" s="102"/>
      <c r="L287" s="103" t="s">
        <v>328</v>
      </c>
      <c r="M287" s="102"/>
      <c r="N287" s="102"/>
      <c r="O287" s="102"/>
      <c r="P287" s="102"/>
      <c r="Q287" s="102"/>
      <c r="R287" s="102"/>
      <c r="S287" s="102"/>
      <c r="T287" s="102"/>
      <c r="U287" s="101" t="n">
        <f aca="false">V287+W287+X287+COUNTIF(I287:T287,"R")</f>
        <v>1</v>
      </c>
      <c r="V287" s="101" t="n">
        <f aca="false">COUNTIF(I287:T287,"E")</f>
        <v>1</v>
      </c>
      <c r="W287" s="101" t="n">
        <f aca="false">COUNTIF(I287:T287,"X")</f>
        <v>0</v>
      </c>
      <c r="X287" s="101" t="n">
        <f aca="false">COUNTIF(I287:T287,"C2")+COUNTIF(I287:T287,"C3")</f>
        <v>0</v>
      </c>
      <c r="Y287" s="101" t="n">
        <f aca="true">SUMPRODUCT((I287:INDEX(I287:T287,MONTH(TODAY()))="X")*1)</f>
        <v>0</v>
      </c>
      <c r="Z287" s="104" t="n">
        <f aca="false">IFERROR(V287/U287,"")</f>
        <v>1</v>
      </c>
    </row>
    <row r="288" customFormat="false" ht="15" hidden="false" customHeight="true" outlineLevel="0" collapsed="false">
      <c r="A288" s="100" t="str">
        <f aca="false">Equipos!C286</f>
        <v>2-120321</v>
      </c>
      <c r="B288" s="101" t="str">
        <f aca="false">Equipos!D286</f>
        <v>Ventilador Mecánico </v>
      </c>
      <c r="C288" s="101" t="str">
        <f aca="false">Equipos!E286</f>
        <v>UPC 3er Piso (Prestado a Urgencia Adulto)</v>
      </c>
      <c r="D288" s="101" t="str">
        <f aca="false">Equipos!G286</f>
        <v>Urgencia Adulto</v>
      </c>
      <c r="E288" s="101" t="str">
        <f aca="false">Equipos!I286</f>
        <v>Aeonmed</v>
      </c>
      <c r="F288" s="101" t="str">
        <f aca="false">Equipos!J286</f>
        <v>VG70</v>
      </c>
      <c r="G288" s="100" t="str">
        <f aca="false">Equipos!K286</f>
        <v>VG70(E)XZZU3360</v>
      </c>
      <c r="H288" s="101"/>
      <c r="I288" s="102"/>
      <c r="J288" s="102"/>
      <c r="K288" s="102"/>
      <c r="L288" s="103" t="s">
        <v>328</v>
      </c>
      <c r="M288" s="102"/>
      <c r="N288" s="102"/>
      <c r="O288" s="102"/>
      <c r="P288" s="102"/>
      <c r="Q288" s="102"/>
      <c r="R288" s="102"/>
      <c r="S288" s="102"/>
      <c r="T288" s="102"/>
      <c r="U288" s="101" t="n">
        <f aca="false">V288+W288+X288+COUNTIF(I288:T288,"R")</f>
        <v>1</v>
      </c>
      <c r="V288" s="101" t="n">
        <f aca="false">COUNTIF(I288:T288,"E")</f>
        <v>1</v>
      </c>
      <c r="W288" s="101" t="n">
        <f aca="false">COUNTIF(I288:T288,"X")</f>
        <v>0</v>
      </c>
      <c r="X288" s="101" t="n">
        <f aca="false">COUNTIF(I288:T288,"C2")+COUNTIF(I288:T288,"C3")</f>
        <v>0</v>
      </c>
      <c r="Y288" s="101" t="n">
        <f aca="true">SUMPRODUCT((I288:INDEX(I288:T288,MONTH(TODAY()))="X")*1)</f>
        <v>0</v>
      </c>
      <c r="Z288" s="104" t="n">
        <f aca="false">IFERROR(V288/U288,"")</f>
        <v>1</v>
      </c>
    </row>
    <row r="289" customFormat="false" ht="15" hidden="false" customHeight="true" outlineLevel="0" collapsed="false">
      <c r="A289" s="100" t="str">
        <f aca="false">Equipos!C287</f>
        <v>2-120319</v>
      </c>
      <c r="B289" s="101" t="str">
        <f aca="false">Equipos!D287</f>
        <v>Ventilador Mecánico </v>
      </c>
      <c r="C289" s="101" t="str">
        <f aca="false">Equipos!E287</f>
        <v>UPC 3er Piso</v>
      </c>
      <c r="D289" s="101" t="str">
        <f aca="false">Equipos!G287</f>
        <v>Sala de equipos</v>
      </c>
      <c r="E289" s="101" t="str">
        <f aca="false">Equipos!I287</f>
        <v>Aeonmed</v>
      </c>
      <c r="F289" s="101" t="str">
        <f aca="false">Equipos!J287</f>
        <v>VG70</v>
      </c>
      <c r="G289" s="100" t="str">
        <f aca="false">Equipos!K287</f>
        <v>VG70(E)XZZU9473</v>
      </c>
      <c r="H289" s="101"/>
      <c r="I289" s="102"/>
      <c r="J289" s="102"/>
      <c r="K289" s="102"/>
      <c r="L289" s="103" t="s">
        <v>328</v>
      </c>
      <c r="M289" s="102"/>
      <c r="N289" s="102"/>
      <c r="O289" s="102"/>
      <c r="P289" s="102"/>
      <c r="Q289" s="102"/>
      <c r="R289" s="102"/>
      <c r="S289" s="102"/>
      <c r="T289" s="102"/>
      <c r="U289" s="101" t="n">
        <f aca="false">V289+W289+X289+COUNTIF(I289:T289,"R")</f>
        <v>1</v>
      </c>
      <c r="V289" s="101" t="n">
        <f aca="false">COUNTIF(I289:T289,"E")</f>
        <v>1</v>
      </c>
      <c r="W289" s="101" t="n">
        <f aca="false">COUNTIF(I289:T289,"X")</f>
        <v>0</v>
      </c>
      <c r="X289" s="101" t="n">
        <f aca="false">COUNTIF(I289:T289,"C2")+COUNTIF(I289:T289,"C3")</f>
        <v>0</v>
      </c>
      <c r="Y289" s="101" t="n">
        <f aca="true">SUMPRODUCT((I289:INDEX(I289:T289,MONTH(TODAY()))="X")*1)</f>
        <v>0</v>
      </c>
      <c r="Z289" s="104" t="n">
        <f aca="false">IFERROR(V289/U289,"")</f>
        <v>1</v>
      </c>
    </row>
    <row r="290" customFormat="false" ht="15" hidden="false" customHeight="true" outlineLevel="0" collapsed="false">
      <c r="A290" s="100" t="str">
        <f aca="false">Equipos!C288</f>
        <v>2-120320</v>
      </c>
      <c r="B290" s="101" t="str">
        <f aca="false">Equipos!D288</f>
        <v>Ventilador Mecánico </v>
      </c>
      <c r="C290" s="101" t="str">
        <f aca="false">Equipos!E288</f>
        <v>UPC 3er Piso</v>
      </c>
      <c r="D290" s="101" t="str">
        <f aca="false">Equipos!G288</f>
        <v>Sala de equipos</v>
      </c>
      <c r="E290" s="101" t="str">
        <f aca="false">Equipos!I288</f>
        <v>Aeonmed</v>
      </c>
      <c r="F290" s="101" t="str">
        <f aca="false">Equipos!J288</f>
        <v>VG70</v>
      </c>
      <c r="G290" s="100" t="str">
        <f aca="false">Equipos!K288</f>
        <v>VG70(E)XZZU8032</v>
      </c>
      <c r="H290" s="101"/>
      <c r="I290" s="102"/>
      <c r="J290" s="102"/>
      <c r="K290" s="102"/>
      <c r="L290" s="103" t="s">
        <v>328</v>
      </c>
      <c r="M290" s="102"/>
      <c r="N290" s="102"/>
      <c r="O290" s="102"/>
      <c r="P290" s="102"/>
      <c r="Q290" s="102"/>
      <c r="R290" s="102"/>
      <c r="S290" s="102"/>
      <c r="T290" s="102"/>
      <c r="U290" s="101" t="n">
        <f aca="false">V290+W290+X290+COUNTIF(I290:T290,"R")</f>
        <v>1</v>
      </c>
      <c r="V290" s="101" t="n">
        <f aca="false">COUNTIF(I290:T290,"E")</f>
        <v>1</v>
      </c>
      <c r="W290" s="101" t="n">
        <f aca="false">COUNTIF(I290:T290,"X")</f>
        <v>0</v>
      </c>
      <c r="X290" s="101" t="n">
        <f aca="false">COUNTIF(I290:T290,"C2")+COUNTIF(I290:T290,"C3")</f>
        <v>0</v>
      </c>
      <c r="Y290" s="101" t="n">
        <f aca="true">SUMPRODUCT((I290:INDEX(I290:T290,MONTH(TODAY()))="X")*1)</f>
        <v>0</v>
      </c>
      <c r="Z290" s="104" t="n">
        <f aca="false">IFERROR(V290/U290,"")</f>
        <v>1</v>
      </c>
    </row>
    <row r="291" customFormat="false" ht="15" hidden="false" customHeight="true" outlineLevel="0" collapsed="false">
      <c r="A291" s="100" t="str">
        <f aca="false">Equipos!C289</f>
        <v>2-120322</v>
      </c>
      <c r="B291" s="101" t="str">
        <f aca="false">Equipos!D289</f>
        <v>Ventilador Mecánico </v>
      </c>
      <c r="C291" s="101" t="str">
        <f aca="false">Equipos!E289</f>
        <v>UPC Adulto</v>
      </c>
      <c r="D291" s="101" t="n">
        <f aca="false">Equipos!G289</f>
        <v>0</v>
      </c>
      <c r="E291" s="101" t="str">
        <f aca="false">Equipos!I289</f>
        <v>MEK ICS</v>
      </c>
      <c r="F291" s="101" t="str">
        <f aca="false">Equipos!J289</f>
        <v>MV2000 EVO5</v>
      </c>
      <c r="G291" s="100" t="str">
        <f aca="false">Equipos!K289</f>
        <v>MV2000TA2F0736</v>
      </c>
      <c r="H291" s="101"/>
      <c r="I291" s="102"/>
      <c r="J291" s="102"/>
      <c r="K291" s="102"/>
      <c r="L291" s="103" t="s">
        <v>328</v>
      </c>
      <c r="M291" s="102"/>
      <c r="N291" s="102"/>
      <c r="O291" s="102"/>
      <c r="P291" s="102"/>
      <c r="Q291" s="102"/>
      <c r="R291" s="102"/>
      <c r="S291" s="102"/>
      <c r="T291" s="102"/>
      <c r="U291" s="101" t="n">
        <f aca="false">V291+W291+X291+COUNTIF(I291:T291,"R")</f>
        <v>1</v>
      </c>
      <c r="V291" s="101" t="n">
        <f aca="false">COUNTIF(I291:T291,"E")</f>
        <v>1</v>
      </c>
      <c r="W291" s="101" t="n">
        <f aca="false">COUNTIF(I291:T291,"X")</f>
        <v>0</v>
      </c>
      <c r="X291" s="101" t="n">
        <f aca="false">COUNTIF(I291:T291,"C2")+COUNTIF(I291:T291,"C3")</f>
        <v>0</v>
      </c>
      <c r="Y291" s="101" t="n">
        <f aca="true">SUMPRODUCT((I291:INDEX(I291:T291,MONTH(TODAY()))="X")*1)</f>
        <v>0</v>
      </c>
      <c r="Z291" s="104" t="n">
        <f aca="false">IFERROR(V291/U291,"")</f>
        <v>1</v>
      </c>
    </row>
    <row r="292" customFormat="false" ht="15" hidden="false" customHeight="true" outlineLevel="0" collapsed="false">
      <c r="A292" s="100" t="str">
        <f aca="false">Equipos!C290</f>
        <v>2-120323</v>
      </c>
      <c r="B292" s="101" t="str">
        <f aca="false">Equipos!D290</f>
        <v>Ventilador Mecánico </v>
      </c>
      <c r="C292" s="101" t="str">
        <f aca="false">Equipos!E290</f>
        <v>UPC 3er Piso</v>
      </c>
      <c r="D292" s="101" t="str">
        <f aca="false">Equipos!G290</f>
        <v>Sala de equipos</v>
      </c>
      <c r="E292" s="101" t="str">
        <f aca="false">Equipos!I290</f>
        <v>MEK ICS</v>
      </c>
      <c r="F292" s="101" t="str">
        <f aca="false">Equipos!J290</f>
        <v>MV2000 EVO5</v>
      </c>
      <c r="G292" s="100" t="str">
        <f aca="false">Equipos!K290</f>
        <v>MV2000TA2F0740</v>
      </c>
      <c r="H292" s="101"/>
      <c r="I292" s="102"/>
      <c r="J292" s="102"/>
      <c r="K292" s="102"/>
      <c r="L292" s="103" t="s">
        <v>328</v>
      </c>
      <c r="M292" s="102"/>
      <c r="N292" s="102"/>
      <c r="O292" s="102"/>
      <c r="P292" s="102"/>
      <c r="Q292" s="102"/>
      <c r="R292" s="102"/>
      <c r="S292" s="102"/>
      <c r="T292" s="102"/>
      <c r="U292" s="101" t="n">
        <f aca="false">V292+W292+X292+COUNTIF(I292:T292,"R")</f>
        <v>1</v>
      </c>
      <c r="V292" s="101" t="n">
        <f aca="false">COUNTIF(I292:T292,"E")</f>
        <v>1</v>
      </c>
      <c r="W292" s="101" t="n">
        <f aca="false">COUNTIF(I292:T292,"X")</f>
        <v>0</v>
      </c>
      <c r="X292" s="101" t="n">
        <f aca="false">COUNTIF(I292:T292,"C2")+COUNTIF(I292:T292,"C3")</f>
        <v>0</v>
      </c>
      <c r="Y292" s="101" t="n">
        <f aca="true">SUMPRODUCT((I292:INDEX(I292:T292,MONTH(TODAY()))="X")*1)</f>
        <v>0</v>
      </c>
      <c r="Z292" s="104" t="n">
        <f aca="false">IFERROR(V292/U292,"")</f>
        <v>1</v>
      </c>
    </row>
    <row r="293" customFormat="false" ht="15" hidden="false" customHeight="true" outlineLevel="0" collapsed="false">
      <c r="A293" s="100" t="str">
        <f aca="false">Equipos!C291</f>
        <v>2-120324</v>
      </c>
      <c r="B293" s="101" t="str">
        <f aca="false">Equipos!D291</f>
        <v>Ventilador Mecánico </v>
      </c>
      <c r="C293" s="101" t="str">
        <f aca="false">Equipos!E291</f>
        <v>UPC 3er Piso</v>
      </c>
      <c r="D293" s="101" t="str">
        <f aca="false">Equipos!G291</f>
        <v>Sala de equipos</v>
      </c>
      <c r="E293" s="101" t="str">
        <f aca="false">Equipos!I291</f>
        <v>MEK ICS</v>
      </c>
      <c r="F293" s="101" t="str">
        <f aca="false">Equipos!J291</f>
        <v>MV2000 EVO5</v>
      </c>
      <c r="G293" s="100" t="str">
        <f aca="false">Equipos!K291</f>
        <v>MV2000TA2F0735</v>
      </c>
      <c r="H293" s="101"/>
      <c r="I293" s="102"/>
      <c r="J293" s="102"/>
      <c r="K293" s="102"/>
      <c r="L293" s="103" t="s">
        <v>328</v>
      </c>
      <c r="M293" s="102"/>
      <c r="N293" s="102"/>
      <c r="O293" s="102"/>
      <c r="P293" s="102"/>
      <c r="Q293" s="102"/>
      <c r="R293" s="102"/>
      <c r="S293" s="102"/>
      <c r="T293" s="102"/>
      <c r="U293" s="101" t="n">
        <f aca="false">V293+W293+X293+COUNTIF(I293:T293,"R")</f>
        <v>1</v>
      </c>
      <c r="V293" s="101" t="n">
        <f aca="false">COUNTIF(I293:T293,"E")</f>
        <v>1</v>
      </c>
      <c r="W293" s="101" t="n">
        <f aca="false">COUNTIF(I293:T293,"X")</f>
        <v>0</v>
      </c>
      <c r="X293" s="101" t="n">
        <f aca="false">COUNTIF(I293:T293,"C2")+COUNTIF(I293:T293,"C3")</f>
        <v>0</v>
      </c>
      <c r="Y293" s="101" t="n">
        <f aca="true">SUMPRODUCT((I293:INDEX(I293:T293,MONTH(TODAY()))="X")*1)</f>
        <v>0</v>
      </c>
      <c r="Z293" s="104" t="n">
        <f aca="false">IFERROR(V293/U293,"")</f>
        <v>1</v>
      </c>
    </row>
    <row r="294" customFormat="false" ht="15" hidden="false" customHeight="true" outlineLevel="0" collapsed="false">
      <c r="A294" s="100" t="str">
        <f aca="false">Equipos!C292</f>
        <v>2-120325</v>
      </c>
      <c r="B294" s="101" t="str">
        <f aca="false">Equipos!D292</f>
        <v>Ventilador Mecánico </v>
      </c>
      <c r="C294" s="101" t="str">
        <f aca="false">Equipos!E292</f>
        <v>UPC Adulto</v>
      </c>
      <c r="D294" s="101" t="n">
        <f aca="false">Equipos!G292</f>
        <v>0</v>
      </c>
      <c r="E294" s="101" t="str">
        <f aca="false">Equipos!I292</f>
        <v>MEK ICS</v>
      </c>
      <c r="F294" s="101" t="str">
        <f aca="false">Equipos!J292</f>
        <v>MV2000 EVO5</v>
      </c>
      <c r="G294" s="100" t="str">
        <f aca="false">Equipos!K292</f>
        <v>MV2000TA1F0353</v>
      </c>
      <c r="H294" s="101"/>
      <c r="I294" s="102"/>
      <c r="J294" s="102"/>
      <c r="K294" s="102"/>
      <c r="L294" s="103" t="s">
        <v>328</v>
      </c>
      <c r="M294" s="102"/>
      <c r="N294" s="102"/>
      <c r="O294" s="102"/>
      <c r="P294" s="102"/>
      <c r="Q294" s="102" t="s">
        <v>328</v>
      </c>
      <c r="R294" s="102"/>
      <c r="S294" s="102"/>
      <c r="T294" s="102"/>
      <c r="U294" s="101" t="n">
        <f aca="false">V294+W294+X294+COUNTIF(I294:T294,"R")</f>
        <v>2</v>
      </c>
      <c r="V294" s="101" t="n">
        <f aca="false">COUNTIF(I294:T294,"E")</f>
        <v>2</v>
      </c>
      <c r="W294" s="101" t="n">
        <f aca="false">COUNTIF(I294:T294,"X")</f>
        <v>0</v>
      </c>
      <c r="X294" s="101" t="n">
        <f aca="false">COUNTIF(I294:T294,"C2")+COUNTIF(I294:T294,"C3")</f>
        <v>0</v>
      </c>
      <c r="Y294" s="101" t="n">
        <f aca="true">SUMPRODUCT((I294:INDEX(I294:T294,MONTH(TODAY()))="X")*1)</f>
        <v>0</v>
      </c>
      <c r="Z294" s="104" t="n">
        <f aca="false">IFERROR(V294/U294,"")</f>
        <v>1</v>
      </c>
    </row>
    <row r="295" customFormat="false" ht="15" hidden="false" customHeight="true" outlineLevel="0" collapsed="false">
      <c r="A295" s="100" t="str">
        <f aca="false">Equipos!C293</f>
        <v>2-120326</v>
      </c>
      <c r="B295" s="101" t="str">
        <f aca="false">Equipos!D293</f>
        <v>Ventilador Mecánico </v>
      </c>
      <c r="C295" s="101" t="str">
        <f aca="false">Equipos!E293</f>
        <v>UPC 3er Piso</v>
      </c>
      <c r="D295" s="101" t="str">
        <f aca="false">Equipos!G293</f>
        <v>Sala de equipos</v>
      </c>
      <c r="E295" s="101" t="str">
        <f aca="false">Equipos!I293</f>
        <v>MEK ICS</v>
      </c>
      <c r="F295" s="101" t="str">
        <f aca="false">Equipos!J293</f>
        <v>MV2000 EVO5</v>
      </c>
      <c r="G295" s="100" t="str">
        <f aca="false">Equipos!K293</f>
        <v>MV2000TA2F0745</v>
      </c>
      <c r="H295" s="101"/>
      <c r="I295" s="102"/>
      <c r="J295" s="102"/>
      <c r="K295" s="102"/>
      <c r="L295" s="103" t="s">
        <v>328</v>
      </c>
      <c r="M295" s="102"/>
      <c r="N295" s="102"/>
      <c r="O295" s="102"/>
      <c r="P295" s="102"/>
      <c r="Q295" s="102"/>
      <c r="R295" s="102"/>
      <c r="S295" s="102"/>
      <c r="T295" s="102"/>
      <c r="U295" s="101" t="n">
        <f aca="false">V295+W295+X295+COUNTIF(I295:T295,"R")</f>
        <v>1</v>
      </c>
      <c r="V295" s="101" t="n">
        <f aca="false">COUNTIF(I295:T295,"E")</f>
        <v>1</v>
      </c>
      <c r="W295" s="101" t="n">
        <f aca="false">COUNTIF(I295:T295,"X")</f>
        <v>0</v>
      </c>
      <c r="X295" s="101" t="n">
        <f aca="false">COUNTIF(I295:T295,"C2")+COUNTIF(I295:T295,"C3")</f>
        <v>0</v>
      </c>
      <c r="Y295" s="101" t="n">
        <f aca="true">SUMPRODUCT((I295:INDEX(I295:T295,MONTH(TODAY()))="X")*1)</f>
        <v>0</v>
      </c>
      <c r="Z295" s="104" t="n">
        <f aca="false">IFERROR(V295/U295,"")</f>
        <v>1</v>
      </c>
    </row>
    <row r="296" customFormat="false" ht="15" hidden="false" customHeight="true" outlineLevel="0" collapsed="false">
      <c r="A296" s="100" t="str">
        <f aca="false">Equipos!C294</f>
        <v>2-012933</v>
      </c>
      <c r="B296" s="101" t="str">
        <f aca="false">Equipos!D294</f>
        <v>Ventilador Mecánico </v>
      </c>
      <c r="C296" s="101" t="str">
        <f aca="false">Equipos!E294</f>
        <v>SAMU (Prestado al Hospital de Villarrica)</v>
      </c>
      <c r="D296" s="101" t="str">
        <f aca="false">Equipos!G294</f>
        <v>Hospital de Villarrica</v>
      </c>
      <c r="E296" s="101" t="str">
        <f aca="false">Equipos!I294</f>
        <v>Weinmann</v>
      </c>
      <c r="F296" s="101" t="str">
        <f aca="false">Equipos!J294</f>
        <v>Medumat Transport</v>
      </c>
      <c r="G296" s="100" t="str">
        <f aca="false">Equipos!K294</f>
        <v>8253</v>
      </c>
      <c r="H296" s="101"/>
      <c r="I296" s="103"/>
      <c r="J296" s="102"/>
      <c r="K296" s="102"/>
      <c r="L296" s="102"/>
      <c r="M296" s="102" t="s">
        <v>329</v>
      </c>
      <c r="N296" s="102"/>
      <c r="O296" s="102"/>
      <c r="P296" s="102"/>
      <c r="Q296" s="102"/>
      <c r="R296" s="102"/>
      <c r="S296" s="102"/>
      <c r="T296" s="102"/>
      <c r="U296" s="101" t="n">
        <f aca="false">V296+W296+X296+COUNTIF(I296:T296,"R")</f>
        <v>1</v>
      </c>
      <c r="V296" s="101" t="n">
        <f aca="false">COUNTIF(I296:T296,"E")</f>
        <v>0</v>
      </c>
      <c r="W296" s="101" t="n">
        <f aca="false">COUNTIF(I296:T296,"X")</f>
        <v>1</v>
      </c>
      <c r="X296" s="101" t="n">
        <f aca="false">COUNTIF(I296:T296,"C2")+COUNTIF(I296:T296,"C3")</f>
        <v>0</v>
      </c>
      <c r="Y296" s="101" t="n">
        <f aca="true">SUMPRODUCT((I296:INDEX(I296:T296,MONTH(TODAY()))="X")*1)</f>
        <v>1</v>
      </c>
      <c r="Z296" s="104" t="n">
        <f aca="false">IFERROR(V296/U296,"")</f>
        <v>0</v>
      </c>
    </row>
    <row r="297" customFormat="false" ht="15" hidden="false" customHeight="true" outlineLevel="0" collapsed="false">
      <c r="A297" s="100" t="str">
        <f aca="false">Equipos!C295</f>
        <v>2-121048</v>
      </c>
      <c r="B297" s="101" t="str">
        <f aca="false">Equipos!D295</f>
        <v>Ventilador Mecánico </v>
      </c>
      <c r="C297" s="101" t="str">
        <f aca="false">Equipos!E295</f>
        <v>UPC Cardiovascular</v>
      </c>
      <c r="D297" s="101" t="str">
        <f aca="false">Equipos!G295</f>
        <v>UCI Cardiovascular</v>
      </c>
      <c r="E297" s="101" t="str">
        <f aca="false">Equipos!I295</f>
        <v>Puritan Bennett</v>
      </c>
      <c r="F297" s="101" t="n">
        <f aca="false">Equipos!J295</f>
        <v>980</v>
      </c>
      <c r="G297" s="100" t="str">
        <f aca="false">Equipos!K295</f>
        <v>35B2002482</v>
      </c>
      <c r="H297" s="101"/>
      <c r="I297" s="102"/>
      <c r="J297" s="102"/>
      <c r="K297" s="103" t="s">
        <v>331</v>
      </c>
      <c r="L297" s="103" t="s">
        <v>328</v>
      </c>
      <c r="M297" s="102"/>
      <c r="N297" s="102"/>
      <c r="O297" s="102"/>
      <c r="P297" s="102"/>
      <c r="Q297" s="102"/>
      <c r="R297" s="102"/>
      <c r="S297" s="102"/>
      <c r="T297" s="102"/>
      <c r="U297" s="101" t="n">
        <f aca="false">V297+W297+X297+COUNTIF(I297:T297,"R")</f>
        <v>2</v>
      </c>
      <c r="V297" s="101" t="n">
        <f aca="false">COUNTIF(I297:T297,"E")</f>
        <v>1</v>
      </c>
      <c r="W297" s="101" t="n">
        <f aca="false">COUNTIF(I297:T297,"X")</f>
        <v>0</v>
      </c>
      <c r="X297" s="101" t="n">
        <f aca="false">COUNTIF(I297:T297,"C2")+COUNTIF(I297:T297,"C3")</f>
        <v>1</v>
      </c>
      <c r="Y297" s="101" t="n">
        <f aca="true">SUMPRODUCT((I297:INDEX(I297:T297,MONTH(TODAY()))="X")*1)</f>
        <v>0</v>
      </c>
      <c r="Z297" s="104" t="n">
        <f aca="false">IFERROR(V297/U297,"")</f>
        <v>0.5</v>
      </c>
    </row>
    <row r="298" customFormat="false" ht="15" hidden="false" customHeight="true" outlineLevel="0" collapsed="false">
      <c r="A298" s="100" t="str">
        <f aca="false">Equipos!C296</f>
        <v>2-121204</v>
      </c>
      <c r="B298" s="101" t="str">
        <f aca="false">Equipos!D296</f>
        <v>Ventilador Mecánico </v>
      </c>
      <c r="C298" s="101" t="str">
        <f aca="false">Equipos!E296</f>
        <v>Urgencia Adulto</v>
      </c>
      <c r="D298" s="101" t="n">
        <f aca="false">Equipos!G296</f>
        <v>0</v>
      </c>
      <c r="E298" s="101" t="str">
        <f aca="false">Equipos!I296</f>
        <v>Drager</v>
      </c>
      <c r="F298" s="101" t="str">
        <f aca="false">Equipos!J296</f>
        <v>Oxylog 3000</v>
      </c>
      <c r="G298" s="100" t="str">
        <f aca="false">Equipos!K296</f>
        <v>ASJL-0086</v>
      </c>
      <c r="H298" s="101"/>
      <c r="I298" s="102"/>
      <c r="J298" s="102"/>
      <c r="K298" s="102"/>
      <c r="L298" s="102"/>
      <c r="M298" s="102" t="s">
        <v>329</v>
      </c>
      <c r="N298" s="102"/>
      <c r="O298" s="102"/>
      <c r="P298" s="102"/>
      <c r="Q298" s="102"/>
      <c r="R298" s="102"/>
      <c r="S298" s="102"/>
      <c r="T298" s="102"/>
      <c r="U298" s="101" t="n">
        <f aca="false">V298+W298+X298+COUNTIF(I298:T298,"R")</f>
        <v>1</v>
      </c>
      <c r="V298" s="101" t="n">
        <f aca="false">COUNTIF(I298:T298,"E")</f>
        <v>0</v>
      </c>
      <c r="W298" s="101" t="n">
        <f aca="false">COUNTIF(I298:T298,"X")</f>
        <v>1</v>
      </c>
      <c r="X298" s="101" t="n">
        <f aca="false">COUNTIF(I298:T298,"C2")+COUNTIF(I298:T298,"C3")</f>
        <v>0</v>
      </c>
      <c r="Y298" s="101" t="n">
        <f aca="true">SUMPRODUCT((I298:INDEX(I298:T298,MONTH(TODAY()))="X")*1)</f>
        <v>1</v>
      </c>
      <c r="Z298" s="104" t="n">
        <f aca="false">IFERROR(V298/U298,"")</f>
        <v>0</v>
      </c>
    </row>
    <row r="299" customFormat="false" ht="15" hidden="false" customHeight="true" outlineLevel="0" collapsed="false">
      <c r="A299" s="100" t="str">
        <f aca="false">Equipos!C297</f>
        <v>2-121203</v>
      </c>
      <c r="B299" s="101" t="str">
        <f aca="false">Equipos!D297</f>
        <v>Ventilador Mecánico </v>
      </c>
      <c r="C299" s="101" t="str">
        <f aca="false">Equipos!E297</f>
        <v>UPC 3er Piso</v>
      </c>
      <c r="D299" s="101" t="str">
        <f aca="false">Equipos!G297</f>
        <v>Sala de equipos</v>
      </c>
      <c r="E299" s="101" t="str">
        <f aca="false">Equipos!I297</f>
        <v>Drager</v>
      </c>
      <c r="F299" s="101" t="str">
        <f aca="false">Equipos!J297</f>
        <v>Oxylog 3000</v>
      </c>
      <c r="G299" s="100" t="str">
        <f aca="false">Equipos!K297</f>
        <v>ASJL-0081</v>
      </c>
      <c r="H299" s="101"/>
      <c r="I299" s="102"/>
      <c r="J299" s="102"/>
      <c r="K299" s="102"/>
      <c r="L299" s="102"/>
      <c r="M299" s="103" t="s">
        <v>329</v>
      </c>
      <c r="N299" s="102"/>
      <c r="O299" s="102"/>
      <c r="P299" s="102"/>
      <c r="Q299" s="102"/>
      <c r="R299" s="102"/>
      <c r="S299" s="102"/>
      <c r="T299" s="102"/>
      <c r="U299" s="101" t="n">
        <f aca="false">V299+W299+X299+COUNTIF(I299:T299,"R")</f>
        <v>1</v>
      </c>
      <c r="V299" s="101" t="n">
        <f aca="false">COUNTIF(I299:T299,"E")</f>
        <v>0</v>
      </c>
      <c r="W299" s="101" t="n">
        <f aca="false">COUNTIF(I299:T299,"X")</f>
        <v>1</v>
      </c>
      <c r="X299" s="101" t="n">
        <f aca="false">COUNTIF(I299:T299,"C2")+COUNTIF(I299:T299,"C3")</f>
        <v>0</v>
      </c>
      <c r="Y299" s="101" t="n">
        <f aca="true">SUMPRODUCT((I299:INDEX(I299:T299,MONTH(TODAY()))="X")*1)</f>
        <v>1</v>
      </c>
      <c r="Z299" s="104" t="n">
        <f aca="false">IFERROR(V299/U299,"")</f>
        <v>0</v>
      </c>
    </row>
    <row r="300" customFormat="false" ht="15" hidden="false" customHeight="true" outlineLevel="0" collapsed="false">
      <c r="A300" s="100" t="str">
        <f aca="false">Equipos!C298</f>
        <v>2-120744</v>
      </c>
      <c r="B300" s="101" t="str">
        <f aca="false">Equipos!D298</f>
        <v>Ventilador Mecánico </v>
      </c>
      <c r="C300" s="101" t="str">
        <f aca="false">Equipos!E298</f>
        <v>Urgencia Adulto</v>
      </c>
      <c r="D300" s="101" t="str">
        <f aca="false">Equipos!G298</f>
        <v>Sala equipos SUA</v>
      </c>
      <c r="E300" s="101" t="str">
        <f aca="false">Equipos!I298</f>
        <v>Aeonmed</v>
      </c>
      <c r="F300" s="101" t="str">
        <f aca="false">Equipos!J298</f>
        <v>VG70</v>
      </c>
      <c r="G300" s="100" t="str">
        <f aca="false">Equipos!K298</f>
        <v>VG70(E)XZZU7932</v>
      </c>
      <c r="H300" s="101"/>
      <c r="I300" s="102"/>
      <c r="J300" s="102"/>
      <c r="K300" s="102"/>
      <c r="L300" s="103" t="s">
        <v>328</v>
      </c>
      <c r="M300" s="102"/>
      <c r="N300" s="102"/>
      <c r="O300" s="102"/>
      <c r="P300" s="102"/>
      <c r="Q300" s="102"/>
      <c r="R300" s="102"/>
      <c r="S300" s="102"/>
      <c r="T300" s="102"/>
      <c r="U300" s="101" t="n">
        <f aca="false">V300+W300+X300+COUNTIF(I300:T300,"R")</f>
        <v>1</v>
      </c>
      <c r="V300" s="101" t="n">
        <f aca="false">COUNTIF(I300:T300,"E")</f>
        <v>1</v>
      </c>
      <c r="W300" s="101" t="n">
        <f aca="false">COUNTIF(I300:T300,"X")</f>
        <v>0</v>
      </c>
      <c r="X300" s="101" t="n">
        <f aca="false">COUNTIF(I300:T300,"C2")+COUNTIF(I300:T300,"C3")</f>
        <v>0</v>
      </c>
      <c r="Y300" s="101" t="n">
        <f aca="true">SUMPRODUCT((I300:INDEX(I300:T300,MONTH(TODAY()))="X")*1)</f>
        <v>0</v>
      </c>
      <c r="Z300" s="104" t="n">
        <f aca="false">IFERROR(V300/U300,"")</f>
        <v>1</v>
      </c>
    </row>
    <row r="301" customFormat="false" ht="15" hidden="false" customHeight="true" outlineLevel="0" collapsed="false">
      <c r="A301" s="100" t="str">
        <f aca="false">Equipos!C299</f>
        <v>2-120745</v>
      </c>
      <c r="B301" s="101" t="str">
        <f aca="false">Equipos!D299</f>
        <v>Ventilador Mecánico </v>
      </c>
      <c r="C301" s="101" t="str">
        <f aca="false">Equipos!E299</f>
        <v>Urgencia Adulto</v>
      </c>
      <c r="D301" s="101" t="str">
        <f aca="false">Equipos!G299</f>
        <v>Sala equipos SUA</v>
      </c>
      <c r="E301" s="101" t="str">
        <f aca="false">Equipos!I299</f>
        <v>Aeonmed</v>
      </c>
      <c r="F301" s="101" t="str">
        <f aca="false">Equipos!J299</f>
        <v>VG70</v>
      </c>
      <c r="G301" s="100" t="str">
        <f aca="false">Equipos!K299</f>
        <v>VG70(E)XZZU7934</v>
      </c>
      <c r="H301" s="101"/>
      <c r="I301" s="102"/>
      <c r="J301" s="102"/>
      <c r="K301" s="102"/>
      <c r="L301" s="103" t="s">
        <v>328</v>
      </c>
      <c r="M301" s="102"/>
      <c r="N301" s="102"/>
      <c r="O301" s="102"/>
      <c r="P301" s="102"/>
      <c r="Q301" s="102"/>
      <c r="R301" s="102"/>
      <c r="S301" s="102"/>
      <c r="T301" s="102"/>
      <c r="U301" s="101" t="n">
        <f aca="false">V301+W301+X301+COUNTIF(I301:T301,"R")</f>
        <v>1</v>
      </c>
      <c r="V301" s="101" t="n">
        <f aca="false">COUNTIF(I301:T301,"E")</f>
        <v>1</v>
      </c>
      <c r="W301" s="101" t="n">
        <f aca="false">COUNTIF(I301:T301,"X")</f>
        <v>0</v>
      </c>
      <c r="X301" s="101" t="n">
        <f aca="false">COUNTIF(I301:T301,"C2")+COUNTIF(I301:T301,"C3")</f>
        <v>0</v>
      </c>
      <c r="Y301" s="101" t="n">
        <f aca="true">SUMPRODUCT((I301:INDEX(I301:T301,MONTH(TODAY()))="X")*1)</f>
        <v>0</v>
      </c>
      <c r="Z301" s="104" t="n">
        <f aca="false">IFERROR(V301/U301,"")</f>
        <v>1</v>
      </c>
    </row>
    <row r="302" customFormat="false" ht="15" hidden="false" customHeight="true" outlineLevel="0" collapsed="false">
      <c r="A302" s="100" t="str">
        <f aca="false">Equipos!C300</f>
        <v>2-120565</v>
      </c>
      <c r="B302" s="101" t="str">
        <f aca="false">Equipos!D300</f>
        <v>Ventilador Mecánico </v>
      </c>
      <c r="C302" s="101" t="str">
        <f aca="false">Equipos!E300</f>
        <v>UPC Adulto</v>
      </c>
      <c r="D302" s="101" t="str">
        <f aca="false">Equipos!G300</f>
        <v>Sala de equipos</v>
      </c>
      <c r="E302" s="101" t="str">
        <f aca="false">Equipos!I300</f>
        <v>Puritan Bennett</v>
      </c>
      <c r="F302" s="101" t="str">
        <f aca="false">Equipos!J300</f>
        <v>980/Sin Comp.</v>
      </c>
      <c r="G302" s="100" t="str">
        <f aca="false">Equipos!K300</f>
        <v>35B2004521</v>
      </c>
      <c r="H302" s="101"/>
      <c r="I302" s="102"/>
      <c r="J302" s="102"/>
      <c r="K302" s="103" t="s">
        <v>331</v>
      </c>
      <c r="L302" s="103" t="s">
        <v>328</v>
      </c>
      <c r="M302" s="102"/>
      <c r="N302" s="102"/>
      <c r="O302" s="102"/>
      <c r="P302" s="102"/>
      <c r="Q302" s="102"/>
      <c r="R302" s="102"/>
      <c r="S302" s="102"/>
      <c r="T302" s="102"/>
      <c r="U302" s="101" t="n">
        <f aca="false">V302+W302+X302+COUNTIF(I302:T302,"R")</f>
        <v>2</v>
      </c>
      <c r="V302" s="101" t="n">
        <f aca="false">COUNTIF(I302:T302,"E")</f>
        <v>1</v>
      </c>
      <c r="W302" s="101" t="n">
        <f aca="false">COUNTIF(I302:T302,"X")</f>
        <v>0</v>
      </c>
      <c r="X302" s="101" t="n">
        <f aca="false">COUNTIF(I302:T302,"C2")+COUNTIF(I302:T302,"C3")</f>
        <v>1</v>
      </c>
      <c r="Y302" s="101" t="n">
        <f aca="true">SUMPRODUCT((I302:INDEX(I302:T302,MONTH(TODAY()))="X")*1)</f>
        <v>0</v>
      </c>
      <c r="Z302" s="104" t="n">
        <f aca="false">IFERROR(V302/U302,"")</f>
        <v>0.5</v>
      </c>
    </row>
    <row r="303" customFormat="false" ht="15" hidden="false" customHeight="true" outlineLevel="0" collapsed="false">
      <c r="A303" s="100" t="str">
        <f aca="false">Equipos!C301</f>
        <v>2-120566</v>
      </c>
      <c r="B303" s="101" t="str">
        <f aca="false">Equipos!D301</f>
        <v>Ventilador Mecánico </v>
      </c>
      <c r="C303" s="101" t="str">
        <f aca="false">Equipos!E301</f>
        <v>Urgencia Adulto (Prestado a UPC Cardiovascular)</v>
      </c>
      <c r="D303" s="101" t="str">
        <f aca="false">Equipos!G301</f>
        <v>UPC Cardiovascular</v>
      </c>
      <c r="E303" s="101" t="str">
        <f aca="false">Equipos!I301</f>
        <v>Puritan Bennett</v>
      </c>
      <c r="F303" s="101" t="n">
        <f aca="false">Equipos!J301</f>
        <v>840</v>
      </c>
      <c r="G303" s="100" t="str">
        <f aca="false">Equipos!K301</f>
        <v>3512202265</v>
      </c>
      <c r="H303" s="101"/>
      <c r="I303" s="102"/>
      <c r="J303" s="102"/>
      <c r="K303" s="103" t="s">
        <v>330</v>
      </c>
      <c r="L303" s="103" t="s">
        <v>328</v>
      </c>
      <c r="M303" s="102"/>
      <c r="N303" s="102"/>
      <c r="O303" s="102"/>
      <c r="P303" s="102"/>
      <c r="Q303" s="102"/>
      <c r="R303" s="102"/>
      <c r="S303" s="102"/>
      <c r="T303" s="102"/>
      <c r="U303" s="101" t="n">
        <f aca="false">V303+W303+X303+COUNTIF(I303:T303,"R")</f>
        <v>2</v>
      </c>
      <c r="V303" s="101" t="n">
        <f aca="false">COUNTIF(I303:T303,"E")</f>
        <v>1</v>
      </c>
      <c r="W303" s="101" t="n">
        <f aca="false">COUNTIF(I303:T303,"X")</f>
        <v>0</v>
      </c>
      <c r="X303" s="101" t="n">
        <f aca="false">COUNTIF(I303:T303,"C2")+COUNTIF(I303:T303,"C3")</f>
        <v>0</v>
      </c>
      <c r="Y303" s="101" t="n">
        <f aca="true">SUMPRODUCT((I303:INDEX(I303:T303,MONTH(TODAY()))="X")*1)</f>
        <v>0</v>
      </c>
      <c r="Z303" s="104" t="n">
        <f aca="false">IFERROR(V303/U303,"")</f>
        <v>0.5</v>
      </c>
    </row>
    <row r="304" customFormat="false" ht="15" hidden="false" customHeight="true" outlineLevel="0" collapsed="false">
      <c r="A304" s="100" t="str">
        <f aca="false">Equipos!C302</f>
        <v>2-120568</v>
      </c>
      <c r="B304" s="101" t="str">
        <f aca="false">Equipos!D302</f>
        <v>Ventilador Mecánico </v>
      </c>
      <c r="C304" s="101" t="str">
        <f aca="false">Equipos!E302</f>
        <v>UPC Cardiovascular</v>
      </c>
      <c r="D304" s="101" t="str">
        <f aca="false">Equipos!G302</f>
        <v>UCI Cardiovascular</v>
      </c>
      <c r="E304" s="101" t="str">
        <f aca="false">Equipos!I302</f>
        <v>Puritan Bennett</v>
      </c>
      <c r="F304" s="101" t="str">
        <f aca="false">Equipos!J302</f>
        <v>980/Sin Comp.</v>
      </c>
      <c r="G304" s="100" t="str">
        <f aca="false">Equipos!K302</f>
        <v>35B2004413</v>
      </c>
      <c r="H304" s="101"/>
      <c r="I304" s="102"/>
      <c r="J304" s="102"/>
      <c r="K304" s="103" t="s">
        <v>331</v>
      </c>
      <c r="L304" s="103" t="s">
        <v>328</v>
      </c>
      <c r="M304" s="102"/>
      <c r="N304" s="102"/>
      <c r="O304" s="102"/>
      <c r="P304" s="102"/>
      <c r="Q304" s="102"/>
      <c r="R304" s="102"/>
      <c r="S304" s="102"/>
      <c r="T304" s="102"/>
      <c r="U304" s="101" t="n">
        <f aca="false">V304+W304+X304+COUNTIF(I304:T304,"R")</f>
        <v>2</v>
      </c>
      <c r="V304" s="101" t="n">
        <f aca="false">COUNTIF(I304:T304,"E")</f>
        <v>1</v>
      </c>
      <c r="W304" s="101" t="n">
        <f aca="false">COUNTIF(I304:T304,"X")</f>
        <v>0</v>
      </c>
      <c r="X304" s="101" t="n">
        <f aca="false">COUNTIF(I304:T304,"C2")+COUNTIF(I304:T304,"C3")</f>
        <v>1</v>
      </c>
      <c r="Y304" s="101" t="n">
        <f aca="true">SUMPRODUCT((I304:INDEX(I304:T304,MONTH(TODAY()))="X")*1)</f>
        <v>0</v>
      </c>
      <c r="Z304" s="104" t="n">
        <f aca="false">IFERROR(V304/U304,"")</f>
        <v>0.5</v>
      </c>
    </row>
    <row r="305" customFormat="false" ht="15" hidden="false" customHeight="true" outlineLevel="0" collapsed="false">
      <c r="A305" s="100" t="str">
        <f aca="false">Equipos!C303</f>
        <v>2-120567</v>
      </c>
      <c r="B305" s="101" t="str">
        <f aca="false">Equipos!D303</f>
        <v>Ventilador Mecánico </v>
      </c>
      <c r="C305" s="101" t="str">
        <f aca="false">Equipos!E303</f>
        <v>UPC Cardiovascular</v>
      </c>
      <c r="D305" s="101" t="str">
        <f aca="false">Equipos!G303</f>
        <v>UCI Cardiovascular</v>
      </c>
      <c r="E305" s="101" t="str">
        <f aca="false">Equipos!I303</f>
        <v>Puritan Bennett</v>
      </c>
      <c r="F305" s="101" t="str">
        <f aca="false">Equipos!J303</f>
        <v>980/Sin Comp.</v>
      </c>
      <c r="G305" s="100" t="str">
        <f aca="false">Equipos!K303</f>
        <v>35B2004449</v>
      </c>
      <c r="H305" s="101"/>
      <c r="I305" s="102"/>
      <c r="J305" s="102"/>
      <c r="K305" s="103" t="s">
        <v>330</v>
      </c>
      <c r="L305" s="103" t="s">
        <v>328</v>
      </c>
      <c r="M305" s="102"/>
      <c r="N305" s="102"/>
      <c r="O305" s="102"/>
      <c r="P305" s="102"/>
      <c r="Q305" s="102"/>
      <c r="R305" s="102"/>
      <c r="S305" s="102"/>
      <c r="T305" s="102"/>
      <c r="U305" s="101" t="n">
        <f aca="false">V305+W305+X305+COUNTIF(I305:T305,"R")</f>
        <v>2</v>
      </c>
      <c r="V305" s="101" t="n">
        <f aca="false">COUNTIF(I305:T305,"E")</f>
        <v>1</v>
      </c>
      <c r="W305" s="101" t="n">
        <f aca="false">COUNTIF(I305:T305,"X")</f>
        <v>0</v>
      </c>
      <c r="X305" s="101" t="n">
        <f aca="false">COUNTIF(I305:T305,"C2")+COUNTIF(I305:T305,"C3")</f>
        <v>0</v>
      </c>
      <c r="Y305" s="101" t="n">
        <f aca="true">SUMPRODUCT((I305:INDEX(I305:T305,MONTH(TODAY()))="X")*1)</f>
        <v>0</v>
      </c>
      <c r="Z305" s="104" t="n">
        <f aca="false">IFERROR(V305/U305,"")</f>
        <v>0.5</v>
      </c>
    </row>
    <row r="306" customFormat="false" ht="15" hidden="false" customHeight="true" outlineLevel="0" collapsed="false">
      <c r="A306" s="100" t="str">
        <f aca="false">Equipos!C304</f>
        <v>2-120569</v>
      </c>
      <c r="B306" s="101" t="str">
        <f aca="false">Equipos!D304</f>
        <v>Ventilador Mecánico </v>
      </c>
      <c r="C306" s="101" t="str">
        <f aca="false">Equipos!E304</f>
        <v>UPC Adulto</v>
      </c>
      <c r="D306" s="101" t="n">
        <f aca="false">Equipos!G304</f>
        <v>0</v>
      </c>
      <c r="E306" s="101" t="str">
        <f aca="false">Equipos!I304</f>
        <v>Puritan Bennett</v>
      </c>
      <c r="F306" s="101" t="str">
        <f aca="false">Equipos!J304</f>
        <v>980/Sin Comp.</v>
      </c>
      <c r="G306" s="100" t="str">
        <f aca="false">Equipos!K304</f>
        <v>35B2004447</v>
      </c>
      <c r="H306" s="101"/>
      <c r="I306" s="102"/>
      <c r="J306" s="102"/>
      <c r="K306" s="103" t="s">
        <v>330</v>
      </c>
      <c r="L306" s="103" t="s">
        <v>328</v>
      </c>
      <c r="M306" s="102"/>
      <c r="N306" s="102"/>
      <c r="O306" s="102"/>
      <c r="P306" s="102"/>
      <c r="Q306" s="102"/>
      <c r="R306" s="102"/>
      <c r="S306" s="102"/>
      <c r="T306" s="102"/>
      <c r="U306" s="101" t="n">
        <f aca="false">V306+W306+X306+COUNTIF(I306:T306,"R")</f>
        <v>2</v>
      </c>
      <c r="V306" s="101" t="n">
        <f aca="false">COUNTIF(I306:T306,"E")</f>
        <v>1</v>
      </c>
      <c r="W306" s="101" t="n">
        <f aca="false">COUNTIF(I306:T306,"X")</f>
        <v>0</v>
      </c>
      <c r="X306" s="101" t="n">
        <f aca="false">COUNTIF(I306:T306,"C2")+COUNTIF(I306:T306,"C3")</f>
        <v>0</v>
      </c>
      <c r="Y306" s="101" t="n">
        <f aca="true">SUMPRODUCT((I306:INDEX(I306:T306,MONTH(TODAY()))="X")*1)</f>
        <v>0</v>
      </c>
      <c r="Z306" s="104" t="n">
        <f aca="false">IFERROR(V306/U306,"")</f>
        <v>0.5</v>
      </c>
    </row>
    <row r="307" customFormat="false" ht="15" hidden="false" customHeight="true" outlineLevel="0" collapsed="false">
      <c r="A307" s="100" t="str">
        <f aca="false">Equipos!C305</f>
        <v>2-120570</v>
      </c>
      <c r="B307" s="101" t="str">
        <f aca="false">Equipos!D305</f>
        <v>Ventilador Mecánico </v>
      </c>
      <c r="C307" s="101" t="str">
        <f aca="false">Equipos!E305</f>
        <v>UPC Adulto</v>
      </c>
      <c r="D307" s="101" t="n">
        <f aca="false">Equipos!G305</f>
        <v>0</v>
      </c>
      <c r="E307" s="101" t="str">
        <f aca="false">Equipos!I305</f>
        <v>Puritan Bennett</v>
      </c>
      <c r="F307" s="101" t="n">
        <f aca="false">Equipos!J305</f>
        <v>840</v>
      </c>
      <c r="G307" s="100" t="str">
        <f aca="false">Equipos!K305</f>
        <v>3512202261</v>
      </c>
      <c r="H307" s="101"/>
      <c r="I307" s="102"/>
      <c r="J307" s="102"/>
      <c r="K307" s="103" t="s">
        <v>330</v>
      </c>
      <c r="L307" s="103" t="s">
        <v>328</v>
      </c>
      <c r="M307" s="102"/>
      <c r="N307" s="102"/>
      <c r="O307" s="102"/>
      <c r="P307" s="102"/>
      <c r="Q307" s="102"/>
      <c r="R307" s="102"/>
      <c r="S307" s="102"/>
      <c r="T307" s="102"/>
      <c r="U307" s="101" t="n">
        <f aca="false">V307+W307+X307+COUNTIF(I307:T307,"R")</f>
        <v>2</v>
      </c>
      <c r="V307" s="101" t="n">
        <f aca="false">COUNTIF(I307:T307,"E")</f>
        <v>1</v>
      </c>
      <c r="W307" s="101" t="n">
        <f aca="false">COUNTIF(I307:T307,"X")</f>
        <v>0</v>
      </c>
      <c r="X307" s="101" t="n">
        <f aca="false">COUNTIF(I307:T307,"C2")+COUNTIF(I307:T307,"C3")</f>
        <v>0</v>
      </c>
      <c r="Y307" s="101" t="n">
        <f aca="true">SUMPRODUCT((I307:INDEX(I307:T307,MONTH(TODAY()))="X")*1)</f>
        <v>0</v>
      </c>
      <c r="Z307" s="104" t="n">
        <f aca="false">IFERROR(V307/U307,"")</f>
        <v>0.5</v>
      </c>
    </row>
    <row r="308" customFormat="false" ht="15" hidden="false" customHeight="true" outlineLevel="0" collapsed="false">
      <c r="A308" s="100" t="str">
        <f aca="false">Equipos!C306</f>
        <v>2-120571</v>
      </c>
      <c r="B308" s="101" t="str">
        <f aca="false">Equipos!D306</f>
        <v>Ventilador Mecánico </v>
      </c>
      <c r="C308" s="101" t="str">
        <f aca="false">Equipos!E306</f>
        <v>UPC Adulto</v>
      </c>
      <c r="D308" s="101" t="n">
        <f aca="false">Equipos!G306</f>
        <v>0</v>
      </c>
      <c r="E308" s="101" t="str">
        <f aca="false">Equipos!I306</f>
        <v>Puritan Bennett</v>
      </c>
      <c r="F308" s="101" t="n">
        <f aca="false">Equipos!J306</f>
        <v>840</v>
      </c>
      <c r="G308" s="100" t="str">
        <f aca="false">Equipos!K306</f>
        <v>3512202219</v>
      </c>
      <c r="H308" s="101"/>
      <c r="I308" s="102"/>
      <c r="J308" s="102"/>
      <c r="K308" s="103" t="s">
        <v>330</v>
      </c>
      <c r="L308" s="103" t="s">
        <v>328</v>
      </c>
      <c r="M308" s="102"/>
      <c r="N308" s="102"/>
      <c r="O308" s="102"/>
      <c r="P308" s="102"/>
      <c r="Q308" s="102"/>
      <c r="R308" s="102"/>
      <c r="S308" s="102"/>
      <c r="T308" s="102"/>
      <c r="U308" s="101" t="n">
        <f aca="false">V308+W308+X308+COUNTIF(I308:T308,"R")</f>
        <v>2</v>
      </c>
      <c r="V308" s="101" t="n">
        <f aca="false">COUNTIF(I308:T308,"E")</f>
        <v>1</v>
      </c>
      <c r="W308" s="101" t="n">
        <f aca="false">COUNTIF(I308:T308,"X")</f>
        <v>0</v>
      </c>
      <c r="X308" s="101" t="n">
        <f aca="false">COUNTIF(I308:T308,"C2")+COUNTIF(I308:T308,"C3")</f>
        <v>0</v>
      </c>
      <c r="Y308" s="101" t="n">
        <f aca="true">SUMPRODUCT((I308:INDEX(I308:T308,MONTH(TODAY()))="X")*1)</f>
        <v>0</v>
      </c>
      <c r="Z308" s="104" t="n">
        <f aca="false">IFERROR(V308/U308,"")</f>
        <v>0.5</v>
      </c>
    </row>
    <row r="309" customFormat="false" ht="15" hidden="false" customHeight="true" outlineLevel="0" collapsed="false">
      <c r="A309" s="100" t="str">
        <f aca="false">Equipos!C307</f>
        <v>2-120837</v>
      </c>
      <c r="B309" s="101" t="str">
        <f aca="false">Equipos!D307</f>
        <v>Ventilador Mecánico </v>
      </c>
      <c r="C309" s="101" t="str">
        <f aca="false">Equipos!E307</f>
        <v>UPC Adulto</v>
      </c>
      <c r="D309" s="101" t="n">
        <f aca="false">Equipos!G307</f>
        <v>0</v>
      </c>
      <c r="E309" s="101" t="str">
        <f aca="false">Equipos!I307</f>
        <v>Drager</v>
      </c>
      <c r="F309" s="101" t="str">
        <f aca="false">Equipos!J307</f>
        <v>Oxylog 3000 </v>
      </c>
      <c r="G309" s="100" t="str">
        <f aca="false">Equipos!K307</f>
        <v>ASNH-0098</v>
      </c>
      <c r="H309" s="101"/>
      <c r="I309" s="102"/>
      <c r="J309" s="102"/>
      <c r="K309" s="102"/>
      <c r="L309" s="103" t="s">
        <v>329</v>
      </c>
      <c r="M309" s="103"/>
      <c r="N309" s="102"/>
      <c r="O309" s="102"/>
      <c r="P309" s="102"/>
      <c r="Q309" s="102"/>
      <c r="R309" s="102"/>
      <c r="S309" s="102"/>
      <c r="T309" s="102"/>
      <c r="U309" s="101" t="n">
        <f aca="false">V309+W309+X309+COUNTIF(I309:T309,"R")</f>
        <v>1</v>
      </c>
      <c r="V309" s="101" t="n">
        <f aca="false">COUNTIF(I309:T309,"E")</f>
        <v>0</v>
      </c>
      <c r="W309" s="101" t="n">
        <f aca="false">COUNTIF(I309:T309,"X")</f>
        <v>1</v>
      </c>
      <c r="X309" s="101" t="n">
        <f aca="false">COUNTIF(I309:T309,"C2")+COUNTIF(I309:T309,"C3")</f>
        <v>0</v>
      </c>
      <c r="Y309" s="101" t="n">
        <f aca="true">SUMPRODUCT((I309:INDEX(I309:T309,MONTH(TODAY()))="X")*1)</f>
        <v>1</v>
      </c>
      <c r="Z309" s="104" t="n">
        <f aca="false">IFERROR(V309/U309,"")</f>
        <v>0</v>
      </c>
    </row>
    <row r="310" customFormat="false" ht="15" hidden="false" customHeight="true" outlineLevel="0" collapsed="false">
      <c r="A310" s="100" t="str">
        <f aca="false">Equipos!C308</f>
        <v>2-120836</v>
      </c>
      <c r="B310" s="101" t="str">
        <f aca="false">Equipos!D308</f>
        <v>Ventilador Mecánico </v>
      </c>
      <c r="C310" s="101" t="str">
        <f aca="false">Equipos!E308</f>
        <v>Medicina</v>
      </c>
      <c r="D310" s="101" t="str">
        <f aca="false">Equipos!G308</f>
        <v>SALA PROCEDIMIENTO TNA</v>
      </c>
      <c r="E310" s="101" t="str">
        <f aca="false">Equipos!I308</f>
        <v>Drager</v>
      </c>
      <c r="F310" s="101" t="str">
        <f aca="false">Equipos!J308</f>
        <v>Oxylog 3000 </v>
      </c>
      <c r="G310" s="100" t="str">
        <f aca="false">Equipos!K308</f>
        <v>ASNH-0099</v>
      </c>
      <c r="H310" s="101"/>
      <c r="I310" s="102"/>
      <c r="J310" s="102"/>
      <c r="K310" s="102"/>
      <c r="L310" s="102"/>
      <c r="M310" s="103" t="s">
        <v>328</v>
      </c>
      <c r="N310" s="102"/>
      <c r="O310" s="102"/>
      <c r="P310" s="102"/>
      <c r="Q310" s="102"/>
      <c r="R310" s="102"/>
      <c r="S310" s="102"/>
      <c r="T310" s="102"/>
      <c r="U310" s="101" t="n">
        <f aca="false">V310+W310+X310+COUNTIF(I310:T310,"R")</f>
        <v>1</v>
      </c>
      <c r="V310" s="101" t="n">
        <f aca="false">COUNTIF(I310:T310,"E")</f>
        <v>1</v>
      </c>
      <c r="W310" s="101" t="n">
        <f aca="false">COUNTIF(I310:T310,"X")</f>
        <v>0</v>
      </c>
      <c r="X310" s="101" t="n">
        <f aca="false">COUNTIF(I310:T310,"C2")+COUNTIF(I310:T310,"C3")</f>
        <v>0</v>
      </c>
      <c r="Y310" s="101" t="n">
        <f aca="true">SUMPRODUCT((I310:INDEX(I310:T310,MONTH(TODAY()))="X")*1)</f>
        <v>0</v>
      </c>
      <c r="Z310" s="104" t="n">
        <f aca="false">IFERROR(V310/U310,"")</f>
        <v>1</v>
      </c>
    </row>
    <row r="311" customFormat="false" ht="15" hidden="false" customHeight="true" outlineLevel="0" collapsed="false">
      <c r="A311" s="100" t="n">
        <f aca="false">Equipos!C309</f>
        <v>0</v>
      </c>
      <c r="B311" s="101" t="n">
        <f aca="false">Equipos!D309</f>
        <v>0</v>
      </c>
      <c r="C311" s="101" t="n">
        <f aca="false">Equipos!E309</f>
        <v>0</v>
      </c>
      <c r="D311" s="101" t="n">
        <f aca="false">Equipos!G309</f>
        <v>0</v>
      </c>
      <c r="E311" s="101" t="n">
        <f aca="false">Equipos!I309</f>
        <v>0</v>
      </c>
      <c r="F311" s="101" t="n">
        <f aca="false">Equipos!J309</f>
        <v>0</v>
      </c>
      <c r="G311" s="100" t="n">
        <f aca="false">Equipos!K309</f>
        <v>0</v>
      </c>
      <c r="H311" s="101"/>
      <c r="I311" s="102"/>
      <c r="J311" s="102"/>
      <c r="K311" s="102"/>
      <c r="L311" s="102"/>
      <c r="M311" s="102"/>
      <c r="N311" s="102"/>
      <c r="O311" s="102"/>
      <c r="P311" s="102"/>
      <c r="Q311" s="102"/>
      <c r="R311" s="102"/>
      <c r="S311" s="102"/>
      <c r="T311" s="102"/>
      <c r="U311" s="101" t="n">
        <f aca="false">V311+W311+X311+COUNTIF(I311:T311,"R")</f>
        <v>0</v>
      </c>
      <c r="V311" s="101" t="n">
        <f aca="false">COUNTIF(I311:T311,"E")</f>
        <v>0</v>
      </c>
      <c r="W311" s="101" t="n">
        <f aca="false">COUNTIF(I311:T311,"X")</f>
        <v>0</v>
      </c>
      <c r="X311" s="101" t="n">
        <f aca="false">COUNTIF(I311:T311,"C2")+COUNTIF(I311:T311,"C3")</f>
        <v>0</v>
      </c>
      <c r="Y311" s="101" t="n">
        <f aca="true">SUMPRODUCT((I311:INDEX(I311:T311,MONTH(TODAY()))="X")*1)</f>
        <v>0</v>
      </c>
      <c r="Z311" s="104" t="str">
        <f aca="false">IFERROR(V311/U311,"")</f>
        <v/>
      </c>
    </row>
    <row r="312" customFormat="false" ht="15" hidden="false" customHeight="true" outlineLevel="0" collapsed="false">
      <c r="A312" s="100" t="str">
        <f aca="false">Equipos!C310</f>
        <v>2-120936</v>
      </c>
      <c r="B312" s="101" t="str">
        <f aca="false">Equipos!D310</f>
        <v>Ventilador Mecánico </v>
      </c>
      <c r="C312" s="101" t="str">
        <f aca="false">Equipos!E310</f>
        <v>UPC 3er Piso</v>
      </c>
      <c r="D312" s="101" t="str">
        <f aca="false">Equipos!G310</f>
        <v>UCI 4</v>
      </c>
      <c r="E312" s="101" t="str">
        <f aca="false">Equipos!I310</f>
        <v>Drager</v>
      </c>
      <c r="F312" s="101" t="str">
        <f aca="false">Equipos!J310</f>
        <v>Evita V800</v>
      </c>
      <c r="G312" s="100" t="str">
        <f aca="false">Equipos!K310</f>
        <v>ASNM-0001</v>
      </c>
      <c r="H312" s="101"/>
      <c r="I312" s="102"/>
      <c r="J312" s="102"/>
      <c r="K312" s="102"/>
      <c r="L312" s="102"/>
      <c r="M312" s="103" t="s">
        <v>328</v>
      </c>
      <c r="N312" s="102"/>
      <c r="O312" s="102"/>
      <c r="P312" s="102"/>
      <c r="Q312" s="102"/>
      <c r="R312" s="102"/>
      <c r="S312" s="102"/>
      <c r="T312" s="102"/>
      <c r="U312" s="101" t="n">
        <f aca="false">V312+W312+X312+COUNTIF(I312:T312,"R")</f>
        <v>1</v>
      </c>
      <c r="V312" s="101" t="n">
        <f aca="false">COUNTIF(I312:T312,"E")</f>
        <v>1</v>
      </c>
      <c r="W312" s="101" t="n">
        <f aca="false">COUNTIF(I312:T312,"X")</f>
        <v>0</v>
      </c>
      <c r="X312" s="101" t="n">
        <f aca="false">COUNTIF(I312:T312,"C2")+COUNTIF(I312:T312,"C3")</f>
        <v>0</v>
      </c>
      <c r="Y312" s="101" t="n">
        <f aca="true">SUMPRODUCT((I312:INDEX(I312:T312,MONTH(TODAY()))="X")*1)</f>
        <v>0</v>
      </c>
      <c r="Z312" s="104" t="n">
        <f aca="false">IFERROR(V312/U312,"")</f>
        <v>1</v>
      </c>
    </row>
    <row r="313" customFormat="false" ht="15" hidden="false" customHeight="true" outlineLevel="0" collapsed="false">
      <c r="A313" s="100" t="str">
        <f aca="false">Equipos!C311</f>
        <v>2-120937</v>
      </c>
      <c r="B313" s="101" t="str">
        <f aca="false">Equipos!D311</f>
        <v>Ventilador Mecánico </v>
      </c>
      <c r="C313" s="101" t="str">
        <f aca="false">Equipos!E311</f>
        <v>UPC 3er Piso</v>
      </c>
      <c r="D313" s="101" t="str">
        <f aca="false">Equipos!G311</f>
        <v>UCI 1</v>
      </c>
      <c r="E313" s="101" t="str">
        <f aca="false">Equipos!I311</f>
        <v>Drager</v>
      </c>
      <c r="F313" s="101" t="str">
        <f aca="false">Equipos!J311</f>
        <v>Evita V800</v>
      </c>
      <c r="G313" s="100" t="str">
        <f aca="false">Equipos!K311</f>
        <v>ASNK-0048</v>
      </c>
      <c r="H313" s="101"/>
      <c r="I313" s="102"/>
      <c r="J313" s="102"/>
      <c r="K313" s="102"/>
      <c r="L313" s="102"/>
      <c r="M313" s="103" t="s">
        <v>329</v>
      </c>
      <c r="N313" s="102"/>
      <c r="O313" s="102"/>
      <c r="P313" s="102"/>
      <c r="Q313" s="102"/>
      <c r="R313" s="102"/>
      <c r="S313" s="102"/>
      <c r="T313" s="102"/>
      <c r="U313" s="101" t="n">
        <f aca="false">V313+W313+X313+COUNTIF(I313:T313,"R")</f>
        <v>1</v>
      </c>
      <c r="V313" s="101" t="n">
        <f aca="false">COUNTIF(I313:T313,"E")</f>
        <v>0</v>
      </c>
      <c r="W313" s="101" t="n">
        <f aca="false">COUNTIF(I313:T313,"X")</f>
        <v>1</v>
      </c>
      <c r="X313" s="101" t="n">
        <f aca="false">COUNTIF(I313:T313,"C2")+COUNTIF(I313:T313,"C3")</f>
        <v>0</v>
      </c>
      <c r="Y313" s="101" t="n">
        <f aca="true">SUMPRODUCT((I313:INDEX(I313:T313,MONTH(TODAY()))="X")*1)</f>
        <v>1</v>
      </c>
      <c r="Z313" s="104" t="n">
        <f aca="false">IFERROR(V313/U313,"")</f>
        <v>0</v>
      </c>
    </row>
    <row r="314" customFormat="false" ht="15" hidden="false" customHeight="true" outlineLevel="0" collapsed="false">
      <c r="A314" s="100" t="str">
        <f aca="false">Equipos!C312</f>
        <v>2-120938</v>
      </c>
      <c r="B314" s="101" t="str">
        <f aca="false">Equipos!D312</f>
        <v>Ventilador Mecánico </v>
      </c>
      <c r="C314" s="101" t="str">
        <f aca="false">Equipos!E312</f>
        <v>UPC 3er Piso</v>
      </c>
      <c r="D314" s="101" t="str">
        <f aca="false">Equipos!G312</f>
        <v>UCI 7</v>
      </c>
      <c r="E314" s="101" t="str">
        <f aca="false">Equipos!I312</f>
        <v>Drager</v>
      </c>
      <c r="F314" s="101" t="str">
        <f aca="false">Equipos!J312</f>
        <v>Evita V800</v>
      </c>
      <c r="G314" s="100" t="str">
        <f aca="false">Equipos!K312</f>
        <v>ASNK-0047</v>
      </c>
      <c r="H314" s="101"/>
      <c r="I314" s="102"/>
      <c r="J314" s="102"/>
      <c r="K314" s="102"/>
      <c r="L314" s="102"/>
      <c r="M314" s="102" t="s">
        <v>328</v>
      </c>
      <c r="N314" s="102"/>
      <c r="O314" s="102"/>
      <c r="P314" s="102"/>
      <c r="Q314" s="102"/>
      <c r="R314" s="102"/>
      <c r="S314" s="102"/>
      <c r="T314" s="102"/>
      <c r="U314" s="101" t="n">
        <f aca="false">V314+W314+X314+COUNTIF(I314:T314,"R")</f>
        <v>1</v>
      </c>
      <c r="V314" s="101" t="n">
        <f aca="false">COUNTIF(I314:T314,"E")</f>
        <v>1</v>
      </c>
      <c r="W314" s="101" t="n">
        <f aca="false">COUNTIF(I314:T314,"X")</f>
        <v>0</v>
      </c>
      <c r="X314" s="101" t="n">
        <f aca="false">COUNTIF(I314:T314,"C2")+COUNTIF(I314:T314,"C3")</f>
        <v>0</v>
      </c>
      <c r="Y314" s="101" t="n">
        <f aca="true">SUMPRODUCT((I314:INDEX(I314:T314,MONTH(TODAY()))="X")*1)</f>
        <v>0</v>
      </c>
      <c r="Z314" s="104" t="n">
        <f aca="false">IFERROR(V314/U314,"")</f>
        <v>1</v>
      </c>
    </row>
    <row r="315" customFormat="false" ht="15" hidden="false" customHeight="true" outlineLevel="0" collapsed="false">
      <c r="A315" s="100" t="str">
        <f aca="false">Equipos!C313</f>
        <v>2-120939</v>
      </c>
      <c r="B315" s="101" t="str">
        <f aca="false">Equipos!D313</f>
        <v>Ventilador Mecánico </v>
      </c>
      <c r="C315" s="101" t="str">
        <f aca="false">Equipos!E313</f>
        <v>UPC 3er Piso</v>
      </c>
      <c r="D315" s="101" t="str">
        <f aca="false">Equipos!G313</f>
        <v>UCI 3</v>
      </c>
      <c r="E315" s="101" t="str">
        <f aca="false">Equipos!I313</f>
        <v>Drager</v>
      </c>
      <c r="F315" s="101" t="str">
        <f aca="false">Equipos!J313</f>
        <v>Evita V800</v>
      </c>
      <c r="G315" s="100" t="str">
        <f aca="false">Equipos!K313</f>
        <v>ASNK-0043</v>
      </c>
      <c r="H315" s="101"/>
      <c r="I315" s="102"/>
      <c r="J315" s="102"/>
      <c r="K315" s="102"/>
      <c r="L315" s="102"/>
      <c r="M315" s="103" t="s">
        <v>329</v>
      </c>
      <c r="N315" s="102"/>
      <c r="O315" s="102"/>
      <c r="P315" s="102"/>
      <c r="Q315" s="102"/>
      <c r="R315" s="102"/>
      <c r="S315" s="102"/>
      <c r="T315" s="102"/>
      <c r="U315" s="101" t="n">
        <f aca="false">V315+W315+X315+COUNTIF(I315:T315,"R")</f>
        <v>1</v>
      </c>
      <c r="V315" s="101" t="n">
        <f aca="false">COUNTIF(I315:T315,"E")</f>
        <v>0</v>
      </c>
      <c r="W315" s="101" t="n">
        <f aca="false">COUNTIF(I315:T315,"X")</f>
        <v>1</v>
      </c>
      <c r="X315" s="101" t="n">
        <f aca="false">COUNTIF(I315:T315,"C2")+COUNTIF(I315:T315,"C3")</f>
        <v>0</v>
      </c>
      <c r="Y315" s="101" t="n">
        <f aca="true">SUMPRODUCT((I315:INDEX(I315:T315,MONTH(TODAY()))="X")*1)</f>
        <v>1</v>
      </c>
      <c r="Z315" s="104" t="n">
        <f aca="false">IFERROR(V315/U315,"")</f>
        <v>0</v>
      </c>
    </row>
    <row r="316" customFormat="false" ht="15" hidden="false" customHeight="true" outlineLevel="0" collapsed="false">
      <c r="A316" s="100" t="str">
        <f aca="false">Equipos!C314</f>
        <v>2-120940</v>
      </c>
      <c r="B316" s="101" t="str">
        <f aca="false">Equipos!D314</f>
        <v>Ventilador Mecánico </v>
      </c>
      <c r="C316" s="101" t="str">
        <f aca="false">Equipos!E314</f>
        <v>UPC 3er Piso</v>
      </c>
      <c r="D316" s="101" t="str">
        <f aca="false">Equipos!G314</f>
        <v>UCI 5</v>
      </c>
      <c r="E316" s="101" t="str">
        <f aca="false">Equipos!I314</f>
        <v>Drager</v>
      </c>
      <c r="F316" s="101" t="str">
        <f aca="false">Equipos!J314</f>
        <v>Evita V800</v>
      </c>
      <c r="G316" s="100" t="str">
        <f aca="false">Equipos!K314</f>
        <v>ASNK-0046</v>
      </c>
      <c r="H316" s="101"/>
      <c r="I316" s="102"/>
      <c r="J316" s="102"/>
      <c r="K316" s="102"/>
      <c r="L316" s="102"/>
      <c r="M316" s="103" t="s">
        <v>328</v>
      </c>
      <c r="N316" s="102"/>
      <c r="O316" s="102"/>
      <c r="P316" s="102"/>
      <c r="Q316" s="102"/>
      <c r="R316" s="102"/>
      <c r="S316" s="102"/>
      <c r="T316" s="102"/>
      <c r="U316" s="101" t="n">
        <f aca="false">V316+W316+X316+COUNTIF(I316:T316,"R")</f>
        <v>1</v>
      </c>
      <c r="V316" s="101" t="n">
        <f aca="false">COUNTIF(I316:T316,"E")</f>
        <v>1</v>
      </c>
      <c r="W316" s="101" t="n">
        <f aca="false">COUNTIF(I316:T316,"X")</f>
        <v>0</v>
      </c>
      <c r="X316" s="101" t="n">
        <f aca="false">COUNTIF(I316:T316,"C2")+COUNTIF(I316:T316,"C3")</f>
        <v>0</v>
      </c>
      <c r="Y316" s="101" t="n">
        <f aca="true">SUMPRODUCT((I316:INDEX(I316:T316,MONTH(TODAY()))="X")*1)</f>
        <v>0</v>
      </c>
      <c r="Z316" s="104" t="n">
        <f aca="false">IFERROR(V316/U316,"")</f>
        <v>1</v>
      </c>
    </row>
    <row r="317" customFormat="false" ht="15" hidden="false" customHeight="true" outlineLevel="0" collapsed="false">
      <c r="A317" s="100" t="str">
        <f aca="false">Equipos!C315</f>
        <v>2-120941</v>
      </c>
      <c r="B317" s="101" t="str">
        <f aca="false">Equipos!D315</f>
        <v>Ventilador Mecánico </v>
      </c>
      <c r="C317" s="101" t="str">
        <f aca="false">Equipos!E315</f>
        <v>UPC 3er Piso</v>
      </c>
      <c r="D317" s="101" t="str">
        <f aca="false">Equipos!G315</f>
        <v>Sala de equipos</v>
      </c>
      <c r="E317" s="101" t="str">
        <f aca="false">Equipos!I315</f>
        <v>Drager</v>
      </c>
      <c r="F317" s="101" t="str">
        <f aca="false">Equipos!J315</f>
        <v>Evita V800</v>
      </c>
      <c r="G317" s="100" t="str">
        <f aca="false">Equipos!K315</f>
        <v>ASNM-0007</v>
      </c>
      <c r="H317" s="101"/>
      <c r="I317" s="102"/>
      <c r="J317" s="102"/>
      <c r="K317" s="102"/>
      <c r="L317" s="102"/>
      <c r="M317" s="102" t="s">
        <v>329</v>
      </c>
      <c r="N317" s="102"/>
      <c r="O317" s="102"/>
      <c r="P317" s="102"/>
      <c r="Q317" s="102"/>
      <c r="R317" s="102"/>
      <c r="S317" s="102"/>
      <c r="T317" s="102"/>
      <c r="U317" s="101" t="n">
        <f aca="false">V317+W317+X317+COUNTIF(I317:T317,"R")</f>
        <v>1</v>
      </c>
      <c r="V317" s="101" t="n">
        <f aca="false">COUNTIF(I317:T317,"E")</f>
        <v>0</v>
      </c>
      <c r="W317" s="101" t="n">
        <f aca="false">COUNTIF(I317:T317,"X")</f>
        <v>1</v>
      </c>
      <c r="X317" s="101" t="n">
        <f aca="false">COUNTIF(I317:T317,"C2")+COUNTIF(I317:T317,"C3")</f>
        <v>0</v>
      </c>
      <c r="Y317" s="101" t="n">
        <f aca="true">SUMPRODUCT((I317:INDEX(I317:T317,MONTH(TODAY()))="X")*1)</f>
        <v>1</v>
      </c>
      <c r="Z317" s="104" t="n">
        <f aca="false">IFERROR(V317/U317,"")</f>
        <v>0</v>
      </c>
    </row>
    <row r="318" customFormat="false" ht="15" hidden="false" customHeight="true" outlineLevel="0" collapsed="false">
      <c r="A318" s="100" t="str">
        <f aca="false">Equipos!C316</f>
        <v>2-120943</v>
      </c>
      <c r="B318" s="101" t="str">
        <f aca="false">Equipos!D316</f>
        <v>Ventilador Mecánico </v>
      </c>
      <c r="C318" s="101" t="str">
        <f aca="false">Equipos!E316</f>
        <v>UPC Adulto</v>
      </c>
      <c r="D318" s="101" t="n">
        <f aca="false">Equipos!G316</f>
        <v>0</v>
      </c>
      <c r="E318" s="101" t="str">
        <f aca="false">Equipos!I316</f>
        <v>Drager</v>
      </c>
      <c r="F318" s="101" t="str">
        <f aca="false">Equipos!J316</f>
        <v>Evita V800</v>
      </c>
      <c r="G318" s="100" t="str">
        <f aca="false">Equipos!K316</f>
        <v>ASNM-0005</v>
      </c>
      <c r="H318" s="101"/>
      <c r="I318" s="102"/>
      <c r="J318" s="102"/>
      <c r="K318" s="102"/>
      <c r="L318" s="103" t="s">
        <v>329</v>
      </c>
      <c r="M318" s="103" t="s">
        <v>328</v>
      </c>
      <c r="N318" s="102"/>
      <c r="O318" s="102"/>
      <c r="P318" s="102"/>
      <c r="Q318" s="102"/>
      <c r="R318" s="102"/>
      <c r="S318" s="102"/>
      <c r="T318" s="102"/>
      <c r="U318" s="101" t="n">
        <f aca="false">V318+W318+X318+COUNTIF(I318:T318,"R")</f>
        <v>2</v>
      </c>
      <c r="V318" s="101" t="n">
        <f aca="false">COUNTIF(I318:T318,"E")</f>
        <v>1</v>
      </c>
      <c r="W318" s="101" t="n">
        <f aca="false">COUNTIF(I318:T318,"X")</f>
        <v>1</v>
      </c>
      <c r="X318" s="101" t="n">
        <f aca="false">COUNTIF(I318:T318,"C2")+COUNTIF(I318:T318,"C3")</f>
        <v>0</v>
      </c>
      <c r="Y318" s="101" t="n">
        <f aca="true">SUMPRODUCT((I318:INDEX(I318:T318,MONTH(TODAY()))="X")*1)</f>
        <v>1</v>
      </c>
      <c r="Z318" s="104" t="n">
        <f aca="false">IFERROR(V318/U318,"")</f>
        <v>0.5</v>
      </c>
    </row>
    <row r="319" customFormat="false" ht="15" hidden="false" customHeight="true" outlineLevel="0" collapsed="false">
      <c r="A319" s="100" t="str">
        <f aca="false">Equipos!C317</f>
        <v>2-120944</v>
      </c>
      <c r="B319" s="101" t="str">
        <f aca="false">Equipos!D317</f>
        <v>Ventilador Mecánico </v>
      </c>
      <c r="C319" s="101" t="str">
        <f aca="false">Equipos!E317</f>
        <v>UPC Adulto</v>
      </c>
      <c r="D319" s="101" t="n">
        <f aca="false">Equipos!G317</f>
        <v>0</v>
      </c>
      <c r="E319" s="101" t="str">
        <f aca="false">Equipos!I317</f>
        <v>Drager</v>
      </c>
      <c r="F319" s="101" t="str">
        <f aca="false">Equipos!J317</f>
        <v>Evita V800</v>
      </c>
      <c r="G319" s="100" t="str">
        <f aca="false">Equipos!K317</f>
        <v>ASNM-0008</v>
      </c>
      <c r="H319" s="101"/>
      <c r="I319" s="102"/>
      <c r="J319" s="102"/>
      <c r="K319" s="102"/>
      <c r="L319" s="103" t="s">
        <v>329</v>
      </c>
      <c r="M319" s="102"/>
      <c r="N319" s="102"/>
      <c r="O319" s="102"/>
      <c r="P319" s="102"/>
      <c r="Q319" s="102"/>
      <c r="R319" s="102"/>
      <c r="S319" s="102"/>
      <c r="T319" s="102"/>
      <c r="U319" s="101" t="n">
        <f aca="false">V319+W319+X319+COUNTIF(I319:T319,"R")</f>
        <v>1</v>
      </c>
      <c r="V319" s="101" t="n">
        <f aca="false">COUNTIF(I319:T319,"E")</f>
        <v>0</v>
      </c>
      <c r="W319" s="101" t="n">
        <f aca="false">COUNTIF(I319:T319,"X")</f>
        <v>1</v>
      </c>
      <c r="X319" s="101" t="n">
        <f aca="false">COUNTIF(I319:T319,"C2")+COUNTIF(I319:T319,"C3")</f>
        <v>0</v>
      </c>
      <c r="Y319" s="101" t="n">
        <f aca="true">SUMPRODUCT((I319:INDEX(I319:T319,MONTH(TODAY()))="X")*1)</f>
        <v>1</v>
      </c>
      <c r="Z319" s="104" t="n">
        <f aca="false">IFERROR(V319/U319,"")</f>
        <v>0</v>
      </c>
    </row>
    <row r="320" customFormat="false" ht="15" hidden="false" customHeight="true" outlineLevel="0" collapsed="false">
      <c r="A320" s="100" t="str">
        <f aca="false">Equipos!C318</f>
        <v>2-120945</v>
      </c>
      <c r="B320" s="101" t="str">
        <f aca="false">Equipos!D318</f>
        <v>Ventilador Mecánico </v>
      </c>
      <c r="C320" s="101" t="str">
        <f aca="false">Equipos!E318</f>
        <v>UPC Adulto</v>
      </c>
      <c r="D320" s="101" t="n">
        <f aca="false">Equipos!G318</f>
        <v>0</v>
      </c>
      <c r="E320" s="101" t="str">
        <f aca="false">Equipos!I318</f>
        <v>Drager</v>
      </c>
      <c r="F320" s="101" t="str">
        <f aca="false">Equipos!J318</f>
        <v>Evita V800</v>
      </c>
      <c r="G320" s="100" t="str">
        <f aca="false">Equipos!K318</f>
        <v>ASNK-0045</v>
      </c>
      <c r="H320" s="101"/>
      <c r="I320" s="102"/>
      <c r="J320" s="102"/>
      <c r="K320" s="102"/>
      <c r="L320" s="103" t="s">
        <v>329</v>
      </c>
      <c r="M320" s="103"/>
      <c r="N320" s="102"/>
      <c r="O320" s="102"/>
      <c r="P320" s="102"/>
      <c r="Q320" s="102"/>
      <c r="R320" s="102"/>
      <c r="S320" s="102"/>
      <c r="T320" s="102"/>
      <c r="U320" s="101" t="n">
        <f aca="false">V320+W320+X320+COUNTIF(I320:T320,"R")</f>
        <v>1</v>
      </c>
      <c r="V320" s="101" t="n">
        <f aca="false">COUNTIF(I320:T320,"E")</f>
        <v>0</v>
      </c>
      <c r="W320" s="101" t="n">
        <f aca="false">COUNTIF(I320:T320,"X")</f>
        <v>1</v>
      </c>
      <c r="X320" s="101" t="n">
        <f aca="false">COUNTIF(I320:T320,"C2")+COUNTIF(I320:T320,"C3")</f>
        <v>0</v>
      </c>
      <c r="Y320" s="101" t="n">
        <f aca="true">SUMPRODUCT((I320:INDEX(I320:T320,MONTH(TODAY()))="X")*1)</f>
        <v>1</v>
      </c>
      <c r="Z320" s="104" t="n">
        <f aca="false">IFERROR(V320/U320,"")</f>
        <v>0</v>
      </c>
    </row>
    <row r="321" customFormat="false" ht="15" hidden="false" customHeight="true" outlineLevel="0" collapsed="false">
      <c r="A321" s="100" t="str">
        <f aca="false">Equipos!C319</f>
        <v>2-120946</v>
      </c>
      <c r="B321" s="101" t="str">
        <f aca="false">Equipos!D319</f>
        <v>Ventilador Mecánico </v>
      </c>
      <c r="C321" s="101" t="str">
        <f aca="false">Equipos!E319</f>
        <v>UPC Adulto</v>
      </c>
      <c r="D321" s="101" t="n">
        <f aca="false">Equipos!G319</f>
        <v>0</v>
      </c>
      <c r="E321" s="101" t="str">
        <f aca="false">Equipos!I319</f>
        <v>Drager</v>
      </c>
      <c r="F321" s="101" t="str">
        <f aca="false">Equipos!J319</f>
        <v>Evita V800</v>
      </c>
      <c r="G321" s="100" t="str">
        <f aca="false">Equipos!K319</f>
        <v>ASNM-0003</v>
      </c>
      <c r="H321" s="101"/>
      <c r="I321" s="102"/>
      <c r="J321" s="102"/>
      <c r="K321" s="102"/>
      <c r="L321" s="103" t="s">
        <v>329</v>
      </c>
      <c r="M321" s="103" t="s">
        <v>328</v>
      </c>
      <c r="N321" s="102"/>
      <c r="O321" s="102"/>
      <c r="P321" s="102"/>
      <c r="Q321" s="102"/>
      <c r="R321" s="102"/>
      <c r="S321" s="102"/>
      <c r="T321" s="102"/>
      <c r="U321" s="101" t="n">
        <f aca="false">V321+W321+X321+COUNTIF(I321:T321,"R")</f>
        <v>2</v>
      </c>
      <c r="V321" s="101" t="n">
        <f aca="false">COUNTIF(I321:T321,"E")</f>
        <v>1</v>
      </c>
      <c r="W321" s="101" t="n">
        <f aca="false">COUNTIF(I321:T321,"X")</f>
        <v>1</v>
      </c>
      <c r="X321" s="101" t="n">
        <f aca="false">COUNTIF(I321:T321,"C2")+COUNTIF(I321:T321,"C3")</f>
        <v>0</v>
      </c>
      <c r="Y321" s="101" t="n">
        <f aca="true">SUMPRODUCT((I321:INDEX(I321:T321,MONTH(TODAY()))="X")*1)</f>
        <v>1</v>
      </c>
      <c r="Z321" s="104" t="n">
        <f aca="false">IFERROR(V321/U321,"")</f>
        <v>0.5</v>
      </c>
    </row>
    <row r="322" customFormat="false" ht="15" hidden="false" customHeight="true" outlineLevel="0" collapsed="false">
      <c r="A322" s="100" t="str">
        <f aca="false">Equipos!C320</f>
        <v>2-120947</v>
      </c>
      <c r="B322" s="101" t="str">
        <f aca="false">Equipos!D320</f>
        <v>Ventilador Mecánico </v>
      </c>
      <c r="C322" s="101" t="str">
        <f aca="false">Equipos!E320</f>
        <v>UPC Adulto</v>
      </c>
      <c r="D322" s="101" t="n">
        <f aca="false">Equipos!G320</f>
        <v>0</v>
      </c>
      <c r="E322" s="101" t="str">
        <f aca="false">Equipos!I320</f>
        <v>Drager</v>
      </c>
      <c r="F322" s="101" t="str">
        <f aca="false">Equipos!J320</f>
        <v>Evita V800</v>
      </c>
      <c r="G322" s="100" t="str">
        <f aca="false">Equipos!K320</f>
        <v>ASNM-0006</v>
      </c>
      <c r="H322" s="101"/>
      <c r="I322" s="103"/>
      <c r="J322" s="102"/>
      <c r="K322" s="102"/>
      <c r="L322" s="102" t="s">
        <v>329</v>
      </c>
      <c r="M322" s="102"/>
      <c r="N322" s="102"/>
      <c r="O322" s="102"/>
      <c r="P322" s="102"/>
      <c r="Q322" s="102"/>
      <c r="R322" s="102"/>
      <c r="S322" s="102"/>
      <c r="T322" s="102"/>
      <c r="U322" s="101" t="n">
        <f aca="false">V322+W322+X322+COUNTIF(I322:T322,"R")</f>
        <v>1</v>
      </c>
      <c r="V322" s="101" t="n">
        <f aca="false">COUNTIF(I322:T322,"E")</f>
        <v>0</v>
      </c>
      <c r="W322" s="101" t="n">
        <f aca="false">COUNTIF(I322:T322,"X")</f>
        <v>1</v>
      </c>
      <c r="X322" s="101" t="n">
        <f aca="false">COUNTIF(I322:T322,"C2")+COUNTIF(I322:T322,"C3")</f>
        <v>0</v>
      </c>
      <c r="Y322" s="101" t="n">
        <f aca="true">SUMPRODUCT((I322:INDEX(I322:T322,MONTH(TODAY()))="X")*1)</f>
        <v>1</v>
      </c>
      <c r="Z322" s="104" t="n">
        <f aca="false">IFERROR(V322/U322,"")</f>
        <v>0</v>
      </c>
    </row>
    <row r="323" customFormat="false" ht="15" hidden="false" customHeight="true" outlineLevel="0" collapsed="false">
      <c r="A323" s="100" t="str">
        <f aca="false">Equipos!C321</f>
        <v>2-120948</v>
      </c>
      <c r="B323" s="101" t="str">
        <f aca="false">Equipos!D321</f>
        <v>Ventilador Mecánico </v>
      </c>
      <c r="C323" s="101" t="str">
        <f aca="false">Equipos!E321</f>
        <v>UPC Adulto</v>
      </c>
      <c r="D323" s="101" t="n">
        <f aca="false">Equipos!G321</f>
        <v>0</v>
      </c>
      <c r="E323" s="101" t="str">
        <f aca="false">Equipos!I321</f>
        <v>Drager</v>
      </c>
      <c r="F323" s="101" t="str">
        <f aca="false">Equipos!J321</f>
        <v>Evita V800</v>
      </c>
      <c r="G323" s="100" t="str">
        <f aca="false">Equipos!K321</f>
        <v>ASNM-0002</v>
      </c>
      <c r="H323" s="101"/>
      <c r="I323" s="102"/>
      <c r="J323" s="102"/>
      <c r="K323" s="102"/>
      <c r="L323" s="103" t="s">
        <v>329</v>
      </c>
      <c r="M323" s="103"/>
      <c r="N323" s="102"/>
      <c r="O323" s="102"/>
      <c r="P323" s="102"/>
      <c r="Q323" s="102"/>
      <c r="R323" s="102"/>
      <c r="S323" s="102"/>
      <c r="T323" s="102"/>
      <c r="U323" s="101" t="n">
        <f aca="false">V323+W323+X323+COUNTIF(I323:T323,"R")</f>
        <v>1</v>
      </c>
      <c r="V323" s="101" t="n">
        <f aca="false">COUNTIF(I323:T323,"E")</f>
        <v>0</v>
      </c>
      <c r="W323" s="101" t="n">
        <f aca="false">COUNTIF(I323:T323,"X")</f>
        <v>1</v>
      </c>
      <c r="X323" s="101" t="n">
        <f aca="false">COUNTIF(I323:T323,"C2")+COUNTIF(I323:T323,"C3")</f>
        <v>0</v>
      </c>
      <c r="Y323" s="101" t="n">
        <f aca="true">SUMPRODUCT((I323:INDEX(I323:T323,MONTH(TODAY()))="X")*1)</f>
        <v>1</v>
      </c>
      <c r="Z323" s="104" t="n">
        <f aca="false">IFERROR(V323/U323,"")</f>
        <v>0</v>
      </c>
    </row>
    <row r="324" customFormat="false" ht="15" hidden="false" customHeight="true" outlineLevel="0" collapsed="false">
      <c r="A324" s="100" t="n">
        <f aca="false">Equipos!C322</f>
        <v>0</v>
      </c>
      <c r="B324" s="101" t="n">
        <f aca="false">Equipos!D322</f>
        <v>0</v>
      </c>
      <c r="C324" s="101" t="n">
        <f aca="false">Equipos!E322</f>
        <v>0</v>
      </c>
      <c r="D324" s="101" t="n">
        <f aca="false">Equipos!G322</f>
        <v>0</v>
      </c>
      <c r="E324" s="101" t="n">
        <f aca="false">Equipos!I322</f>
        <v>0</v>
      </c>
      <c r="F324" s="101" t="n">
        <f aca="false">Equipos!J322</f>
        <v>0</v>
      </c>
      <c r="G324" s="100" t="n">
        <f aca="false">Equipos!K322</f>
        <v>0</v>
      </c>
      <c r="H324" s="101"/>
      <c r="I324" s="102"/>
      <c r="J324" s="102"/>
      <c r="K324" s="102"/>
      <c r="L324" s="102"/>
      <c r="M324" s="102"/>
      <c r="N324" s="102"/>
      <c r="O324" s="102"/>
      <c r="P324" s="102"/>
      <c r="Q324" s="102"/>
      <c r="R324" s="102"/>
      <c r="S324" s="102"/>
      <c r="T324" s="102"/>
      <c r="U324" s="101" t="n">
        <f aca="false">V324+W324+X324+COUNTIF(I324:T324,"R")</f>
        <v>0</v>
      </c>
      <c r="V324" s="101" t="n">
        <f aca="false">COUNTIF(I324:T324,"E")</f>
        <v>0</v>
      </c>
      <c r="W324" s="101" t="n">
        <f aca="false">COUNTIF(I324:T324,"X")</f>
        <v>0</v>
      </c>
      <c r="X324" s="101" t="n">
        <f aca="false">COUNTIF(I324:T324,"C2")+COUNTIF(I324:T324,"C3")</f>
        <v>0</v>
      </c>
      <c r="Y324" s="101" t="n">
        <f aca="true">SUMPRODUCT((I324:INDEX(I324:T324,MONTH(TODAY()))="X")*1)</f>
        <v>0</v>
      </c>
      <c r="Z324" s="104" t="str">
        <f aca="false">IFERROR(V324/U324,"")</f>
        <v/>
      </c>
    </row>
    <row r="325" customFormat="false" ht="15" hidden="false" customHeight="true" outlineLevel="0" collapsed="false">
      <c r="A325" s="100" t="str">
        <f aca="false">Equipos!C323</f>
        <v>2-121218</v>
      </c>
      <c r="B325" s="101" t="str">
        <f aca="false">Equipos!D323</f>
        <v>Ventilador Mecánico </v>
      </c>
      <c r="C325" s="101" t="str">
        <f aca="false">Equipos!E323</f>
        <v>UPC 3er Piso</v>
      </c>
      <c r="D325" s="101" t="str">
        <f aca="false">Equipos!G323</f>
        <v>Bodega</v>
      </c>
      <c r="E325" s="101" t="str">
        <f aca="false">Equipos!I323</f>
        <v>MEK ICS</v>
      </c>
      <c r="F325" s="101" t="str">
        <f aca="false">Equipos!J323</f>
        <v>MTV1000</v>
      </c>
      <c r="G325" s="100" t="str">
        <f aca="false">Equipos!K323</f>
        <v>MTV1KUA1B0082</v>
      </c>
      <c r="H325" s="101"/>
      <c r="I325" s="102"/>
      <c r="J325" s="102"/>
      <c r="K325" s="102"/>
      <c r="L325" s="103" t="s">
        <v>328</v>
      </c>
      <c r="M325" s="102"/>
      <c r="N325" s="102"/>
      <c r="O325" s="102"/>
      <c r="P325" s="102"/>
      <c r="Q325" s="102"/>
      <c r="R325" s="102"/>
      <c r="S325" s="102"/>
      <c r="T325" s="102"/>
      <c r="U325" s="101" t="n">
        <f aca="false">V325+W325+X325+COUNTIF(I325:T325,"R")</f>
        <v>1</v>
      </c>
      <c r="V325" s="101" t="n">
        <f aca="false">COUNTIF(I325:T325,"E")</f>
        <v>1</v>
      </c>
      <c r="W325" s="101" t="n">
        <f aca="false">COUNTIF(I325:T325,"X")</f>
        <v>0</v>
      </c>
      <c r="X325" s="101" t="n">
        <f aca="false">COUNTIF(I325:T325,"C2")+COUNTIF(I325:T325,"C3")</f>
        <v>0</v>
      </c>
      <c r="Y325" s="101" t="n">
        <f aca="true">SUMPRODUCT((I325:INDEX(I325:T325,MONTH(TODAY()))="X")*1)</f>
        <v>0</v>
      </c>
      <c r="Z325" s="104" t="n">
        <f aca="false">IFERROR(V325/U325,"")</f>
        <v>1</v>
      </c>
    </row>
    <row r="326" customFormat="false" ht="15" hidden="false" customHeight="true" outlineLevel="0" collapsed="false">
      <c r="A326" s="100" t="str">
        <f aca="false">Equipos!C324</f>
        <v>2-121219</v>
      </c>
      <c r="B326" s="101" t="str">
        <f aca="false">Equipos!D324</f>
        <v>Ventilador Mecánico </v>
      </c>
      <c r="C326" s="101" t="str">
        <f aca="false">Equipos!E324</f>
        <v>UPC 3er Piso</v>
      </c>
      <c r="D326" s="101" t="str">
        <f aca="false">Equipos!G324</f>
        <v>Sala de equipos</v>
      </c>
      <c r="E326" s="101" t="str">
        <f aca="false">Equipos!I324</f>
        <v>MEK ICS</v>
      </c>
      <c r="F326" s="101" t="str">
        <f aca="false">Equipos!J324</f>
        <v>MTV1000</v>
      </c>
      <c r="G326" s="100" t="str">
        <f aca="false">Equipos!K324</f>
        <v>MTV1KUA1B0031</v>
      </c>
      <c r="H326" s="101"/>
      <c r="I326" s="103" t="s">
        <v>328</v>
      </c>
      <c r="J326" s="102"/>
      <c r="K326" s="102"/>
      <c r="L326" s="103" t="s">
        <v>328</v>
      </c>
      <c r="M326" s="102"/>
      <c r="N326" s="102"/>
      <c r="O326" s="102"/>
      <c r="P326" s="102"/>
      <c r="Q326" s="102"/>
      <c r="R326" s="102"/>
      <c r="S326" s="102"/>
      <c r="T326" s="102"/>
      <c r="U326" s="101" t="n">
        <f aca="false">V326+W326+X326+COUNTIF(I326:T326,"R")</f>
        <v>2</v>
      </c>
      <c r="V326" s="101" t="n">
        <f aca="false">COUNTIF(I326:T326,"E")</f>
        <v>2</v>
      </c>
      <c r="W326" s="101" t="n">
        <f aca="false">COUNTIF(I326:T326,"X")</f>
        <v>0</v>
      </c>
      <c r="X326" s="101" t="n">
        <f aca="false">COUNTIF(I326:T326,"C2")+COUNTIF(I326:T326,"C3")</f>
        <v>0</v>
      </c>
      <c r="Y326" s="101" t="n">
        <f aca="true">SUMPRODUCT((I326:INDEX(I326:T326,MONTH(TODAY()))="X")*1)</f>
        <v>0</v>
      </c>
      <c r="Z326" s="104" t="n">
        <f aca="false">IFERROR(V326/U326,"")</f>
        <v>1</v>
      </c>
    </row>
    <row r="327" customFormat="false" ht="15" hidden="false" customHeight="true" outlineLevel="0" collapsed="false">
      <c r="A327" s="100" t="str">
        <f aca="false">Equipos!C325</f>
        <v>2-121220</v>
      </c>
      <c r="B327" s="101" t="str">
        <f aca="false">Equipos!D325</f>
        <v>Ventilador Mecánico </v>
      </c>
      <c r="C327" s="101" t="str">
        <f aca="false">Equipos!E325</f>
        <v>UPC 3er Piso</v>
      </c>
      <c r="D327" s="101" t="str">
        <f aca="false">Equipos!G325</f>
        <v>Sala de equipos</v>
      </c>
      <c r="E327" s="101" t="str">
        <f aca="false">Equipos!I325</f>
        <v>MEK ICS</v>
      </c>
      <c r="F327" s="101" t="str">
        <f aca="false">Equipos!J325</f>
        <v>MTV1000</v>
      </c>
      <c r="G327" s="100" t="str">
        <f aca="false">Equipos!K325</f>
        <v>MTV1KUA1B0051</v>
      </c>
      <c r="H327" s="101"/>
      <c r="I327" s="102"/>
      <c r="J327" s="102"/>
      <c r="K327" s="102"/>
      <c r="L327" s="103" t="s">
        <v>328</v>
      </c>
      <c r="M327" s="102"/>
      <c r="N327" s="102"/>
      <c r="O327" s="102"/>
      <c r="P327" s="102"/>
      <c r="Q327" s="102"/>
      <c r="R327" s="102"/>
      <c r="S327" s="102"/>
      <c r="T327" s="102"/>
      <c r="U327" s="101" t="n">
        <f aca="false">V327+W327+X327+COUNTIF(I327:T327,"R")</f>
        <v>1</v>
      </c>
      <c r="V327" s="101" t="n">
        <f aca="false">COUNTIF(I327:T327,"E")</f>
        <v>1</v>
      </c>
      <c r="W327" s="101" t="n">
        <f aca="false">COUNTIF(I327:T327,"X")</f>
        <v>0</v>
      </c>
      <c r="X327" s="101" t="n">
        <f aca="false">COUNTIF(I327:T327,"C2")+COUNTIF(I327:T327,"C3")</f>
        <v>0</v>
      </c>
      <c r="Y327" s="101" t="n">
        <f aca="true">SUMPRODUCT((I327:INDEX(I327:T327,MONTH(TODAY()))="X")*1)</f>
        <v>0</v>
      </c>
      <c r="Z327" s="104" t="n">
        <f aca="false">IFERROR(V327/U327,"")</f>
        <v>1</v>
      </c>
    </row>
    <row r="328" customFormat="false" ht="15" hidden="false" customHeight="true" outlineLevel="0" collapsed="false">
      <c r="A328" s="100" t="str">
        <f aca="false">Equipos!C326</f>
        <v>2-121780</v>
      </c>
      <c r="B328" s="101" t="str">
        <f aca="false">Equipos!D326</f>
        <v>Ventilador Mecánico </v>
      </c>
      <c r="C328" s="101" t="str">
        <f aca="false">Equipos!E326</f>
        <v>UPC Cardiovascular (Prestado a Urgencia Adulto)</v>
      </c>
      <c r="D328" s="101" t="n">
        <f aca="false">Equipos!G326</f>
        <v>0</v>
      </c>
      <c r="E328" s="101" t="str">
        <f aca="false">Equipos!I326</f>
        <v>Puritan Bennett</v>
      </c>
      <c r="F328" s="101" t="str">
        <f aca="false">Equipos!J326</f>
        <v>980/cc</v>
      </c>
      <c r="G328" s="100" t="str">
        <f aca="false">Equipos!K326</f>
        <v>35B2101527</v>
      </c>
      <c r="H328" s="101"/>
      <c r="I328" s="102"/>
      <c r="J328" s="102"/>
      <c r="K328" s="103" t="s">
        <v>330</v>
      </c>
      <c r="L328" s="103" t="s">
        <v>328</v>
      </c>
      <c r="M328" s="102"/>
      <c r="N328" s="102"/>
      <c r="O328" s="102"/>
      <c r="P328" s="102"/>
      <c r="Q328" s="102"/>
      <c r="R328" s="102"/>
      <c r="S328" s="102"/>
      <c r="T328" s="102"/>
      <c r="U328" s="101" t="n">
        <f aca="false">V328+W328+X328+COUNTIF(I328:T328,"R")</f>
        <v>2</v>
      </c>
      <c r="V328" s="101" t="n">
        <f aca="false">COUNTIF(I328:T328,"E")</f>
        <v>1</v>
      </c>
      <c r="W328" s="101" t="n">
        <f aca="false">COUNTIF(I328:T328,"X")</f>
        <v>0</v>
      </c>
      <c r="X328" s="101" t="n">
        <f aca="false">COUNTIF(I328:T328,"C2")+COUNTIF(I328:T328,"C3")</f>
        <v>0</v>
      </c>
      <c r="Y328" s="101" t="n">
        <f aca="true">SUMPRODUCT((I328:INDEX(I328:T328,MONTH(TODAY()))="X")*1)</f>
        <v>0</v>
      </c>
      <c r="Z328" s="104" t="n">
        <f aca="false">IFERROR(V328/U328,"")</f>
        <v>0.5</v>
      </c>
    </row>
    <row r="329" customFormat="false" ht="15" hidden="false" customHeight="true" outlineLevel="0" collapsed="false">
      <c r="A329" s="100" t="str">
        <f aca="false">Equipos!C327</f>
        <v>2-121781</v>
      </c>
      <c r="B329" s="101" t="str">
        <f aca="false">Equipos!D327</f>
        <v>Ventilador Mecánico </v>
      </c>
      <c r="C329" s="101" t="str">
        <f aca="false">Equipos!E327</f>
        <v>UPC Cardiovascular</v>
      </c>
      <c r="D329" s="101" t="str">
        <f aca="false">Equipos!G327</f>
        <v>Sala de equipos</v>
      </c>
      <c r="E329" s="101" t="str">
        <f aca="false">Equipos!I327</f>
        <v>Puritan Bennett</v>
      </c>
      <c r="F329" s="101" t="str">
        <f aca="false">Equipos!J327</f>
        <v>980/cc</v>
      </c>
      <c r="G329" s="100" t="str">
        <f aca="false">Equipos!K327</f>
        <v>35B2101475</v>
      </c>
      <c r="H329" s="101"/>
      <c r="I329" s="102"/>
      <c r="J329" s="102"/>
      <c r="K329" s="103" t="s">
        <v>331</v>
      </c>
      <c r="L329" s="102"/>
      <c r="M329" s="102"/>
      <c r="N329" s="102"/>
      <c r="O329" s="102"/>
      <c r="P329" s="102"/>
      <c r="Q329" s="102"/>
      <c r="R329" s="102"/>
      <c r="S329" s="102"/>
      <c r="T329" s="102"/>
      <c r="U329" s="101" t="n">
        <f aca="false">V329+W329+X329+COUNTIF(I329:T329,"R")</f>
        <v>1</v>
      </c>
      <c r="V329" s="101" t="n">
        <f aca="false">COUNTIF(I329:T329,"E")</f>
        <v>0</v>
      </c>
      <c r="W329" s="101" t="n">
        <f aca="false">COUNTIF(I329:T329,"X")</f>
        <v>0</v>
      </c>
      <c r="X329" s="101" t="n">
        <f aca="false">COUNTIF(I329:T329,"C2")+COUNTIF(I329:T329,"C3")</f>
        <v>1</v>
      </c>
      <c r="Y329" s="101" t="n">
        <f aca="true">SUMPRODUCT((I329:INDEX(I329:T329,MONTH(TODAY()))="X")*1)</f>
        <v>0</v>
      </c>
      <c r="Z329" s="104" t="n">
        <f aca="false">IFERROR(V329/U329,"")</f>
        <v>0</v>
      </c>
    </row>
    <row r="330" customFormat="false" ht="15" hidden="false" customHeight="true" outlineLevel="0" collapsed="false">
      <c r="A330" s="100" t="str">
        <f aca="false">Equipos!C328</f>
        <v>2-133374</v>
      </c>
      <c r="B330" s="101" t="str">
        <f aca="false">Equipos!D328</f>
        <v>Ventilador Mecánico </v>
      </c>
      <c r="C330" s="101" t="str">
        <f aca="false">Equipos!E328</f>
        <v>UPC Cardiovascular</v>
      </c>
      <c r="D330" s="101" t="str">
        <f aca="false">Equipos!G328</f>
        <v>Sala de equipos</v>
      </c>
      <c r="E330" s="101" t="str">
        <f aca="false">Equipos!I328</f>
        <v>Puritan Bennett</v>
      </c>
      <c r="F330" s="101" t="n">
        <f aca="false">Equipos!J328</f>
        <v>980</v>
      </c>
      <c r="G330" s="100" t="str">
        <f aca="false">Equipos!K328</f>
        <v>35B2101446</v>
      </c>
      <c r="H330" s="101"/>
      <c r="I330" s="102"/>
      <c r="J330" s="102"/>
      <c r="K330" s="103" t="s">
        <v>330</v>
      </c>
      <c r="L330" s="103" t="s">
        <v>328</v>
      </c>
      <c r="M330" s="102"/>
      <c r="N330" s="102"/>
      <c r="O330" s="102"/>
      <c r="P330" s="102"/>
      <c r="Q330" s="102"/>
      <c r="R330" s="102"/>
      <c r="S330" s="102"/>
      <c r="T330" s="102"/>
      <c r="U330" s="101" t="n">
        <f aca="false">V330+W330+X330+COUNTIF(I330:T330,"R")</f>
        <v>2</v>
      </c>
      <c r="V330" s="101" t="n">
        <f aca="false">COUNTIF(I330:T330,"E")</f>
        <v>1</v>
      </c>
      <c r="W330" s="101" t="n">
        <f aca="false">COUNTIF(I330:T330,"X")</f>
        <v>0</v>
      </c>
      <c r="X330" s="101" t="n">
        <f aca="false">COUNTIF(I330:T330,"C2")+COUNTIF(I330:T330,"C3")</f>
        <v>0</v>
      </c>
      <c r="Y330" s="101" t="n">
        <f aca="true">SUMPRODUCT((I330:INDEX(I330:T330,MONTH(TODAY()))="X")*1)</f>
        <v>0</v>
      </c>
      <c r="Z330" s="104" t="n">
        <f aca="false">IFERROR(V330/U330,"")</f>
        <v>0.5</v>
      </c>
    </row>
    <row r="331" customFormat="false" ht="15" hidden="false" customHeight="true" outlineLevel="0" collapsed="false">
      <c r="A331" s="100" t="str">
        <f aca="false">Equipos!C329</f>
        <v>200717-005592</v>
      </c>
      <c r="B331" s="101" t="str">
        <f aca="false">Equipos!D329</f>
        <v>Ventilador Mecánico </v>
      </c>
      <c r="C331" s="101" t="str">
        <f aca="false">Equipos!E329</f>
        <v>UPC 3er Piso</v>
      </c>
      <c r="D331" s="101" t="n">
        <f aca="false">Equipos!G329</f>
        <v>0</v>
      </c>
      <c r="E331" s="101" t="str">
        <f aca="false">Equipos!I329</f>
        <v>Puritan Bennett</v>
      </c>
      <c r="F331" s="101" t="n">
        <f aca="false">Equipos!J329</f>
        <v>840</v>
      </c>
      <c r="G331" s="100" t="str">
        <f aca="false">Equipos!K329</f>
        <v>3512202272</v>
      </c>
      <c r="H331" s="101"/>
      <c r="I331" s="102"/>
      <c r="J331" s="102"/>
      <c r="K331" s="103" t="s">
        <v>330</v>
      </c>
      <c r="L331" s="103" t="s">
        <v>328</v>
      </c>
      <c r="M331" s="102"/>
      <c r="N331" s="102"/>
      <c r="O331" s="102"/>
      <c r="P331" s="102"/>
      <c r="Q331" s="102"/>
      <c r="R331" s="102"/>
      <c r="S331" s="102"/>
      <c r="T331" s="102"/>
      <c r="U331" s="101" t="n">
        <f aca="false">V331+W331+X331+COUNTIF(I331:T331,"R")</f>
        <v>2</v>
      </c>
      <c r="V331" s="101" t="n">
        <f aca="false">COUNTIF(I331:T331,"E")</f>
        <v>1</v>
      </c>
      <c r="W331" s="101" t="n">
        <f aca="false">COUNTIF(I331:T331,"X")</f>
        <v>0</v>
      </c>
      <c r="X331" s="101" t="n">
        <f aca="false">COUNTIF(I331:T331,"C2")+COUNTIF(I331:T331,"C3")</f>
        <v>0</v>
      </c>
      <c r="Y331" s="101" t="n">
        <f aca="true">SUMPRODUCT((I331:INDEX(I331:T331,MONTH(TODAY()))="X")*1)</f>
        <v>0</v>
      </c>
      <c r="Z331" s="104" t="n">
        <f aca="false">IFERROR(V331/U331,"")</f>
        <v>0.5</v>
      </c>
    </row>
    <row r="332" customFormat="false" ht="15" hidden="false" customHeight="true" outlineLevel="0" collapsed="false">
      <c r="A332" s="100" t="str">
        <f aca="false">Equipos!C330</f>
        <v>200717-005511</v>
      </c>
      <c r="B332" s="101" t="str">
        <f aca="false">Equipos!D330</f>
        <v>Ventilador Mecánico </v>
      </c>
      <c r="C332" s="101" t="str">
        <f aca="false">Equipos!E330</f>
        <v>UPC 3er Piso</v>
      </c>
      <c r="D332" s="101" t="n">
        <f aca="false">Equipos!G330</f>
        <v>0</v>
      </c>
      <c r="E332" s="101" t="str">
        <f aca="false">Equipos!I330</f>
        <v>Puritan Bennett</v>
      </c>
      <c r="F332" s="101" t="n">
        <f aca="false">Equipos!J330</f>
        <v>840</v>
      </c>
      <c r="G332" s="100" t="str">
        <f aca="false">Equipos!K330</f>
        <v>3512202231</v>
      </c>
      <c r="H332" s="101"/>
      <c r="I332" s="102"/>
      <c r="J332" s="102"/>
      <c r="K332" s="103" t="s">
        <v>330</v>
      </c>
      <c r="L332" s="103" t="s">
        <v>328</v>
      </c>
      <c r="M332" s="102"/>
      <c r="N332" s="102"/>
      <c r="O332" s="102"/>
      <c r="P332" s="102"/>
      <c r="Q332" s="102"/>
      <c r="R332" s="102"/>
      <c r="S332" s="102"/>
      <c r="T332" s="102"/>
      <c r="U332" s="101" t="n">
        <f aca="false">V332+W332+X332+COUNTIF(I332:T332,"R")</f>
        <v>2</v>
      </c>
      <c r="V332" s="101" t="n">
        <f aca="false">COUNTIF(I332:T332,"E")</f>
        <v>1</v>
      </c>
      <c r="W332" s="101" t="n">
        <f aca="false">COUNTIF(I332:T332,"X")</f>
        <v>0</v>
      </c>
      <c r="X332" s="101" t="n">
        <f aca="false">COUNTIF(I332:T332,"C2")+COUNTIF(I332:T332,"C3")</f>
        <v>0</v>
      </c>
      <c r="Y332" s="101" t="n">
        <f aca="true">SUMPRODUCT((I332:INDEX(I332:T332,MONTH(TODAY()))="X")*1)</f>
        <v>0</v>
      </c>
      <c r="Z332" s="104" t="n">
        <f aca="false">IFERROR(V332/U332,"")</f>
        <v>0.5</v>
      </c>
    </row>
    <row r="333" customFormat="false" ht="15" hidden="false" customHeight="true" outlineLevel="0" collapsed="false">
      <c r="A333" s="100" t="str">
        <f aca="false">Equipos!C331</f>
        <v>200717-001961</v>
      </c>
      <c r="B333" s="101" t="str">
        <f aca="false">Equipos!D331</f>
        <v>Ventilador Mecánico </v>
      </c>
      <c r="C333" s="101" t="str">
        <f aca="false">Equipos!E331</f>
        <v>UPC 3er Piso</v>
      </c>
      <c r="D333" s="101" t="n">
        <f aca="false">Equipos!G331</f>
        <v>0</v>
      </c>
      <c r="E333" s="101" t="str">
        <f aca="false">Equipos!I331</f>
        <v>Aeonmed</v>
      </c>
      <c r="F333" s="101" t="str">
        <f aca="false">Equipos!J331</f>
        <v>VG70</v>
      </c>
      <c r="G333" s="100" t="str">
        <f aca="false">Equipos!K331</f>
        <v>VG70(E)XZZT15424</v>
      </c>
      <c r="H333" s="101"/>
      <c r="I333" s="102"/>
      <c r="J333" s="102"/>
      <c r="K333" s="102"/>
      <c r="L333" s="103" t="s">
        <v>328</v>
      </c>
      <c r="M333" s="102"/>
      <c r="N333" s="102"/>
      <c r="O333" s="102"/>
      <c r="P333" s="102"/>
      <c r="Q333" s="102"/>
      <c r="R333" s="102"/>
      <c r="S333" s="102"/>
      <c r="T333" s="102"/>
      <c r="U333" s="101" t="n">
        <f aca="false">V333+W333+X333+COUNTIF(I333:T333,"R")</f>
        <v>1</v>
      </c>
      <c r="V333" s="101" t="n">
        <f aca="false">COUNTIF(I333:T333,"E")</f>
        <v>1</v>
      </c>
      <c r="W333" s="101" t="n">
        <f aca="false">COUNTIF(I333:T333,"X")</f>
        <v>0</v>
      </c>
      <c r="X333" s="101" t="n">
        <f aca="false">COUNTIF(I333:T333,"C2")+COUNTIF(I333:T333,"C3")</f>
        <v>0</v>
      </c>
      <c r="Y333" s="101" t="n">
        <f aca="true">SUMPRODUCT((I333:INDEX(I333:T333,MONTH(TODAY()))="X")*1)</f>
        <v>0</v>
      </c>
      <c r="Z333" s="104" t="n">
        <f aca="false">IFERROR(V333/U333,"")</f>
        <v>1</v>
      </c>
    </row>
    <row r="334" customFormat="false" ht="15" hidden="false" customHeight="true" outlineLevel="0" collapsed="false">
      <c r="A334" s="100" t="str">
        <f aca="false">Equipos!C332</f>
        <v>2-125250</v>
      </c>
      <c r="B334" s="101" t="str">
        <f aca="false">Equipos!D332</f>
        <v>Ventilador Mecánico </v>
      </c>
      <c r="C334" s="101" t="str">
        <f aca="false">Equipos!E332</f>
        <v>UPC Pediátrica</v>
      </c>
      <c r="D334" s="101" t="str">
        <f aca="false">Equipos!G332</f>
        <v>Sala de equipos</v>
      </c>
      <c r="E334" s="101" t="str">
        <f aca="false">Equipos!I332</f>
        <v>Philips</v>
      </c>
      <c r="F334" s="101" t="str">
        <f aca="false">Equipos!J332</f>
        <v>Trilogy EV300</v>
      </c>
      <c r="G334" s="100" t="str">
        <f aca="false">Equipos!K332</f>
        <v>H29942683ADD6</v>
      </c>
      <c r="H334" s="101"/>
      <c r="I334" s="102"/>
      <c r="J334" s="102"/>
      <c r="K334" s="103" t="s">
        <v>328</v>
      </c>
      <c r="L334" s="102"/>
      <c r="M334" s="102"/>
      <c r="N334" s="102"/>
      <c r="O334" s="102"/>
      <c r="P334" s="102"/>
      <c r="Q334" s="102"/>
      <c r="R334" s="102"/>
      <c r="S334" s="102"/>
      <c r="T334" s="102"/>
      <c r="U334" s="101" t="n">
        <f aca="false">V334+W334+X334+COUNTIF(I334:T334,"R")</f>
        <v>1</v>
      </c>
      <c r="V334" s="101" t="n">
        <f aca="false">COUNTIF(I334:T334,"E")</f>
        <v>1</v>
      </c>
      <c r="W334" s="101" t="n">
        <f aca="false">COUNTIF(I334:T334,"X")</f>
        <v>0</v>
      </c>
      <c r="X334" s="101" t="n">
        <f aca="false">COUNTIF(I334:T334,"C2")+COUNTIF(I334:T334,"C3")</f>
        <v>0</v>
      </c>
      <c r="Y334" s="101" t="n">
        <f aca="true">SUMPRODUCT((I334:INDEX(I334:T334,MONTH(TODAY()))="X")*1)</f>
        <v>0</v>
      </c>
      <c r="Z334" s="104" t="n">
        <f aca="false">IFERROR(V334/U334,"")</f>
        <v>1</v>
      </c>
    </row>
    <row r="335" customFormat="false" ht="15" hidden="false" customHeight="true" outlineLevel="0" collapsed="false">
      <c r="A335" s="100" t="str">
        <f aca="false">Equipos!C333</f>
        <v>2-116493</v>
      </c>
      <c r="B335" s="101" t="str">
        <f aca="false">Equipos!D333</f>
        <v>Ventilador Mecánico </v>
      </c>
      <c r="C335" s="101" t="str">
        <f aca="false">Equipos!E333</f>
        <v>UPC Pediátrica</v>
      </c>
      <c r="D335" s="101" t="str">
        <f aca="false">Equipos!G333</f>
        <v>Sala de equipos</v>
      </c>
      <c r="E335" s="101" t="str">
        <f aca="false">Equipos!I333</f>
        <v>Philips</v>
      </c>
      <c r="F335" s="101" t="str">
        <f aca="false">Equipos!J333</f>
        <v>Trilogy 202</v>
      </c>
      <c r="G335" s="100" t="str">
        <f aca="false">Equipos!K333</f>
        <v>TV018020609</v>
      </c>
      <c r="H335" s="101"/>
      <c r="I335" s="102"/>
      <c r="J335" s="102"/>
      <c r="K335" s="103" t="s">
        <v>328</v>
      </c>
      <c r="L335" s="102"/>
      <c r="M335" s="102"/>
      <c r="N335" s="102"/>
      <c r="O335" s="102"/>
      <c r="P335" s="102"/>
      <c r="Q335" s="102"/>
      <c r="R335" s="102"/>
      <c r="S335" s="102"/>
      <c r="T335" s="102"/>
      <c r="U335" s="101" t="n">
        <f aca="false">V335+W335+X335+COUNTIF(I335:T335,"R")</f>
        <v>1</v>
      </c>
      <c r="V335" s="101" t="n">
        <f aca="false">COUNTIF(I335:T335,"E")</f>
        <v>1</v>
      </c>
      <c r="W335" s="101" t="n">
        <f aca="false">COUNTIF(I335:T335,"X")</f>
        <v>0</v>
      </c>
      <c r="X335" s="101" t="n">
        <f aca="false">COUNTIF(I335:T335,"C2")+COUNTIF(I335:T335,"C3")</f>
        <v>0</v>
      </c>
      <c r="Y335" s="101" t="n">
        <f aca="true">SUMPRODUCT((I335:INDEX(I335:T335,MONTH(TODAY()))="X")*1)</f>
        <v>0</v>
      </c>
      <c r="Z335" s="104" t="n">
        <f aca="false">IFERROR(V335/U335,"")</f>
        <v>1</v>
      </c>
    </row>
    <row r="336" customFormat="false" ht="15" hidden="false" customHeight="true" outlineLevel="0" collapsed="false">
      <c r="A336" s="100" t="str">
        <f aca="false">Equipos!C334</f>
        <v>2-116494</v>
      </c>
      <c r="B336" s="101" t="str">
        <f aca="false">Equipos!D334</f>
        <v>Ventilador Mecánico </v>
      </c>
      <c r="C336" s="101" t="str">
        <f aca="false">Equipos!E334</f>
        <v>UPC Pediátrica</v>
      </c>
      <c r="D336" s="101" t="str">
        <f aca="false">Equipos!G334</f>
        <v>Sala de equipos</v>
      </c>
      <c r="E336" s="101" t="str">
        <f aca="false">Equipos!I334</f>
        <v>Philips</v>
      </c>
      <c r="F336" s="101" t="str">
        <f aca="false">Equipos!J334</f>
        <v>Trilogy 202</v>
      </c>
      <c r="G336" s="100" t="str">
        <f aca="false">Equipos!K334</f>
        <v>TV01802060A</v>
      </c>
      <c r="H336" s="101"/>
      <c r="I336" s="102"/>
      <c r="J336" s="102"/>
      <c r="K336" s="103" t="s">
        <v>328</v>
      </c>
      <c r="L336" s="102"/>
      <c r="M336" s="102"/>
      <c r="N336" s="102"/>
      <c r="O336" s="102"/>
      <c r="P336" s="102"/>
      <c r="Q336" s="102"/>
      <c r="R336" s="102"/>
      <c r="S336" s="102"/>
      <c r="T336" s="102"/>
      <c r="U336" s="101" t="n">
        <f aca="false">V336+W336+X336+COUNTIF(I336:T336,"R")</f>
        <v>1</v>
      </c>
      <c r="V336" s="101" t="n">
        <f aca="false">COUNTIF(I336:T336,"E")</f>
        <v>1</v>
      </c>
      <c r="W336" s="101" t="n">
        <f aca="false">COUNTIF(I336:T336,"X")</f>
        <v>0</v>
      </c>
      <c r="X336" s="101" t="n">
        <f aca="false">COUNTIF(I336:T336,"C2")+COUNTIF(I336:T336,"C3")</f>
        <v>0</v>
      </c>
      <c r="Y336" s="101" t="n">
        <f aca="true">SUMPRODUCT((I336:INDEX(I336:T336,MONTH(TODAY()))="X")*1)</f>
        <v>0</v>
      </c>
      <c r="Z336" s="104" t="n">
        <f aca="false">IFERROR(V336/U336,"")</f>
        <v>1</v>
      </c>
    </row>
    <row r="337" customFormat="false" ht="15" hidden="false" customHeight="true" outlineLevel="0" collapsed="false">
      <c r="A337" s="100" t="str">
        <f aca="false">Equipos!C335</f>
        <v>2-116495</v>
      </c>
      <c r="B337" s="101" t="str">
        <f aca="false">Equipos!D335</f>
        <v>Ventilador Mecánico </v>
      </c>
      <c r="C337" s="101" t="str">
        <f aca="false">Equipos!E335</f>
        <v>UPC Pediátrica</v>
      </c>
      <c r="D337" s="101" t="str">
        <f aca="false">Equipos!G335</f>
        <v>Sala de equipos</v>
      </c>
      <c r="E337" s="101" t="str">
        <f aca="false">Equipos!I335</f>
        <v>Philips</v>
      </c>
      <c r="F337" s="101" t="str">
        <f aca="false">Equipos!J335</f>
        <v>Trilogy 202</v>
      </c>
      <c r="G337" s="100" t="str">
        <f aca="false">Equipos!K335</f>
        <v>TV018020612</v>
      </c>
      <c r="H337" s="101"/>
      <c r="I337" s="102"/>
      <c r="J337" s="102"/>
      <c r="K337" s="103" t="s">
        <v>332</v>
      </c>
      <c r="L337" s="102"/>
      <c r="M337" s="102"/>
      <c r="N337" s="102"/>
      <c r="O337" s="102"/>
      <c r="P337" s="102"/>
      <c r="Q337" s="102"/>
      <c r="R337" s="102"/>
      <c r="S337" s="102"/>
      <c r="T337" s="102"/>
      <c r="U337" s="101" t="n">
        <f aca="false">V337+W337+X337+COUNTIF(I337:T337,"R")</f>
        <v>1</v>
      </c>
      <c r="V337" s="101" t="n">
        <f aca="false">COUNTIF(I337:T337,"E")</f>
        <v>0</v>
      </c>
      <c r="W337" s="101" t="n">
        <f aca="false">COUNTIF(I337:T337,"X")</f>
        <v>0</v>
      </c>
      <c r="X337" s="101" t="n">
        <f aca="false">COUNTIF(I337:T337,"C2")+COUNTIF(I337:T337,"C3")</f>
        <v>1</v>
      </c>
      <c r="Y337" s="101" t="n">
        <f aca="true">SUMPRODUCT((I337:INDEX(I337:T337,MONTH(TODAY()))="X")*1)</f>
        <v>0</v>
      </c>
      <c r="Z337" s="104" t="n">
        <f aca="false">IFERROR(V337/U337,"")</f>
        <v>0</v>
      </c>
    </row>
    <row r="338" customFormat="false" ht="15" hidden="false" customHeight="true" outlineLevel="0" collapsed="false">
      <c r="A338" s="100" t="str">
        <f aca="false">Equipos!C336</f>
        <v>2-116496</v>
      </c>
      <c r="B338" s="101" t="str">
        <f aca="false">Equipos!D336</f>
        <v>Ventilador Mecánico </v>
      </c>
      <c r="C338" s="101" t="str">
        <f aca="false">Equipos!E336</f>
        <v>UPC Pediátrica</v>
      </c>
      <c r="D338" s="101" t="str">
        <f aca="false">Equipos!G336</f>
        <v>Sala de equipos</v>
      </c>
      <c r="E338" s="101" t="str">
        <f aca="false">Equipos!I336</f>
        <v>Philips</v>
      </c>
      <c r="F338" s="101" t="str">
        <f aca="false">Equipos!J336</f>
        <v>Trilogy 202</v>
      </c>
      <c r="G338" s="100" t="str">
        <f aca="false">Equipos!K336</f>
        <v>TV018021903</v>
      </c>
      <c r="H338" s="101"/>
      <c r="I338" s="102"/>
      <c r="J338" s="102"/>
      <c r="K338" s="103" t="s">
        <v>328</v>
      </c>
      <c r="L338" s="102"/>
      <c r="M338" s="102"/>
      <c r="N338" s="102"/>
      <c r="O338" s="102"/>
      <c r="P338" s="102"/>
      <c r="Q338" s="102"/>
      <c r="R338" s="102"/>
      <c r="S338" s="102"/>
      <c r="T338" s="102"/>
      <c r="U338" s="101" t="n">
        <f aca="false">V338+W338+X338+COUNTIF(I338:T338,"R")</f>
        <v>1</v>
      </c>
      <c r="V338" s="101" t="n">
        <f aca="false">COUNTIF(I338:T338,"E")</f>
        <v>1</v>
      </c>
      <c r="W338" s="101" t="n">
        <f aca="false">COUNTIF(I338:T338,"X")</f>
        <v>0</v>
      </c>
      <c r="X338" s="101" t="n">
        <f aca="false">COUNTIF(I338:T338,"C2")+COUNTIF(I338:T338,"C3")</f>
        <v>0</v>
      </c>
      <c r="Y338" s="101" t="n">
        <f aca="true">SUMPRODUCT((I338:INDEX(I338:T338,MONTH(TODAY()))="X")*1)</f>
        <v>0</v>
      </c>
      <c r="Z338" s="104" t="n">
        <f aca="false">IFERROR(V338/U338,"")</f>
        <v>1</v>
      </c>
    </row>
    <row r="339" customFormat="false" ht="15" hidden="false" customHeight="true" outlineLevel="0" collapsed="false">
      <c r="A339" s="100" t="str">
        <f aca="false">Equipos!C337</f>
        <v>2-116497</v>
      </c>
      <c r="B339" s="101" t="str">
        <f aca="false">Equipos!D337</f>
        <v>Ventilador Mecánico </v>
      </c>
      <c r="C339" s="101" t="str">
        <f aca="false">Equipos!E337</f>
        <v>UPC Pediátrica</v>
      </c>
      <c r="D339" s="101" t="str">
        <f aca="false">Equipos!G337</f>
        <v>Sala de equipos</v>
      </c>
      <c r="E339" s="101" t="str">
        <f aca="false">Equipos!I337</f>
        <v>Philips</v>
      </c>
      <c r="F339" s="101" t="str">
        <f aca="false">Equipos!J337</f>
        <v>Trilogy 202</v>
      </c>
      <c r="G339" s="100" t="str">
        <f aca="false">Equipos!K337</f>
        <v>TV018021907</v>
      </c>
      <c r="H339" s="101"/>
      <c r="I339" s="102"/>
      <c r="J339" s="102"/>
      <c r="K339" s="103" t="s">
        <v>328</v>
      </c>
      <c r="L339" s="102"/>
      <c r="M339" s="102"/>
      <c r="N339" s="102"/>
      <c r="O339" s="102"/>
      <c r="P339" s="102"/>
      <c r="Q339" s="102"/>
      <c r="R339" s="102"/>
      <c r="S339" s="102"/>
      <c r="T339" s="102"/>
      <c r="U339" s="101" t="n">
        <f aca="false">V339+W339+X339+COUNTIF(I339:T339,"R")</f>
        <v>1</v>
      </c>
      <c r="V339" s="101" t="n">
        <f aca="false">COUNTIF(I339:T339,"E")</f>
        <v>1</v>
      </c>
      <c r="W339" s="101" t="n">
        <f aca="false">COUNTIF(I339:T339,"X")</f>
        <v>0</v>
      </c>
      <c r="X339" s="101" t="n">
        <f aca="false">COUNTIF(I339:T339,"C2")+COUNTIF(I339:T339,"C3")</f>
        <v>0</v>
      </c>
      <c r="Y339" s="101" t="n">
        <f aca="true">SUMPRODUCT((I339:INDEX(I339:T339,MONTH(TODAY()))="X")*1)</f>
        <v>0</v>
      </c>
      <c r="Z339" s="104" t="n">
        <f aca="false">IFERROR(V339/U339,"")</f>
        <v>1</v>
      </c>
    </row>
    <row r="340" customFormat="false" ht="15" hidden="false" customHeight="true" outlineLevel="0" collapsed="false">
      <c r="A340" s="100" t="str">
        <f aca="false">Equipos!C338</f>
        <v>2-116498</v>
      </c>
      <c r="B340" s="101" t="str">
        <f aca="false">Equipos!D338</f>
        <v>Ventilador Mecánico </v>
      </c>
      <c r="C340" s="101" t="str">
        <f aca="false">Equipos!E338</f>
        <v>UPC Pediátrica</v>
      </c>
      <c r="D340" s="101" t="str">
        <f aca="false">Equipos!G338</f>
        <v>Sala de equipos</v>
      </c>
      <c r="E340" s="101" t="str">
        <f aca="false">Equipos!I338</f>
        <v>Philips</v>
      </c>
      <c r="F340" s="101" t="str">
        <f aca="false">Equipos!J338</f>
        <v>Trilogy 202</v>
      </c>
      <c r="G340" s="100" t="str">
        <f aca="false">Equipos!K338</f>
        <v>TV018021909</v>
      </c>
      <c r="H340" s="101"/>
      <c r="I340" s="102"/>
      <c r="J340" s="102"/>
      <c r="K340" s="103" t="s">
        <v>328</v>
      </c>
      <c r="L340" s="102"/>
      <c r="M340" s="102"/>
      <c r="N340" s="102"/>
      <c r="O340" s="102"/>
      <c r="P340" s="102"/>
      <c r="Q340" s="102"/>
      <c r="R340" s="102"/>
      <c r="S340" s="102"/>
      <c r="T340" s="102"/>
      <c r="U340" s="101" t="n">
        <f aca="false">V340+W340+X340+COUNTIF(I340:T340,"R")</f>
        <v>1</v>
      </c>
      <c r="V340" s="101" t="n">
        <f aca="false">COUNTIF(I340:T340,"E")</f>
        <v>1</v>
      </c>
      <c r="W340" s="101" t="n">
        <f aca="false">COUNTIF(I340:T340,"X")</f>
        <v>0</v>
      </c>
      <c r="X340" s="101" t="n">
        <f aca="false">COUNTIF(I340:T340,"C2")+COUNTIF(I340:T340,"C3")</f>
        <v>0</v>
      </c>
      <c r="Y340" s="101" t="n">
        <f aca="true">SUMPRODUCT((I340:INDEX(I340:T340,MONTH(TODAY()))="X")*1)</f>
        <v>0</v>
      </c>
      <c r="Z340" s="104" t="n">
        <f aca="false">IFERROR(V340/U340,"")</f>
        <v>1</v>
      </c>
    </row>
    <row r="341" customFormat="false" ht="15" hidden="false" customHeight="true" outlineLevel="0" collapsed="false">
      <c r="A341" s="100" t="str">
        <f aca="false">Equipos!C339</f>
        <v>2-116499</v>
      </c>
      <c r="B341" s="101" t="str">
        <f aca="false">Equipos!D339</f>
        <v>Ventilador Mecánico </v>
      </c>
      <c r="C341" s="101" t="str">
        <f aca="false">Equipos!E339</f>
        <v>UPC Pediátrica</v>
      </c>
      <c r="D341" s="101" t="str">
        <f aca="false">Equipos!G339</f>
        <v>Sala de equipos</v>
      </c>
      <c r="E341" s="101" t="str">
        <f aca="false">Equipos!I339</f>
        <v>Philips</v>
      </c>
      <c r="F341" s="101" t="str">
        <f aca="false">Equipos!J339</f>
        <v>Trilogy 202</v>
      </c>
      <c r="G341" s="100" t="str">
        <f aca="false">Equipos!K339</f>
        <v>TV01802190A</v>
      </c>
      <c r="H341" s="101"/>
      <c r="I341" s="102"/>
      <c r="J341" s="102"/>
      <c r="K341" s="103" t="s">
        <v>330</v>
      </c>
      <c r="L341" s="103" t="s">
        <v>328</v>
      </c>
      <c r="M341" s="102"/>
      <c r="N341" s="102"/>
      <c r="O341" s="102"/>
      <c r="P341" s="102"/>
      <c r="Q341" s="102"/>
      <c r="R341" s="102"/>
      <c r="S341" s="102"/>
      <c r="T341" s="102"/>
      <c r="U341" s="101" t="n">
        <f aca="false">V341+W341+X341+COUNTIF(I341:T341,"R")</f>
        <v>2</v>
      </c>
      <c r="V341" s="101" t="n">
        <f aca="false">COUNTIF(I341:T341,"E")</f>
        <v>1</v>
      </c>
      <c r="W341" s="101" t="n">
        <f aca="false">COUNTIF(I341:T341,"X")</f>
        <v>0</v>
      </c>
      <c r="X341" s="101" t="n">
        <f aca="false">COUNTIF(I341:T341,"C2")+COUNTIF(I341:T341,"C3")</f>
        <v>0</v>
      </c>
      <c r="Y341" s="101" t="n">
        <f aca="true">SUMPRODUCT((I341:INDEX(I341:T341,MONTH(TODAY()))="X")*1)</f>
        <v>0</v>
      </c>
      <c r="Z341" s="104" t="n">
        <f aca="false">IFERROR(V341/U341,"")</f>
        <v>0.5</v>
      </c>
    </row>
    <row r="342" customFormat="false" ht="15" hidden="false" customHeight="true" outlineLevel="0" collapsed="false">
      <c r="A342" s="100" t="str">
        <f aca="false">Equipos!C340</f>
        <v>2-116500</v>
      </c>
      <c r="B342" s="101" t="str">
        <f aca="false">Equipos!D340</f>
        <v>Ventilador Mecánico </v>
      </c>
      <c r="C342" s="101" t="str">
        <f aca="false">Equipos!E340</f>
        <v>UPC Pediátrica</v>
      </c>
      <c r="D342" s="101" t="str">
        <f aca="false">Equipos!G340</f>
        <v>Sala de equipos</v>
      </c>
      <c r="E342" s="101" t="str">
        <f aca="false">Equipos!I340</f>
        <v>Philips</v>
      </c>
      <c r="F342" s="101" t="str">
        <f aca="false">Equipos!J340</f>
        <v>Trilogy 202</v>
      </c>
      <c r="G342" s="100" t="str">
        <f aca="false">Equipos!K340</f>
        <v>TV01802190B</v>
      </c>
      <c r="H342" s="101"/>
      <c r="I342" s="102"/>
      <c r="J342" s="102"/>
      <c r="K342" s="103" t="s">
        <v>332</v>
      </c>
      <c r="L342" s="102"/>
      <c r="M342" s="102"/>
      <c r="N342" s="102"/>
      <c r="O342" s="102"/>
      <c r="P342" s="102"/>
      <c r="Q342" s="102"/>
      <c r="R342" s="102"/>
      <c r="S342" s="102"/>
      <c r="T342" s="102"/>
      <c r="U342" s="101" t="n">
        <f aca="false">V342+W342+X342+COUNTIF(I342:T342,"R")</f>
        <v>1</v>
      </c>
      <c r="V342" s="101" t="n">
        <f aca="false">COUNTIF(I342:T342,"E")</f>
        <v>0</v>
      </c>
      <c r="W342" s="101" t="n">
        <f aca="false">COUNTIF(I342:T342,"X")</f>
        <v>0</v>
      </c>
      <c r="X342" s="101" t="n">
        <f aca="false">COUNTIF(I342:T342,"C2")+COUNTIF(I342:T342,"C3")</f>
        <v>1</v>
      </c>
      <c r="Y342" s="101" t="n">
        <f aca="true">SUMPRODUCT((I342:INDEX(I342:T342,MONTH(TODAY()))="X")*1)</f>
        <v>0</v>
      </c>
      <c r="Z342" s="104" t="n">
        <f aca="false">IFERROR(V342/U342,"")</f>
        <v>0</v>
      </c>
    </row>
    <row r="343" customFormat="false" ht="15" hidden="false" customHeight="true" outlineLevel="0" collapsed="false">
      <c r="A343" s="100" t="str">
        <f aca="false">Equipos!C341</f>
        <v>2-116501</v>
      </c>
      <c r="B343" s="101" t="str">
        <f aca="false">Equipos!D341</f>
        <v>Ventilador Mecánico </v>
      </c>
      <c r="C343" s="101" t="str">
        <f aca="false">Equipos!E341</f>
        <v>UPC Pediátrica</v>
      </c>
      <c r="D343" s="101" t="str">
        <f aca="false">Equipos!G341</f>
        <v>Sala de equipos</v>
      </c>
      <c r="E343" s="101" t="str">
        <f aca="false">Equipos!I341</f>
        <v>Philips</v>
      </c>
      <c r="F343" s="101" t="str">
        <f aca="false">Equipos!J341</f>
        <v>Trilogy 202</v>
      </c>
      <c r="G343" s="100" t="str">
        <f aca="false">Equipos!K341</f>
        <v>TV01802190C</v>
      </c>
      <c r="H343" s="101"/>
      <c r="I343" s="102"/>
      <c r="J343" s="102"/>
      <c r="K343" s="103" t="s">
        <v>330</v>
      </c>
      <c r="L343" s="103" t="s">
        <v>328</v>
      </c>
      <c r="M343" s="102"/>
      <c r="N343" s="102"/>
      <c r="O343" s="102"/>
      <c r="P343" s="102"/>
      <c r="Q343" s="102"/>
      <c r="R343" s="102"/>
      <c r="S343" s="102"/>
      <c r="T343" s="102"/>
      <c r="U343" s="101" t="n">
        <f aca="false">V343+W343+X343+COUNTIF(I343:T343,"R")</f>
        <v>2</v>
      </c>
      <c r="V343" s="101" t="n">
        <f aca="false">COUNTIF(I343:T343,"E")</f>
        <v>1</v>
      </c>
      <c r="W343" s="101" t="n">
        <f aca="false">COUNTIF(I343:T343,"X")</f>
        <v>0</v>
      </c>
      <c r="X343" s="101" t="n">
        <f aca="false">COUNTIF(I343:T343,"C2")+COUNTIF(I343:T343,"C3")</f>
        <v>0</v>
      </c>
      <c r="Y343" s="101" t="n">
        <f aca="true">SUMPRODUCT((I343:INDEX(I343:T343,MONTH(TODAY()))="X")*1)</f>
        <v>0</v>
      </c>
      <c r="Z343" s="104" t="n">
        <f aca="false">IFERROR(V343/U343,"")</f>
        <v>0.5</v>
      </c>
    </row>
    <row r="344" customFormat="false" ht="15" hidden="false" customHeight="true" outlineLevel="0" collapsed="false">
      <c r="A344" s="100" t="str">
        <f aca="false">Equipos!C342</f>
        <v>2-119582</v>
      </c>
      <c r="B344" s="101" t="str">
        <f aca="false">Equipos!D342</f>
        <v>Ventilador Mecánico </v>
      </c>
      <c r="C344" s="101" t="str">
        <f aca="false">Equipos!E342</f>
        <v>Hospitalización Domiciliaria</v>
      </c>
      <c r="D344" s="101" t="str">
        <f aca="false">Equipos!G342</f>
        <v>Domicilio de paciente</v>
      </c>
      <c r="E344" s="101" t="str">
        <f aca="false">Equipos!I342</f>
        <v>Philips</v>
      </c>
      <c r="F344" s="101" t="str">
        <f aca="false">Equipos!J342</f>
        <v>Trilogy EVO</v>
      </c>
      <c r="G344" s="100" t="str">
        <f aca="false">Equipos!K342</f>
        <v>H27247766FFE4</v>
      </c>
      <c r="H344" s="101"/>
      <c r="I344" s="102"/>
      <c r="J344" s="102"/>
      <c r="K344" s="103" t="s">
        <v>330</v>
      </c>
      <c r="L344" s="103" t="s">
        <v>328</v>
      </c>
      <c r="M344" s="102"/>
      <c r="N344" s="102"/>
      <c r="O344" s="102"/>
      <c r="P344" s="102"/>
      <c r="Q344" s="102"/>
      <c r="R344" s="102"/>
      <c r="S344" s="102"/>
      <c r="T344" s="102"/>
      <c r="U344" s="101" t="n">
        <f aca="false">V344+W344+X344+COUNTIF(I344:T344,"R")</f>
        <v>2</v>
      </c>
      <c r="V344" s="101" t="n">
        <f aca="false">COUNTIF(I344:T344,"E")</f>
        <v>1</v>
      </c>
      <c r="W344" s="101" t="n">
        <f aca="false">COUNTIF(I344:T344,"X")</f>
        <v>0</v>
      </c>
      <c r="X344" s="101" t="n">
        <f aca="false">COUNTIF(I344:T344,"C2")+COUNTIF(I344:T344,"C3")</f>
        <v>0</v>
      </c>
      <c r="Y344" s="101" t="n">
        <f aca="true">SUMPRODUCT((I344:INDEX(I344:T344,MONTH(TODAY()))="X")*1)</f>
        <v>0</v>
      </c>
      <c r="Z344" s="104" t="n">
        <f aca="false">IFERROR(V344/U344,"")</f>
        <v>0.5</v>
      </c>
    </row>
    <row r="345" customFormat="false" ht="15" hidden="false" customHeight="true" outlineLevel="0" collapsed="false">
      <c r="A345" s="100" t="n">
        <f aca="false">Equipos!C343</f>
        <v>0</v>
      </c>
      <c r="B345" s="101" t="n">
        <f aca="false">Equipos!D343</f>
        <v>0</v>
      </c>
      <c r="C345" s="101" t="n">
        <f aca="false">Equipos!E343</f>
        <v>0</v>
      </c>
      <c r="D345" s="101" t="n">
        <f aca="false">Equipos!G343</f>
        <v>0</v>
      </c>
      <c r="E345" s="101" t="n">
        <f aca="false">Equipos!I343</f>
        <v>0</v>
      </c>
      <c r="F345" s="101" t="n">
        <f aca="false">Equipos!J343</f>
        <v>0</v>
      </c>
      <c r="G345" s="100" t="n">
        <f aca="false">Equipos!K343</f>
        <v>0</v>
      </c>
      <c r="H345" s="101"/>
      <c r="I345" s="102"/>
      <c r="J345" s="102"/>
      <c r="K345" s="102"/>
      <c r="L345" s="102"/>
      <c r="M345" s="102"/>
      <c r="N345" s="102"/>
      <c r="O345" s="102"/>
      <c r="P345" s="102"/>
      <c r="Q345" s="102"/>
      <c r="R345" s="102"/>
      <c r="S345" s="102"/>
      <c r="T345" s="102"/>
      <c r="U345" s="101" t="n">
        <f aca="false">V345+W345+X345+COUNTIF(I345:T345,"R")</f>
        <v>0</v>
      </c>
      <c r="V345" s="101" t="n">
        <f aca="false">COUNTIF(I345:T345,"E")</f>
        <v>0</v>
      </c>
      <c r="W345" s="101" t="n">
        <f aca="false">COUNTIF(I345:T345,"X")</f>
        <v>0</v>
      </c>
      <c r="X345" s="101" t="n">
        <f aca="false">COUNTIF(I345:T345,"C2")+COUNTIF(I345:T345,"C3")</f>
        <v>0</v>
      </c>
      <c r="Y345" s="101" t="n">
        <f aca="true">SUMPRODUCT((I345:INDEX(I345:T345,MONTH(TODAY()))="X")*1)</f>
        <v>0</v>
      </c>
      <c r="Z345" s="104" t="str">
        <f aca="false">IFERROR(V345/U345,"")</f>
        <v/>
      </c>
    </row>
    <row r="346" customFormat="false" ht="15" hidden="false" customHeight="true" outlineLevel="0" collapsed="false">
      <c r="A346" s="100" t="str">
        <f aca="false">Equipos!C344</f>
        <v>2-134627</v>
      </c>
      <c r="B346" s="101" t="str">
        <f aca="false">Equipos!D344</f>
        <v>Ventilador Mecánico </v>
      </c>
      <c r="C346" s="101" t="str">
        <f aca="false">Equipos!E344</f>
        <v>UPC Pediátrica</v>
      </c>
      <c r="D346" s="101" t="str">
        <f aca="false">Equipos!G344</f>
        <v>Sala de equipos</v>
      </c>
      <c r="E346" s="101" t="str">
        <f aca="false">Equipos!I344</f>
        <v>Yuwell</v>
      </c>
      <c r="F346" s="101" t="str">
        <f aca="false">Equipos!J344</f>
        <v>YH-830</v>
      </c>
      <c r="G346" s="100" t="str">
        <f aca="false">Equipos!K344</f>
        <v>YH830-V24C35011</v>
      </c>
      <c r="H346" s="101"/>
      <c r="I346" s="102"/>
      <c r="J346" s="102"/>
      <c r="K346" s="103" t="s">
        <v>328</v>
      </c>
      <c r="L346" s="102"/>
      <c r="M346" s="102"/>
      <c r="N346" s="102"/>
      <c r="O346" s="102"/>
      <c r="P346" s="102"/>
      <c r="Q346" s="102"/>
      <c r="R346" s="102"/>
      <c r="S346" s="102"/>
      <c r="T346" s="102"/>
      <c r="U346" s="101" t="n">
        <f aca="false">V346+W346+X346+COUNTIF(I346:T346,"R")</f>
        <v>1</v>
      </c>
      <c r="V346" s="101" t="n">
        <f aca="false">COUNTIF(I346:T346,"E")</f>
        <v>1</v>
      </c>
      <c r="W346" s="101" t="n">
        <f aca="false">COUNTIF(I346:T346,"X")</f>
        <v>0</v>
      </c>
      <c r="X346" s="101" t="n">
        <f aca="false">COUNTIF(I346:T346,"C2")+COUNTIF(I346:T346,"C3")</f>
        <v>0</v>
      </c>
      <c r="Y346" s="101" t="n">
        <f aca="true">SUMPRODUCT((I346:INDEX(I346:T346,MONTH(TODAY()))="X")*1)</f>
        <v>0</v>
      </c>
      <c r="Z346" s="104" t="n">
        <f aca="false">IFERROR(V346/U346,"")</f>
        <v>1</v>
      </c>
    </row>
    <row r="347" customFormat="false" ht="15" hidden="false" customHeight="true" outlineLevel="0" collapsed="false">
      <c r="A347" s="100" t="str">
        <f aca="false">Equipos!C345</f>
        <v>2-134628</v>
      </c>
      <c r="B347" s="101" t="str">
        <f aca="false">Equipos!D345</f>
        <v>Ventilador Mecánico </v>
      </c>
      <c r="C347" s="101" t="str">
        <f aca="false">Equipos!E345</f>
        <v>UPC Pediátrica</v>
      </c>
      <c r="D347" s="101" t="str">
        <f aca="false">Equipos!G345</f>
        <v>Sala de equipos</v>
      </c>
      <c r="E347" s="101" t="str">
        <f aca="false">Equipos!I345</f>
        <v>Yuwell</v>
      </c>
      <c r="F347" s="101" t="str">
        <f aca="false">Equipos!J345</f>
        <v>YH-830</v>
      </c>
      <c r="G347" s="100" t="str">
        <f aca="false">Equipos!K345</f>
        <v>YH830A-V24C35013</v>
      </c>
      <c r="H347" s="101"/>
      <c r="I347" s="102"/>
      <c r="J347" s="102"/>
      <c r="K347" s="103" t="s">
        <v>328</v>
      </c>
      <c r="L347" s="102"/>
      <c r="M347" s="102"/>
      <c r="N347" s="102"/>
      <c r="O347" s="102"/>
      <c r="P347" s="102"/>
      <c r="Q347" s="102"/>
      <c r="R347" s="102"/>
      <c r="S347" s="102"/>
      <c r="T347" s="102"/>
      <c r="U347" s="101" t="n">
        <f aca="false">V347+W347+X347+COUNTIF(I347:T347,"R")</f>
        <v>1</v>
      </c>
      <c r="V347" s="101" t="n">
        <f aca="false">COUNTIF(I347:T347,"E")</f>
        <v>1</v>
      </c>
      <c r="W347" s="101" t="n">
        <f aca="false">COUNTIF(I347:T347,"X")</f>
        <v>0</v>
      </c>
      <c r="X347" s="101" t="n">
        <f aca="false">COUNTIF(I347:T347,"C2")+COUNTIF(I347:T347,"C3")</f>
        <v>0</v>
      </c>
      <c r="Y347" s="101" t="n">
        <f aca="true">SUMPRODUCT((I347:INDEX(I347:T347,MONTH(TODAY()))="X")*1)</f>
        <v>0</v>
      </c>
      <c r="Z347" s="104" t="n">
        <f aca="false">IFERROR(V347/U347,"")</f>
        <v>1</v>
      </c>
    </row>
    <row r="348" customFormat="false" ht="15" hidden="false" customHeight="true" outlineLevel="0" collapsed="false">
      <c r="A348" s="100" t="str">
        <f aca="false">Equipos!C346</f>
        <v>2-134629</v>
      </c>
      <c r="B348" s="101" t="str">
        <f aca="false">Equipos!D346</f>
        <v>Ventilador Mecánico </v>
      </c>
      <c r="C348" s="101" t="str">
        <f aca="false">Equipos!E346</f>
        <v>UPC Pediátrica</v>
      </c>
      <c r="D348" s="101" t="str">
        <f aca="false">Equipos!G346</f>
        <v>Sala de equipos</v>
      </c>
      <c r="E348" s="101" t="str">
        <f aca="false">Equipos!I346</f>
        <v>Yuwell</v>
      </c>
      <c r="F348" s="101" t="str">
        <f aca="false">Equipos!J346</f>
        <v>YH-830</v>
      </c>
      <c r="G348" s="100" t="str">
        <f aca="false">Equipos!K346</f>
        <v>YH830A-V25132020</v>
      </c>
      <c r="H348" s="101"/>
      <c r="I348" s="102"/>
      <c r="J348" s="102"/>
      <c r="K348" s="103" t="s">
        <v>328</v>
      </c>
      <c r="L348" s="102"/>
      <c r="M348" s="102"/>
      <c r="N348" s="102"/>
      <c r="O348" s="102"/>
      <c r="P348" s="102"/>
      <c r="Q348" s="102"/>
      <c r="R348" s="102"/>
      <c r="S348" s="102"/>
      <c r="T348" s="102"/>
      <c r="U348" s="101" t="n">
        <f aca="false">V348+W348+X348+COUNTIF(I348:T348,"R")</f>
        <v>1</v>
      </c>
      <c r="V348" s="101" t="n">
        <f aca="false">COUNTIF(I348:T348,"E")</f>
        <v>1</v>
      </c>
      <c r="W348" s="101" t="n">
        <f aca="false">COUNTIF(I348:T348,"X")</f>
        <v>0</v>
      </c>
      <c r="X348" s="101" t="n">
        <f aca="false">COUNTIF(I348:T348,"C2")+COUNTIF(I348:T348,"C3")</f>
        <v>0</v>
      </c>
      <c r="Y348" s="101" t="n">
        <f aca="true">SUMPRODUCT((I348:INDEX(I348:T348,MONTH(TODAY()))="X")*1)</f>
        <v>0</v>
      </c>
      <c r="Z348" s="104" t="n">
        <f aca="false">IFERROR(V348/U348,"")</f>
        <v>1</v>
      </c>
    </row>
    <row r="349" customFormat="false" ht="15" hidden="false" customHeight="true" outlineLevel="0" collapsed="false">
      <c r="A349" s="100" t="str">
        <f aca="false">Equipos!C347</f>
        <v>2-134630</v>
      </c>
      <c r="B349" s="101" t="str">
        <f aca="false">Equipos!D347</f>
        <v>Ventilador Mecánico </v>
      </c>
      <c r="C349" s="101" t="str">
        <f aca="false">Equipos!E347</f>
        <v>UPC Pediátrica</v>
      </c>
      <c r="D349" s="101" t="str">
        <f aca="false">Equipos!G347</f>
        <v>Sala de equipos</v>
      </c>
      <c r="E349" s="101" t="str">
        <f aca="false">Equipos!I347</f>
        <v>Yuwell</v>
      </c>
      <c r="F349" s="101" t="str">
        <f aca="false">Equipos!J347</f>
        <v>YH-830</v>
      </c>
      <c r="G349" s="100" t="str">
        <f aca="false">Equipos!K347</f>
        <v>YH830A-V24C35008</v>
      </c>
      <c r="H349" s="101"/>
      <c r="I349" s="102"/>
      <c r="J349" s="102"/>
      <c r="K349" s="103" t="s">
        <v>328</v>
      </c>
      <c r="L349" s="102"/>
      <c r="M349" s="102"/>
      <c r="N349" s="102"/>
      <c r="O349" s="102"/>
      <c r="P349" s="102"/>
      <c r="Q349" s="102"/>
      <c r="R349" s="102"/>
      <c r="S349" s="102"/>
      <c r="T349" s="102"/>
      <c r="U349" s="101" t="n">
        <f aca="false">V349+W349+X349+COUNTIF(I349:T349,"R")</f>
        <v>1</v>
      </c>
      <c r="V349" s="101" t="n">
        <f aca="false">COUNTIF(I349:T349,"E")</f>
        <v>1</v>
      </c>
      <c r="W349" s="101" t="n">
        <f aca="false">COUNTIF(I349:T349,"X")</f>
        <v>0</v>
      </c>
      <c r="X349" s="101" t="n">
        <f aca="false">COUNTIF(I349:T349,"C2")+COUNTIF(I349:T349,"C3")</f>
        <v>0</v>
      </c>
      <c r="Y349" s="101" t="n">
        <f aca="true">SUMPRODUCT((I349:INDEX(I349:T349,MONTH(TODAY()))="X")*1)</f>
        <v>0</v>
      </c>
      <c r="Z349" s="104" t="n">
        <f aca="false">IFERROR(V349/U349,"")</f>
        <v>1</v>
      </c>
    </row>
    <row r="350" customFormat="false" ht="15" hidden="false" customHeight="true" outlineLevel="0" collapsed="false">
      <c r="A350" s="100" t="str">
        <f aca="false">Equipos!C348</f>
        <v>2-007495</v>
      </c>
      <c r="B350" s="101" t="str">
        <f aca="false">Equipos!D348</f>
        <v>Monitor Multiparámetros</v>
      </c>
      <c r="C350" s="101" t="str">
        <f aca="false">Equipos!E348</f>
        <v>UPC Adulto</v>
      </c>
      <c r="D350" s="101" t="str">
        <f aca="false">Equipos!G348</f>
        <v>CAMA 6</v>
      </c>
      <c r="E350" s="101" t="str">
        <f aca="false">Equipos!I348</f>
        <v>Drager </v>
      </c>
      <c r="F350" s="101" t="str">
        <f aca="false">Equipos!J348</f>
        <v>Infinity Kappa </v>
      </c>
      <c r="G350" s="100" t="str">
        <f aca="false">Equipos!K348</f>
        <v>5494254562</v>
      </c>
      <c r="H350" s="101"/>
      <c r="I350" s="102"/>
      <c r="J350" s="102"/>
      <c r="K350" s="102"/>
      <c r="L350" s="103" t="s">
        <v>329</v>
      </c>
      <c r="M350" s="103"/>
      <c r="N350" s="102"/>
      <c r="O350" s="102"/>
      <c r="P350" s="102"/>
      <c r="Q350" s="102"/>
      <c r="R350" s="102"/>
      <c r="S350" s="102"/>
      <c r="T350" s="102"/>
      <c r="U350" s="101" t="n">
        <f aca="false">V350+W350+X350+COUNTIF(I350:T350,"R")</f>
        <v>1</v>
      </c>
      <c r="V350" s="101" t="n">
        <f aca="false">COUNTIF(I350:T350,"E")</f>
        <v>0</v>
      </c>
      <c r="W350" s="101" t="n">
        <f aca="false">COUNTIF(I350:T350,"X")</f>
        <v>1</v>
      </c>
      <c r="X350" s="101" t="n">
        <f aca="false">COUNTIF(I350:T350,"C2")+COUNTIF(I350:T350,"C3")</f>
        <v>0</v>
      </c>
      <c r="Y350" s="101" t="n">
        <f aca="true">SUMPRODUCT((I350:INDEX(I350:T350,MONTH(TODAY()))="X")*1)</f>
        <v>1</v>
      </c>
      <c r="Z350" s="104" t="n">
        <f aca="false">IFERROR(V350/U350,"")</f>
        <v>0</v>
      </c>
    </row>
    <row r="351" customFormat="false" ht="15" hidden="false" customHeight="true" outlineLevel="0" collapsed="false">
      <c r="A351" s="100" t="str">
        <f aca="false">Equipos!C349</f>
        <v>2-016863</v>
      </c>
      <c r="B351" s="101" t="str">
        <f aca="false">Equipos!D349</f>
        <v>Monitor Multiparámetros</v>
      </c>
      <c r="C351" s="101" t="str">
        <f aca="false">Equipos!E349</f>
        <v>UPC Adulto</v>
      </c>
      <c r="D351" s="101" t="str">
        <f aca="false">Equipos!G349</f>
        <v>CAMA 4</v>
      </c>
      <c r="E351" s="101" t="str">
        <f aca="false">Equipos!I349</f>
        <v>Drager </v>
      </c>
      <c r="F351" s="101" t="str">
        <f aca="false">Equipos!J349</f>
        <v>Infinity Kappa </v>
      </c>
      <c r="G351" s="100" t="str">
        <f aca="false">Equipos!K349</f>
        <v>5494252457</v>
      </c>
      <c r="H351" s="101"/>
      <c r="I351" s="102"/>
      <c r="J351" s="102"/>
      <c r="K351" s="102"/>
      <c r="L351" s="103" t="s">
        <v>329</v>
      </c>
      <c r="M351" s="103"/>
      <c r="N351" s="102"/>
      <c r="O351" s="102"/>
      <c r="P351" s="102"/>
      <c r="Q351" s="102"/>
      <c r="R351" s="102"/>
      <c r="S351" s="102"/>
      <c r="T351" s="102"/>
      <c r="U351" s="101" t="n">
        <f aca="false">V351+W351+X351+COUNTIF(I351:T351,"R")</f>
        <v>1</v>
      </c>
      <c r="V351" s="101" t="n">
        <f aca="false">COUNTIF(I351:T351,"E")</f>
        <v>0</v>
      </c>
      <c r="W351" s="101" t="n">
        <f aca="false">COUNTIF(I351:T351,"X")</f>
        <v>1</v>
      </c>
      <c r="X351" s="101" t="n">
        <f aca="false">COUNTIF(I351:T351,"C2")+COUNTIF(I351:T351,"C3")</f>
        <v>0</v>
      </c>
      <c r="Y351" s="101" t="n">
        <f aca="true">SUMPRODUCT((I351:INDEX(I351:T351,MONTH(TODAY()))="X")*1)</f>
        <v>1</v>
      </c>
      <c r="Z351" s="104" t="n">
        <f aca="false">IFERROR(V351/U351,"")</f>
        <v>0</v>
      </c>
    </row>
    <row r="352" customFormat="false" ht="15" hidden="false" customHeight="true" outlineLevel="0" collapsed="false">
      <c r="A352" s="100" t="str">
        <f aca="false">Equipos!C350</f>
        <v>2-112537</v>
      </c>
      <c r="B352" s="101" t="str">
        <f aca="false">Equipos!D350</f>
        <v>Monitor Multiparámetros</v>
      </c>
      <c r="C352" s="101" t="str">
        <f aca="false">Equipos!E350</f>
        <v>UPC Adulto</v>
      </c>
      <c r="D352" s="101" t="str">
        <f aca="false">Equipos!G350</f>
        <v>CAMA 12</v>
      </c>
      <c r="E352" s="101" t="str">
        <f aca="false">Equipos!I350</f>
        <v>Drager </v>
      </c>
      <c r="F352" s="101" t="str">
        <f aca="false">Equipos!J350</f>
        <v>Infinity Kappa </v>
      </c>
      <c r="G352" s="100" t="str">
        <f aca="false">Equipos!K350</f>
        <v>5494254161</v>
      </c>
      <c r="H352" s="101"/>
      <c r="I352" s="102"/>
      <c r="J352" s="102"/>
      <c r="K352" s="102"/>
      <c r="L352" s="103" t="s">
        <v>329</v>
      </c>
      <c r="M352" s="102"/>
      <c r="N352" s="102"/>
      <c r="O352" s="102"/>
      <c r="P352" s="102"/>
      <c r="Q352" s="102"/>
      <c r="R352" s="102"/>
      <c r="S352" s="102"/>
      <c r="T352" s="102"/>
      <c r="U352" s="101" t="n">
        <f aca="false">V352+W352+X352+COUNTIF(I352:T352,"R")</f>
        <v>1</v>
      </c>
      <c r="V352" s="101" t="n">
        <f aca="false">COUNTIF(I352:T352,"E")</f>
        <v>0</v>
      </c>
      <c r="W352" s="101" t="n">
        <f aca="false">COUNTIF(I352:T352,"X")</f>
        <v>1</v>
      </c>
      <c r="X352" s="101" t="n">
        <f aca="false">COUNTIF(I352:T352,"C2")+COUNTIF(I352:T352,"C3")</f>
        <v>0</v>
      </c>
      <c r="Y352" s="101" t="n">
        <f aca="true">SUMPRODUCT((I352:INDEX(I352:T352,MONTH(TODAY()))="X")*1)</f>
        <v>1</v>
      </c>
      <c r="Z352" s="104" t="n">
        <f aca="false">IFERROR(V352/U352,"")</f>
        <v>0</v>
      </c>
    </row>
    <row r="353" customFormat="false" ht="15" hidden="false" customHeight="true" outlineLevel="0" collapsed="false">
      <c r="A353" s="100" t="str">
        <f aca="false">Equipos!C351</f>
        <v>2-003536</v>
      </c>
      <c r="B353" s="101" t="str">
        <f aca="false">Equipos!D351</f>
        <v>Monitor Multiparámetros</v>
      </c>
      <c r="C353" s="101" t="str">
        <f aca="false">Equipos!E351</f>
        <v>UPC Adulto</v>
      </c>
      <c r="D353" s="101" t="str">
        <f aca="false">Equipos!G351</f>
        <v>CAMA 5</v>
      </c>
      <c r="E353" s="101" t="str">
        <f aca="false">Equipos!I351</f>
        <v>Drager </v>
      </c>
      <c r="F353" s="101" t="str">
        <f aca="false">Equipos!J351</f>
        <v>Infinity Kappa </v>
      </c>
      <c r="G353" s="100" t="str">
        <f aca="false">Equipos!K351</f>
        <v>5494254259</v>
      </c>
      <c r="H353" s="101"/>
      <c r="I353" s="102"/>
      <c r="J353" s="102"/>
      <c r="K353" s="102"/>
      <c r="L353" s="102" t="s">
        <v>329</v>
      </c>
      <c r="M353" s="103"/>
      <c r="N353" s="102"/>
      <c r="O353" s="102"/>
      <c r="P353" s="102"/>
      <c r="Q353" s="102"/>
      <c r="R353" s="102"/>
      <c r="S353" s="102"/>
      <c r="T353" s="102"/>
      <c r="U353" s="101" t="n">
        <f aca="false">V353+W353+X353+COUNTIF(I353:T353,"R")</f>
        <v>1</v>
      </c>
      <c r="V353" s="101" t="n">
        <f aca="false">COUNTIF(I353:T353,"E")</f>
        <v>0</v>
      </c>
      <c r="W353" s="101" t="n">
        <f aca="false">COUNTIF(I353:T353,"X")</f>
        <v>1</v>
      </c>
      <c r="X353" s="101" t="n">
        <f aca="false">COUNTIF(I353:T353,"C2")+COUNTIF(I353:T353,"C3")</f>
        <v>0</v>
      </c>
      <c r="Y353" s="101" t="n">
        <f aca="true">SUMPRODUCT((I353:INDEX(I353:T353,MONTH(TODAY()))="X")*1)</f>
        <v>1</v>
      </c>
      <c r="Z353" s="104" t="n">
        <f aca="false">IFERROR(V353/U353,"")</f>
        <v>0</v>
      </c>
    </row>
    <row r="354" customFormat="false" ht="15" hidden="false" customHeight="true" outlineLevel="0" collapsed="false">
      <c r="A354" s="100" t="str">
        <f aca="false">Equipos!C352</f>
        <v>2-013560</v>
      </c>
      <c r="B354" s="101" t="str">
        <f aca="false">Equipos!D352</f>
        <v>Monitor Multiparámetros</v>
      </c>
      <c r="C354" s="101" t="str">
        <f aca="false">Equipos!E352</f>
        <v>UPC Adulto</v>
      </c>
      <c r="D354" s="101" t="str">
        <f aca="false">Equipos!G352</f>
        <v>CAMA 8</v>
      </c>
      <c r="E354" s="101" t="str">
        <f aca="false">Equipos!I352</f>
        <v>Drager </v>
      </c>
      <c r="F354" s="101" t="str">
        <f aca="false">Equipos!J352</f>
        <v>Infinity Kappa </v>
      </c>
      <c r="G354" s="100" t="str">
        <f aca="false">Equipos!K352</f>
        <v>5494264756</v>
      </c>
      <c r="H354" s="101"/>
      <c r="I354" s="102"/>
      <c r="J354" s="102"/>
      <c r="K354" s="102"/>
      <c r="L354" s="102" t="s">
        <v>329</v>
      </c>
      <c r="M354" s="103"/>
      <c r="N354" s="102"/>
      <c r="O354" s="102"/>
      <c r="P354" s="102"/>
      <c r="Q354" s="102"/>
      <c r="R354" s="102"/>
      <c r="S354" s="102"/>
      <c r="T354" s="102"/>
      <c r="U354" s="101" t="n">
        <f aca="false">V354+W354+X354+COUNTIF(I354:T354,"R")</f>
        <v>1</v>
      </c>
      <c r="V354" s="101" t="n">
        <f aca="false">COUNTIF(I354:T354,"E")</f>
        <v>0</v>
      </c>
      <c r="W354" s="101" t="n">
        <f aca="false">COUNTIF(I354:T354,"X")</f>
        <v>1</v>
      </c>
      <c r="X354" s="101" t="n">
        <f aca="false">COUNTIF(I354:T354,"C2")+COUNTIF(I354:T354,"C3")</f>
        <v>0</v>
      </c>
      <c r="Y354" s="101" t="n">
        <f aca="true">SUMPRODUCT((I354:INDEX(I354:T354,MONTH(TODAY()))="X")*1)</f>
        <v>1</v>
      </c>
      <c r="Z354" s="104" t="n">
        <f aca="false">IFERROR(V354/U354,"")</f>
        <v>0</v>
      </c>
    </row>
    <row r="355" customFormat="false" ht="15" hidden="false" customHeight="true" outlineLevel="0" collapsed="false">
      <c r="A355" s="100" t="str">
        <f aca="false">Equipos!C353</f>
        <v>2-007522</v>
      </c>
      <c r="B355" s="101" t="str">
        <f aca="false">Equipos!D353</f>
        <v>Monitor Multiparámetros</v>
      </c>
      <c r="C355" s="101" t="str">
        <f aca="false">Equipos!E353</f>
        <v>UPC Adulto</v>
      </c>
      <c r="D355" s="101" t="str">
        <f aca="false">Equipos!G353</f>
        <v>CAMA 10</v>
      </c>
      <c r="E355" s="101" t="str">
        <f aca="false">Equipos!I353</f>
        <v>Drager </v>
      </c>
      <c r="F355" s="101" t="str">
        <f aca="false">Equipos!J353</f>
        <v>Infinity Kappa </v>
      </c>
      <c r="G355" s="100" t="str">
        <f aca="false">Equipos!K353</f>
        <v>5494268852</v>
      </c>
      <c r="H355" s="101"/>
      <c r="I355" s="102"/>
      <c r="J355" s="102"/>
      <c r="K355" s="102"/>
      <c r="L355" s="102" t="s">
        <v>329</v>
      </c>
      <c r="M355" s="103"/>
      <c r="N355" s="102"/>
      <c r="O355" s="102"/>
      <c r="P355" s="102"/>
      <c r="Q355" s="102"/>
      <c r="R355" s="102"/>
      <c r="S355" s="102"/>
      <c r="T355" s="102"/>
      <c r="U355" s="101" t="n">
        <f aca="false">V355+W355+X355+COUNTIF(I355:T355,"R")</f>
        <v>1</v>
      </c>
      <c r="V355" s="101" t="n">
        <f aca="false">COUNTIF(I355:T355,"E")</f>
        <v>0</v>
      </c>
      <c r="W355" s="101" t="n">
        <f aca="false">COUNTIF(I355:T355,"X")</f>
        <v>1</v>
      </c>
      <c r="X355" s="101" t="n">
        <f aca="false">COUNTIF(I355:T355,"C2")+COUNTIF(I355:T355,"C3")</f>
        <v>0</v>
      </c>
      <c r="Y355" s="101" t="n">
        <f aca="true">SUMPRODUCT((I355:INDEX(I355:T355,MONTH(TODAY()))="X")*1)</f>
        <v>1</v>
      </c>
      <c r="Z355" s="104" t="n">
        <f aca="false">IFERROR(V355/U355,"")</f>
        <v>0</v>
      </c>
    </row>
    <row r="356" customFormat="false" ht="15" hidden="false" customHeight="true" outlineLevel="0" collapsed="false">
      <c r="A356" s="100" t="str">
        <f aca="false">Equipos!C354</f>
        <v>2-112538</v>
      </c>
      <c r="B356" s="101" t="str">
        <f aca="false">Equipos!D354</f>
        <v>Monitor Multiparámetros</v>
      </c>
      <c r="C356" s="101" t="str">
        <f aca="false">Equipos!E354</f>
        <v>UPC Adulto</v>
      </c>
      <c r="D356" s="101" t="str">
        <f aca="false">Equipos!G354</f>
        <v>CAMA 3</v>
      </c>
      <c r="E356" s="101" t="str">
        <f aca="false">Equipos!I354</f>
        <v>Drager </v>
      </c>
      <c r="F356" s="101" t="str">
        <f aca="false">Equipos!J354</f>
        <v>Infinity Kappa </v>
      </c>
      <c r="G356" s="100" t="str">
        <f aca="false">Equipos!K354</f>
        <v>5494252564</v>
      </c>
      <c r="H356" s="101"/>
      <c r="I356" s="102"/>
      <c r="J356" s="102"/>
      <c r="K356" s="102"/>
      <c r="L356" s="102" t="s">
        <v>329</v>
      </c>
      <c r="M356" s="103"/>
      <c r="N356" s="102"/>
      <c r="O356" s="102"/>
      <c r="P356" s="102"/>
      <c r="Q356" s="102"/>
      <c r="R356" s="102"/>
      <c r="S356" s="102"/>
      <c r="T356" s="102"/>
      <c r="U356" s="101" t="n">
        <f aca="false">V356+W356+X356+COUNTIF(I356:T356,"R")</f>
        <v>1</v>
      </c>
      <c r="V356" s="101" t="n">
        <f aca="false">COUNTIF(I356:T356,"E")</f>
        <v>0</v>
      </c>
      <c r="W356" s="101" t="n">
        <f aca="false">COUNTIF(I356:T356,"X")</f>
        <v>1</v>
      </c>
      <c r="X356" s="101" t="n">
        <f aca="false">COUNTIF(I356:T356,"C2")+COUNTIF(I356:T356,"C3")</f>
        <v>0</v>
      </c>
      <c r="Y356" s="101" t="n">
        <f aca="true">SUMPRODUCT((I356:INDEX(I356:T356,MONTH(TODAY()))="X")*1)</f>
        <v>1</v>
      </c>
      <c r="Z356" s="104" t="n">
        <f aca="false">IFERROR(V356/U356,"")</f>
        <v>0</v>
      </c>
    </row>
    <row r="357" customFormat="false" ht="15" hidden="false" customHeight="true" outlineLevel="0" collapsed="false">
      <c r="A357" s="100" t="str">
        <f aca="false">Equipos!C355</f>
        <v>2-003522</v>
      </c>
      <c r="B357" s="101" t="str">
        <f aca="false">Equipos!D355</f>
        <v>Monitor Multiparámetros</v>
      </c>
      <c r="C357" s="101" t="str">
        <f aca="false">Equipos!E355</f>
        <v>UPC Adulto</v>
      </c>
      <c r="D357" s="101" t="str">
        <f aca="false">Equipos!G355</f>
        <v>CAMA 2</v>
      </c>
      <c r="E357" s="101" t="str">
        <f aca="false">Equipos!I355</f>
        <v>Drager </v>
      </c>
      <c r="F357" s="101" t="str">
        <f aca="false">Equipos!J355</f>
        <v>Infinity Kappa </v>
      </c>
      <c r="G357" s="100" t="str">
        <f aca="false">Equipos!K355</f>
        <v>5494265657</v>
      </c>
      <c r="H357" s="101"/>
      <c r="I357" s="102"/>
      <c r="J357" s="102"/>
      <c r="K357" s="102"/>
      <c r="L357" s="102" t="s">
        <v>329</v>
      </c>
      <c r="M357" s="103"/>
      <c r="N357" s="102"/>
      <c r="O357" s="102"/>
      <c r="P357" s="102"/>
      <c r="Q357" s="102"/>
      <c r="R357" s="102"/>
      <c r="S357" s="102"/>
      <c r="T357" s="102"/>
      <c r="U357" s="101" t="n">
        <f aca="false">V357+W357+X357+COUNTIF(I357:T357,"R")</f>
        <v>1</v>
      </c>
      <c r="V357" s="101" t="n">
        <f aca="false">COUNTIF(I357:T357,"E")</f>
        <v>0</v>
      </c>
      <c r="W357" s="101" t="n">
        <f aca="false">COUNTIF(I357:T357,"X")</f>
        <v>1</v>
      </c>
      <c r="X357" s="101" t="n">
        <f aca="false">COUNTIF(I357:T357,"C2")+COUNTIF(I357:T357,"C3")</f>
        <v>0</v>
      </c>
      <c r="Y357" s="101" t="n">
        <f aca="true">SUMPRODUCT((I357:INDEX(I357:T357,MONTH(TODAY()))="X")*1)</f>
        <v>1</v>
      </c>
      <c r="Z357" s="104" t="n">
        <f aca="false">IFERROR(V357/U357,"")</f>
        <v>0</v>
      </c>
    </row>
    <row r="358" customFormat="false" ht="15" hidden="false" customHeight="true" outlineLevel="0" collapsed="false">
      <c r="A358" s="100" t="str">
        <f aca="false">Equipos!C356</f>
        <v>2-007511</v>
      </c>
      <c r="B358" s="101" t="str">
        <f aca="false">Equipos!D356</f>
        <v>Monitor Multiparámetros</v>
      </c>
      <c r="C358" s="101" t="str">
        <f aca="false">Equipos!E356</f>
        <v>UPC Adulto</v>
      </c>
      <c r="D358" s="101" t="str">
        <f aca="false">Equipos!G356</f>
        <v>CAMA 7</v>
      </c>
      <c r="E358" s="101" t="str">
        <f aca="false">Equipos!I356</f>
        <v>Drager </v>
      </c>
      <c r="F358" s="101" t="str">
        <f aca="false">Equipos!J356</f>
        <v>Infinity Kappa </v>
      </c>
      <c r="G358" s="100" t="str">
        <f aca="false">Equipos!K356</f>
        <v>5494255757</v>
      </c>
      <c r="H358" s="101"/>
      <c r="I358" s="102"/>
      <c r="J358" s="102"/>
      <c r="K358" s="102"/>
      <c r="L358" s="102" t="s">
        <v>329</v>
      </c>
      <c r="M358" s="103"/>
      <c r="N358" s="102"/>
      <c r="O358" s="102"/>
      <c r="P358" s="102"/>
      <c r="Q358" s="102"/>
      <c r="R358" s="102"/>
      <c r="S358" s="102"/>
      <c r="T358" s="102"/>
      <c r="U358" s="101" t="n">
        <f aca="false">V358+W358+X358+COUNTIF(I358:T358,"R")</f>
        <v>1</v>
      </c>
      <c r="V358" s="101" t="n">
        <f aca="false">COUNTIF(I358:T358,"E")</f>
        <v>0</v>
      </c>
      <c r="W358" s="101" t="n">
        <f aca="false">COUNTIF(I358:T358,"X")</f>
        <v>1</v>
      </c>
      <c r="X358" s="101" t="n">
        <f aca="false">COUNTIF(I358:T358,"C2")+COUNTIF(I358:T358,"C3")</f>
        <v>0</v>
      </c>
      <c r="Y358" s="101" t="n">
        <f aca="true">SUMPRODUCT((I358:INDEX(I358:T358,MONTH(TODAY()))="X")*1)</f>
        <v>1</v>
      </c>
      <c r="Z358" s="104" t="n">
        <f aca="false">IFERROR(V358/U358,"")</f>
        <v>0</v>
      </c>
    </row>
    <row r="359" customFormat="false" ht="15" hidden="false" customHeight="true" outlineLevel="0" collapsed="false">
      <c r="A359" s="100" t="str">
        <f aca="false">Equipos!C357</f>
        <v>2-007502</v>
      </c>
      <c r="B359" s="101" t="str">
        <f aca="false">Equipos!D357</f>
        <v>Monitor Multiparámetros</v>
      </c>
      <c r="C359" s="101" t="str">
        <f aca="false">Equipos!E357</f>
        <v>UPC Adulto</v>
      </c>
      <c r="D359" s="101" t="str">
        <f aca="false">Equipos!G357</f>
        <v>CAMA 9</v>
      </c>
      <c r="E359" s="101" t="str">
        <f aca="false">Equipos!I357</f>
        <v>Drager </v>
      </c>
      <c r="F359" s="101" t="str">
        <f aca="false">Equipos!J357</f>
        <v>Infinity Kappa </v>
      </c>
      <c r="G359" s="100" t="str">
        <f aca="false">Equipos!K357</f>
        <v>5494255659</v>
      </c>
      <c r="H359" s="101"/>
      <c r="I359" s="102"/>
      <c r="J359" s="102"/>
      <c r="K359" s="102"/>
      <c r="L359" s="102" t="s">
        <v>329</v>
      </c>
      <c r="M359" s="103"/>
      <c r="N359" s="102"/>
      <c r="O359" s="102"/>
      <c r="P359" s="102"/>
      <c r="Q359" s="102"/>
      <c r="R359" s="102"/>
      <c r="S359" s="102"/>
      <c r="T359" s="102"/>
      <c r="U359" s="101" t="n">
        <f aca="false">V359+W359+X359+COUNTIF(I359:T359,"R")</f>
        <v>1</v>
      </c>
      <c r="V359" s="101" t="n">
        <f aca="false">COUNTIF(I359:T359,"E")</f>
        <v>0</v>
      </c>
      <c r="W359" s="101" t="n">
        <f aca="false">COUNTIF(I359:T359,"X")</f>
        <v>1</v>
      </c>
      <c r="X359" s="101" t="n">
        <f aca="false">COUNTIF(I359:T359,"C2")+COUNTIF(I359:T359,"C3")</f>
        <v>0</v>
      </c>
      <c r="Y359" s="101" t="n">
        <f aca="true">SUMPRODUCT((I359:INDEX(I359:T359,MONTH(TODAY()))="X")*1)</f>
        <v>1</v>
      </c>
      <c r="Z359" s="104" t="n">
        <f aca="false">IFERROR(V359/U359,"")</f>
        <v>0</v>
      </c>
    </row>
    <row r="360" customFormat="false" ht="15" hidden="false" customHeight="true" outlineLevel="0" collapsed="false">
      <c r="A360" s="100" t="str">
        <f aca="false">Equipos!C358</f>
        <v>2-112539</v>
      </c>
      <c r="B360" s="101" t="str">
        <f aca="false">Equipos!D358</f>
        <v>Monitor Multiparámetros</v>
      </c>
      <c r="C360" s="101" t="str">
        <f aca="false">Equipos!E358</f>
        <v>UPC Adulto</v>
      </c>
      <c r="D360" s="101" t="str">
        <f aca="false">Equipos!G358</f>
        <v>CAMA 11</v>
      </c>
      <c r="E360" s="101" t="str">
        <f aca="false">Equipos!I358</f>
        <v>Drager </v>
      </c>
      <c r="F360" s="101" t="str">
        <f aca="false">Equipos!J358</f>
        <v>Infinity Kappa </v>
      </c>
      <c r="G360" s="100" t="str">
        <f aca="false">Equipos!K358</f>
        <v>5494275254</v>
      </c>
      <c r="H360" s="101"/>
      <c r="I360" s="102"/>
      <c r="J360" s="102"/>
      <c r="K360" s="102"/>
      <c r="L360" s="102" t="s">
        <v>329</v>
      </c>
      <c r="M360" s="103"/>
      <c r="N360" s="102"/>
      <c r="O360" s="102"/>
      <c r="P360" s="102"/>
      <c r="Q360" s="102"/>
      <c r="R360" s="102"/>
      <c r="S360" s="102"/>
      <c r="T360" s="102"/>
      <c r="U360" s="101" t="n">
        <f aca="false">V360+W360+X360+COUNTIF(I360:T360,"R")</f>
        <v>1</v>
      </c>
      <c r="V360" s="101" t="n">
        <f aca="false">COUNTIF(I360:T360,"E")</f>
        <v>0</v>
      </c>
      <c r="W360" s="101" t="n">
        <f aca="false">COUNTIF(I360:T360,"X")</f>
        <v>1</v>
      </c>
      <c r="X360" s="101" t="n">
        <f aca="false">COUNTIF(I360:T360,"C2")+COUNTIF(I360:T360,"C3")</f>
        <v>0</v>
      </c>
      <c r="Y360" s="101" t="n">
        <f aca="true">SUMPRODUCT((I360:INDEX(I360:T360,MONTH(TODAY()))="X")*1)</f>
        <v>1</v>
      </c>
      <c r="Z360" s="104" t="n">
        <f aca="false">IFERROR(V360/U360,"")</f>
        <v>0</v>
      </c>
    </row>
    <row r="361" customFormat="false" ht="15" hidden="false" customHeight="true" outlineLevel="0" collapsed="false">
      <c r="A361" s="100" t="str">
        <f aca="false">Equipos!C359</f>
        <v>2-003508</v>
      </c>
      <c r="B361" s="101" t="str">
        <f aca="false">Equipos!D359</f>
        <v>Monitor Multiparámetros</v>
      </c>
      <c r="C361" s="101" t="str">
        <f aca="false">Equipos!E359</f>
        <v>UPC Adulto</v>
      </c>
      <c r="D361" s="101" t="str">
        <f aca="false">Equipos!G359</f>
        <v>CAMA 14</v>
      </c>
      <c r="E361" s="101" t="str">
        <f aca="false">Equipos!I359</f>
        <v>Drager </v>
      </c>
      <c r="F361" s="101" t="str">
        <f aca="false">Equipos!J359</f>
        <v>Infinity Kappa </v>
      </c>
      <c r="G361" s="100" t="str">
        <f aca="false">Equipos!K359</f>
        <v>5494264854</v>
      </c>
      <c r="H361" s="101"/>
      <c r="I361" s="102"/>
      <c r="J361" s="102"/>
      <c r="K361" s="102"/>
      <c r="L361" s="103" t="s">
        <v>328</v>
      </c>
      <c r="M361" s="102"/>
      <c r="N361" s="102"/>
      <c r="O361" s="102"/>
      <c r="P361" s="102"/>
      <c r="Q361" s="102"/>
      <c r="R361" s="102"/>
      <c r="S361" s="102"/>
      <c r="T361" s="102"/>
      <c r="U361" s="101" t="n">
        <f aca="false">V361+W361+X361+COUNTIF(I361:T361,"R")</f>
        <v>1</v>
      </c>
      <c r="V361" s="101" t="n">
        <f aca="false">COUNTIF(I361:T361,"E")</f>
        <v>1</v>
      </c>
      <c r="W361" s="101" t="n">
        <f aca="false">COUNTIF(I361:T361,"X")</f>
        <v>0</v>
      </c>
      <c r="X361" s="101" t="n">
        <f aca="false">COUNTIF(I361:T361,"C2")+COUNTIF(I361:T361,"C3")</f>
        <v>0</v>
      </c>
      <c r="Y361" s="101" t="n">
        <f aca="true">SUMPRODUCT((I361:INDEX(I361:T361,MONTH(TODAY()))="X")*1)</f>
        <v>0</v>
      </c>
      <c r="Z361" s="104" t="n">
        <f aca="false">IFERROR(V361/U361,"")</f>
        <v>1</v>
      </c>
    </row>
    <row r="362" customFormat="false" ht="15" hidden="false" customHeight="true" outlineLevel="0" collapsed="false">
      <c r="A362" s="100" t="str">
        <f aca="false">Equipos!C360</f>
        <v>2-003445</v>
      </c>
      <c r="B362" s="101" t="str">
        <f aca="false">Equipos!D360</f>
        <v>Monitor Multiparámetros</v>
      </c>
      <c r="C362" s="101" t="str">
        <f aca="false">Equipos!E360</f>
        <v>Urgencia Adulto (Prestado a Pediatría)</v>
      </c>
      <c r="D362" s="101" t="str">
        <f aca="false">Equipos!G360</f>
        <v>Pediatría lactantes</v>
      </c>
      <c r="E362" s="101" t="str">
        <f aca="false">Equipos!I360</f>
        <v>Drager </v>
      </c>
      <c r="F362" s="101" t="str">
        <f aca="false">Equipos!J360</f>
        <v>Infinity Vista XL </v>
      </c>
      <c r="G362" s="100" t="str">
        <f aca="false">Equipos!K360</f>
        <v>6000543675</v>
      </c>
      <c r="H362" s="101"/>
      <c r="I362" s="102"/>
      <c r="J362" s="103" t="s">
        <v>330</v>
      </c>
      <c r="K362" s="103" t="s">
        <v>328</v>
      </c>
      <c r="L362" s="102"/>
      <c r="M362" s="102"/>
      <c r="N362" s="102"/>
      <c r="O362" s="102"/>
      <c r="P362" s="102"/>
      <c r="Q362" s="102"/>
      <c r="R362" s="102"/>
      <c r="S362" s="102"/>
      <c r="T362" s="102"/>
      <c r="U362" s="101" t="n">
        <f aca="false">V362+W362+X362+COUNTIF(I362:T362,"R")</f>
        <v>2</v>
      </c>
      <c r="V362" s="101" t="n">
        <f aca="false">COUNTIF(I362:T362,"E")</f>
        <v>1</v>
      </c>
      <c r="W362" s="101" t="n">
        <f aca="false">COUNTIF(I362:T362,"X")</f>
        <v>0</v>
      </c>
      <c r="X362" s="101" t="n">
        <f aca="false">COUNTIF(I362:T362,"C2")+COUNTIF(I362:T362,"C3")</f>
        <v>0</v>
      </c>
      <c r="Y362" s="101" t="n">
        <f aca="true">SUMPRODUCT((I362:INDEX(I362:T362,MONTH(TODAY()))="X")*1)</f>
        <v>0</v>
      </c>
      <c r="Z362" s="104" t="n">
        <f aca="false">IFERROR(V362/U362,"")</f>
        <v>0.5</v>
      </c>
    </row>
    <row r="363" customFormat="false" ht="15" hidden="false" customHeight="true" outlineLevel="0" collapsed="false">
      <c r="A363" s="100" t="str">
        <f aca="false">Equipos!C361</f>
        <v>2-003446</v>
      </c>
      <c r="B363" s="101" t="str">
        <f aca="false">Equipos!D361</f>
        <v>Monitor Multiparámetros</v>
      </c>
      <c r="C363" s="101" t="str">
        <f aca="false">Equipos!E361</f>
        <v>UPC Cardiovascular (Prestado a medicina cardiovascular)</v>
      </c>
      <c r="D363" s="101" t="str">
        <f aca="false">Equipos!G361</f>
        <v>BODEGA</v>
      </c>
      <c r="E363" s="101" t="str">
        <f aca="false">Equipos!I361</f>
        <v>Drager </v>
      </c>
      <c r="F363" s="101" t="str">
        <f aca="false">Equipos!J361</f>
        <v>Infinity Vista </v>
      </c>
      <c r="G363" s="100" t="str">
        <f aca="false">Equipos!K361</f>
        <v>5514410774</v>
      </c>
      <c r="H363" s="101"/>
      <c r="I363" s="102"/>
      <c r="J363" s="103" t="s">
        <v>330</v>
      </c>
      <c r="K363" s="103" t="s">
        <v>328</v>
      </c>
      <c r="L363" s="102"/>
      <c r="M363" s="102"/>
      <c r="N363" s="102"/>
      <c r="O363" s="102"/>
      <c r="P363" s="102"/>
      <c r="Q363" s="102"/>
      <c r="R363" s="102"/>
      <c r="S363" s="102"/>
      <c r="T363" s="102"/>
      <c r="U363" s="101" t="n">
        <f aca="false">V363+W363+X363+COUNTIF(I363:T363,"R")</f>
        <v>2</v>
      </c>
      <c r="V363" s="101" t="n">
        <f aca="false">COUNTIF(I363:T363,"E")</f>
        <v>1</v>
      </c>
      <c r="W363" s="101" t="n">
        <f aca="false">COUNTIF(I363:T363,"X")</f>
        <v>0</v>
      </c>
      <c r="X363" s="101" t="n">
        <f aca="false">COUNTIF(I363:T363,"C2")+COUNTIF(I363:T363,"C3")</f>
        <v>0</v>
      </c>
      <c r="Y363" s="101" t="n">
        <f aca="true">SUMPRODUCT((I363:INDEX(I363:T363,MONTH(TODAY()))="X")*1)</f>
        <v>0</v>
      </c>
      <c r="Z363" s="104" t="n">
        <f aca="false">IFERROR(V363/U363,"")</f>
        <v>0.5</v>
      </c>
    </row>
    <row r="364" customFormat="false" ht="15" hidden="false" customHeight="true" outlineLevel="0" collapsed="false">
      <c r="A364" s="100" t="str">
        <f aca="false">Equipos!C362</f>
        <v>2-003460</v>
      </c>
      <c r="B364" s="101" t="str">
        <f aca="false">Equipos!D362</f>
        <v>Monitor Multiparámetros</v>
      </c>
      <c r="C364" s="101" t="str">
        <f aca="false">Equipos!E362</f>
        <v>UPC Cardiovascular</v>
      </c>
      <c r="D364" s="101" t="str">
        <f aca="false">Equipos!G362</f>
        <v>UCI-CAMA 1</v>
      </c>
      <c r="E364" s="101" t="str">
        <f aca="false">Equipos!I362</f>
        <v>Drager </v>
      </c>
      <c r="F364" s="101" t="str">
        <f aca="false">Equipos!J362</f>
        <v>Infinity Kappa</v>
      </c>
      <c r="G364" s="100" t="str">
        <f aca="false">Equipos!K362</f>
        <v>5494273060</v>
      </c>
      <c r="H364" s="101"/>
      <c r="I364" s="103" t="s">
        <v>330</v>
      </c>
      <c r="J364" s="103" t="s">
        <v>328</v>
      </c>
      <c r="K364" s="102"/>
      <c r="L364" s="102"/>
      <c r="M364" s="102"/>
      <c r="N364" s="102"/>
      <c r="O364" s="102"/>
      <c r="P364" s="102"/>
      <c r="Q364" s="102"/>
      <c r="R364" s="102"/>
      <c r="S364" s="102"/>
      <c r="T364" s="102"/>
      <c r="U364" s="101" t="n">
        <f aca="false">V364+W364+X364+COUNTIF(I364:T364,"R")</f>
        <v>2</v>
      </c>
      <c r="V364" s="101" t="n">
        <f aca="false">COUNTIF(I364:T364,"E")</f>
        <v>1</v>
      </c>
      <c r="W364" s="101" t="n">
        <f aca="false">COUNTIF(I364:T364,"X")</f>
        <v>0</v>
      </c>
      <c r="X364" s="101" t="n">
        <f aca="false">COUNTIF(I364:T364,"C2")+COUNTIF(I364:T364,"C3")</f>
        <v>0</v>
      </c>
      <c r="Y364" s="101" t="n">
        <f aca="true">SUMPRODUCT((I364:INDEX(I364:T364,MONTH(TODAY()))="X")*1)</f>
        <v>0</v>
      </c>
      <c r="Z364" s="104" t="n">
        <f aca="false">IFERROR(V364/U364,"")</f>
        <v>0.5</v>
      </c>
    </row>
    <row r="365" customFormat="false" ht="15" hidden="false" customHeight="true" outlineLevel="0" collapsed="false">
      <c r="A365" s="100" t="str">
        <f aca="false">Equipos!C363</f>
        <v>2-112543</v>
      </c>
      <c r="B365" s="101" t="str">
        <f aca="false">Equipos!D363</f>
        <v>Monitor Multiparámetros</v>
      </c>
      <c r="C365" s="101" t="str">
        <f aca="false">Equipos!E363</f>
        <v>UPC Cardiovascular</v>
      </c>
      <c r="D365" s="101" t="str">
        <f aca="false">Equipos!G363</f>
        <v>UCI-CAMA 2</v>
      </c>
      <c r="E365" s="101" t="str">
        <f aca="false">Equipos!I363</f>
        <v>Drager </v>
      </c>
      <c r="F365" s="101" t="str">
        <f aca="false">Equipos!J363</f>
        <v>Infinity Kappa</v>
      </c>
      <c r="G365" s="100" t="str">
        <f aca="false">Equipos!K363</f>
        <v>5494308255</v>
      </c>
      <c r="H365" s="101"/>
      <c r="I365" s="103" t="s">
        <v>330</v>
      </c>
      <c r="J365" s="103" t="s">
        <v>328</v>
      </c>
      <c r="K365" s="102"/>
      <c r="L365" s="102"/>
      <c r="M365" s="102"/>
      <c r="N365" s="102"/>
      <c r="O365" s="102"/>
      <c r="P365" s="102"/>
      <c r="Q365" s="102"/>
      <c r="R365" s="102"/>
      <c r="S365" s="102"/>
      <c r="T365" s="102"/>
      <c r="U365" s="101" t="n">
        <f aca="false">V365+W365+X365+COUNTIF(I365:T365,"R")</f>
        <v>2</v>
      </c>
      <c r="V365" s="101" t="n">
        <f aca="false">COUNTIF(I365:T365,"E")</f>
        <v>1</v>
      </c>
      <c r="W365" s="101" t="n">
        <f aca="false">COUNTIF(I365:T365,"X")</f>
        <v>0</v>
      </c>
      <c r="X365" s="101" t="n">
        <f aca="false">COUNTIF(I365:T365,"C2")+COUNTIF(I365:T365,"C3")</f>
        <v>0</v>
      </c>
      <c r="Y365" s="101" t="n">
        <f aca="true">SUMPRODUCT((I365:INDEX(I365:T365,MONTH(TODAY()))="X")*1)</f>
        <v>0</v>
      </c>
      <c r="Z365" s="104" t="n">
        <f aca="false">IFERROR(V365/U365,"")</f>
        <v>0.5</v>
      </c>
    </row>
    <row r="366" customFormat="false" ht="15" hidden="false" customHeight="true" outlineLevel="0" collapsed="false">
      <c r="A366" s="100" t="str">
        <f aca="false">Equipos!C364</f>
        <v>2-112544</v>
      </c>
      <c r="B366" s="101" t="str">
        <f aca="false">Equipos!D364</f>
        <v>Monitor Multiparámetros</v>
      </c>
      <c r="C366" s="101" t="str">
        <f aca="false">Equipos!E364</f>
        <v>UPC Cardiovascular</v>
      </c>
      <c r="D366" s="101" t="str">
        <f aca="false">Equipos!G364</f>
        <v>UCI-CAMA 3</v>
      </c>
      <c r="E366" s="101" t="str">
        <f aca="false">Equipos!I364</f>
        <v>Drager </v>
      </c>
      <c r="F366" s="101" t="str">
        <f aca="false">Equipos!J364</f>
        <v>Infinity Kappa</v>
      </c>
      <c r="G366" s="100" t="str">
        <f aca="false">Equipos!K364</f>
        <v>5494307158</v>
      </c>
      <c r="H366" s="101"/>
      <c r="I366" s="103" t="s">
        <v>330</v>
      </c>
      <c r="J366" s="103" t="s">
        <v>328</v>
      </c>
      <c r="K366" s="102"/>
      <c r="L366" s="102"/>
      <c r="M366" s="102"/>
      <c r="N366" s="102"/>
      <c r="O366" s="102"/>
      <c r="P366" s="102"/>
      <c r="Q366" s="102"/>
      <c r="R366" s="102"/>
      <c r="S366" s="102"/>
      <c r="T366" s="102"/>
      <c r="U366" s="101" t="n">
        <f aca="false">V366+W366+X366+COUNTIF(I366:T366,"R")</f>
        <v>2</v>
      </c>
      <c r="V366" s="101" t="n">
        <f aca="false">COUNTIF(I366:T366,"E")</f>
        <v>1</v>
      </c>
      <c r="W366" s="101" t="n">
        <f aca="false">COUNTIF(I366:T366,"X")</f>
        <v>0</v>
      </c>
      <c r="X366" s="101" t="n">
        <f aca="false">COUNTIF(I366:T366,"C2")+COUNTIF(I366:T366,"C3")</f>
        <v>0</v>
      </c>
      <c r="Y366" s="101" t="n">
        <f aca="true">SUMPRODUCT((I366:INDEX(I366:T366,MONTH(TODAY()))="X")*1)</f>
        <v>0</v>
      </c>
      <c r="Z366" s="104" t="n">
        <f aca="false">IFERROR(V366/U366,"")</f>
        <v>0.5</v>
      </c>
    </row>
    <row r="367" customFormat="false" ht="15" hidden="false" customHeight="true" outlineLevel="0" collapsed="false">
      <c r="A367" s="100" t="str">
        <f aca="false">Equipos!C365</f>
        <v>2-003453</v>
      </c>
      <c r="B367" s="101" t="str">
        <f aca="false">Equipos!D365</f>
        <v>Monitor Multiparámetros</v>
      </c>
      <c r="C367" s="101" t="str">
        <f aca="false">Equipos!E365</f>
        <v>UPC Cardiovascular</v>
      </c>
      <c r="D367" s="101" t="str">
        <f aca="false">Equipos!G365</f>
        <v>UCI-CAMA 6</v>
      </c>
      <c r="E367" s="101" t="str">
        <f aca="false">Equipos!I365</f>
        <v>Drager </v>
      </c>
      <c r="F367" s="101" t="str">
        <f aca="false">Equipos!J365</f>
        <v>Infinity Kappa</v>
      </c>
      <c r="G367" s="100" t="str">
        <f aca="false">Equipos!K365</f>
        <v>5494307853</v>
      </c>
      <c r="H367" s="101"/>
      <c r="I367" s="103" t="s">
        <v>330</v>
      </c>
      <c r="J367" s="103" t="s">
        <v>328</v>
      </c>
      <c r="K367" s="102"/>
      <c r="L367" s="102"/>
      <c r="M367" s="102"/>
      <c r="N367" s="102"/>
      <c r="O367" s="102"/>
      <c r="P367" s="102"/>
      <c r="Q367" s="102"/>
      <c r="R367" s="102"/>
      <c r="S367" s="102"/>
      <c r="T367" s="102"/>
      <c r="U367" s="101" t="n">
        <f aca="false">V367+W367+X367+COUNTIF(I367:T367,"R")</f>
        <v>2</v>
      </c>
      <c r="V367" s="101" t="n">
        <f aca="false">COUNTIF(I367:T367,"E")</f>
        <v>1</v>
      </c>
      <c r="W367" s="101" t="n">
        <f aca="false">COUNTIF(I367:T367,"X")</f>
        <v>0</v>
      </c>
      <c r="X367" s="101" t="n">
        <f aca="false">COUNTIF(I367:T367,"C2")+COUNTIF(I367:T367,"C3")</f>
        <v>0</v>
      </c>
      <c r="Y367" s="101" t="n">
        <f aca="true">SUMPRODUCT((I367:INDEX(I367:T367,MONTH(TODAY()))="X")*1)</f>
        <v>0</v>
      </c>
      <c r="Z367" s="104" t="n">
        <f aca="false">IFERROR(V367/U367,"")</f>
        <v>0.5</v>
      </c>
    </row>
    <row r="368" customFormat="false" ht="15" hidden="false" customHeight="true" outlineLevel="0" collapsed="false">
      <c r="A368" s="100" t="str">
        <f aca="false">Equipos!C366</f>
        <v>2-112545</v>
      </c>
      <c r="B368" s="101" t="str">
        <f aca="false">Equipos!D366</f>
        <v>Monitor Multiparámetros</v>
      </c>
      <c r="C368" s="101" t="str">
        <f aca="false">Equipos!E366</f>
        <v>UPC Cardiovascular</v>
      </c>
      <c r="D368" s="101" t="str">
        <f aca="false">Equipos!G366</f>
        <v>UCI-CAMA 4</v>
      </c>
      <c r="E368" s="101" t="str">
        <f aca="false">Equipos!I366</f>
        <v>Drager </v>
      </c>
      <c r="F368" s="101" t="str">
        <f aca="false">Equipos!J366</f>
        <v>Infinity Kappa</v>
      </c>
      <c r="G368" s="100" t="str">
        <f aca="false">Equipos!K366</f>
        <v>5494278447</v>
      </c>
      <c r="H368" s="101"/>
      <c r="I368" s="103" t="s">
        <v>330</v>
      </c>
      <c r="J368" s="103" t="s">
        <v>328</v>
      </c>
      <c r="K368" s="102"/>
      <c r="L368" s="102"/>
      <c r="M368" s="102"/>
      <c r="N368" s="102"/>
      <c r="O368" s="102"/>
      <c r="P368" s="102"/>
      <c r="Q368" s="102"/>
      <c r="R368" s="102"/>
      <c r="S368" s="102"/>
      <c r="T368" s="102"/>
      <c r="U368" s="101" t="n">
        <f aca="false">V368+W368+X368+COUNTIF(I368:T368,"R")</f>
        <v>2</v>
      </c>
      <c r="V368" s="101" t="n">
        <f aca="false">COUNTIF(I368:T368,"E")</f>
        <v>1</v>
      </c>
      <c r="W368" s="101" t="n">
        <f aca="false">COUNTIF(I368:T368,"X")</f>
        <v>0</v>
      </c>
      <c r="X368" s="101" t="n">
        <f aca="false">COUNTIF(I368:T368,"C2")+COUNTIF(I368:T368,"C3")</f>
        <v>0</v>
      </c>
      <c r="Y368" s="101" t="n">
        <f aca="true">SUMPRODUCT((I368:INDEX(I368:T368,MONTH(TODAY()))="X")*1)</f>
        <v>0</v>
      </c>
      <c r="Z368" s="104" t="n">
        <f aca="false">IFERROR(V368/U368,"")</f>
        <v>0.5</v>
      </c>
    </row>
    <row r="369" customFormat="false" ht="15" hidden="false" customHeight="true" outlineLevel="0" collapsed="false">
      <c r="A369" s="100" t="str">
        <f aca="false">Equipos!C367</f>
        <v>2-112546</v>
      </c>
      <c r="B369" s="101" t="str">
        <f aca="false">Equipos!D367</f>
        <v>Monitor Multiparámetros</v>
      </c>
      <c r="C369" s="101" t="str">
        <f aca="false">Equipos!E367</f>
        <v>UPC Cardiovascular</v>
      </c>
      <c r="D369" s="101" t="str">
        <f aca="false">Equipos!G367</f>
        <v>UCI-CAMA 7</v>
      </c>
      <c r="E369" s="101" t="str">
        <f aca="false">Equipos!I367</f>
        <v>Drager </v>
      </c>
      <c r="F369" s="101" t="str">
        <f aca="false">Equipos!J367</f>
        <v>infinity kappa</v>
      </c>
      <c r="G369" s="100" t="str">
        <f aca="false">Equipos!K367</f>
        <v>5494294652</v>
      </c>
      <c r="H369" s="101"/>
      <c r="I369" s="103" t="s">
        <v>330</v>
      </c>
      <c r="J369" s="103" t="s">
        <v>328</v>
      </c>
      <c r="K369" s="102"/>
      <c r="L369" s="102"/>
      <c r="M369" s="102"/>
      <c r="N369" s="102"/>
      <c r="O369" s="102"/>
      <c r="P369" s="102"/>
      <c r="Q369" s="102"/>
      <c r="R369" s="102"/>
      <c r="S369" s="102"/>
      <c r="T369" s="102"/>
      <c r="U369" s="101" t="n">
        <f aca="false">V369+W369+X369+COUNTIF(I369:T369,"R")</f>
        <v>2</v>
      </c>
      <c r="V369" s="101" t="n">
        <f aca="false">COUNTIF(I369:T369,"E")</f>
        <v>1</v>
      </c>
      <c r="W369" s="101" t="n">
        <f aca="false">COUNTIF(I369:T369,"X")</f>
        <v>0</v>
      </c>
      <c r="X369" s="101" t="n">
        <f aca="false">COUNTIF(I369:T369,"C2")+COUNTIF(I369:T369,"C3")</f>
        <v>0</v>
      </c>
      <c r="Y369" s="101" t="n">
        <f aca="true">SUMPRODUCT((I369:INDEX(I369:T369,MONTH(TODAY()))="X")*1)</f>
        <v>0</v>
      </c>
      <c r="Z369" s="104" t="n">
        <f aca="false">IFERROR(V369/U369,"")</f>
        <v>0.5</v>
      </c>
    </row>
    <row r="370" customFormat="false" ht="15" hidden="false" customHeight="true" outlineLevel="0" collapsed="false">
      <c r="A370" s="100" t="str">
        <f aca="false">Equipos!C368</f>
        <v>2-113483</v>
      </c>
      <c r="B370" s="101" t="str">
        <f aca="false">Equipos!D368</f>
        <v>Monitor Multiparámetros</v>
      </c>
      <c r="C370" s="101" t="str">
        <f aca="false">Equipos!E368</f>
        <v>UPC Cardiovascular</v>
      </c>
      <c r="D370" s="101" t="str">
        <f aca="false">Equipos!G368</f>
        <v>UTI-CAMA 6</v>
      </c>
      <c r="E370" s="101" t="str">
        <f aca="false">Equipos!I368</f>
        <v>Drager </v>
      </c>
      <c r="F370" s="101" t="str">
        <f aca="false">Equipos!J368</f>
        <v>Infinity Kappa</v>
      </c>
      <c r="G370" s="100" t="str">
        <f aca="false">Equipos!K368</f>
        <v>5494306061</v>
      </c>
      <c r="H370" s="101"/>
      <c r="I370" s="103" t="s">
        <v>330</v>
      </c>
      <c r="J370" s="103" t="s">
        <v>328</v>
      </c>
      <c r="K370" s="102"/>
      <c r="L370" s="102"/>
      <c r="M370" s="102"/>
      <c r="N370" s="102"/>
      <c r="O370" s="102"/>
      <c r="P370" s="102"/>
      <c r="Q370" s="102"/>
      <c r="R370" s="102"/>
      <c r="S370" s="102"/>
      <c r="T370" s="102"/>
      <c r="U370" s="101" t="n">
        <f aca="false">V370+W370+X370+COUNTIF(I370:T370,"R")</f>
        <v>2</v>
      </c>
      <c r="V370" s="101" t="n">
        <f aca="false">COUNTIF(I370:T370,"E")</f>
        <v>1</v>
      </c>
      <c r="W370" s="101" t="n">
        <f aca="false">COUNTIF(I370:T370,"X")</f>
        <v>0</v>
      </c>
      <c r="X370" s="101" t="n">
        <f aca="false">COUNTIF(I370:T370,"C2")+COUNTIF(I370:T370,"C3")</f>
        <v>0</v>
      </c>
      <c r="Y370" s="101" t="n">
        <f aca="true">SUMPRODUCT((I370:INDEX(I370:T370,MONTH(TODAY()))="X")*1)</f>
        <v>0</v>
      </c>
      <c r="Z370" s="104" t="n">
        <f aca="false">IFERROR(V370/U370,"")</f>
        <v>0.5</v>
      </c>
    </row>
    <row r="371" customFormat="false" ht="15" hidden="false" customHeight="true" outlineLevel="0" collapsed="false">
      <c r="A371" s="100" t="str">
        <f aca="false">Equipos!C369</f>
        <v>2-013522</v>
      </c>
      <c r="B371" s="101" t="str">
        <f aca="false">Equipos!D369</f>
        <v>Monitor Multiparámetros</v>
      </c>
      <c r="C371" s="101" t="str">
        <f aca="false">Equipos!E369</f>
        <v>Urgencia Adulto (Prestado a UPC Adulto)</v>
      </c>
      <c r="D371" s="101" t="n">
        <f aca="false">Equipos!G369</f>
        <v>0</v>
      </c>
      <c r="E371" s="101" t="str">
        <f aca="false">Equipos!I369</f>
        <v>Drager </v>
      </c>
      <c r="F371" s="101" t="str">
        <f aca="false">Equipos!J369</f>
        <v>Infinity Vista XL </v>
      </c>
      <c r="G371" s="100" t="str">
        <f aca="false">Equipos!K369</f>
        <v>6000883771.</v>
      </c>
      <c r="H371" s="101"/>
      <c r="I371" s="102"/>
      <c r="J371" s="102"/>
      <c r="K371" s="102"/>
      <c r="L371" s="102" t="s">
        <v>329</v>
      </c>
      <c r="M371" s="102"/>
      <c r="N371" s="102"/>
      <c r="O371" s="102"/>
      <c r="P371" s="102"/>
      <c r="Q371" s="102"/>
      <c r="R371" s="102"/>
      <c r="S371" s="102"/>
      <c r="T371" s="102"/>
      <c r="U371" s="101" t="n">
        <f aca="false">V371+W371+X371+COUNTIF(I371:T371,"R")</f>
        <v>1</v>
      </c>
      <c r="V371" s="101" t="n">
        <f aca="false">COUNTIF(I371:T371,"E")</f>
        <v>0</v>
      </c>
      <c r="W371" s="101" t="n">
        <f aca="false">COUNTIF(I371:T371,"X")</f>
        <v>1</v>
      </c>
      <c r="X371" s="101" t="n">
        <f aca="false">COUNTIF(I371:T371,"C2")+COUNTIF(I371:T371,"C3")</f>
        <v>0</v>
      </c>
      <c r="Y371" s="101" t="n">
        <f aca="true">SUMPRODUCT((I371:INDEX(I371:T371,MONTH(TODAY()))="X")*1)</f>
        <v>1</v>
      </c>
      <c r="Z371" s="104" t="n">
        <f aca="false">IFERROR(V371/U371,"")</f>
        <v>0</v>
      </c>
    </row>
    <row r="372" customFormat="false" ht="15" hidden="false" customHeight="true" outlineLevel="0" collapsed="false">
      <c r="A372" s="100" t="str">
        <f aca="false">Equipos!C370</f>
        <v>2-003476</v>
      </c>
      <c r="B372" s="101" t="str">
        <f aca="false">Equipos!D370</f>
        <v>Monitor Multiparámetros</v>
      </c>
      <c r="C372" s="101" t="str">
        <f aca="false">Equipos!E370</f>
        <v>UPC Cardiovascular</v>
      </c>
      <c r="D372" s="101" t="str">
        <f aca="false">Equipos!G370</f>
        <v>UTI-CAMA 1</v>
      </c>
      <c r="E372" s="101" t="str">
        <f aca="false">Equipos!I370</f>
        <v>Drager </v>
      </c>
      <c r="F372" s="101" t="str">
        <f aca="false">Equipos!J370</f>
        <v>Infinity Kappa</v>
      </c>
      <c r="G372" s="100" t="str">
        <f aca="false">Equipos!K370</f>
        <v>5494308353</v>
      </c>
      <c r="H372" s="101"/>
      <c r="I372" s="103" t="s">
        <v>330</v>
      </c>
      <c r="J372" s="103" t="s">
        <v>328</v>
      </c>
      <c r="K372" s="102"/>
      <c r="L372" s="102"/>
      <c r="M372" s="102"/>
      <c r="N372" s="102"/>
      <c r="O372" s="102"/>
      <c r="P372" s="102"/>
      <c r="Q372" s="102"/>
      <c r="R372" s="102"/>
      <c r="S372" s="102"/>
      <c r="T372" s="102"/>
      <c r="U372" s="101" t="n">
        <f aca="false">V372+W372+X372+COUNTIF(I372:T372,"R")</f>
        <v>2</v>
      </c>
      <c r="V372" s="101" t="n">
        <f aca="false">COUNTIF(I372:T372,"E")</f>
        <v>1</v>
      </c>
      <c r="W372" s="101" t="n">
        <f aca="false">COUNTIF(I372:T372,"X")</f>
        <v>0</v>
      </c>
      <c r="X372" s="101" t="n">
        <f aca="false">COUNTIF(I372:T372,"C2")+COUNTIF(I372:T372,"C3")</f>
        <v>0</v>
      </c>
      <c r="Y372" s="101" t="n">
        <f aca="true">SUMPRODUCT((I372:INDEX(I372:T372,MONTH(TODAY()))="X")*1)</f>
        <v>0</v>
      </c>
      <c r="Z372" s="104" t="n">
        <f aca="false">IFERROR(V372/U372,"")</f>
        <v>0.5</v>
      </c>
    </row>
    <row r="373" customFormat="false" ht="15" hidden="false" customHeight="true" outlineLevel="0" collapsed="false">
      <c r="A373" s="100" t="str">
        <f aca="false">Equipos!C371</f>
        <v>2-003478</v>
      </c>
      <c r="B373" s="101" t="str">
        <f aca="false">Equipos!D371</f>
        <v>Monitor Multiparámetros</v>
      </c>
      <c r="C373" s="101" t="str">
        <f aca="false">Equipos!E371</f>
        <v>UPC Cardiovascular</v>
      </c>
      <c r="D373" s="101" t="str">
        <f aca="false">Equipos!G371</f>
        <v>UTI-CAMA 2</v>
      </c>
      <c r="E373" s="101" t="str">
        <f aca="false">Equipos!I371</f>
        <v>Drager </v>
      </c>
      <c r="F373" s="101" t="str">
        <f aca="false">Equipos!J371</f>
        <v>Infinity Kappa</v>
      </c>
      <c r="G373" s="100" t="str">
        <f aca="false">Equipos!K371</f>
        <v>5494305953</v>
      </c>
      <c r="H373" s="101"/>
      <c r="I373" s="103" t="s">
        <v>330</v>
      </c>
      <c r="J373" s="103" t="s">
        <v>328</v>
      </c>
      <c r="K373" s="102"/>
      <c r="L373" s="102"/>
      <c r="M373" s="102"/>
      <c r="N373" s="102"/>
      <c r="O373" s="102"/>
      <c r="P373" s="102"/>
      <c r="Q373" s="102"/>
      <c r="R373" s="102"/>
      <c r="S373" s="102"/>
      <c r="T373" s="102"/>
      <c r="U373" s="101" t="n">
        <f aca="false">V373+W373+X373+COUNTIF(I373:T373,"R")</f>
        <v>2</v>
      </c>
      <c r="V373" s="101" t="n">
        <f aca="false">COUNTIF(I373:T373,"E")</f>
        <v>1</v>
      </c>
      <c r="W373" s="101" t="n">
        <f aca="false">COUNTIF(I373:T373,"X")</f>
        <v>0</v>
      </c>
      <c r="X373" s="101" t="n">
        <f aca="false">COUNTIF(I373:T373,"C2")+COUNTIF(I373:T373,"C3")</f>
        <v>0</v>
      </c>
      <c r="Y373" s="101" t="n">
        <f aca="true">SUMPRODUCT((I373:INDEX(I373:T373,MONTH(TODAY()))="X")*1)</f>
        <v>0</v>
      </c>
      <c r="Z373" s="104" t="n">
        <f aca="false">IFERROR(V373/U373,"")</f>
        <v>0.5</v>
      </c>
    </row>
    <row r="374" customFormat="false" ht="15" hidden="false" customHeight="true" outlineLevel="0" collapsed="false">
      <c r="A374" s="100" t="str">
        <f aca="false">Equipos!C372</f>
        <v>2-003485</v>
      </c>
      <c r="B374" s="101" t="str">
        <f aca="false">Equipos!D372</f>
        <v>Monitor Multiparámetros</v>
      </c>
      <c r="C374" s="101" t="str">
        <f aca="false">Equipos!E372</f>
        <v>UPC Cardiovascular</v>
      </c>
      <c r="D374" s="101" t="str">
        <f aca="false">Equipos!G372</f>
        <v>UTI-CAMA 3</v>
      </c>
      <c r="E374" s="101" t="str">
        <f aca="false">Equipos!I372</f>
        <v>Drager </v>
      </c>
      <c r="F374" s="101" t="str">
        <f aca="false">Equipos!J372</f>
        <v>Infinity Kappa</v>
      </c>
      <c r="G374" s="100" t="str">
        <f aca="false">Equipos!K372</f>
        <v>5494307951</v>
      </c>
      <c r="H374" s="101"/>
      <c r="I374" s="103" t="s">
        <v>330</v>
      </c>
      <c r="J374" s="103" t="s">
        <v>328</v>
      </c>
      <c r="K374" s="102"/>
      <c r="L374" s="102"/>
      <c r="M374" s="102"/>
      <c r="N374" s="102"/>
      <c r="O374" s="102"/>
      <c r="P374" s="102"/>
      <c r="Q374" s="102"/>
      <c r="R374" s="102"/>
      <c r="S374" s="102"/>
      <c r="T374" s="102"/>
      <c r="U374" s="101" t="n">
        <f aca="false">V374+W374+X374+COUNTIF(I374:T374,"R")</f>
        <v>2</v>
      </c>
      <c r="V374" s="101" t="n">
        <f aca="false">COUNTIF(I374:T374,"E")</f>
        <v>1</v>
      </c>
      <c r="W374" s="101" t="n">
        <f aca="false">COUNTIF(I374:T374,"X")</f>
        <v>0</v>
      </c>
      <c r="X374" s="101" t="n">
        <f aca="false">COUNTIF(I374:T374,"C2")+COUNTIF(I374:T374,"C3")</f>
        <v>0</v>
      </c>
      <c r="Y374" s="101" t="n">
        <f aca="true">SUMPRODUCT((I374:INDEX(I374:T374,MONTH(TODAY()))="X")*1)</f>
        <v>0</v>
      </c>
      <c r="Z374" s="104" t="n">
        <f aca="false">IFERROR(V374/U374,"")</f>
        <v>0.5</v>
      </c>
    </row>
    <row r="375" customFormat="false" ht="15" hidden="false" customHeight="true" outlineLevel="0" collapsed="false">
      <c r="A375" s="100" t="str">
        <f aca="false">Equipos!C373</f>
        <v>2-013495</v>
      </c>
      <c r="B375" s="101" t="str">
        <f aca="false">Equipos!D373</f>
        <v>Monitor Multiparámetros</v>
      </c>
      <c r="C375" s="101" t="str">
        <f aca="false">Equipos!E373</f>
        <v>UPC Cardiovascular</v>
      </c>
      <c r="D375" s="101" t="str">
        <f aca="false">Equipos!G373</f>
        <v>UTI-CAMA 4</v>
      </c>
      <c r="E375" s="101" t="str">
        <f aca="false">Equipos!I373</f>
        <v>Drager </v>
      </c>
      <c r="F375" s="101" t="str">
        <f aca="false">Equipos!J373</f>
        <v>Infinity Kappa</v>
      </c>
      <c r="G375" s="100" t="str">
        <f aca="false">Equipos!K373</f>
        <v>5494306854</v>
      </c>
      <c r="H375" s="101"/>
      <c r="I375" s="103" t="s">
        <v>330</v>
      </c>
      <c r="J375" s="103" t="s">
        <v>328</v>
      </c>
      <c r="K375" s="102"/>
      <c r="L375" s="102"/>
      <c r="M375" s="102"/>
      <c r="N375" s="102"/>
      <c r="O375" s="102"/>
      <c r="P375" s="102"/>
      <c r="Q375" s="102"/>
      <c r="R375" s="102"/>
      <c r="S375" s="102"/>
      <c r="T375" s="102"/>
      <c r="U375" s="101" t="n">
        <f aca="false">V375+W375+X375+COUNTIF(I375:T375,"R")</f>
        <v>2</v>
      </c>
      <c r="V375" s="101" t="n">
        <f aca="false">COUNTIF(I375:T375,"E")</f>
        <v>1</v>
      </c>
      <c r="W375" s="101" t="n">
        <f aca="false">COUNTIF(I375:T375,"X")</f>
        <v>0</v>
      </c>
      <c r="X375" s="101" t="n">
        <f aca="false">COUNTIF(I375:T375,"C2")+COUNTIF(I375:T375,"C3")</f>
        <v>0</v>
      </c>
      <c r="Y375" s="101" t="n">
        <f aca="true">SUMPRODUCT((I375:INDEX(I375:T375,MONTH(TODAY()))="X")*1)</f>
        <v>0</v>
      </c>
      <c r="Z375" s="104" t="n">
        <f aca="false">IFERROR(V375/U375,"")</f>
        <v>0.5</v>
      </c>
    </row>
    <row r="376" customFormat="false" ht="15" hidden="false" customHeight="true" outlineLevel="0" collapsed="false">
      <c r="A376" s="100" t="str">
        <f aca="false">Equipos!C374</f>
        <v>2-003489</v>
      </c>
      <c r="B376" s="101" t="str">
        <f aca="false">Equipos!D374</f>
        <v>Monitor Multiparámetros</v>
      </c>
      <c r="C376" s="101" t="str">
        <f aca="false">Equipos!E374</f>
        <v>UPC Cardiovascular</v>
      </c>
      <c r="D376" s="101" t="str">
        <f aca="false">Equipos!G374</f>
        <v>UTI-CAMA 5</v>
      </c>
      <c r="E376" s="101" t="str">
        <f aca="false">Equipos!I374</f>
        <v>Drager </v>
      </c>
      <c r="F376" s="101" t="str">
        <f aca="false">Equipos!J374</f>
        <v>Infinity Kappa</v>
      </c>
      <c r="G376" s="100" t="str">
        <f aca="false">Equipos!K374</f>
        <v>5494269849</v>
      </c>
      <c r="H376" s="101"/>
      <c r="I376" s="103" t="s">
        <v>330</v>
      </c>
      <c r="J376" s="102"/>
      <c r="K376" s="102"/>
      <c r="L376" s="102"/>
      <c r="M376" s="102"/>
      <c r="N376" s="102"/>
      <c r="O376" s="102"/>
      <c r="P376" s="102"/>
      <c r="Q376" s="102"/>
      <c r="R376" s="102"/>
      <c r="S376" s="102"/>
      <c r="T376" s="102"/>
      <c r="U376" s="101" t="n">
        <f aca="false">V376+W376+X376+COUNTIF(I376:T376,"R")</f>
        <v>1</v>
      </c>
      <c r="V376" s="101" t="n">
        <f aca="false">COUNTIF(I376:T376,"E")</f>
        <v>0</v>
      </c>
      <c r="W376" s="101" t="n">
        <f aca="false">COUNTIF(I376:T376,"X")</f>
        <v>0</v>
      </c>
      <c r="X376" s="101" t="n">
        <f aca="false">COUNTIF(I376:T376,"C2")+COUNTIF(I376:T376,"C3")</f>
        <v>0</v>
      </c>
      <c r="Y376" s="101" t="n">
        <f aca="true">SUMPRODUCT((I376:INDEX(I376:T376,MONTH(TODAY()))="X")*1)</f>
        <v>0</v>
      </c>
      <c r="Z376" s="104" t="n">
        <f aca="false">IFERROR(V376/U376,"")</f>
        <v>0</v>
      </c>
    </row>
    <row r="377" customFormat="false" ht="15" hidden="false" customHeight="true" outlineLevel="0" collapsed="false">
      <c r="A377" s="100" t="str">
        <f aca="false">Equipos!C375</f>
        <v>2-013502</v>
      </c>
      <c r="B377" s="101" t="str">
        <f aca="false">Equipos!D375</f>
        <v>Monitor Multiparámetros</v>
      </c>
      <c r="C377" s="101" t="str">
        <f aca="false">Equipos!E375</f>
        <v>UPC Cardiovascular</v>
      </c>
      <c r="D377" s="101" t="str">
        <f aca="false">Equipos!G375</f>
        <v>UCI-CAMA 8</v>
      </c>
      <c r="E377" s="101" t="str">
        <f aca="false">Equipos!I375</f>
        <v>Drager </v>
      </c>
      <c r="F377" s="101" t="str">
        <f aca="false">Equipos!J375</f>
        <v>Infinity Kappa</v>
      </c>
      <c r="G377" s="100" t="str">
        <f aca="false">Equipos!K375</f>
        <v>5494279847</v>
      </c>
      <c r="H377" s="101"/>
      <c r="I377" s="103" t="s">
        <v>330</v>
      </c>
      <c r="J377" s="103" t="s">
        <v>328</v>
      </c>
      <c r="K377" s="102"/>
      <c r="L377" s="102"/>
      <c r="M377" s="102"/>
      <c r="N377" s="102"/>
      <c r="O377" s="102"/>
      <c r="P377" s="102"/>
      <c r="Q377" s="102"/>
      <c r="R377" s="102"/>
      <c r="S377" s="102"/>
      <c r="T377" s="102"/>
      <c r="U377" s="101" t="n">
        <f aca="false">V377+W377+X377+COUNTIF(I377:T377,"R")</f>
        <v>2</v>
      </c>
      <c r="V377" s="101" t="n">
        <f aca="false">COUNTIF(I377:T377,"E")</f>
        <v>1</v>
      </c>
      <c r="W377" s="101" t="n">
        <f aca="false">COUNTIF(I377:T377,"X")</f>
        <v>0</v>
      </c>
      <c r="X377" s="101" t="n">
        <f aca="false">COUNTIF(I377:T377,"C2")+COUNTIF(I377:T377,"C3")</f>
        <v>0</v>
      </c>
      <c r="Y377" s="101" t="n">
        <f aca="true">SUMPRODUCT((I377:INDEX(I377:T377,MONTH(TODAY()))="X")*1)</f>
        <v>0</v>
      </c>
      <c r="Z377" s="104" t="n">
        <f aca="false">IFERROR(V377/U377,"")</f>
        <v>0.5</v>
      </c>
    </row>
    <row r="378" customFormat="false" ht="15" hidden="false" customHeight="true" outlineLevel="0" collapsed="false">
      <c r="A378" s="100" t="str">
        <f aca="false">Equipos!C376</f>
        <v>2-013507</v>
      </c>
      <c r="B378" s="101" t="str">
        <f aca="false">Equipos!D376</f>
        <v>Monitor Multiparámetros</v>
      </c>
      <c r="C378" s="101" t="str">
        <f aca="false">Equipos!E376</f>
        <v>UPC Cardiovascular</v>
      </c>
      <c r="D378" s="101" t="str">
        <f aca="false">Equipos!G376</f>
        <v>UTI-CAMA 8</v>
      </c>
      <c r="E378" s="101" t="str">
        <f aca="false">Equipos!I376</f>
        <v>Drager </v>
      </c>
      <c r="F378" s="101" t="str">
        <f aca="false">Equipos!J376</f>
        <v>Infinity Kappa</v>
      </c>
      <c r="G378" s="100" t="str">
        <f aca="false">Equipos!K376</f>
        <v>5494305855</v>
      </c>
      <c r="H378" s="101"/>
      <c r="I378" s="103" t="s">
        <v>330</v>
      </c>
      <c r="J378" s="103" t="s">
        <v>328</v>
      </c>
      <c r="K378" s="102"/>
      <c r="L378" s="102"/>
      <c r="M378" s="102"/>
      <c r="N378" s="102"/>
      <c r="O378" s="102"/>
      <c r="P378" s="102"/>
      <c r="Q378" s="102"/>
      <c r="R378" s="102"/>
      <c r="S378" s="102"/>
      <c r="T378" s="102"/>
      <c r="U378" s="101" t="n">
        <f aca="false">V378+W378+X378+COUNTIF(I378:T378,"R")</f>
        <v>2</v>
      </c>
      <c r="V378" s="101" t="n">
        <f aca="false">COUNTIF(I378:T378,"E")</f>
        <v>1</v>
      </c>
      <c r="W378" s="101" t="n">
        <f aca="false">COUNTIF(I378:T378,"X")</f>
        <v>0</v>
      </c>
      <c r="X378" s="101" t="n">
        <f aca="false">COUNTIF(I378:T378,"C2")+COUNTIF(I378:T378,"C3")</f>
        <v>0</v>
      </c>
      <c r="Y378" s="101" t="n">
        <f aca="true">SUMPRODUCT((I378:INDEX(I378:T378,MONTH(TODAY()))="X")*1)</f>
        <v>0</v>
      </c>
      <c r="Z378" s="104" t="n">
        <f aca="false">IFERROR(V378/U378,"")</f>
        <v>0.5</v>
      </c>
    </row>
    <row r="379" customFormat="false" ht="15" hidden="false" customHeight="true" outlineLevel="0" collapsed="false">
      <c r="A379" s="100" t="str">
        <f aca="false">Equipos!C377</f>
        <v>2-126872</v>
      </c>
      <c r="B379" s="101" t="str">
        <f aca="false">Equipos!D377</f>
        <v>Monitor Multiparámetros</v>
      </c>
      <c r="C379" s="101" t="str">
        <f aca="false">Equipos!E377</f>
        <v>Medicina Física y Rehabilitación</v>
      </c>
      <c r="D379" s="101" t="n">
        <f aca="false">Equipos!G377</f>
        <v>0</v>
      </c>
      <c r="E379" s="101" t="str">
        <f aca="false">Equipos!I377</f>
        <v>Philips</v>
      </c>
      <c r="F379" s="101" t="str">
        <f aca="false">Equipos!J377</f>
        <v>CM100</v>
      </c>
      <c r="G379" s="100" t="str">
        <f aca="false">Equipos!K377</f>
        <v>CN12099174</v>
      </c>
      <c r="H379" s="101"/>
      <c r="I379" s="102"/>
      <c r="J379" s="102"/>
      <c r="K379" s="102"/>
      <c r="L379" s="102"/>
      <c r="M379" s="103"/>
      <c r="N379" s="102"/>
      <c r="O379" s="102"/>
      <c r="P379" s="102"/>
      <c r="Q379" s="102"/>
      <c r="R379" s="102"/>
      <c r="S379" s="102"/>
      <c r="T379" s="102"/>
      <c r="U379" s="101" t="n">
        <f aca="false">V379+W379+X379+COUNTIF(I379:T379,"R")</f>
        <v>0</v>
      </c>
      <c r="V379" s="101" t="n">
        <f aca="false">COUNTIF(I379:T379,"E")</f>
        <v>0</v>
      </c>
      <c r="W379" s="101" t="n">
        <f aca="false">COUNTIF(I379:T379,"X")</f>
        <v>0</v>
      </c>
      <c r="X379" s="101" t="n">
        <f aca="false">COUNTIF(I379:T379,"C2")+COUNTIF(I379:T379,"C3")</f>
        <v>0</v>
      </c>
      <c r="Y379" s="101" t="n">
        <f aca="true">SUMPRODUCT((I379:INDEX(I379:T379,MONTH(TODAY()))="X")*1)</f>
        <v>0</v>
      </c>
      <c r="Z379" s="104" t="str">
        <f aca="false">IFERROR(V379/U379,"")</f>
        <v/>
      </c>
    </row>
    <row r="380" customFormat="false" ht="15" hidden="false" customHeight="true" outlineLevel="0" collapsed="false">
      <c r="A380" s="100" t="str">
        <f aca="false">Equipos!C378</f>
        <v>2-116518</v>
      </c>
      <c r="B380" s="101" t="str">
        <f aca="false">Equipos!D378</f>
        <v>Monitor Multiparámetros</v>
      </c>
      <c r="C380" s="101" t="str">
        <f aca="false">Equipos!E378</f>
        <v>UPC Pediátrica</v>
      </c>
      <c r="D380" s="101" t="str">
        <f aca="false">Equipos!G378</f>
        <v>Cama 2</v>
      </c>
      <c r="E380" s="101" t="str">
        <f aca="false">Equipos!I378</f>
        <v>SPACELABS HEALTHCARE</v>
      </c>
      <c r="F380" s="101" t="str">
        <f aca="false">Equipos!J378</f>
        <v>XPREZZON</v>
      </c>
      <c r="G380" s="100" t="str">
        <f aca="false">Equipos!K378</f>
        <v>1393-109323</v>
      </c>
      <c r="H380" s="101"/>
      <c r="I380" s="103" t="s">
        <v>330</v>
      </c>
      <c r="J380" s="103" t="s">
        <v>328</v>
      </c>
      <c r="K380" s="102"/>
      <c r="L380" s="102"/>
      <c r="M380" s="102"/>
      <c r="N380" s="102"/>
      <c r="O380" s="102"/>
      <c r="P380" s="102"/>
      <c r="Q380" s="102"/>
      <c r="R380" s="102"/>
      <c r="S380" s="102"/>
      <c r="T380" s="102"/>
      <c r="U380" s="101" t="n">
        <f aca="false">V380+W380+X380+COUNTIF(I380:T380,"R")</f>
        <v>2</v>
      </c>
      <c r="V380" s="101" t="n">
        <f aca="false">COUNTIF(I380:T380,"E")</f>
        <v>1</v>
      </c>
      <c r="W380" s="101" t="n">
        <f aca="false">COUNTIF(I380:T380,"X")</f>
        <v>0</v>
      </c>
      <c r="X380" s="101" t="n">
        <f aca="false">COUNTIF(I380:T380,"C2")+COUNTIF(I380:T380,"C3")</f>
        <v>0</v>
      </c>
      <c r="Y380" s="101" t="n">
        <f aca="true">SUMPRODUCT((I380:INDEX(I380:T380,MONTH(TODAY()))="X")*1)</f>
        <v>0</v>
      </c>
      <c r="Z380" s="104" t="n">
        <f aca="false">IFERROR(V380/U380,"")</f>
        <v>0.5</v>
      </c>
    </row>
    <row r="381" customFormat="false" ht="15" hidden="false" customHeight="true" outlineLevel="0" collapsed="false">
      <c r="A381" s="100" t="str">
        <f aca="false">Equipos!C379</f>
        <v>200717-011278</v>
      </c>
      <c r="B381" s="101" t="str">
        <f aca="false">Equipos!D379</f>
        <v>Monitor Multiparámetros</v>
      </c>
      <c r="C381" s="101" t="str">
        <f aca="false">Equipos!E379</f>
        <v>Cardiología (2do piso)</v>
      </c>
      <c r="D381" s="101" t="str">
        <f aca="false">Equipos!G379</f>
        <v>Pabellon Hemodinamia 2do piso</v>
      </c>
      <c r="E381" s="101" t="str">
        <f aca="false">Equipos!I379</f>
        <v>Nihon Kohden </v>
      </c>
      <c r="F381" s="101" t="str">
        <f aca="false">Equipos!J379</f>
        <v>BSM-3562</v>
      </c>
      <c r="G381" s="100" t="str">
        <f aca="false">Equipos!K379</f>
        <v>33034.</v>
      </c>
      <c r="H381" s="101"/>
      <c r="I381" s="102"/>
      <c r="J381" s="102"/>
      <c r="K381" s="102"/>
      <c r="L381" s="102"/>
      <c r="M381" s="103"/>
      <c r="N381" s="102"/>
      <c r="O381" s="102"/>
      <c r="P381" s="102"/>
      <c r="Q381" s="102"/>
      <c r="R381" s="102"/>
      <c r="S381" s="102"/>
      <c r="T381" s="102"/>
      <c r="U381" s="101" t="n">
        <f aca="false">V381+W381+X381+COUNTIF(I381:T381,"R")</f>
        <v>0</v>
      </c>
      <c r="V381" s="101" t="n">
        <f aca="false">COUNTIF(I381:T381,"E")</f>
        <v>0</v>
      </c>
      <c r="W381" s="101" t="n">
        <f aca="false">COUNTIF(I381:T381,"X")</f>
        <v>0</v>
      </c>
      <c r="X381" s="101" t="n">
        <f aca="false">COUNTIF(I381:T381,"C2")+COUNTIF(I381:T381,"C3")</f>
        <v>0</v>
      </c>
      <c r="Y381" s="101" t="n">
        <f aca="true">SUMPRODUCT((I381:INDEX(I381:T381,MONTH(TODAY()))="X")*1)</f>
        <v>0</v>
      </c>
      <c r="Z381" s="104" t="str">
        <f aca="false">IFERROR(V381/U381,"")</f>
        <v/>
      </c>
    </row>
    <row r="382" customFormat="false" ht="15" hidden="false" customHeight="true" outlineLevel="0" collapsed="false">
      <c r="A382" s="100" t="str">
        <f aca="false">Equipos!C380</f>
        <v>2-118962</v>
      </c>
      <c r="B382" s="101" t="str">
        <f aca="false">Equipos!D380</f>
        <v>Monitor Multiparámetros</v>
      </c>
      <c r="C382" s="101" t="str">
        <f aca="false">Equipos!E380</f>
        <v>Pabellón Quirúrgico</v>
      </c>
      <c r="D382" s="101" t="n">
        <f aca="false">Equipos!G380</f>
        <v>0</v>
      </c>
      <c r="E382" s="101" t="str">
        <f aca="false">Equipos!I380</f>
        <v>Mindray</v>
      </c>
      <c r="F382" s="101" t="str">
        <f aca="false">Equipos!J380</f>
        <v>EPM 10</v>
      </c>
      <c r="G382" s="100" t="str">
        <f aca="false">Equipos!K380</f>
        <v>96000115</v>
      </c>
      <c r="H382" s="101"/>
      <c r="I382" s="102"/>
      <c r="J382" s="102"/>
      <c r="K382" s="102"/>
      <c r="L382" s="103" t="s">
        <v>328</v>
      </c>
      <c r="M382" s="102"/>
      <c r="N382" s="102"/>
      <c r="O382" s="102"/>
      <c r="P382" s="102"/>
      <c r="Q382" s="102"/>
      <c r="R382" s="102"/>
      <c r="S382" s="102"/>
      <c r="T382" s="102"/>
      <c r="U382" s="101" t="n">
        <f aca="false">V382+W382+X382+COUNTIF(I382:T382,"R")</f>
        <v>1</v>
      </c>
      <c r="V382" s="101" t="n">
        <f aca="false">COUNTIF(I382:T382,"E")</f>
        <v>1</v>
      </c>
      <c r="W382" s="101" t="n">
        <f aca="false">COUNTIF(I382:T382,"X")</f>
        <v>0</v>
      </c>
      <c r="X382" s="101" t="n">
        <f aca="false">COUNTIF(I382:T382,"C2")+COUNTIF(I382:T382,"C3")</f>
        <v>0</v>
      </c>
      <c r="Y382" s="101" t="n">
        <f aca="true">SUMPRODUCT((I382:INDEX(I382:T382,MONTH(TODAY()))="X")*1)</f>
        <v>0</v>
      </c>
      <c r="Z382" s="104" t="n">
        <f aca="false">IFERROR(V382/U382,"")</f>
        <v>1</v>
      </c>
    </row>
    <row r="383" customFormat="false" ht="15" hidden="false" customHeight="true" outlineLevel="0" collapsed="false">
      <c r="A383" s="100" t="str">
        <f aca="false">Equipos!C381</f>
        <v>2-118666</v>
      </c>
      <c r="B383" s="101" t="str">
        <f aca="false">Equipos!D381</f>
        <v>Monitor Multiparámetros</v>
      </c>
      <c r="C383" s="101" t="str">
        <f aca="false">Equipos!E381</f>
        <v>Medicina Materno Fetal</v>
      </c>
      <c r="D383" s="101" t="str">
        <f aca="false">Equipos!G381</f>
        <v>P4-TNB</v>
      </c>
      <c r="E383" s="101" t="str">
        <f aca="false">Equipos!I381</f>
        <v>Drager</v>
      </c>
      <c r="F383" s="101" t="str">
        <f aca="false">Equipos!J381</f>
        <v>Vista 120</v>
      </c>
      <c r="G383" s="100" t="str">
        <f aca="false">Equipos!K381</f>
        <v>VGSLN0011</v>
      </c>
      <c r="H383" s="101"/>
      <c r="I383" s="102"/>
      <c r="J383" s="102"/>
      <c r="K383" s="102"/>
      <c r="L383" s="102"/>
      <c r="M383" s="103" t="s">
        <v>329</v>
      </c>
      <c r="N383" s="102"/>
      <c r="O383" s="102"/>
      <c r="P383" s="102"/>
      <c r="Q383" s="102"/>
      <c r="R383" s="102"/>
      <c r="S383" s="102"/>
      <c r="T383" s="102"/>
      <c r="U383" s="101" t="n">
        <f aca="false">V383+W383+X383+COUNTIF(I383:T383,"R")</f>
        <v>1</v>
      </c>
      <c r="V383" s="101" t="n">
        <f aca="false">COUNTIF(I383:T383,"E")</f>
        <v>0</v>
      </c>
      <c r="W383" s="101" t="n">
        <f aca="false">COUNTIF(I383:T383,"X")</f>
        <v>1</v>
      </c>
      <c r="X383" s="101" t="n">
        <f aca="false">COUNTIF(I383:T383,"C2")+COUNTIF(I383:T383,"C3")</f>
        <v>0</v>
      </c>
      <c r="Y383" s="101" t="n">
        <f aca="true">SUMPRODUCT((I383:INDEX(I383:T383,MONTH(TODAY()))="X")*1)</f>
        <v>1</v>
      </c>
      <c r="Z383" s="104" t="n">
        <f aca="false">IFERROR(V383/U383,"")</f>
        <v>0</v>
      </c>
    </row>
    <row r="384" customFormat="false" ht="15" hidden="false" customHeight="true" outlineLevel="0" collapsed="false">
      <c r="A384" s="100" t="str">
        <f aca="false">Equipos!C382</f>
        <v>2-118732</v>
      </c>
      <c r="B384" s="101" t="str">
        <f aca="false">Equipos!D382</f>
        <v>Monitor Multiparámetros</v>
      </c>
      <c r="C384" s="101" t="str">
        <f aca="false">Equipos!E382</f>
        <v>Pabellón Quirúrgico</v>
      </c>
      <c r="D384" s="101" t="str">
        <f aca="false">Equipos!G382</f>
        <v>Pabellón 7</v>
      </c>
      <c r="E384" s="101" t="str">
        <f aca="false">Equipos!I382</f>
        <v>Drager</v>
      </c>
      <c r="F384" s="101" t="str">
        <f aca="false">Equipos!J382</f>
        <v>M540</v>
      </c>
      <c r="G384" s="100" t="str">
        <f aca="false">Equipos!K382</f>
        <v>5613543568</v>
      </c>
      <c r="H384" s="101"/>
      <c r="I384" s="102"/>
      <c r="J384" s="102"/>
      <c r="K384" s="102"/>
      <c r="L384" s="103" t="s">
        <v>328</v>
      </c>
      <c r="M384" s="102"/>
      <c r="N384" s="102"/>
      <c r="O384" s="102"/>
      <c r="P384" s="102"/>
      <c r="Q384" s="102"/>
      <c r="R384" s="102"/>
      <c r="S384" s="102"/>
      <c r="T384" s="102"/>
      <c r="U384" s="101" t="n">
        <f aca="false">V384+W384+X384+COUNTIF(I384:T384,"R")</f>
        <v>1</v>
      </c>
      <c r="V384" s="101" t="n">
        <f aca="false">COUNTIF(I384:T384,"E")</f>
        <v>1</v>
      </c>
      <c r="W384" s="101" t="n">
        <f aca="false">COUNTIF(I384:T384,"X")</f>
        <v>0</v>
      </c>
      <c r="X384" s="101" t="n">
        <f aca="false">COUNTIF(I384:T384,"C2")+COUNTIF(I384:T384,"C3")</f>
        <v>0</v>
      </c>
      <c r="Y384" s="101" t="n">
        <f aca="true">SUMPRODUCT((I384:INDEX(I384:T384,MONTH(TODAY()))="X")*1)</f>
        <v>0</v>
      </c>
      <c r="Z384" s="104" t="n">
        <f aca="false">IFERROR(V384/U384,"")</f>
        <v>1</v>
      </c>
    </row>
    <row r="385" customFormat="false" ht="15" hidden="false" customHeight="true" outlineLevel="0" collapsed="false">
      <c r="A385" s="100" t="str">
        <f aca="false">Equipos!C383</f>
        <v>2-119188</v>
      </c>
      <c r="B385" s="101" t="str">
        <f aca="false">Equipos!D383</f>
        <v>Monitor Multiparámetros</v>
      </c>
      <c r="C385" s="101" t="str">
        <f aca="false">Equipos!E383</f>
        <v>UPC 3er Piso</v>
      </c>
      <c r="D385" s="101" t="str">
        <f aca="false">Equipos!G383</f>
        <v>Sala de equipos</v>
      </c>
      <c r="E385" s="101" t="str">
        <f aca="false">Equipos!I383</f>
        <v>General Electric</v>
      </c>
      <c r="F385" s="101" t="str">
        <f aca="false">Equipos!J383</f>
        <v>B450</v>
      </c>
      <c r="G385" s="100" t="str">
        <f aca="false">Equipos!K383</f>
        <v>SNT19480100HA</v>
      </c>
      <c r="H385" s="101"/>
      <c r="I385" s="102"/>
      <c r="J385" s="102"/>
      <c r="K385" s="102"/>
      <c r="L385" s="102"/>
      <c r="M385" s="103" t="s">
        <v>329</v>
      </c>
      <c r="N385" s="102"/>
      <c r="O385" s="102"/>
      <c r="P385" s="102"/>
      <c r="Q385" s="102"/>
      <c r="R385" s="102"/>
      <c r="S385" s="102"/>
      <c r="T385" s="102"/>
      <c r="U385" s="101" t="n">
        <f aca="false">V385+W385+X385+COUNTIF(I385:T385,"R")</f>
        <v>1</v>
      </c>
      <c r="V385" s="101" t="n">
        <f aca="false">COUNTIF(I385:T385,"E")</f>
        <v>0</v>
      </c>
      <c r="W385" s="101" t="n">
        <f aca="false">COUNTIF(I385:T385,"X")</f>
        <v>1</v>
      </c>
      <c r="X385" s="101" t="n">
        <f aca="false">COUNTIF(I385:T385,"C2")+COUNTIF(I385:T385,"C3")</f>
        <v>0</v>
      </c>
      <c r="Y385" s="101" t="n">
        <f aca="true">SUMPRODUCT((I385:INDEX(I385:T385,MONTH(TODAY()))="X")*1)</f>
        <v>1</v>
      </c>
      <c r="Z385" s="104" t="n">
        <f aca="false">IFERROR(V385/U385,"")</f>
        <v>0</v>
      </c>
    </row>
    <row r="386" customFormat="false" ht="15" hidden="false" customHeight="true" outlineLevel="0" collapsed="false">
      <c r="A386" s="100" t="str">
        <f aca="false">Equipos!C384</f>
        <v>2-119187</v>
      </c>
      <c r="B386" s="101" t="str">
        <f aca="false">Equipos!D384</f>
        <v>Monitor Multiparámetros</v>
      </c>
      <c r="C386" s="101" t="str">
        <f aca="false">Equipos!E384</f>
        <v>UPC Adulto</v>
      </c>
      <c r="D386" s="101" t="str">
        <f aca="false">Equipos!G384</f>
        <v>BODEGA</v>
      </c>
      <c r="E386" s="101" t="str">
        <f aca="false">Equipos!I384</f>
        <v>General Electric</v>
      </c>
      <c r="F386" s="101" t="str">
        <f aca="false">Equipos!J384</f>
        <v>B450</v>
      </c>
      <c r="G386" s="100" t="str">
        <f aca="false">Equipos!K384</f>
        <v>SNT19480103HA</v>
      </c>
      <c r="H386" s="101"/>
      <c r="I386" s="102"/>
      <c r="J386" s="102"/>
      <c r="K386" s="102"/>
      <c r="L386" s="102" t="s">
        <v>329</v>
      </c>
      <c r="M386" s="103"/>
      <c r="N386" s="102"/>
      <c r="O386" s="102"/>
      <c r="P386" s="102"/>
      <c r="Q386" s="102"/>
      <c r="R386" s="102"/>
      <c r="S386" s="102"/>
      <c r="T386" s="102"/>
      <c r="U386" s="101" t="n">
        <f aca="false">V386+W386+X386+COUNTIF(I386:T386,"R")</f>
        <v>1</v>
      </c>
      <c r="V386" s="101" t="n">
        <f aca="false">COUNTIF(I386:T386,"E")</f>
        <v>0</v>
      </c>
      <c r="W386" s="101" t="n">
        <f aca="false">COUNTIF(I386:T386,"X")</f>
        <v>1</v>
      </c>
      <c r="X386" s="101" t="n">
        <f aca="false">COUNTIF(I386:T386,"C2")+COUNTIF(I386:T386,"C3")</f>
        <v>0</v>
      </c>
      <c r="Y386" s="101" t="n">
        <f aca="true">SUMPRODUCT((I386:INDEX(I386:T386,MONTH(TODAY()))="X")*1)</f>
        <v>1</v>
      </c>
      <c r="Z386" s="104" t="n">
        <f aca="false">IFERROR(V386/U386,"")</f>
        <v>0</v>
      </c>
    </row>
    <row r="387" customFormat="false" ht="15" hidden="false" customHeight="true" outlineLevel="0" collapsed="false">
      <c r="A387" s="100" t="str">
        <f aca="false">Equipos!C385</f>
        <v>2-118674</v>
      </c>
      <c r="B387" s="101" t="str">
        <f aca="false">Equipos!D385</f>
        <v>Monitor Multiparámetros</v>
      </c>
      <c r="C387" s="101" t="str">
        <f aca="false">Equipos!E385</f>
        <v>Imagenología</v>
      </c>
      <c r="D387" s="101" t="n">
        <f aca="false">Equipos!G385</f>
        <v>0</v>
      </c>
      <c r="E387" s="101" t="str">
        <f aca="false">Equipos!I385</f>
        <v>General Electric</v>
      </c>
      <c r="F387" s="101" t="str">
        <f aca="false">Equipos!J385</f>
        <v>B105</v>
      </c>
      <c r="G387" s="100" t="str">
        <f aca="false">Equipos!K385</f>
        <v>SP318493998WA</v>
      </c>
      <c r="H387" s="101"/>
      <c r="I387" s="102"/>
      <c r="J387" s="103" t="s">
        <v>330</v>
      </c>
      <c r="K387" s="103" t="s">
        <v>328</v>
      </c>
      <c r="L387" s="102"/>
      <c r="M387" s="102"/>
      <c r="N387" s="102"/>
      <c r="O387" s="102"/>
      <c r="P387" s="102"/>
      <c r="Q387" s="102"/>
      <c r="R387" s="102"/>
      <c r="S387" s="102"/>
      <c r="T387" s="102"/>
      <c r="U387" s="101" t="n">
        <f aca="false">V387+W387+X387+COUNTIF(I387:T387,"R")</f>
        <v>2</v>
      </c>
      <c r="V387" s="101" t="n">
        <f aca="false">COUNTIF(I387:T387,"E")</f>
        <v>1</v>
      </c>
      <c r="W387" s="101" t="n">
        <f aca="false">COUNTIF(I387:T387,"X")</f>
        <v>0</v>
      </c>
      <c r="X387" s="101" t="n">
        <f aca="false">COUNTIF(I387:T387,"C2")+COUNTIF(I387:T387,"C3")</f>
        <v>0</v>
      </c>
      <c r="Y387" s="101" t="n">
        <f aca="true">SUMPRODUCT((I387:INDEX(I387:T387,MONTH(TODAY()))="X")*1)</f>
        <v>0</v>
      </c>
      <c r="Z387" s="104" t="n">
        <f aca="false">IFERROR(V387/U387,"")</f>
        <v>0.5</v>
      </c>
    </row>
    <row r="388" customFormat="false" ht="15" hidden="false" customHeight="true" outlineLevel="0" collapsed="false">
      <c r="A388" s="100" t="str">
        <f aca="false">Equipos!C386</f>
        <v>2-118671</v>
      </c>
      <c r="B388" s="101" t="str">
        <f aca="false">Equipos!D386</f>
        <v>Monitor Multiparámetros</v>
      </c>
      <c r="C388" s="101" t="str">
        <f aca="false">Equipos!E386</f>
        <v>Imagenología</v>
      </c>
      <c r="D388" s="101" t="n">
        <f aca="false">Equipos!G386</f>
        <v>0</v>
      </c>
      <c r="E388" s="101" t="str">
        <f aca="false">Equipos!I386</f>
        <v>General Electric</v>
      </c>
      <c r="F388" s="101" t="str">
        <f aca="false">Equipos!J386</f>
        <v>B105</v>
      </c>
      <c r="G388" s="100" t="str">
        <f aca="false">Equipos!K386</f>
        <v>SP318493999WA</v>
      </c>
      <c r="H388" s="101"/>
      <c r="I388" s="102"/>
      <c r="J388" s="103" t="s">
        <v>330</v>
      </c>
      <c r="K388" s="103" t="s">
        <v>328</v>
      </c>
      <c r="L388" s="102"/>
      <c r="M388" s="102"/>
      <c r="N388" s="102"/>
      <c r="O388" s="102"/>
      <c r="P388" s="102"/>
      <c r="Q388" s="102"/>
      <c r="R388" s="102"/>
      <c r="S388" s="102"/>
      <c r="T388" s="102"/>
      <c r="U388" s="101" t="n">
        <f aca="false">V388+W388+X388+COUNTIF(I388:T388,"R")</f>
        <v>2</v>
      </c>
      <c r="V388" s="101" t="n">
        <f aca="false">COUNTIF(I388:T388,"E")</f>
        <v>1</v>
      </c>
      <c r="W388" s="101" t="n">
        <f aca="false">COUNTIF(I388:T388,"X")</f>
        <v>0</v>
      </c>
      <c r="X388" s="101" t="n">
        <f aca="false">COUNTIF(I388:T388,"C2")+COUNTIF(I388:T388,"C3")</f>
        <v>0</v>
      </c>
      <c r="Y388" s="101" t="n">
        <f aca="true">SUMPRODUCT((I388:INDEX(I388:T388,MONTH(TODAY()))="X")*1)</f>
        <v>0</v>
      </c>
      <c r="Z388" s="104" t="n">
        <f aca="false">IFERROR(V388/U388,"")</f>
        <v>0.5</v>
      </c>
    </row>
    <row r="389" customFormat="false" ht="15" hidden="false" customHeight="true" outlineLevel="0" collapsed="false">
      <c r="A389" s="100" t="str">
        <f aca="false">Equipos!C387</f>
        <v>2-118672</v>
      </c>
      <c r="B389" s="101" t="str">
        <f aca="false">Equipos!D387</f>
        <v>Monitor Multiparámetros</v>
      </c>
      <c r="C389" s="101" t="str">
        <f aca="false">Equipos!E387</f>
        <v>Imagenología</v>
      </c>
      <c r="D389" s="101" t="n">
        <f aca="false">Equipos!G387</f>
        <v>0</v>
      </c>
      <c r="E389" s="101" t="str">
        <f aca="false">Equipos!I387</f>
        <v>General Electric</v>
      </c>
      <c r="F389" s="101" t="str">
        <f aca="false">Equipos!J387</f>
        <v>B105</v>
      </c>
      <c r="G389" s="100" t="str">
        <f aca="false">Equipos!K387</f>
        <v>SP318494009WA</v>
      </c>
      <c r="H389" s="101"/>
      <c r="I389" s="102"/>
      <c r="J389" s="103" t="s">
        <v>330</v>
      </c>
      <c r="K389" s="103" t="s">
        <v>328</v>
      </c>
      <c r="L389" s="102"/>
      <c r="M389" s="102"/>
      <c r="N389" s="102"/>
      <c r="O389" s="102"/>
      <c r="P389" s="102"/>
      <c r="Q389" s="102"/>
      <c r="R389" s="102"/>
      <c r="S389" s="102"/>
      <c r="T389" s="102"/>
      <c r="U389" s="101" t="n">
        <f aca="false">V389+W389+X389+COUNTIF(I389:T389,"R")</f>
        <v>2</v>
      </c>
      <c r="V389" s="101" t="n">
        <f aca="false">COUNTIF(I389:T389,"E")</f>
        <v>1</v>
      </c>
      <c r="W389" s="101" t="n">
        <f aca="false">COUNTIF(I389:T389,"X")</f>
        <v>0</v>
      </c>
      <c r="X389" s="101" t="n">
        <f aca="false">COUNTIF(I389:T389,"C2")+COUNTIF(I389:T389,"C3")</f>
        <v>0</v>
      </c>
      <c r="Y389" s="101" t="n">
        <f aca="true">SUMPRODUCT((I389:INDEX(I389:T389,MONTH(TODAY()))="X")*1)</f>
        <v>0</v>
      </c>
      <c r="Z389" s="104" t="n">
        <f aca="false">IFERROR(V389/U389,"")</f>
        <v>0.5</v>
      </c>
    </row>
    <row r="390" customFormat="false" ht="15" hidden="false" customHeight="true" outlineLevel="0" collapsed="false">
      <c r="A390" s="100" t="str">
        <f aca="false">Equipos!C388</f>
        <v>2-118673</v>
      </c>
      <c r="B390" s="101" t="str">
        <f aca="false">Equipos!D388</f>
        <v>Monitor Multiparámetros</v>
      </c>
      <c r="C390" s="101" t="str">
        <f aca="false">Equipos!E388</f>
        <v>Imagenología</v>
      </c>
      <c r="D390" s="101" t="n">
        <f aca="false">Equipos!G388</f>
        <v>0</v>
      </c>
      <c r="E390" s="101" t="str">
        <f aca="false">Equipos!I388</f>
        <v>General Electric</v>
      </c>
      <c r="F390" s="101" t="str">
        <f aca="false">Equipos!J388</f>
        <v>B105</v>
      </c>
      <c r="G390" s="100" t="str">
        <f aca="false">Equipos!K388</f>
        <v>SP318494018WA</v>
      </c>
      <c r="H390" s="101"/>
      <c r="I390" s="102"/>
      <c r="J390" s="103" t="s">
        <v>330</v>
      </c>
      <c r="K390" s="103" t="s">
        <v>328</v>
      </c>
      <c r="L390" s="102"/>
      <c r="M390" s="102"/>
      <c r="N390" s="102"/>
      <c r="O390" s="102"/>
      <c r="P390" s="102"/>
      <c r="Q390" s="102"/>
      <c r="R390" s="102"/>
      <c r="S390" s="102"/>
      <c r="T390" s="102"/>
      <c r="U390" s="101" t="n">
        <f aca="false">V390+W390+X390+COUNTIF(I390:T390,"R")</f>
        <v>2</v>
      </c>
      <c r="V390" s="101" t="n">
        <f aca="false">COUNTIF(I390:T390,"E")</f>
        <v>1</v>
      </c>
      <c r="W390" s="101" t="n">
        <f aca="false">COUNTIF(I390:T390,"X")</f>
        <v>0</v>
      </c>
      <c r="X390" s="101" t="n">
        <f aca="false">COUNTIF(I390:T390,"C2")+COUNTIF(I390:T390,"C3")</f>
        <v>0</v>
      </c>
      <c r="Y390" s="101" t="n">
        <f aca="true">SUMPRODUCT((I390:INDEX(I390:T390,MONTH(TODAY()))="X")*1)</f>
        <v>0</v>
      </c>
      <c r="Z390" s="104" t="n">
        <f aca="false">IFERROR(V390/U390,"")</f>
        <v>0.5</v>
      </c>
    </row>
    <row r="391" customFormat="false" ht="15" hidden="false" customHeight="true" outlineLevel="0" collapsed="false">
      <c r="A391" s="100" t="str">
        <f aca="false">Equipos!C389</f>
        <v>2-023555</v>
      </c>
      <c r="B391" s="101" t="str">
        <f aca="false">Equipos!D389</f>
        <v>Monitor Multiparámetros</v>
      </c>
      <c r="C391" s="101" t="str">
        <f aca="false">Equipos!E389</f>
        <v>Urgencia Adulto</v>
      </c>
      <c r="D391" s="101" t="str">
        <f aca="false">Equipos!G389</f>
        <v>SAR 3</v>
      </c>
      <c r="E391" s="101" t="str">
        <f aca="false">Equipos!I389</f>
        <v>Nihon Kohden </v>
      </c>
      <c r="F391" s="101" t="str">
        <f aca="false">Equipos!J389</f>
        <v>PVM-2701K</v>
      </c>
      <c r="G391" s="100" t="str">
        <f aca="false">Equipos!K389</f>
        <v>100645</v>
      </c>
      <c r="H391" s="101"/>
      <c r="I391" s="102"/>
      <c r="J391" s="102"/>
      <c r="K391" s="103" t="s">
        <v>328</v>
      </c>
      <c r="L391" s="102"/>
      <c r="M391" s="102"/>
      <c r="N391" s="102"/>
      <c r="O391" s="102"/>
      <c r="P391" s="102"/>
      <c r="Q391" s="102"/>
      <c r="R391" s="102"/>
      <c r="S391" s="102"/>
      <c r="T391" s="102"/>
      <c r="U391" s="101" t="n">
        <f aca="false">V391+W391+X391+COUNTIF(I391:T391,"R")</f>
        <v>1</v>
      </c>
      <c r="V391" s="101" t="n">
        <f aca="false">COUNTIF(I391:T391,"E")</f>
        <v>1</v>
      </c>
      <c r="W391" s="101" t="n">
        <f aca="false">COUNTIF(I391:T391,"X")</f>
        <v>0</v>
      </c>
      <c r="X391" s="101" t="n">
        <f aca="false">COUNTIF(I391:T391,"C2")+COUNTIF(I391:T391,"C3")</f>
        <v>0</v>
      </c>
      <c r="Y391" s="101" t="n">
        <f aca="true">SUMPRODUCT((I391:INDEX(I391:T391,MONTH(TODAY()))="X")*1)</f>
        <v>0</v>
      </c>
      <c r="Z391" s="104" t="n">
        <f aca="false">IFERROR(V391/U391,"")</f>
        <v>1</v>
      </c>
    </row>
    <row r="392" customFormat="false" ht="15" hidden="false" customHeight="true" outlineLevel="0" collapsed="false">
      <c r="A392" s="100" t="str">
        <f aca="false">Equipos!C390</f>
        <v>2-023573</v>
      </c>
      <c r="B392" s="101" t="str">
        <f aca="false">Equipos!D390</f>
        <v>Monitor Multiparámetros</v>
      </c>
      <c r="C392" s="101" t="str">
        <f aca="false">Equipos!E390</f>
        <v>Urgencia Infantil</v>
      </c>
      <c r="D392" s="101" t="str">
        <f aca="false">Equipos!G390</f>
        <v>Bodega Equipos SUI</v>
      </c>
      <c r="E392" s="101" t="str">
        <f aca="false">Equipos!I390</f>
        <v>Nihon Kohden </v>
      </c>
      <c r="F392" s="101" t="str">
        <f aca="false">Equipos!J390</f>
        <v>PVM-2701K</v>
      </c>
      <c r="G392" s="100" t="str">
        <f aca="false">Equipos!K390</f>
        <v>0100638.</v>
      </c>
      <c r="H392" s="101"/>
      <c r="I392" s="102"/>
      <c r="J392" s="102"/>
      <c r="K392" s="103" t="s">
        <v>328</v>
      </c>
      <c r="L392" s="102"/>
      <c r="M392" s="102"/>
      <c r="N392" s="102"/>
      <c r="O392" s="102"/>
      <c r="P392" s="102"/>
      <c r="Q392" s="102"/>
      <c r="R392" s="102"/>
      <c r="S392" s="102"/>
      <c r="T392" s="102"/>
      <c r="U392" s="101" t="n">
        <f aca="false">V392+W392+X392+COUNTIF(I392:T392,"R")</f>
        <v>1</v>
      </c>
      <c r="V392" s="101" t="n">
        <f aca="false">COUNTIF(I392:T392,"E")</f>
        <v>1</v>
      </c>
      <c r="W392" s="101" t="n">
        <f aca="false">COUNTIF(I392:T392,"X")</f>
        <v>0</v>
      </c>
      <c r="X392" s="101" t="n">
        <f aca="false">COUNTIF(I392:T392,"C2")+COUNTIF(I392:T392,"C3")</f>
        <v>0</v>
      </c>
      <c r="Y392" s="101" t="n">
        <f aca="true">SUMPRODUCT((I392:INDEX(I392:T392,MONTH(TODAY()))="X")*1)</f>
        <v>0</v>
      </c>
      <c r="Z392" s="104" t="n">
        <f aca="false">IFERROR(V392/U392,"")</f>
        <v>1</v>
      </c>
    </row>
    <row r="393" customFormat="false" ht="15" hidden="false" customHeight="true" outlineLevel="0" collapsed="false">
      <c r="A393" s="100" t="str">
        <f aca="false">Equipos!C391</f>
        <v>2-112503</v>
      </c>
      <c r="B393" s="101" t="str">
        <f aca="false">Equipos!D391</f>
        <v>Monitor Multiparámetros</v>
      </c>
      <c r="C393" s="101" t="str">
        <f aca="false">Equipos!E391</f>
        <v>Urgencia Adulto</v>
      </c>
      <c r="D393" s="101" t="str">
        <f aca="false">Equipos!G391</f>
        <v>Box baja complejidad SUI</v>
      </c>
      <c r="E393" s="101" t="str">
        <f aca="false">Equipos!I391</f>
        <v>Nihon Kohden </v>
      </c>
      <c r="F393" s="101" t="str">
        <f aca="false">Equipos!J391</f>
        <v>PVM-2701K</v>
      </c>
      <c r="G393" s="100" t="str">
        <f aca="false">Equipos!K391</f>
        <v>100643</v>
      </c>
      <c r="H393" s="101"/>
      <c r="I393" s="102"/>
      <c r="J393" s="102"/>
      <c r="K393" s="103" t="s">
        <v>328</v>
      </c>
      <c r="L393" s="102"/>
      <c r="M393" s="102"/>
      <c r="N393" s="102"/>
      <c r="O393" s="102"/>
      <c r="P393" s="102"/>
      <c r="Q393" s="102"/>
      <c r="R393" s="102"/>
      <c r="S393" s="102"/>
      <c r="T393" s="102"/>
      <c r="U393" s="101" t="n">
        <f aca="false">V393+W393+X393+COUNTIF(I393:T393,"R")</f>
        <v>1</v>
      </c>
      <c r="V393" s="101" t="n">
        <f aca="false">COUNTIF(I393:T393,"E")</f>
        <v>1</v>
      </c>
      <c r="W393" s="101" t="n">
        <f aca="false">COUNTIF(I393:T393,"X")</f>
        <v>0</v>
      </c>
      <c r="X393" s="101" t="n">
        <f aca="false">COUNTIF(I393:T393,"C2")+COUNTIF(I393:T393,"C3")</f>
        <v>0</v>
      </c>
      <c r="Y393" s="101" t="n">
        <f aca="true">SUMPRODUCT((I393:INDEX(I393:T393,MONTH(TODAY()))="X")*1)</f>
        <v>0</v>
      </c>
      <c r="Z393" s="104" t="n">
        <f aca="false">IFERROR(V393/U393,"")</f>
        <v>1</v>
      </c>
    </row>
    <row r="394" customFormat="false" ht="15" hidden="false" customHeight="true" outlineLevel="0" collapsed="false">
      <c r="A394" s="100" t="str">
        <f aca="false">Equipos!C392</f>
        <v>2-112504</v>
      </c>
      <c r="B394" s="101" t="str">
        <f aca="false">Equipos!D392</f>
        <v>Monitor Multiparámetros</v>
      </c>
      <c r="C394" s="101" t="str">
        <f aca="false">Equipos!E392</f>
        <v>Urgencia Infantil</v>
      </c>
      <c r="D394" s="101" t="str">
        <f aca="false">Equipos!G392</f>
        <v>Bodega Equipos SUI</v>
      </c>
      <c r="E394" s="101" t="str">
        <f aca="false">Equipos!I392</f>
        <v>Nihon Kohden </v>
      </c>
      <c r="F394" s="101" t="str">
        <f aca="false">Equipos!J392</f>
        <v>PVM-2701K</v>
      </c>
      <c r="G394" s="100" t="str">
        <f aca="false">Equipos!K392</f>
        <v>0100647.</v>
      </c>
      <c r="H394" s="101"/>
      <c r="I394" s="102"/>
      <c r="J394" s="102"/>
      <c r="K394" s="103" t="s">
        <v>328</v>
      </c>
      <c r="L394" s="102"/>
      <c r="M394" s="102"/>
      <c r="N394" s="102"/>
      <c r="O394" s="102"/>
      <c r="P394" s="102"/>
      <c r="Q394" s="102"/>
      <c r="R394" s="102"/>
      <c r="S394" s="102"/>
      <c r="T394" s="102"/>
      <c r="U394" s="101" t="n">
        <f aca="false">V394+W394+X394+COUNTIF(I394:T394,"R")</f>
        <v>1</v>
      </c>
      <c r="V394" s="101" t="n">
        <f aca="false">COUNTIF(I394:T394,"E")</f>
        <v>1</v>
      </c>
      <c r="W394" s="101" t="n">
        <f aca="false">COUNTIF(I394:T394,"X")</f>
        <v>0</v>
      </c>
      <c r="X394" s="101" t="n">
        <f aca="false">COUNTIF(I394:T394,"C2")+COUNTIF(I394:T394,"C3")</f>
        <v>0</v>
      </c>
      <c r="Y394" s="101" t="n">
        <f aca="true">SUMPRODUCT((I394:INDEX(I394:T394,MONTH(TODAY()))="X")*1)</f>
        <v>0</v>
      </c>
      <c r="Z394" s="104" t="n">
        <f aca="false">IFERROR(V394/U394,"")</f>
        <v>1</v>
      </c>
    </row>
    <row r="395" customFormat="false" ht="15" hidden="false" customHeight="true" outlineLevel="0" collapsed="false">
      <c r="A395" s="100" t="str">
        <f aca="false">Equipos!C393</f>
        <v>2-133048</v>
      </c>
      <c r="B395" s="101" t="str">
        <f aca="false">Equipos!D393</f>
        <v>Monitor Multiparámetros</v>
      </c>
      <c r="C395" s="101" t="str">
        <f aca="false">Equipos!E393</f>
        <v>Pediatría</v>
      </c>
      <c r="D395" s="101" t="str">
        <f aca="false">Equipos!G393</f>
        <v>EPC-P6</v>
      </c>
      <c r="E395" s="101" t="str">
        <f aca="false">Equipos!I393</f>
        <v>Mindray</v>
      </c>
      <c r="F395" s="101" t="str">
        <f aca="false">Equipos!J393</f>
        <v>EPM 15 Compact</v>
      </c>
      <c r="G395" s="100" t="str">
        <f aca="false">Equipos!K393</f>
        <v>AC5-43007991</v>
      </c>
      <c r="H395" s="101"/>
      <c r="I395" s="102"/>
      <c r="J395" s="103" t="s">
        <v>330</v>
      </c>
      <c r="K395" s="103" t="s">
        <v>328</v>
      </c>
      <c r="L395" s="102"/>
      <c r="M395" s="102"/>
      <c r="N395" s="102"/>
      <c r="O395" s="102"/>
      <c r="P395" s="102"/>
      <c r="Q395" s="102"/>
      <c r="R395" s="102"/>
      <c r="S395" s="102"/>
      <c r="T395" s="102"/>
      <c r="U395" s="101" t="n">
        <f aca="false">V395+W395+X395+COUNTIF(I395:T395,"R")</f>
        <v>2</v>
      </c>
      <c r="V395" s="101" t="n">
        <f aca="false">COUNTIF(I395:T395,"E")</f>
        <v>1</v>
      </c>
      <c r="W395" s="101" t="n">
        <f aca="false">COUNTIF(I395:T395,"X")</f>
        <v>0</v>
      </c>
      <c r="X395" s="101" t="n">
        <f aca="false">COUNTIF(I395:T395,"C2")+COUNTIF(I395:T395,"C3")</f>
        <v>0</v>
      </c>
      <c r="Y395" s="101" t="n">
        <f aca="true">SUMPRODUCT((I395:INDEX(I395:T395,MONTH(TODAY()))="X")*1)</f>
        <v>0</v>
      </c>
      <c r="Z395" s="104" t="n">
        <f aca="false">IFERROR(V395/U395,"")</f>
        <v>0.5</v>
      </c>
    </row>
    <row r="396" customFormat="false" ht="15" hidden="false" customHeight="true" outlineLevel="0" collapsed="false">
      <c r="A396" s="100" t="str">
        <f aca="false">Equipos!C394</f>
        <v>2-112505</v>
      </c>
      <c r="B396" s="101" t="str">
        <f aca="false">Equipos!D394</f>
        <v>Monitor Multiparámetros</v>
      </c>
      <c r="C396" s="101" t="str">
        <f aca="false">Equipos!E394</f>
        <v>Urgencia Adulto</v>
      </c>
      <c r="D396" s="101" t="str">
        <f aca="false">Equipos!G394</f>
        <v>Box B-4</v>
      </c>
      <c r="E396" s="101" t="str">
        <f aca="false">Equipos!I394</f>
        <v>Nihon Kohden </v>
      </c>
      <c r="F396" s="101" t="str">
        <f aca="false">Equipos!J394</f>
        <v>PVM-2701K</v>
      </c>
      <c r="G396" s="100" t="str">
        <f aca="false">Equipos!K394</f>
        <v>100653</v>
      </c>
      <c r="H396" s="101"/>
      <c r="I396" s="102"/>
      <c r="J396" s="102"/>
      <c r="K396" s="103" t="s">
        <v>328</v>
      </c>
      <c r="L396" s="102"/>
      <c r="M396" s="102"/>
      <c r="N396" s="102"/>
      <c r="O396" s="102"/>
      <c r="P396" s="102"/>
      <c r="Q396" s="102"/>
      <c r="R396" s="102"/>
      <c r="S396" s="102"/>
      <c r="T396" s="102"/>
      <c r="U396" s="101" t="n">
        <f aca="false">V396+W396+X396+COUNTIF(I396:T396,"R")</f>
        <v>1</v>
      </c>
      <c r="V396" s="101" t="n">
        <f aca="false">COUNTIF(I396:T396,"E")</f>
        <v>1</v>
      </c>
      <c r="W396" s="101" t="n">
        <f aca="false">COUNTIF(I396:T396,"X")</f>
        <v>0</v>
      </c>
      <c r="X396" s="101" t="n">
        <f aca="false">COUNTIF(I396:T396,"C2")+COUNTIF(I396:T396,"C3")</f>
        <v>0</v>
      </c>
      <c r="Y396" s="101" t="n">
        <f aca="true">SUMPRODUCT((I396:INDEX(I396:T396,MONTH(TODAY()))="X")*1)</f>
        <v>0</v>
      </c>
      <c r="Z396" s="104" t="n">
        <f aca="false">IFERROR(V396/U396,"")</f>
        <v>1</v>
      </c>
    </row>
    <row r="397" customFormat="false" ht="15" hidden="false" customHeight="true" outlineLevel="0" collapsed="false">
      <c r="A397" s="100" t="str">
        <f aca="false">Equipos!C395</f>
        <v>2-023589</v>
      </c>
      <c r="B397" s="101" t="str">
        <f aca="false">Equipos!D395</f>
        <v>Monitor Multiparámetros</v>
      </c>
      <c r="C397" s="101" t="str">
        <f aca="false">Equipos!E395</f>
        <v>Urgencia Infantil</v>
      </c>
      <c r="D397" s="101" t="n">
        <f aca="false">Equipos!G395</f>
        <v>0</v>
      </c>
      <c r="E397" s="101" t="str">
        <f aca="false">Equipos!I395</f>
        <v>Nihon Kohden </v>
      </c>
      <c r="F397" s="101" t="str">
        <f aca="false">Equipos!J395</f>
        <v>PVM-2701K</v>
      </c>
      <c r="G397" s="100" t="str">
        <f aca="false">Equipos!K395</f>
        <v>0100659.</v>
      </c>
      <c r="H397" s="101"/>
      <c r="I397" s="102"/>
      <c r="J397" s="102"/>
      <c r="K397" s="103" t="s">
        <v>328</v>
      </c>
      <c r="L397" s="102"/>
      <c r="M397" s="102"/>
      <c r="N397" s="102"/>
      <c r="O397" s="102"/>
      <c r="P397" s="102"/>
      <c r="Q397" s="102"/>
      <c r="R397" s="102"/>
      <c r="S397" s="102"/>
      <c r="T397" s="102"/>
      <c r="U397" s="101" t="n">
        <f aca="false">V397+W397+X397+COUNTIF(I397:T397,"R")</f>
        <v>1</v>
      </c>
      <c r="V397" s="101" t="n">
        <f aca="false">COUNTIF(I397:T397,"E")</f>
        <v>1</v>
      </c>
      <c r="W397" s="101" t="n">
        <f aca="false">COUNTIF(I397:T397,"X")</f>
        <v>0</v>
      </c>
      <c r="X397" s="101" t="n">
        <f aca="false">COUNTIF(I397:T397,"C2")+COUNTIF(I397:T397,"C3")</f>
        <v>0</v>
      </c>
      <c r="Y397" s="101" t="n">
        <f aca="true">SUMPRODUCT((I397:INDEX(I397:T397,MONTH(TODAY()))="X")*1)</f>
        <v>0</v>
      </c>
      <c r="Z397" s="104" t="n">
        <f aca="false">IFERROR(V397/U397,"")</f>
        <v>1</v>
      </c>
    </row>
    <row r="398" customFormat="false" ht="15" hidden="false" customHeight="true" outlineLevel="0" collapsed="false">
      <c r="A398" s="100" t="str">
        <f aca="false">Equipos!C396</f>
        <v>2-112506</v>
      </c>
      <c r="B398" s="101" t="str">
        <f aca="false">Equipos!D396</f>
        <v>Monitor Multiparámetros</v>
      </c>
      <c r="C398" s="101" t="str">
        <f aca="false">Equipos!E396</f>
        <v>Urgencia Adulto</v>
      </c>
      <c r="D398" s="101" t="str">
        <f aca="false">Equipos!G396</f>
        <v>Box 2 SAR</v>
      </c>
      <c r="E398" s="101" t="str">
        <f aca="false">Equipos!I396</f>
        <v>Nihon Kohden </v>
      </c>
      <c r="F398" s="101" t="str">
        <f aca="false">Equipos!J396</f>
        <v>PVM-2701K</v>
      </c>
      <c r="G398" s="100" t="str">
        <f aca="false">Equipos!K396</f>
        <v>100641</v>
      </c>
      <c r="H398" s="101"/>
      <c r="I398" s="102"/>
      <c r="J398" s="102"/>
      <c r="K398" s="103" t="s">
        <v>328</v>
      </c>
      <c r="L398" s="102"/>
      <c r="M398" s="102"/>
      <c r="N398" s="102"/>
      <c r="O398" s="102"/>
      <c r="P398" s="102"/>
      <c r="Q398" s="102"/>
      <c r="R398" s="102"/>
      <c r="S398" s="102"/>
      <c r="T398" s="102"/>
      <c r="U398" s="101" t="n">
        <f aca="false">V398+W398+X398+COUNTIF(I398:T398,"R")</f>
        <v>1</v>
      </c>
      <c r="V398" s="101" t="n">
        <f aca="false">COUNTIF(I398:T398,"E")</f>
        <v>1</v>
      </c>
      <c r="W398" s="101" t="n">
        <f aca="false">COUNTIF(I398:T398,"X")</f>
        <v>0</v>
      </c>
      <c r="X398" s="101" t="n">
        <f aca="false">COUNTIF(I398:T398,"C2")+COUNTIF(I398:T398,"C3")</f>
        <v>0</v>
      </c>
      <c r="Y398" s="101" t="n">
        <f aca="true">SUMPRODUCT((I398:INDEX(I398:T398,MONTH(TODAY()))="X")*1)</f>
        <v>0</v>
      </c>
      <c r="Z398" s="104" t="n">
        <f aca="false">IFERROR(V398/U398,"")</f>
        <v>1</v>
      </c>
    </row>
    <row r="399" customFormat="false" ht="15" hidden="false" customHeight="true" outlineLevel="0" collapsed="false">
      <c r="A399" s="100" t="str">
        <f aca="false">Equipos!C397</f>
        <v>2-112507</v>
      </c>
      <c r="B399" s="101" t="str">
        <f aca="false">Equipos!D397</f>
        <v>Monitor Multiparámetros</v>
      </c>
      <c r="C399" s="101" t="str">
        <f aca="false">Equipos!E397</f>
        <v>Urgencia Adulto</v>
      </c>
      <c r="D399" s="101" t="str">
        <f aca="false">Equipos!G397</f>
        <v>Box A-4</v>
      </c>
      <c r="E399" s="101" t="str">
        <f aca="false">Equipos!I397</f>
        <v>Nihon Kohden </v>
      </c>
      <c r="F399" s="101" t="str">
        <f aca="false">Equipos!J397</f>
        <v>PVM-2701K</v>
      </c>
      <c r="G399" s="100" t="str">
        <f aca="false">Equipos!K397</f>
        <v>100658</v>
      </c>
      <c r="H399" s="101"/>
      <c r="I399" s="103"/>
      <c r="J399" s="102"/>
      <c r="K399" s="103" t="s">
        <v>332</v>
      </c>
      <c r="L399" s="102"/>
      <c r="M399" s="102"/>
      <c r="N399" s="102"/>
      <c r="O399" s="102"/>
      <c r="P399" s="102"/>
      <c r="Q399" s="102"/>
      <c r="R399" s="102"/>
      <c r="S399" s="102"/>
      <c r="T399" s="102"/>
      <c r="U399" s="101" t="n">
        <f aca="false">V399+W399+X399+COUNTIF(I399:T399,"R")</f>
        <v>1</v>
      </c>
      <c r="V399" s="101" t="n">
        <f aca="false">COUNTIF(I399:T399,"E")</f>
        <v>0</v>
      </c>
      <c r="W399" s="101" t="n">
        <f aca="false">COUNTIF(I399:T399,"X")</f>
        <v>0</v>
      </c>
      <c r="X399" s="101" t="n">
        <f aca="false">COUNTIF(I399:T399,"C2")+COUNTIF(I399:T399,"C3")</f>
        <v>1</v>
      </c>
      <c r="Y399" s="101" t="n">
        <f aca="true">SUMPRODUCT((I399:INDEX(I399:T399,MONTH(TODAY()))="X")*1)</f>
        <v>0</v>
      </c>
      <c r="Z399" s="104" t="n">
        <f aca="false">IFERROR(V399/U399,"")</f>
        <v>0</v>
      </c>
    </row>
    <row r="400" customFormat="false" ht="15" hidden="false" customHeight="true" outlineLevel="0" collapsed="false">
      <c r="A400" s="100" t="str">
        <f aca="false">Equipos!C398</f>
        <v>2-116519</v>
      </c>
      <c r="B400" s="101" t="str">
        <f aca="false">Equipos!D398</f>
        <v>Monitor Multiparámetros</v>
      </c>
      <c r="C400" s="101" t="str">
        <f aca="false">Equipos!E398</f>
        <v>UPC Pediátrica</v>
      </c>
      <c r="D400" s="101" t="str">
        <f aca="false">Equipos!G398</f>
        <v>Cama 3</v>
      </c>
      <c r="E400" s="101" t="str">
        <f aca="false">Equipos!I398</f>
        <v>SPACELABS HEALTHCARE</v>
      </c>
      <c r="F400" s="101" t="str">
        <f aca="false">Equipos!J398</f>
        <v>XPREZZON</v>
      </c>
      <c r="G400" s="100" t="str">
        <f aca="false">Equipos!K398</f>
        <v>1393-109303</v>
      </c>
      <c r="H400" s="101"/>
      <c r="I400" s="103" t="s">
        <v>330</v>
      </c>
      <c r="J400" s="103" t="s">
        <v>328</v>
      </c>
      <c r="K400" s="102"/>
      <c r="L400" s="102"/>
      <c r="M400" s="102"/>
      <c r="N400" s="102"/>
      <c r="O400" s="102"/>
      <c r="P400" s="102"/>
      <c r="Q400" s="102"/>
      <c r="R400" s="102"/>
      <c r="S400" s="102"/>
      <c r="T400" s="102"/>
      <c r="U400" s="101" t="n">
        <f aca="false">V400+W400+X400+COUNTIF(I400:T400,"R")</f>
        <v>2</v>
      </c>
      <c r="V400" s="101" t="n">
        <f aca="false">COUNTIF(I400:T400,"E")</f>
        <v>1</v>
      </c>
      <c r="W400" s="101" t="n">
        <f aca="false">COUNTIF(I400:T400,"X")</f>
        <v>0</v>
      </c>
      <c r="X400" s="101" t="n">
        <f aca="false">COUNTIF(I400:T400,"C2")+COUNTIF(I400:T400,"C3")</f>
        <v>0</v>
      </c>
      <c r="Y400" s="101" t="n">
        <f aca="true">SUMPRODUCT((I400:INDEX(I400:T400,MONTH(TODAY()))="X")*1)</f>
        <v>0</v>
      </c>
      <c r="Z400" s="104" t="n">
        <f aca="false">IFERROR(V400/U400,"")</f>
        <v>0.5</v>
      </c>
    </row>
    <row r="401" customFormat="false" ht="15" hidden="false" customHeight="true" outlineLevel="0" collapsed="false">
      <c r="A401" s="100" t="str">
        <f aca="false">Equipos!C399</f>
        <v>2-022471</v>
      </c>
      <c r="B401" s="101" t="str">
        <f aca="false">Equipos!D399</f>
        <v>Monitor Multiparámetros</v>
      </c>
      <c r="C401" s="101" t="str">
        <f aca="false">Equipos!E399</f>
        <v>Urgencia Adulto</v>
      </c>
      <c r="D401" s="101" t="str">
        <f aca="false">Equipos!G399</f>
        <v>Sala de equipos</v>
      </c>
      <c r="E401" s="101" t="str">
        <f aca="false">Equipos!I399</f>
        <v>Nihon Kohden </v>
      </c>
      <c r="F401" s="101" t="str">
        <f aca="false">Equipos!J399</f>
        <v>PVM-2701K</v>
      </c>
      <c r="G401" s="100" t="str">
        <f aca="false">Equipos!K399</f>
        <v>100650</v>
      </c>
      <c r="H401" s="101"/>
      <c r="I401" s="102"/>
      <c r="J401" s="102"/>
      <c r="K401" s="103" t="s">
        <v>328</v>
      </c>
      <c r="L401" s="102"/>
      <c r="M401" s="102"/>
      <c r="N401" s="102"/>
      <c r="O401" s="102"/>
      <c r="P401" s="102"/>
      <c r="Q401" s="102"/>
      <c r="R401" s="102"/>
      <c r="S401" s="102"/>
      <c r="T401" s="102"/>
      <c r="U401" s="101" t="n">
        <f aca="false">V401+W401+X401+COUNTIF(I401:T401,"R")</f>
        <v>1</v>
      </c>
      <c r="V401" s="101" t="n">
        <f aca="false">COUNTIF(I401:T401,"E")</f>
        <v>1</v>
      </c>
      <c r="W401" s="101" t="n">
        <f aca="false">COUNTIF(I401:T401,"X")</f>
        <v>0</v>
      </c>
      <c r="X401" s="101" t="n">
        <f aca="false">COUNTIF(I401:T401,"C2")+COUNTIF(I401:T401,"C3")</f>
        <v>0</v>
      </c>
      <c r="Y401" s="101" t="n">
        <f aca="true">SUMPRODUCT((I401:INDEX(I401:T401,MONTH(TODAY()))="X")*1)</f>
        <v>0</v>
      </c>
      <c r="Z401" s="104" t="n">
        <f aca="false">IFERROR(V401/U401,"")</f>
        <v>1</v>
      </c>
    </row>
    <row r="402" customFormat="false" ht="15" hidden="false" customHeight="true" outlineLevel="0" collapsed="false">
      <c r="A402" s="100" t="str">
        <f aca="false">Equipos!C400</f>
        <v>2-116520</v>
      </c>
      <c r="B402" s="101" t="str">
        <f aca="false">Equipos!D400</f>
        <v>Monitor Multiparámetros</v>
      </c>
      <c r="C402" s="101" t="str">
        <f aca="false">Equipos!E400</f>
        <v>UPC Pediátrica</v>
      </c>
      <c r="D402" s="101" t="str">
        <f aca="false">Equipos!G400</f>
        <v>Cama 7</v>
      </c>
      <c r="E402" s="101" t="str">
        <f aca="false">Equipos!I400</f>
        <v>SPACELABS HEALTHCARE</v>
      </c>
      <c r="F402" s="101" t="str">
        <f aca="false">Equipos!J400</f>
        <v>XPREZZON</v>
      </c>
      <c r="G402" s="100" t="str">
        <f aca="false">Equipos!K400</f>
        <v>1393-109313</v>
      </c>
      <c r="H402" s="101"/>
      <c r="I402" s="103" t="s">
        <v>330</v>
      </c>
      <c r="J402" s="103" t="s">
        <v>328</v>
      </c>
      <c r="K402" s="102"/>
      <c r="L402" s="102"/>
      <c r="M402" s="102"/>
      <c r="N402" s="102"/>
      <c r="O402" s="102"/>
      <c r="P402" s="102"/>
      <c r="Q402" s="102"/>
      <c r="R402" s="102"/>
      <c r="S402" s="102"/>
      <c r="T402" s="102"/>
      <c r="U402" s="101" t="n">
        <f aca="false">V402+W402+X402+COUNTIF(I402:T402,"R")</f>
        <v>2</v>
      </c>
      <c r="V402" s="101" t="n">
        <f aca="false">COUNTIF(I402:T402,"E")</f>
        <v>1</v>
      </c>
      <c r="W402" s="101" t="n">
        <f aca="false">COUNTIF(I402:T402,"X")</f>
        <v>0</v>
      </c>
      <c r="X402" s="101" t="n">
        <f aca="false">COUNTIF(I402:T402,"C2")+COUNTIF(I402:T402,"C3")</f>
        <v>0</v>
      </c>
      <c r="Y402" s="101" t="n">
        <f aca="true">SUMPRODUCT((I402:INDEX(I402:T402,MONTH(TODAY()))="X")*1)</f>
        <v>0</v>
      </c>
      <c r="Z402" s="104" t="n">
        <f aca="false">IFERROR(V402/U402,"")</f>
        <v>0.5</v>
      </c>
    </row>
    <row r="403" customFormat="false" ht="15" hidden="false" customHeight="true" outlineLevel="0" collapsed="false">
      <c r="A403" s="100" t="str">
        <f aca="false">Equipos!C401</f>
        <v>2-113493</v>
      </c>
      <c r="B403" s="101" t="str">
        <f aca="false">Equipos!D401</f>
        <v>Monitor Multiparámetros</v>
      </c>
      <c r="C403" s="101" t="str">
        <f aca="false">Equipos!E401</f>
        <v>Pediatría</v>
      </c>
      <c r="D403" s="101" t="str">
        <f aca="false">Equipos!G401</f>
        <v>EPC-P6</v>
      </c>
      <c r="E403" s="101" t="str">
        <f aca="false">Equipos!I401</f>
        <v>Nihon Kohden </v>
      </c>
      <c r="F403" s="101" t="str">
        <f aca="false">Equipos!J401</f>
        <v>PVM-2701K</v>
      </c>
      <c r="G403" s="100" t="str">
        <f aca="false">Equipos!K401</f>
        <v>100652</v>
      </c>
      <c r="H403" s="101"/>
      <c r="I403" s="103" t="s">
        <v>330</v>
      </c>
      <c r="J403" s="103" t="s">
        <v>328</v>
      </c>
      <c r="K403" s="102"/>
      <c r="L403" s="102"/>
      <c r="M403" s="102"/>
      <c r="N403" s="102"/>
      <c r="O403" s="102"/>
      <c r="P403" s="102"/>
      <c r="Q403" s="102"/>
      <c r="R403" s="102"/>
      <c r="S403" s="102"/>
      <c r="T403" s="102"/>
      <c r="U403" s="101" t="n">
        <f aca="false">V403+W403+X403+COUNTIF(I403:T403,"R")</f>
        <v>2</v>
      </c>
      <c r="V403" s="101" t="n">
        <f aca="false">COUNTIF(I403:T403,"E")</f>
        <v>1</v>
      </c>
      <c r="W403" s="101" t="n">
        <f aca="false">COUNTIF(I403:T403,"X")</f>
        <v>0</v>
      </c>
      <c r="X403" s="101" t="n">
        <f aca="false">COUNTIF(I403:T403,"C2")+COUNTIF(I403:T403,"C3")</f>
        <v>0</v>
      </c>
      <c r="Y403" s="101" t="n">
        <f aca="true">SUMPRODUCT((I403:INDEX(I403:T403,MONTH(TODAY()))="X")*1)</f>
        <v>0</v>
      </c>
      <c r="Z403" s="104" t="n">
        <f aca="false">IFERROR(V403/U403,"")</f>
        <v>0.5</v>
      </c>
    </row>
    <row r="404" customFormat="false" ht="15" hidden="false" customHeight="true" outlineLevel="0" collapsed="false">
      <c r="A404" s="100" t="str">
        <f aca="false">Equipos!C402</f>
        <v>2-009315</v>
      </c>
      <c r="B404" s="101" t="str">
        <f aca="false">Equipos!D402</f>
        <v>Monitor Multiparámetros</v>
      </c>
      <c r="C404" s="101" t="str">
        <f aca="false">Equipos!E402</f>
        <v>Imagenología</v>
      </c>
      <c r="D404" s="101" t="str">
        <f aca="false">Equipos!G402</f>
        <v>Bodega Angiógrafo</v>
      </c>
      <c r="E404" s="101" t="str">
        <f aca="false">Equipos!I402</f>
        <v>Creative Medical</v>
      </c>
      <c r="F404" s="101" t="str">
        <f aca="false">Equipos!J402</f>
        <v>UP-7000</v>
      </c>
      <c r="G404" s="100" t="str">
        <f aca="false">Equipos!K402</f>
        <v>J3300KB00015</v>
      </c>
      <c r="H404" s="101"/>
      <c r="I404" s="102"/>
      <c r="J404" s="103" t="s">
        <v>330</v>
      </c>
      <c r="K404" s="103" t="s">
        <v>328</v>
      </c>
      <c r="L404" s="102"/>
      <c r="M404" s="102"/>
      <c r="N404" s="102"/>
      <c r="O404" s="102"/>
      <c r="P404" s="102"/>
      <c r="Q404" s="102"/>
      <c r="R404" s="102"/>
      <c r="S404" s="102"/>
      <c r="T404" s="102"/>
      <c r="U404" s="101" t="n">
        <f aca="false">V404+W404+X404+COUNTIF(I404:T404,"R")</f>
        <v>2</v>
      </c>
      <c r="V404" s="101" t="n">
        <f aca="false">COUNTIF(I404:T404,"E")</f>
        <v>1</v>
      </c>
      <c r="W404" s="101" t="n">
        <f aca="false">COUNTIF(I404:T404,"X")</f>
        <v>0</v>
      </c>
      <c r="X404" s="101" t="n">
        <f aca="false">COUNTIF(I404:T404,"C2")+COUNTIF(I404:T404,"C3")</f>
        <v>0</v>
      </c>
      <c r="Y404" s="101" t="n">
        <f aca="true">SUMPRODUCT((I404:INDEX(I404:T404,MONTH(TODAY()))="X")*1)</f>
        <v>0</v>
      </c>
      <c r="Z404" s="104" t="n">
        <f aca="false">IFERROR(V404/U404,"")</f>
        <v>0.5</v>
      </c>
    </row>
    <row r="405" customFormat="false" ht="15" hidden="false" customHeight="true" outlineLevel="0" collapsed="false">
      <c r="A405" s="100" t="str">
        <f aca="false">Equipos!C403</f>
        <v>2-118799</v>
      </c>
      <c r="B405" s="101" t="str">
        <f aca="false">Equipos!D403</f>
        <v>Monitor Multiparámetros</v>
      </c>
      <c r="C405" s="101" t="str">
        <f aca="false">Equipos!E403</f>
        <v>Pabellón Quirúrgico</v>
      </c>
      <c r="D405" s="101" t="str">
        <f aca="false">Equipos!G403</f>
        <v>Pabellón 9</v>
      </c>
      <c r="E405" s="101" t="str">
        <f aca="false">Equipos!I403</f>
        <v>Drager</v>
      </c>
      <c r="F405" s="101" t="str">
        <f aca="false">Equipos!J403</f>
        <v>M540</v>
      </c>
      <c r="G405" s="100" t="str">
        <f aca="false">Equipos!K403</f>
        <v>5613541766</v>
      </c>
      <c r="H405" s="101"/>
      <c r="I405" s="102"/>
      <c r="J405" s="102"/>
      <c r="K405" s="102"/>
      <c r="L405" s="103" t="s">
        <v>328</v>
      </c>
      <c r="M405" s="102"/>
      <c r="N405" s="102"/>
      <c r="O405" s="102"/>
      <c r="P405" s="102"/>
      <c r="Q405" s="102"/>
      <c r="R405" s="102"/>
      <c r="S405" s="102"/>
      <c r="T405" s="102"/>
      <c r="U405" s="101" t="n">
        <f aca="false">V405+W405+X405+COUNTIF(I405:T405,"R")</f>
        <v>1</v>
      </c>
      <c r="V405" s="101" t="n">
        <f aca="false">COUNTIF(I405:T405,"E")</f>
        <v>1</v>
      </c>
      <c r="W405" s="101" t="n">
        <f aca="false">COUNTIF(I405:T405,"X")</f>
        <v>0</v>
      </c>
      <c r="X405" s="101" t="n">
        <f aca="false">COUNTIF(I405:T405,"C2")+COUNTIF(I405:T405,"C3")</f>
        <v>0</v>
      </c>
      <c r="Y405" s="101" t="n">
        <f aca="true">SUMPRODUCT((I405:INDEX(I405:T405,MONTH(TODAY()))="X")*1)</f>
        <v>0</v>
      </c>
      <c r="Z405" s="104" t="n">
        <f aca="false">IFERROR(V405/U405,"")</f>
        <v>1</v>
      </c>
    </row>
    <row r="406" customFormat="false" ht="15" hidden="false" customHeight="true" outlineLevel="0" collapsed="false">
      <c r="A406" s="100" t="str">
        <f aca="false">Equipos!C404</f>
        <v>2-116521</v>
      </c>
      <c r="B406" s="101" t="str">
        <f aca="false">Equipos!D404</f>
        <v>Monitor Multiparámetros</v>
      </c>
      <c r="C406" s="101" t="str">
        <f aca="false">Equipos!E404</f>
        <v>UPC Pediátrica</v>
      </c>
      <c r="D406" s="101" t="str">
        <f aca="false">Equipos!G404</f>
        <v>UCI-Sala 5</v>
      </c>
      <c r="E406" s="101" t="str">
        <f aca="false">Equipos!I404</f>
        <v>SPACELABS HEALTHCARE</v>
      </c>
      <c r="F406" s="101" t="str">
        <f aca="false">Equipos!J404</f>
        <v>XPREZZON</v>
      </c>
      <c r="G406" s="100" t="str">
        <f aca="false">Equipos!K404</f>
        <v>1393-109324</v>
      </c>
      <c r="H406" s="101"/>
      <c r="I406" s="103" t="s">
        <v>330</v>
      </c>
      <c r="J406" s="103" t="s">
        <v>328</v>
      </c>
      <c r="K406" s="102"/>
      <c r="L406" s="102"/>
      <c r="M406" s="102"/>
      <c r="N406" s="102"/>
      <c r="O406" s="102"/>
      <c r="P406" s="102"/>
      <c r="Q406" s="102"/>
      <c r="R406" s="102"/>
      <c r="S406" s="102"/>
      <c r="T406" s="102"/>
      <c r="U406" s="101" t="n">
        <f aca="false">V406+W406+X406+COUNTIF(I406:T406,"R")</f>
        <v>2</v>
      </c>
      <c r="V406" s="101" t="n">
        <f aca="false">COUNTIF(I406:T406,"E")</f>
        <v>1</v>
      </c>
      <c r="W406" s="101" t="n">
        <f aca="false">COUNTIF(I406:T406,"X")</f>
        <v>0</v>
      </c>
      <c r="X406" s="101" t="n">
        <f aca="false">COUNTIF(I406:T406,"C2")+COUNTIF(I406:T406,"C3")</f>
        <v>0</v>
      </c>
      <c r="Y406" s="101" t="n">
        <f aca="true">SUMPRODUCT((I406:INDEX(I406:T406,MONTH(TODAY()))="X")*1)</f>
        <v>0</v>
      </c>
      <c r="Z406" s="104" t="n">
        <f aca="false">IFERROR(V406/U406,"")</f>
        <v>0.5</v>
      </c>
    </row>
    <row r="407" customFormat="false" ht="15" hidden="false" customHeight="true" outlineLevel="0" collapsed="false">
      <c r="A407" s="100" t="str">
        <f aca="false">Equipos!C405</f>
        <v>2-135917</v>
      </c>
      <c r="B407" s="101" t="str">
        <f aca="false">Equipos!D405</f>
        <v>Monitor Multiparámetros</v>
      </c>
      <c r="C407" s="101" t="str">
        <f aca="false">Equipos!E405</f>
        <v>TROI</v>
      </c>
      <c r="D407" s="101" t="n">
        <f aca="false">Equipos!G405</f>
        <v>0</v>
      </c>
      <c r="E407" s="101" t="str">
        <f aca="false">Equipos!I405</f>
        <v>Drager</v>
      </c>
      <c r="F407" s="101" t="str">
        <f aca="false">Equipos!J405</f>
        <v>Vista 300</v>
      </c>
      <c r="G407" s="100" t="str">
        <f aca="false">Equipos!K405</f>
        <v>VSSUC0199</v>
      </c>
      <c r="H407" s="101"/>
      <c r="I407" s="102"/>
      <c r="J407" s="102"/>
      <c r="K407" s="102"/>
      <c r="L407" s="103" t="s">
        <v>328</v>
      </c>
      <c r="M407" s="102"/>
      <c r="N407" s="102"/>
      <c r="O407" s="102"/>
      <c r="P407" s="102"/>
      <c r="Q407" s="102"/>
      <c r="R407" s="102"/>
      <c r="S407" s="102"/>
      <c r="T407" s="102"/>
      <c r="U407" s="101" t="n">
        <f aca="false">V407+W407+X407+COUNTIF(I407:T407,"R")</f>
        <v>1</v>
      </c>
      <c r="V407" s="101" t="n">
        <f aca="false">COUNTIF(I407:T407,"E")</f>
        <v>1</v>
      </c>
      <c r="W407" s="101" t="n">
        <f aca="false">COUNTIF(I407:T407,"X")</f>
        <v>0</v>
      </c>
      <c r="X407" s="101" t="n">
        <f aca="false">COUNTIF(I407:T407,"C2")+COUNTIF(I407:T407,"C3")</f>
        <v>0</v>
      </c>
      <c r="Y407" s="101" t="n">
        <f aca="true">SUMPRODUCT((I407:INDEX(I407:T407,MONTH(TODAY()))="X")*1)</f>
        <v>0</v>
      </c>
      <c r="Z407" s="104" t="n">
        <f aca="false">IFERROR(V407/U407,"")</f>
        <v>1</v>
      </c>
    </row>
    <row r="408" customFormat="false" ht="15" hidden="false" customHeight="true" outlineLevel="0" collapsed="false">
      <c r="A408" s="100" t="str">
        <f aca="false">Equipos!C406</f>
        <v>2-013601</v>
      </c>
      <c r="B408" s="101" t="str">
        <f aca="false">Equipos!D406</f>
        <v>Monitor Multiparámetros</v>
      </c>
      <c r="C408" s="101" t="str">
        <f aca="false">Equipos!E406</f>
        <v>Imagenología</v>
      </c>
      <c r="D408" s="101" t="str">
        <f aca="false">Equipos!G406</f>
        <v>Recuperación</v>
      </c>
      <c r="E408" s="101" t="str">
        <f aca="false">Equipos!I406</f>
        <v>Drager </v>
      </c>
      <c r="F408" s="101" t="str">
        <f aca="false">Equipos!J406</f>
        <v>Infinity Vista</v>
      </c>
      <c r="G408" s="100" t="str">
        <f aca="false">Equipos!K406</f>
        <v>5514423368</v>
      </c>
      <c r="H408" s="101"/>
      <c r="I408" s="102"/>
      <c r="J408" s="103" t="s">
        <v>330</v>
      </c>
      <c r="K408" s="103" t="s">
        <v>328</v>
      </c>
      <c r="L408" s="102"/>
      <c r="M408" s="102"/>
      <c r="N408" s="102"/>
      <c r="O408" s="102"/>
      <c r="P408" s="102"/>
      <c r="Q408" s="102"/>
      <c r="R408" s="102"/>
      <c r="S408" s="102"/>
      <c r="T408" s="102"/>
      <c r="U408" s="101" t="n">
        <f aca="false">V408+W408+X408+COUNTIF(I408:T408,"R")</f>
        <v>2</v>
      </c>
      <c r="V408" s="101" t="n">
        <f aca="false">COUNTIF(I408:T408,"E")</f>
        <v>1</v>
      </c>
      <c r="W408" s="101" t="n">
        <f aca="false">COUNTIF(I408:T408,"X")</f>
        <v>0</v>
      </c>
      <c r="X408" s="101" t="n">
        <f aca="false">COUNTIF(I408:T408,"C2")+COUNTIF(I408:T408,"C3")</f>
        <v>0</v>
      </c>
      <c r="Y408" s="101" t="n">
        <f aca="true">SUMPRODUCT((I408:INDEX(I408:T408,MONTH(TODAY()))="X")*1)</f>
        <v>0</v>
      </c>
      <c r="Z408" s="104" t="n">
        <f aca="false">IFERROR(V408/U408,"")</f>
        <v>0.5</v>
      </c>
    </row>
    <row r="409" customFormat="false" ht="15" hidden="false" customHeight="true" outlineLevel="0" collapsed="false">
      <c r="A409" s="100" t="str">
        <f aca="false">Equipos!C407</f>
        <v>2-023255</v>
      </c>
      <c r="B409" s="101" t="str">
        <f aca="false">Equipos!D407</f>
        <v>Monitor Multiparámetros</v>
      </c>
      <c r="C409" s="101" t="str">
        <f aca="false">Equipos!E407</f>
        <v>Pediatría</v>
      </c>
      <c r="D409" s="101" t="str">
        <f aca="false">Equipos!G407</f>
        <v>EPC-P6</v>
      </c>
      <c r="E409" s="101" t="str">
        <f aca="false">Equipos!I407</f>
        <v>Nihon Kohden </v>
      </c>
      <c r="F409" s="101" t="str">
        <f aca="false">Equipos!J407</f>
        <v>BSM-6301K</v>
      </c>
      <c r="G409" s="100" t="str">
        <f aca="false">Equipos!K407</f>
        <v>1060</v>
      </c>
      <c r="H409" s="101"/>
      <c r="I409" s="103" t="s">
        <v>330</v>
      </c>
      <c r="J409" s="103" t="s">
        <v>328</v>
      </c>
      <c r="K409" s="102"/>
      <c r="L409" s="102"/>
      <c r="M409" s="102"/>
      <c r="N409" s="102"/>
      <c r="O409" s="102"/>
      <c r="P409" s="102"/>
      <c r="Q409" s="102"/>
      <c r="R409" s="102"/>
      <c r="S409" s="102"/>
      <c r="T409" s="102"/>
      <c r="U409" s="101" t="n">
        <f aca="false">V409+W409+X409+COUNTIF(I409:T409,"R")</f>
        <v>2</v>
      </c>
      <c r="V409" s="101" t="n">
        <f aca="false">COUNTIF(I409:T409,"E")</f>
        <v>1</v>
      </c>
      <c r="W409" s="101" t="n">
        <f aca="false">COUNTIF(I409:T409,"X")</f>
        <v>0</v>
      </c>
      <c r="X409" s="101" t="n">
        <f aca="false">COUNTIF(I409:T409,"C2")+COUNTIF(I409:T409,"C3")</f>
        <v>0</v>
      </c>
      <c r="Y409" s="101" t="n">
        <f aca="true">SUMPRODUCT((I409:INDEX(I409:T409,MONTH(TODAY()))="X")*1)</f>
        <v>0</v>
      </c>
      <c r="Z409" s="104" t="n">
        <f aca="false">IFERROR(V409/U409,"")</f>
        <v>0.5</v>
      </c>
    </row>
    <row r="410" customFormat="false" ht="15" hidden="false" customHeight="true" outlineLevel="0" collapsed="false">
      <c r="A410" s="100" t="str">
        <f aca="false">Equipos!C408</f>
        <v>2-112497</v>
      </c>
      <c r="B410" s="101" t="str">
        <f aca="false">Equipos!D408</f>
        <v>Monitor Multiparámetros</v>
      </c>
      <c r="C410" s="101" t="str">
        <f aca="false">Equipos!E408</f>
        <v>Pediatría</v>
      </c>
      <c r="D410" s="101" t="str">
        <f aca="false">Equipos!G408</f>
        <v>Segunda infancia</v>
      </c>
      <c r="E410" s="101" t="str">
        <f aca="false">Equipos!I408</f>
        <v>Nihon Kohden </v>
      </c>
      <c r="F410" s="101" t="str">
        <f aca="false">Equipos!J408</f>
        <v>PVM-2701K</v>
      </c>
      <c r="G410" s="100" t="str">
        <f aca="false">Equipos!K408</f>
        <v>100648</v>
      </c>
      <c r="H410" s="101"/>
      <c r="I410" s="103" t="s">
        <v>330</v>
      </c>
      <c r="J410" s="103" t="s">
        <v>328</v>
      </c>
      <c r="K410" s="102"/>
      <c r="L410" s="102"/>
      <c r="M410" s="102"/>
      <c r="N410" s="102"/>
      <c r="O410" s="102"/>
      <c r="P410" s="102"/>
      <c r="Q410" s="102"/>
      <c r="R410" s="102"/>
      <c r="S410" s="102"/>
      <c r="T410" s="102"/>
      <c r="U410" s="101" t="n">
        <f aca="false">V410+W410+X410+COUNTIF(I410:T410,"R")</f>
        <v>2</v>
      </c>
      <c r="V410" s="101" t="n">
        <f aca="false">COUNTIF(I410:T410,"E")</f>
        <v>1</v>
      </c>
      <c r="W410" s="101" t="n">
        <f aca="false">COUNTIF(I410:T410,"X")</f>
        <v>0</v>
      </c>
      <c r="X410" s="101" t="n">
        <f aca="false">COUNTIF(I410:T410,"C2")+COUNTIF(I410:T410,"C3")</f>
        <v>0</v>
      </c>
      <c r="Y410" s="101" t="n">
        <f aca="true">SUMPRODUCT((I410:INDEX(I410:T410,MONTH(TODAY()))="X")*1)</f>
        <v>0</v>
      </c>
      <c r="Z410" s="104" t="n">
        <f aca="false">IFERROR(V410/U410,"")</f>
        <v>0.5</v>
      </c>
    </row>
    <row r="411" customFormat="false" ht="15" hidden="false" customHeight="true" outlineLevel="0" collapsed="false">
      <c r="A411" s="100" t="str">
        <f aca="false">Equipos!C409</f>
        <v>2-116522</v>
      </c>
      <c r="B411" s="101" t="str">
        <f aca="false">Equipos!D409</f>
        <v>Monitor Multiparámetros</v>
      </c>
      <c r="C411" s="101" t="str">
        <f aca="false">Equipos!E409</f>
        <v>UPC Pediátrica</v>
      </c>
      <c r="D411" s="101" t="str">
        <f aca="false">Equipos!G409</f>
        <v>Cama 5</v>
      </c>
      <c r="E411" s="101" t="str">
        <f aca="false">Equipos!I409</f>
        <v>SPACELABS HEALTHCARE</v>
      </c>
      <c r="F411" s="101" t="str">
        <f aca="false">Equipos!J409</f>
        <v>XPREZZON</v>
      </c>
      <c r="G411" s="100" t="str">
        <f aca="false">Equipos!K409</f>
        <v>1393-109302</v>
      </c>
      <c r="H411" s="101"/>
      <c r="I411" s="103" t="s">
        <v>330</v>
      </c>
      <c r="J411" s="103" t="s">
        <v>328</v>
      </c>
      <c r="K411" s="102"/>
      <c r="L411" s="102"/>
      <c r="M411" s="102"/>
      <c r="N411" s="102"/>
      <c r="O411" s="102"/>
      <c r="P411" s="102"/>
      <c r="Q411" s="102"/>
      <c r="R411" s="102"/>
      <c r="S411" s="102"/>
      <c r="T411" s="102"/>
      <c r="U411" s="101" t="n">
        <f aca="false">V411+W411+X411+COUNTIF(I411:T411,"R")</f>
        <v>2</v>
      </c>
      <c r="V411" s="101" t="n">
        <f aca="false">COUNTIF(I411:T411,"E")</f>
        <v>1</v>
      </c>
      <c r="W411" s="101" t="n">
        <f aca="false">COUNTIF(I411:T411,"X")</f>
        <v>0</v>
      </c>
      <c r="X411" s="101" t="n">
        <f aca="false">COUNTIF(I411:T411,"C2")+COUNTIF(I411:T411,"C3")</f>
        <v>0</v>
      </c>
      <c r="Y411" s="101" t="n">
        <f aca="true">SUMPRODUCT((I411:INDEX(I411:T411,MONTH(TODAY()))="X")*1)</f>
        <v>0</v>
      </c>
      <c r="Z411" s="104" t="n">
        <f aca="false">IFERROR(V411/U411,"")</f>
        <v>0.5</v>
      </c>
    </row>
    <row r="412" customFormat="false" ht="15" hidden="false" customHeight="true" outlineLevel="0" collapsed="false">
      <c r="A412" s="100" t="str">
        <f aca="false">Equipos!C410</f>
        <v>2-112655</v>
      </c>
      <c r="B412" s="101" t="str">
        <f aca="false">Equipos!D410</f>
        <v>Monitor Multiparámetros</v>
      </c>
      <c r="C412" s="101" t="str">
        <f aca="false">Equipos!E410</f>
        <v>Pediatría</v>
      </c>
      <c r="D412" s="101" t="str">
        <f aca="false">Equipos!G410</f>
        <v>Sala de equipos</v>
      </c>
      <c r="E412" s="101" t="str">
        <f aca="false">Equipos!I410</f>
        <v>Nihon Kohden </v>
      </c>
      <c r="F412" s="101" t="str">
        <f aca="false">Equipos!J410</f>
        <v>PVM-2701K</v>
      </c>
      <c r="G412" s="100" t="str">
        <f aca="false">Equipos!K410</f>
        <v>100655</v>
      </c>
      <c r="H412" s="101"/>
      <c r="I412" s="103" t="s">
        <v>330</v>
      </c>
      <c r="J412" s="103" t="s">
        <v>328</v>
      </c>
      <c r="K412" s="102"/>
      <c r="L412" s="102"/>
      <c r="M412" s="102"/>
      <c r="N412" s="102"/>
      <c r="O412" s="102"/>
      <c r="P412" s="102"/>
      <c r="Q412" s="102"/>
      <c r="R412" s="102"/>
      <c r="S412" s="102"/>
      <c r="T412" s="102"/>
      <c r="U412" s="101" t="n">
        <f aca="false">V412+W412+X412+COUNTIF(I412:T412,"R")</f>
        <v>2</v>
      </c>
      <c r="V412" s="101" t="n">
        <f aca="false">COUNTIF(I412:T412,"E")</f>
        <v>1</v>
      </c>
      <c r="W412" s="101" t="n">
        <f aca="false">COUNTIF(I412:T412,"X")</f>
        <v>0</v>
      </c>
      <c r="X412" s="101" t="n">
        <f aca="false">COUNTIF(I412:T412,"C2")+COUNTIF(I412:T412,"C3")</f>
        <v>0</v>
      </c>
      <c r="Y412" s="101" t="n">
        <f aca="true">SUMPRODUCT((I412:INDEX(I412:T412,MONTH(TODAY()))="X")*1)</f>
        <v>0</v>
      </c>
      <c r="Z412" s="104" t="n">
        <f aca="false">IFERROR(V412/U412,"")</f>
        <v>0.5</v>
      </c>
    </row>
    <row r="413" customFormat="false" ht="15" hidden="false" customHeight="true" outlineLevel="0" collapsed="false">
      <c r="A413" s="100" t="str">
        <f aca="false">Equipos!C411</f>
        <v>2-120577</v>
      </c>
      <c r="B413" s="101" t="str">
        <f aca="false">Equipos!D411</f>
        <v>Monitor Multiparámetros</v>
      </c>
      <c r="C413" s="101" t="str">
        <f aca="false">Equipos!E411</f>
        <v>UPC 3er Piso</v>
      </c>
      <c r="D413" s="101" t="str">
        <f aca="false">Equipos!G411</f>
        <v>UTI 1</v>
      </c>
      <c r="E413" s="101" t="str">
        <f aca="false">Equipos!I411</f>
        <v>SPACELABS HEALTHCARE</v>
      </c>
      <c r="F413" s="101" t="str">
        <f aca="false">Equipos!J411</f>
        <v>XPREZZON</v>
      </c>
      <c r="G413" s="100" t="str">
        <f aca="false">Equipos!K411</f>
        <v>1393-114594</v>
      </c>
      <c r="H413" s="101"/>
      <c r="I413" s="102"/>
      <c r="J413" s="102"/>
      <c r="K413" s="102"/>
      <c r="L413" s="102"/>
      <c r="M413" s="103" t="s">
        <v>328</v>
      </c>
      <c r="N413" s="102"/>
      <c r="O413" s="102"/>
      <c r="P413" s="102"/>
      <c r="Q413" s="102"/>
      <c r="R413" s="102"/>
      <c r="S413" s="102"/>
      <c r="T413" s="102"/>
      <c r="U413" s="101" t="n">
        <f aca="false">V413+W413+X413+COUNTIF(I413:T413,"R")</f>
        <v>1</v>
      </c>
      <c r="V413" s="101" t="n">
        <f aca="false">COUNTIF(I413:T413,"E")</f>
        <v>1</v>
      </c>
      <c r="W413" s="101" t="n">
        <f aca="false">COUNTIF(I413:T413,"X")</f>
        <v>0</v>
      </c>
      <c r="X413" s="101" t="n">
        <f aca="false">COUNTIF(I413:T413,"C2")+COUNTIF(I413:T413,"C3")</f>
        <v>0</v>
      </c>
      <c r="Y413" s="101" t="n">
        <f aca="true">SUMPRODUCT((I413:INDEX(I413:T413,MONTH(TODAY()))="X")*1)</f>
        <v>0</v>
      </c>
      <c r="Z413" s="104" t="n">
        <f aca="false">IFERROR(V413/U413,"")</f>
        <v>1</v>
      </c>
    </row>
    <row r="414" customFormat="false" ht="15" hidden="false" customHeight="true" outlineLevel="0" collapsed="false">
      <c r="A414" s="100" t="str">
        <f aca="false">Equipos!C412</f>
        <v>2-121185</v>
      </c>
      <c r="B414" s="101" t="str">
        <f aca="false">Equipos!D412</f>
        <v>Monitor Multiparámetros</v>
      </c>
      <c r="C414" s="101" t="str">
        <f aca="false">Equipos!E412</f>
        <v>Medicina</v>
      </c>
      <c r="D414" s="101" t="str">
        <f aca="false">Equipos!G412</f>
        <v>502-2E</v>
      </c>
      <c r="E414" s="101" t="str">
        <f aca="false">Equipos!I412</f>
        <v>Nihon Kohden </v>
      </c>
      <c r="F414" s="101" t="str">
        <f aca="false">Equipos!J412</f>
        <v>BSM-3562K</v>
      </c>
      <c r="G414" s="100" t="str">
        <f aca="false">Equipos!K412</f>
        <v>29676</v>
      </c>
      <c r="H414" s="101"/>
      <c r="I414" s="102"/>
      <c r="J414" s="103" t="s">
        <v>328</v>
      </c>
      <c r="K414" s="102"/>
      <c r="L414" s="102"/>
      <c r="M414" s="102"/>
      <c r="N414" s="102"/>
      <c r="O414" s="102"/>
      <c r="P414" s="102"/>
      <c r="Q414" s="102"/>
      <c r="R414" s="102"/>
      <c r="S414" s="102"/>
      <c r="T414" s="102"/>
      <c r="U414" s="101" t="n">
        <f aca="false">V414+W414+X414+COUNTIF(I414:T414,"R")</f>
        <v>1</v>
      </c>
      <c r="V414" s="101" t="n">
        <f aca="false">COUNTIF(I414:T414,"E")</f>
        <v>1</v>
      </c>
      <c r="W414" s="101" t="n">
        <f aca="false">COUNTIF(I414:T414,"X")</f>
        <v>0</v>
      </c>
      <c r="X414" s="101" t="n">
        <f aca="false">COUNTIF(I414:T414,"C2")+COUNTIF(I414:T414,"C3")</f>
        <v>0</v>
      </c>
      <c r="Y414" s="101" t="n">
        <f aca="true">SUMPRODUCT((I414:INDEX(I414:T414,MONTH(TODAY()))="X")*1)</f>
        <v>0</v>
      </c>
      <c r="Z414" s="104" t="n">
        <f aca="false">IFERROR(V414/U414,"")</f>
        <v>1</v>
      </c>
    </row>
    <row r="415" customFormat="false" ht="15" hidden="false" customHeight="true" outlineLevel="0" collapsed="false">
      <c r="A415" s="100" t="str">
        <f aca="false">Equipos!C413</f>
        <v>2-121186</v>
      </c>
      <c r="B415" s="101" t="str">
        <f aca="false">Equipos!D413</f>
        <v>Monitor Multiparámetros</v>
      </c>
      <c r="C415" s="101" t="str">
        <f aca="false">Equipos!E413</f>
        <v>Medicina</v>
      </c>
      <c r="D415" s="101" t="str">
        <f aca="false">Equipos!G413</f>
        <v>Sala 598</v>
      </c>
      <c r="E415" s="101" t="str">
        <f aca="false">Equipos!I413</f>
        <v>Nihon Kohden </v>
      </c>
      <c r="F415" s="101" t="str">
        <f aca="false">Equipos!J413</f>
        <v>BSM-3562K</v>
      </c>
      <c r="G415" s="100" t="str">
        <f aca="false">Equipos!K413</f>
        <v>29695</v>
      </c>
      <c r="H415" s="101"/>
      <c r="I415" s="102"/>
      <c r="J415" s="103" t="s">
        <v>328</v>
      </c>
      <c r="K415" s="102"/>
      <c r="L415" s="102"/>
      <c r="M415" s="102"/>
      <c r="N415" s="102"/>
      <c r="O415" s="102"/>
      <c r="P415" s="102"/>
      <c r="Q415" s="102"/>
      <c r="R415" s="102"/>
      <c r="S415" s="102"/>
      <c r="T415" s="102"/>
      <c r="U415" s="101" t="n">
        <f aca="false">V415+W415+X415+COUNTIF(I415:T415,"R")</f>
        <v>1</v>
      </c>
      <c r="V415" s="101" t="n">
        <f aca="false">COUNTIF(I415:T415,"E")</f>
        <v>1</v>
      </c>
      <c r="W415" s="101" t="n">
        <f aca="false">COUNTIF(I415:T415,"X")</f>
        <v>0</v>
      </c>
      <c r="X415" s="101" t="n">
        <f aca="false">COUNTIF(I415:T415,"C2")+COUNTIF(I415:T415,"C3")</f>
        <v>0</v>
      </c>
      <c r="Y415" s="101" t="n">
        <f aca="true">SUMPRODUCT((I415:INDEX(I415:T415,MONTH(TODAY()))="X")*1)</f>
        <v>0</v>
      </c>
      <c r="Z415" s="104" t="n">
        <f aca="false">IFERROR(V415/U415,"")</f>
        <v>1</v>
      </c>
    </row>
    <row r="416" customFormat="false" ht="15" hidden="false" customHeight="true" outlineLevel="0" collapsed="false">
      <c r="A416" s="100" t="str">
        <f aca="false">Equipos!C414</f>
        <v>2-116523</v>
      </c>
      <c r="B416" s="101" t="str">
        <f aca="false">Equipos!D414</f>
        <v>Monitor Multiparámetros</v>
      </c>
      <c r="C416" s="101" t="str">
        <f aca="false">Equipos!E414</f>
        <v>UPC Pediátrica</v>
      </c>
      <c r="D416" s="101" t="str">
        <f aca="false">Equipos!G414</f>
        <v>Cama 6</v>
      </c>
      <c r="E416" s="101" t="str">
        <f aca="false">Equipos!I414</f>
        <v>SPACELABS HEALTHCARE</v>
      </c>
      <c r="F416" s="101" t="str">
        <f aca="false">Equipos!J414</f>
        <v>XPREZZON</v>
      </c>
      <c r="G416" s="100" t="str">
        <f aca="false">Equipos!K414</f>
        <v>1393-109321</v>
      </c>
      <c r="H416" s="101"/>
      <c r="I416" s="103" t="s">
        <v>330</v>
      </c>
      <c r="J416" s="103" t="s">
        <v>328</v>
      </c>
      <c r="K416" s="102"/>
      <c r="L416" s="102"/>
      <c r="M416" s="102"/>
      <c r="N416" s="102"/>
      <c r="O416" s="102"/>
      <c r="P416" s="102"/>
      <c r="Q416" s="102"/>
      <c r="R416" s="102"/>
      <c r="S416" s="102"/>
      <c r="T416" s="102"/>
      <c r="U416" s="101" t="n">
        <f aca="false">V416+W416+X416+COUNTIF(I416:T416,"R")</f>
        <v>2</v>
      </c>
      <c r="V416" s="101" t="n">
        <f aca="false">COUNTIF(I416:T416,"E")</f>
        <v>1</v>
      </c>
      <c r="W416" s="101" t="n">
        <f aca="false">COUNTIF(I416:T416,"X")</f>
        <v>0</v>
      </c>
      <c r="X416" s="101" t="n">
        <f aca="false">COUNTIF(I416:T416,"C2")+COUNTIF(I416:T416,"C3")</f>
        <v>0</v>
      </c>
      <c r="Y416" s="101" t="n">
        <f aca="true">SUMPRODUCT((I416:INDEX(I416:T416,MONTH(TODAY()))="X")*1)</f>
        <v>0</v>
      </c>
      <c r="Z416" s="104" t="n">
        <f aca="false">IFERROR(V416/U416,"")</f>
        <v>0.5</v>
      </c>
    </row>
    <row r="417" customFormat="false" ht="15" hidden="false" customHeight="true" outlineLevel="0" collapsed="false">
      <c r="A417" s="100" t="str">
        <f aca="false">Equipos!C415</f>
        <v>2-023258</v>
      </c>
      <c r="B417" s="101" t="str">
        <f aca="false">Equipos!D415</f>
        <v>Monitor Multiparámetros</v>
      </c>
      <c r="C417" s="101" t="str">
        <f aca="false">Equipos!E415</f>
        <v>Pediatría</v>
      </c>
      <c r="D417" s="101" t="n">
        <f aca="false">Equipos!G415</f>
        <v>0</v>
      </c>
      <c r="E417" s="101" t="str">
        <f aca="false">Equipos!I415</f>
        <v>Nihon Kohden </v>
      </c>
      <c r="F417" s="101" t="str">
        <f aca="false">Equipos!J415</f>
        <v>PVM-2701K</v>
      </c>
      <c r="G417" s="100" t="str">
        <f aca="false">Equipos!K415</f>
        <v>100654</v>
      </c>
      <c r="H417" s="101"/>
      <c r="I417" s="103" t="s">
        <v>330</v>
      </c>
      <c r="J417" s="103" t="s">
        <v>328</v>
      </c>
      <c r="K417" s="102"/>
      <c r="L417" s="102"/>
      <c r="M417" s="102"/>
      <c r="N417" s="102"/>
      <c r="O417" s="102"/>
      <c r="P417" s="102"/>
      <c r="Q417" s="102"/>
      <c r="R417" s="102"/>
      <c r="S417" s="102"/>
      <c r="T417" s="102"/>
      <c r="U417" s="101" t="n">
        <f aca="false">V417+W417+X417+COUNTIF(I417:T417,"R")</f>
        <v>2</v>
      </c>
      <c r="V417" s="101" t="n">
        <f aca="false">COUNTIF(I417:T417,"E")</f>
        <v>1</v>
      </c>
      <c r="W417" s="101" t="n">
        <f aca="false">COUNTIF(I417:T417,"X")</f>
        <v>0</v>
      </c>
      <c r="X417" s="101" t="n">
        <f aca="false">COUNTIF(I417:T417,"C2")+COUNTIF(I417:T417,"C3")</f>
        <v>0</v>
      </c>
      <c r="Y417" s="101" t="n">
        <f aca="true">SUMPRODUCT((I417:INDEX(I417:T417,MONTH(TODAY()))="X")*1)</f>
        <v>0</v>
      </c>
      <c r="Z417" s="104" t="n">
        <f aca="false">IFERROR(V417/U417,"")</f>
        <v>0.5</v>
      </c>
    </row>
    <row r="418" customFormat="false" ht="15" hidden="false" customHeight="true" outlineLevel="0" collapsed="false">
      <c r="A418" s="100" t="str">
        <f aca="false">Equipos!C416</f>
        <v>2-112498</v>
      </c>
      <c r="B418" s="101" t="str">
        <f aca="false">Equipos!D416</f>
        <v>Monitor Multiparámetros</v>
      </c>
      <c r="C418" s="101" t="str">
        <f aca="false">Equipos!E416</f>
        <v>Pediatría</v>
      </c>
      <c r="D418" s="101" t="str">
        <f aca="false">Equipos!G416</f>
        <v>Sala de equipos</v>
      </c>
      <c r="E418" s="101" t="str">
        <f aca="false">Equipos!I416</f>
        <v>Nihon Kohden </v>
      </c>
      <c r="F418" s="101" t="str">
        <f aca="false">Equipos!J416</f>
        <v>BSM-1763K</v>
      </c>
      <c r="G418" s="100" t="str">
        <f aca="false">Equipos!K416</f>
        <v>570</v>
      </c>
      <c r="H418" s="101"/>
      <c r="I418" s="103" t="s">
        <v>330</v>
      </c>
      <c r="J418" s="103" t="s">
        <v>328</v>
      </c>
      <c r="K418" s="102"/>
      <c r="L418" s="102"/>
      <c r="M418" s="102"/>
      <c r="N418" s="102"/>
      <c r="O418" s="102"/>
      <c r="P418" s="102"/>
      <c r="Q418" s="102"/>
      <c r="R418" s="102"/>
      <c r="S418" s="102"/>
      <c r="T418" s="102"/>
      <c r="U418" s="101" t="n">
        <f aca="false">V418+W418+X418+COUNTIF(I418:T418,"R")</f>
        <v>2</v>
      </c>
      <c r="V418" s="101" t="n">
        <f aca="false">COUNTIF(I418:T418,"E")</f>
        <v>1</v>
      </c>
      <c r="W418" s="101" t="n">
        <f aca="false">COUNTIF(I418:T418,"X")</f>
        <v>0</v>
      </c>
      <c r="X418" s="101" t="n">
        <f aca="false">COUNTIF(I418:T418,"C2")+COUNTIF(I418:T418,"C3")</f>
        <v>0</v>
      </c>
      <c r="Y418" s="101" t="n">
        <f aca="true">SUMPRODUCT((I418:INDEX(I418:T418,MONTH(TODAY()))="X")*1)</f>
        <v>0</v>
      </c>
      <c r="Z418" s="104" t="n">
        <f aca="false">IFERROR(V418/U418,"")</f>
        <v>0.5</v>
      </c>
    </row>
    <row r="419" customFormat="false" ht="15" hidden="false" customHeight="true" outlineLevel="0" collapsed="false">
      <c r="A419" s="100" t="str">
        <f aca="false">Equipos!C417</f>
        <v>2-016151</v>
      </c>
      <c r="B419" s="101" t="str">
        <f aca="false">Equipos!D417</f>
        <v>Monitor Multiparámetros</v>
      </c>
      <c r="C419" s="101" t="str">
        <f aca="false">Equipos!E417</f>
        <v>Pabellón CMA</v>
      </c>
      <c r="D419" s="101" t="n">
        <f aca="false">Equipos!G417</f>
        <v>0</v>
      </c>
      <c r="E419" s="101" t="str">
        <f aca="false">Equipos!I417</f>
        <v>Nihon Kohden </v>
      </c>
      <c r="F419" s="101" t="str">
        <f aca="false">Equipos!J417</f>
        <v>PVM-2701K</v>
      </c>
      <c r="G419" s="100" t="str">
        <f aca="false">Equipos!K417</f>
        <v>100651</v>
      </c>
      <c r="H419" s="101"/>
      <c r="I419" s="102"/>
      <c r="J419" s="102"/>
      <c r="K419" s="102"/>
      <c r="L419" s="102"/>
      <c r="M419" s="103" t="s">
        <v>329</v>
      </c>
      <c r="N419" s="102"/>
      <c r="O419" s="102"/>
      <c r="P419" s="102"/>
      <c r="Q419" s="102"/>
      <c r="R419" s="102"/>
      <c r="S419" s="102"/>
      <c r="T419" s="102"/>
      <c r="U419" s="101" t="n">
        <f aca="false">V419+W419+X419+COUNTIF(I419:T419,"R")</f>
        <v>1</v>
      </c>
      <c r="V419" s="101" t="n">
        <f aca="false">COUNTIF(I419:T419,"E")</f>
        <v>0</v>
      </c>
      <c r="W419" s="101" t="n">
        <f aca="false">COUNTIF(I419:T419,"X")</f>
        <v>1</v>
      </c>
      <c r="X419" s="101" t="n">
        <f aca="false">COUNTIF(I419:T419,"C2")+COUNTIF(I419:T419,"C3")</f>
        <v>0</v>
      </c>
      <c r="Y419" s="101" t="n">
        <f aca="true">SUMPRODUCT((I419:INDEX(I419:T419,MONTH(TODAY()))="X")*1)</f>
        <v>1</v>
      </c>
      <c r="Z419" s="104" t="n">
        <f aca="false">IFERROR(V419/U419,"")</f>
        <v>0</v>
      </c>
    </row>
    <row r="420" customFormat="false" ht="15" hidden="false" customHeight="true" outlineLevel="0" collapsed="false">
      <c r="A420" s="100" t="str">
        <f aca="false">Equipos!C418</f>
        <v>2-015904</v>
      </c>
      <c r="B420" s="101" t="str">
        <f aca="false">Equipos!D418</f>
        <v>Monitor Multiparámetros</v>
      </c>
      <c r="C420" s="101" t="str">
        <f aca="false">Equipos!E418</f>
        <v>Urgencias Gineco-Obstétricas</v>
      </c>
      <c r="D420" s="101" t="str">
        <f aca="false">Equipos!G418</f>
        <v>Preparto 2</v>
      </c>
      <c r="E420" s="101" t="str">
        <f aca="false">Equipos!I418</f>
        <v>General Electric</v>
      </c>
      <c r="F420" s="101" t="str">
        <f aca="false">Equipos!J418</f>
        <v>Dash 4000</v>
      </c>
      <c r="G420" s="100" t="str">
        <f aca="false">Equipos!K418</f>
        <v>D3DJ7839G</v>
      </c>
      <c r="H420" s="101"/>
      <c r="I420" s="102"/>
      <c r="J420" s="103" t="s">
        <v>333</v>
      </c>
      <c r="K420" s="102"/>
      <c r="L420" s="102"/>
      <c r="M420" s="102"/>
      <c r="N420" s="102"/>
      <c r="O420" s="102"/>
      <c r="P420" s="102"/>
      <c r="Q420" s="102"/>
      <c r="R420" s="102"/>
      <c r="S420" s="102"/>
      <c r="T420" s="102"/>
      <c r="U420" s="101" t="n">
        <f aca="false">V420+W420+X420+COUNTIF(I420:T420,"R")</f>
        <v>0</v>
      </c>
      <c r="V420" s="101" t="n">
        <f aca="false">COUNTIF(I420:T420,"E")</f>
        <v>0</v>
      </c>
      <c r="W420" s="101" t="n">
        <f aca="false">COUNTIF(I420:T420,"X")</f>
        <v>0</v>
      </c>
      <c r="X420" s="101" t="n">
        <f aca="false">COUNTIF(I420:T420,"C2")+COUNTIF(I420:T420,"C3")</f>
        <v>0</v>
      </c>
      <c r="Y420" s="101" t="n">
        <f aca="true">SUMPRODUCT((I420:INDEX(I420:T420,MONTH(TODAY()))="X")*1)</f>
        <v>0</v>
      </c>
      <c r="Z420" s="104" t="str">
        <f aca="false">IFERROR(V420/U420,"")</f>
        <v/>
      </c>
    </row>
    <row r="421" customFormat="false" ht="15" hidden="false" customHeight="true" outlineLevel="0" collapsed="false">
      <c r="A421" s="100" t="str">
        <f aca="false">Equipos!C419</f>
        <v>2-121187</v>
      </c>
      <c r="B421" s="101" t="str">
        <f aca="false">Equipos!D419</f>
        <v>Monitor Multiparámetros</v>
      </c>
      <c r="C421" s="101" t="str">
        <f aca="false">Equipos!E419</f>
        <v>Medicina</v>
      </c>
      <c r="D421" s="101" t="str">
        <f aca="false">Equipos!G419</f>
        <v>501-2</v>
      </c>
      <c r="E421" s="101" t="str">
        <f aca="false">Equipos!I419</f>
        <v>Nihon Kohden </v>
      </c>
      <c r="F421" s="101" t="str">
        <f aca="false">Equipos!J419</f>
        <v>BSM-3562K</v>
      </c>
      <c r="G421" s="100" t="str">
        <f aca="false">Equipos!K419</f>
        <v>29751</v>
      </c>
      <c r="H421" s="101"/>
      <c r="I421" s="102"/>
      <c r="J421" s="103" t="s">
        <v>328</v>
      </c>
      <c r="K421" s="102"/>
      <c r="L421" s="102"/>
      <c r="M421" s="102"/>
      <c r="N421" s="102"/>
      <c r="O421" s="102"/>
      <c r="P421" s="102"/>
      <c r="Q421" s="102"/>
      <c r="R421" s="102"/>
      <c r="S421" s="102"/>
      <c r="T421" s="102"/>
      <c r="U421" s="101" t="n">
        <f aca="false">V421+W421+X421+COUNTIF(I421:T421,"R")</f>
        <v>1</v>
      </c>
      <c r="V421" s="101" t="n">
        <f aca="false">COUNTIF(I421:T421,"E")</f>
        <v>1</v>
      </c>
      <c r="W421" s="101" t="n">
        <f aca="false">COUNTIF(I421:T421,"X")</f>
        <v>0</v>
      </c>
      <c r="X421" s="101" t="n">
        <f aca="false">COUNTIF(I421:T421,"C2")+COUNTIF(I421:T421,"C3")</f>
        <v>0</v>
      </c>
      <c r="Y421" s="101" t="n">
        <f aca="true">SUMPRODUCT((I421:INDEX(I421:T421,MONTH(TODAY()))="X")*1)</f>
        <v>0</v>
      </c>
      <c r="Z421" s="104" t="n">
        <f aca="false">IFERROR(V421/U421,"")</f>
        <v>1</v>
      </c>
    </row>
    <row r="422" customFormat="false" ht="15" hidden="false" customHeight="true" outlineLevel="0" collapsed="false">
      <c r="A422" s="100" t="str">
        <f aca="false">Equipos!C420</f>
        <v>2-135918</v>
      </c>
      <c r="B422" s="101" t="str">
        <f aca="false">Equipos!D420</f>
        <v>Monitor Multiparámetros</v>
      </c>
      <c r="C422" s="101" t="str">
        <f aca="false">Equipos!E420</f>
        <v>TROI</v>
      </c>
      <c r="D422" s="101" t="n">
        <f aca="false">Equipos!G420</f>
        <v>0</v>
      </c>
      <c r="E422" s="101" t="str">
        <f aca="false">Equipos!I420</f>
        <v>Drager</v>
      </c>
      <c r="F422" s="101" t="str">
        <f aca="false">Equipos!J420</f>
        <v>Vista 300</v>
      </c>
      <c r="G422" s="100" t="str">
        <f aca="false">Equipos!K420</f>
        <v>VSSUM0041</v>
      </c>
      <c r="H422" s="101"/>
      <c r="I422" s="102"/>
      <c r="J422" s="102"/>
      <c r="K422" s="102"/>
      <c r="L422" s="103" t="s">
        <v>328</v>
      </c>
      <c r="M422" s="102"/>
      <c r="N422" s="102"/>
      <c r="O422" s="102"/>
      <c r="P422" s="102"/>
      <c r="Q422" s="102"/>
      <c r="R422" s="102"/>
      <c r="S422" s="102"/>
      <c r="T422" s="102"/>
      <c r="U422" s="101" t="n">
        <f aca="false">V422+W422+X422+COUNTIF(I422:T422,"R")</f>
        <v>1</v>
      </c>
      <c r="V422" s="101" t="n">
        <f aca="false">COUNTIF(I422:T422,"E")</f>
        <v>1</v>
      </c>
      <c r="W422" s="101" t="n">
        <f aca="false">COUNTIF(I422:T422,"X")</f>
        <v>0</v>
      </c>
      <c r="X422" s="101" t="n">
        <f aca="false">COUNTIF(I422:T422,"C2")+COUNTIF(I422:T422,"C3")</f>
        <v>0</v>
      </c>
      <c r="Y422" s="101" t="n">
        <f aca="true">SUMPRODUCT((I422:INDEX(I422:T422,MONTH(TODAY()))="X")*1)</f>
        <v>0</v>
      </c>
      <c r="Z422" s="104" t="n">
        <f aca="false">IFERROR(V422/U422,"")</f>
        <v>1</v>
      </c>
    </row>
    <row r="423" customFormat="false" ht="15" hidden="false" customHeight="true" outlineLevel="0" collapsed="false">
      <c r="A423" s="100" t="str">
        <f aca="false">Equipos!C421</f>
        <v>2-118814</v>
      </c>
      <c r="B423" s="101" t="str">
        <f aca="false">Equipos!D421</f>
        <v>Monitor Multiparámetros</v>
      </c>
      <c r="C423" s="101" t="str">
        <f aca="false">Equipos!E421</f>
        <v>Pabellón Quirúrgico</v>
      </c>
      <c r="D423" s="101" t="str">
        <f aca="false">Equipos!G421</f>
        <v>Pabellón 2</v>
      </c>
      <c r="E423" s="101" t="str">
        <f aca="false">Equipos!I421</f>
        <v>Drager</v>
      </c>
      <c r="F423" s="101" t="str">
        <f aca="false">Equipos!J421</f>
        <v>M540</v>
      </c>
      <c r="G423" s="100" t="str">
        <f aca="false">Equipos!K421</f>
        <v>5613541864</v>
      </c>
      <c r="H423" s="101"/>
      <c r="I423" s="102"/>
      <c r="J423" s="102"/>
      <c r="K423" s="102"/>
      <c r="L423" s="103" t="s">
        <v>328</v>
      </c>
      <c r="M423" s="102"/>
      <c r="N423" s="102"/>
      <c r="O423" s="102"/>
      <c r="P423" s="102"/>
      <c r="Q423" s="102"/>
      <c r="R423" s="102"/>
      <c r="S423" s="102"/>
      <c r="T423" s="102"/>
      <c r="U423" s="101" t="n">
        <f aca="false">V423+W423+X423+COUNTIF(I423:T423,"R")</f>
        <v>1</v>
      </c>
      <c r="V423" s="101" t="n">
        <f aca="false">COUNTIF(I423:T423,"E")</f>
        <v>1</v>
      </c>
      <c r="W423" s="101" t="n">
        <f aca="false">COUNTIF(I423:T423,"X")</f>
        <v>0</v>
      </c>
      <c r="X423" s="101" t="n">
        <f aca="false">COUNTIF(I423:T423,"C2")+COUNTIF(I423:T423,"C3")</f>
        <v>0</v>
      </c>
      <c r="Y423" s="101" t="n">
        <f aca="true">SUMPRODUCT((I423:INDEX(I423:T423,MONTH(TODAY()))="X")*1)</f>
        <v>0</v>
      </c>
      <c r="Z423" s="104" t="n">
        <f aca="false">IFERROR(V423/U423,"")</f>
        <v>1</v>
      </c>
    </row>
    <row r="424" customFormat="false" ht="15" hidden="false" customHeight="true" outlineLevel="0" collapsed="false">
      <c r="A424" s="100" t="str">
        <f aca="false">Equipos!C422</f>
        <v>2-112722</v>
      </c>
      <c r="B424" s="101" t="str">
        <f aca="false">Equipos!D422</f>
        <v>Monitor Multiparámetros</v>
      </c>
      <c r="C424" s="101" t="str">
        <f aca="false">Equipos!E422</f>
        <v>Urgencias Gineco-Obstétricas</v>
      </c>
      <c r="D424" s="101" t="str">
        <f aca="false">Equipos!G422</f>
        <v>Preparto 2</v>
      </c>
      <c r="E424" s="101" t="str">
        <f aca="false">Equipos!I422</f>
        <v>Philips</v>
      </c>
      <c r="F424" s="101" t="str">
        <f aca="false">Equipos!J422</f>
        <v>VM6</v>
      </c>
      <c r="G424" s="100" t="str">
        <f aca="false">Equipos!K422</f>
        <v>US74915948</v>
      </c>
      <c r="H424" s="101"/>
      <c r="I424" s="102"/>
      <c r="J424" s="102"/>
      <c r="K424" s="102"/>
      <c r="L424" s="102"/>
      <c r="M424" s="102" t="s">
        <v>329</v>
      </c>
      <c r="N424" s="102"/>
      <c r="O424" s="102"/>
      <c r="P424" s="102"/>
      <c r="Q424" s="102"/>
      <c r="R424" s="102"/>
      <c r="S424" s="102"/>
      <c r="T424" s="102"/>
      <c r="U424" s="101" t="n">
        <f aca="false">V424+W424+X424+COUNTIF(I424:T424,"R")</f>
        <v>1</v>
      </c>
      <c r="V424" s="101" t="n">
        <f aca="false">COUNTIF(I424:T424,"E")</f>
        <v>0</v>
      </c>
      <c r="W424" s="101" t="n">
        <f aca="false">COUNTIF(I424:T424,"X")</f>
        <v>1</v>
      </c>
      <c r="X424" s="101" t="n">
        <f aca="false">COUNTIF(I424:T424,"C2")+COUNTIF(I424:T424,"C3")</f>
        <v>0</v>
      </c>
      <c r="Y424" s="101" t="n">
        <f aca="true">SUMPRODUCT((I424:INDEX(I424:T424,MONTH(TODAY()))="X")*1)</f>
        <v>1</v>
      </c>
      <c r="Z424" s="104" t="n">
        <f aca="false">IFERROR(V424/U424,"")</f>
        <v>0</v>
      </c>
    </row>
    <row r="425" customFormat="false" ht="15" hidden="false" customHeight="true" outlineLevel="0" collapsed="false">
      <c r="A425" s="100" t="str">
        <f aca="false">Equipos!C423</f>
        <v>2-015901</v>
      </c>
      <c r="B425" s="101" t="str">
        <f aca="false">Equipos!D423</f>
        <v>Monitor Multiparámetros</v>
      </c>
      <c r="C425" s="101" t="str">
        <f aca="false">Equipos!E423</f>
        <v>Urgencias Gineco-Obstétricas</v>
      </c>
      <c r="D425" s="101" t="str">
        <f aca="false">Equipos!G423</f>
        <v>Preparto 1</v>
      </c>
      <c r="E425" s="101" t="str">
        <f aca="false">Equipos!I423</f>
        <v>Philips</v>
      </c>
      <c r="F425" s="101" t="str">
        <f aca="false">Equipos!J423</f>
        <v>VM6</v>
      </c>
      <c r="G425" s="100" t="str">
        <f aca="false">Equipos!K423</f>
        <v>US74915942</v>
      </c>
      <c r="H425" s="101"/>
      <c r="I425" s="102"/>
      <c r="J425" s="102"/>
      <c r="K425" s="102"/>
      <c r="L425" s="102"/>
      <c r="M425" s="102" t="s">
        <v>329</v>
      </c>
      <c r="N425" s="102"/>
      <c r="O425" s="102"/>
      <c r="P425" s="102"/>
      <c r="Q425" s="102"/>
      <c r="R425" s="102"/>
      <c r="S425" s="102"/>
      <c r="T425" s="102"/>
      <c r="U425" s="101" t="n">
        <f aca="false">V425+W425+X425+COUNTIF(I425:T425,"R")</f>
        <v>1</v>
      </c>
      <c r="V425" s="101" t="n">
        <f aca="false">COUNTIF(I425:T425,"E")</f>
        <v>0</v>
      </c>
      <c r="W425" s="101" t="n">
        <f aca="false">COUNTIF(I425:T425,"X")</f>
        <v>1</v>
      </c>
      <c r="X425" s="101" t="n">
        <f aca="false">COUNTIF(I425:T425,"C2")+COUNTIF(I425:T425,"C3")</f>
        <v>0</v>
      </c>
      <c r="Y425" s="101" t="n">
        <f aca="true">SUMPRODUCT((I425:INDEX(I425:T425,MONTH(TODAY()))="X")*1)</f>
        <v>1</v>
      </c>
      <c r="Z425" s="104" t="n">
        <f aca="false">IFERROR(V425/U425,"")</f>
        <v>0</v>
      </c>
    </row>
    <row r="426" customFormat="false" ht="15" hidden="false" customHeight="true" outlineLevel="0" collapsed="false">
      <c r="A426" s="100" t="str">
        <f aca="false">Equipos!C424</f>
        <v>2-125217</v>
      </c>
      <c r="B426" s="101" t="str">
        <f aca="false">Equipos!D424</f>
        <v>Monitor Multiparámetros</v>
      </c>
      <c r="C426" s="101" t="str">
        <f aca="false">Equipos!E424</f>
        <v>SAMU</v>
      </c>
      <c r="D426" s="101" t="str">
        <f aca="false">Equipos!G424</f>
        <v>Base 1</v>
      </c>
      <c r="E426" s="101" t="str">
        <f aca="false">Equipos!I424</f>
        <v>Nihon Kohden </v>
      </c>
      <c r="F426" s="101" t="str">
        <f aca="false">Equipos!J424</f>
        <v>BSM-1763</v>
      </c>
      <c r="G426" s="100" t="str">
        <f aca="false">Equipos!K424</f>
        <v>10912</v>
      </c>
      <c r="H426" s="101"/>
      <c r="I426" s="102"/>
      <c r="J426" s="102"/>
      <c r="K426" s="102"/>
      <c r="L426" s="102" t="s">
        <v>328</v>
      </c>
      <c r="M426" s="102"/>
      <c r="N426" s="102"/>
      <c r="O426" s="102"/>
      <c r="P426" s="102"/>
      <c r="Q426" s="102"/>
      <c r="R426" s="102"/>
      <c r="S426" s="102"/>
      <c r="T426" s="102"/>
      <c r="U426" s="101" t="n">
        <f aca="false">V426+W426+X426+COUNTIF(I426:T426,"R")</f>
        <v>1</v>
      </c>
      <c r="V426" s="101" t="n">
        <f aca="false">COUNTIF(I426:T426,"E")</f>
        <v>1</v>
      </c>
      <c r="W426" s="101" t="n">
        <f aca="false">COUNTIF(I426:T426,"X")</f>
        <v>0</v>
      </c>
      <c r="X426" s="101" t="n">
        <f aca="false">COUNTIF(I426:T426,"C2")+COUNTIF(I426:T426,"C3")</f>
        <v>0</v>
      </c>
      <c r="Y426" s="101" t="n">
        <f aca="true">SUMPRODUCT((I426:INDEX(I426:T426,MONTH(TODAY()))="X")*1)</f>
        <v>0</v>
      </c>
      <c r="Z426" s="104" t="n">
        <f aca="false">IFERROR(V426/U426,"")</f>
        <v>1</v>
      </c>
    </row>
    <row r="427" customFormat="false" ht="15" hidden="false" customHeight="true" outlineLevel="0" collapsed="false">
      <c r="A427" s="100" t="str">
        <f aca="false">Equipos!C425</f>
        <v>2-125218</v>
      </c>
      <c r="B427" s="101" t="str">
        <f aca="false">Equipos!D425</f>
        <v>Monitor Multiparámetros</v>
      </c>
      <c r="C427" s="101" t="str">
        <f aca="false">Equipos!E425</f>
        <v>SAMU</v>
      </c>
      <c r="D427" s="101" t="str">
        <f aca="false">Equipos!G425</f>
        <v>Base 1</v>
      </c>
      <c r="E427" s="101" t="str">
        <f aca="false">Equipos!I425</f>
        <v>Nihon Kohden </v>
      </c>
      <c r="F427" s="101" t="str">
        <f aca="false">Equipos!J425</f>
        <v>BSM-1763</v>
      </c>
      <c r="G427" s="100" t="str">
        <f aca="false">Equipos!K425</f>
        <v>10919</v>
      </c>
      <c r="H427" s="101"/>
      <c r="I427" s="102"/>
      <c r="J427" s="102"/>
      <c r="K427" s="102"/>
      <c r="L427" s="103" t="s">
        <v>328</v>
      </c>
      <c r="M427" s="102"/>
      <c r="N427" s="102"/>
      <c r="O427" s="102"/>
      <c r="P427" s="102"/>
      <c r="Q427" s="102"/>
      <c r="R427" s="102"/>
      <c r="S427" s="102"/>
      <c r="T427" s="102"/>
      <c r="U427" s="101" t="n">
        <f aca="false">V427+W427+X427+COUNTIF(I427:T427,"R")</f>
        <v>1</v>
      </c>
      <c r="V427" s="101" t="n">
        <f aca="false">COUNTIF(I427:T427,"E")</f>
        <v>1</v>
      </c>
      <c r="W427" s="101" t="n">
        <f aca="false">COUNTIF(I427:T427,"X")</f>
        <v>0</v>
      </c>
      <c r="X427" s="101" t="n">
        <f aca="false">COUNTIF(I427:T427,"C2")+COUNTIF(I427:T427,"C3")</f>
        <v>0</v>
      </c>
      <c r="Y427" s="101" t="n">
        <f aca="true">SUMPRODUCT((I427:INDEX(I427:T427,MONTH(TODAY()))="X")*1)</f>
        <v>0</v>
      </c>
      <c r="Z427" s="104" t="n">
        <f aca="false">IFERROR(V427/U427,"")</f>
        <v>1</v>
      </c>
    </row>
    <row r="428" customFormat="false" ht="15" hidden="false" customHeight="true" outlineLevel="0" collapsed="false">
      <c r="A428" s="100" t="str">
        <f aca="false">Equipos!C426</f>
        <v>2-133062</v>
      </c>
      <c r="B428" s="101" t="str">
        <f aca="false">Equipos!D426</f>
        <v>Monitor Multiparámetros</v>
      </c>
      <c r="C428" s="101" t="str">
        <f aca="false">Equipos!E426</f>
        <v>Hemato Oncología Adulto</v>
      </c>
      <c r="D428" s="101" t="n">
        <f aca="false">Equipos!G426</f>
        <v>0</v>
      </c>
      <c r="E428" s="101" t="str">
        <f aca="false">Equipos!I426</f>
        <v>Drager</v>
      </c>
      <c r="F428" s="101" t="str">
        <f aca="false">Equipos!J426</f>
        <v>Vista 120 S</v>
      </c>
      <c r="G428" s="100" t="str">
        <f aca="false">Equipos!K426</f>
        <v>S2SRF0982</v>
      </c>
      <c r="H428" s="101"/>
      <c r="I428" s="102"/>
      <c r="J428" s="102"/>
      <c r="K428" s="103" t="s">
        <v>330</v>
      </c>
      <c r="L428" s="102"/>
      <c r="M428" s="102"/>
      <c r="N428" s="102"/>
      <c r="O428" s="102"/>
      <c r="P428" s="102"/>
      <c r="Q428" s="102"/>
      <c r="R428" s="102"/>
      <c r="S428" s="102"/>
      <c r="T428" s="102"/>
      <c r="U428" s="101" t="n">
        <f aca="false">V428+W428+X428+COUNTIF(I428:T428,"R")</f>
        <v>1</v>
      </c>
      <c r="V428" s="101" t="n">
        <f aca="false">COUNTIF(I428:T428,"E")</f>
        <v>0</v>
      </c>
      <c r="W428" s="101" t="n">
        <f aca="false">COUNTIF(I428:T428,"X")</f>
        <v>0</v>
      </c>
      <c r="X428" s="101" t="n">
        <f aca="false">COUNTIF(I428:T428,"C2")+COUNTIF(I428:T428,"C3")</f>
        <v>0</v>
      </c>
      <c r="Y428" s="101" t="n">
        <f aca="true">SUMPRODUCT((I428:INDEX(I428:T428,MONTH(TODAY()))="X")*1)</f>
        <v>0</v>
      </c>
      <c r="Z428" s="104" t="n">
        <f aca="false">IFERROR(V428/U428,"")</f>
        <v>0</v>
      </c>
    </row>
    <row r="429" customFormat="false" ht="15" hidden="false" customHeight="true" outlineLevel="0" collapsed="false">
      <c r="A429" s="100" t="str">
        <f aca="false">Equipos!C427</f>
        <v>2-133063</v>
      </c>
      <c r="B429" s="101" t="str">
        <f aca="false">Equipos!D427</f>
        <v>Monitor Multiparámetros</v>
      </c>
      <c r="C429" s="101" t="str">
        <f aca="false">Equipos!E427</f>
        <v>Hemato Oncología Adulto</v>
      </c>
      <c r="D429" s="101" t="n">
        <f aca="false">Equipos!G427</f>
        <v>0</v>
      </c>
      <c r="E429" s="101" t="str">
        <f aca="false">Equipos!I427</f>
        <v>Drager</v>
      </c>
      <c r="F429" s="101" t="str">
        <f aca="false">Equipos!J427</f>
        <v>Vista 120 S</v>
      </c>
      <c r="G429" s="100" t="str">
        <f aca="false">Equipos!K427</f>
        <v>S2SRF0969</v>
      </c>
      <c r="H429" s="101"/>
      <c r="I429" s="102"/>
      <c r="J429" s="102"/>
      <c r="K429" s="103" t="s">
        <v>330</v>
      </c>
      <c r="L429" s="103" t="s">
        <v>328</v>
      </c>
      <c r="M429" s="102"/>
      <c r="N429" s="102"/>
      <c r="O429" s="102"/>
      <c r="P429" s="102"/>
      <c r="Q429" s="102"/>
      <c r="R429" s="102"/>
      <c r="S429" s="102"/>
      <c r="T429" s="102"/>
      <c r="U429" s="101" t="n">
        <f aca="false">V429+W429+X429+COUNTIF(I429:T429,"R")</f>
        <v>2</v>
      </c>
      <c r="V429" s="101" t="n">
        <f aca="false">COUNTIF(I429:T429,"E")</f>
        <v>1</v>
      </c>
      <c r="W429" s="101" t="n">
        <f aca="false">COUNTIF(I429:T429,"X")</f>
        <v>0</v>
      </c>
      <c r="X429" s="101" t="n">
        <f aca="false">COUNTIF(I429:T429,"C2")+COUNTIF(I429:T429,"C3")</f>
        <v>0</v>
      </c>
      <c r="Y429" s="101" t="n">
        <f aca="true">SUMPRODUCT((I429:INDEX(I429:T429,MONTH(TODAY()))="X")*1)</f>
        <v>0</v>
      </c>
      <c r="Z429" s="104" t="n">
        <f aca="false">IFERROR(V429/U429,"")</f>
        <v>0.5</v>
      </c>
    </row>
    <row r="430" customFormat="false" ht="15" hidden="false" customHeight="true" outlineLevel="0" collapsed="false">
      <c r="A430" s="100" t="str">
        <f aca="false">Equipos!C428</f>
        <v>2-134896</v>
      </c>
      <c r="B430" s="101" t="str">
        <f aca="false">Equipos!D428</f>
        <v>Monitor Multiparámetros</v>
      </c>
      <c r="C430" s="101" t="str">
        <f aca="false">Equipos!E428</f>
        <v>CR ONCOLOGICO AMBULATORIO</v>
      </c>
      <c r="D430" s="101" t="str">
        <f aca="false">Equipos!G428</f>
        <v>MODLULO ZD CTD</v>
      </c>
      <c r="E430" s="101" t="str">
        <f aca="false">Equipos!I428</f>
        <v>NORTHERN</v>
      </c>
      <c r="F430" s="101" t="str">
        <f aca="false">Equipos!J428</f>
        <v>Aquarius ECG</v>
      </c>
      <c r="G430" s="100" t="str">
        <f aca="false">Equipos!K428</f>
        <v>JH01B910030</v>
      </c>
      <c r="H430" s="101"/>
      <c r="I430" s="102"/>
      <c r="J430" s="103" t="s">
        <v>330</v>
      </c>
      <c r="K430" s="103" t="s">
        <v>328</v>
      </c>
      <c r="L430" s="102"/>
      <c r="M430" s="102"/>
      <c r="N430" s="102"/>
      <c r="O430" s="102"/>
      <c r="P430" s="102"/>
      <c r="Q430" s="102"/>
      <c r="R430" s="102"/>
      <c r="S430" s="102"/>
      <c r="T430" s="102"/>
      <c r="U430" s="101" t="n">
        <f aca="false">V430+W430+X430+COUNTIF(I430:T430,"R")</f>
        <v>2</v>
      </c>
      <c r="V430" s="101" t="n">
        <f aca="false">COUNTIF(I430:T430,"E")</f>
        <v>1</v>
      </c>
      <c r="W430" s="101" t="n">
        <f aca="false">COUNTIF(I430:T430,"X")</f>
        <v>0</v>
      </c>
      <c r="X430" s="101" t="n">
        <f aca="false">COUNTIF(I430:T430,"C2")+COUNTIF(I430:T430,"C3")</f>
        <v>0</v>
      </c>
      <c r="Y430" s="101" t="n">
        <f aca="true">SUMPRODUCT((I430:INDEX(I430:T430,MONTH(TODAY()))="X")*1)</f>
        <v>0</v>
      </c>
      <c r="Z430" s="104" t="n">
        <f aca="false">IFERROR(V430/U430,"")</f>
        <v>0.5</v>
      </c>
    </row>
    <row r="431" customFormat="false" ht="15" hidden="false" customHeight="true" outlineLevel="0" collapsed="false">
      <c r="A431" s="100" t="str">
        <f aca="false">Equipos!C429</f>
        <v>2-133064</v>
      </c>
      <c r="B431" s="101" t="str">
        <f aca="false">Equipos!D429</f>
        <v>Monitor Multiparámetros</v>
      </c>
      <c r="C431" s="101" t="str">
        <f aca="false">Equipos!E429</f>
        <v>Hemato Oncología Adulto</v>
      </c>
      <c r="D431" s="101" t="n">
        <f aca="false">Equipos!G429</f>
        <v>0</v>
      </c>
      <c r="E431" s="101" t="str">
        <f aca="false">Equipos!I429</f>
        <v>Drager</v>
      </c>
      <c r="F431" s="101" t="str">
        <f aca="false">Equipos!J429</f>
        <v>Vista 120 S</v>
      </c>
      <c r="G431" s="100" t="str">
        <f aca="false">Equipos!K429</f>
        <v>S2SRF0978</v>
      </c>
      <c r="H431" s="101"/>
      <c r="I431" s="102"/>
      <c r="J431" s="102"/>
      <c r="K431" s="103" t="s">
        <v>330</v>
      </c>
      <c r="L431" s="103" t="s">
        <v>331</v>
      </c>
      <c r="M431" s="102"/>
      <c r="N431" s="102"/>
      <c r="O431" s="102"/>
      <c r="P431" s="102"/>
      <c r="Q431" s="102"/>
      <c r="R431" s="102"/>
      <c r="S431" s="102"/>
      <c r="T431" s="102"/>
      <c r="U431" s="101" t="n">
        <f aca="false">V431+W431+X431+COUNTIF(I431:T431,"R")</f>
        <v>2</v>
      </c>
      <c r="V431" s="101" t="n">
        <f aca="false">COUNTIF(I431:T431,"E")</f>
        <v>0</v>
      </c>
      <c r="W431" s="101" t="n">
        <f aca="false">COUNTIF(I431:T431,"X")</f>
        <v>0</v>
      </c>
      <c r="X431" s="101" t="n">
        <f aca="false">COUNTIF(I431:T431,"C2")+COUNTIF(I431:T431,"C3")</f>
        <v>1</v>
      </c>
      <c r="Y431" s="101" t="n">
        <f aca="true">SUMPRODUCT((I431:INDEX(I431:T431,MONTH(TODAY()))="X")*1)</f>
        <v>0</v>
      </c>
      <c r="Z431" s="104" t="n">
        <f aca="false">IFERROR(V431/U431,"")</f>
        <v>0</v>
      </c>
    </row>
    <row r="432" customFormat="false" ht="15" hidden="false" customHeight="true" outlineLevel="0" collapsed="false">
      <c r="A432" s="100" t="str">
        <f aca="false">Equipos!C430</f>
        <v>2-116524</v>
      </c>
      <c r="B432" s="101" t="str">
        <f aca="false">Equipos!D430</f>
        <v>Monitor Multiparámetros</v>
      </c>
      <c r="C432" s="101" t="str">
        <f aca="false">Equipos!E430</f>
        <v>UPC Pediátrica</v>
      </c>
      <c r="D432" s="101" t="str">
        <f aca="false">Equipos!G430</f>
        <v>Cama 1</v>
      </c>
      <c r="E432" s="101" t="str">
        <f aca="false">Equipos!I430</f>
        <v>SPACELABS HEALTHCARE</v>
      </c>
      <c r="F432" s="101" t="str">
        <f aca="false">Equipos!J430</f>
        <v>XPREZZON</v>
      </c>
      <c r="G432" s="100" t="str">
        <f aca="false">Equipos!K430</f>
        <v>1393-109326</v>
      </c>
      <c r="H432" s="101"/>
      <c r="I432" s="103" t="s">
        <v>330</v>
      </c>
      <c r="J432" s="103" t="s">
        <v>328</v>
      </c>
      <c r="K432" s="102"/>
      <c r="L432" s="102"/>
      <c r="M432" s="102"/>
      <c r="N432" s="102"/>
      <c r="O432" s="102"/>
      <c r="P432" s="102"/>
      <c r="Q432" s="102"/>
      <c r="R432" s="102"/>
      <c r="S432" s="102"/>
      <c r="T432" s="102"/>
      <c r="U432" s="101" t="n">
        <f aca="false">V432+W432+X432+COUNTIF(I432:T432,"R")</f>
        <v>2</v>
      </c>
      <c r="V432" s="101" t="n">
        <f aca="false">COUNTIF(I432:T432,"E")</f>
        <v>1</v>
      </c>
      <c r="W432" s="101" t="n">
        <f aca="false">COUNTIF(I432:T432,"X")</f>
        <v>0</v>
      </c>
      <c r="X432" s="101" t="n">
        <f aca="false">COUNTIF(I432:T432,"C2")+COUNTIF(I432:T432,"C3")</f>
        <v>0</v>
      </c>
      <c r="Y432" s="101" t="n">
        <f aca="true">SUMPRODUCT((I432:INDEX(I432:T432,MONTH(TODAY()))="X")*1)</f>
        <v>0</v>
      </c>
      <c r="Z432" s="104" t="n">
        <f aca="false">IFERROR(V432/U432,"")</f>
        <v>0.5</v>
      </c>
    </row>
    <row r="433" customFormat="false" ht="15" hidden="false" customHeight="true" outlineLevel="0" collapsed="false">
      <c r="A433" s="100" t="str">
        <f aca="false">Equipos!C431</f>
        <v>2-133065</v>
      </c>
      <c r="B433" s="101" t="str">
        <f aca="false">Equipos!D431</f>
        <v>Monitor Multiparámetros</v>
      </c>
      <c r="C433" s="101" t="str">
        <f aca="false">Equipos!E431</f>
        <v>Hemato Oncología Adulto</v>
      </c>
      <c r="D433" s="101" t="n">
        <f aca="false">Equipos!G431</f>
        <v>0</v>
      </c>
      <c r="E433" s="101" t="str">
        <f aca="false">Equipos!I431</f>
        <v>Drager</v>
      </c>
      <c r="F433" s="101" t="str">
        <f aca="false">Equipos!J431</f>
        <v>Vista 120 S</v>
      </c>
      <c r="G433" s="100" t="str">
        <f aca="false">Equipos!K431</f>
        <v>S2SRF0975</v>
      </c>
      <c r="H433" s="101"/>
      <c r="I433" s="102"/>
      <c r="J433" s="102"/>
      <c r="K433" s="103" t="s">
        <v>330</v>
      </c>
      <c r="L433" s="103" t="s">
        <v>331</v>
      </c>
      <c r="M433" s="102"/>
      <c r="N433" s="102"/>
      <c r="O433" s="102"/>
      <c r="P433" s="102"/>
      <c r="Q433" s="102"/>
      <c r="R433" s="102"/>
      <c r="S433" s="102"/>
      <c r="T433" s="102"/>
      <c r="U433" s="101" t="n">
        <f aca="false">V433+W433+X433+COUNTIF(I433:T433,"R")</f>
        <v>2</v>
      </c>
      <c r="V433" s="101" t="n">
        <f aca="false">COUNTIF(I433:T433,"E")</f>
        <v>0</v>
      </c>
      <c r="W433" s="101" t="n">
        <f aca="false">COUNTIF(I433:T433,"X")</f>
        <v>0</v>
      </c>
      <c r="X433" s="101" t="n">
        <f aca="false">COUNTIF(I433:T433,"C2")+COUNTIF(I433:T433,"C3")</f>
        <v>1</v>
      </c>
      <c r="Y433" s="101" t="n">
        <f aca="true">SUMPRODUCT((I433:INDEX(I433:T433,MONTH(TODAY()))="X")*1)</f>
        <v>0</v>
      </c>
      <c r="Z433" s="104" t="n">
        <f aca="false">IFERROR(V433/U433,"")</f>
        <v>0</v>
      </c>
    </row>
    <row r="434" customFormat="false" ht="15" hidden="false" customHeight="true" outlineLevel="0" collapsed="false">
      <c r="A434" s="100" t="str">
        <f aca="false">Equipos!C432</f>
        <v>2-017381</v>
      </c>
      <c r="B434" s="101" t="str">
        <f aca="false">Equipos!D432</f>
        <v>Monitor Multiparámetros</v>
      </c>
      <c r="C434" s="101" t="str">
        <f aca="false">Equipos!E432</f>
        <v>Pabellón Quirúrgico (Prestado a Imagenología)</v>
      </c>
      <c r="D434" s="101" t="str">
        <f aca="false">Equipos!G432</f>
        <v>Angiógrafo zócalo</v>
      </c>
      <c r="E434" s="101" t="str">
        <f aca="false">Equipos!I432</f>
        <v>Drager </v>
      </c>
      <c r="F434" s="101" t="str">
        <f aca="false">Equipos!J432</f>
        <v>Infinity Kappa</v>
      </c>
      <c r="G434" s="100" t="str">
        <f aca="false">Equipos!K432</f>
        <v>5494757898</v>
      </c>
      <c r="H434" s="101"/>
      <c r="I434" s="102"/>
      <c r="J434" s="102"/>
      <c r="K434" s="102"/>
      <c r="L434" s="103" t="s">
        <v>328</v>
      </c>
      <c r="M434" s="102"/>
      <c r="N434" s="102"/>
      <c r="O434" s="102"/>
      <c r="P434" s="102"/>
      <c r="Q434" s="102"/>
      <c r="R434" s="102"/>
      <c r="S434" s="102"/>
      <c r="T434" s="102"/>
      <c r="U434" s="101" t="n">
        <f aca="false">V434+W434+X434+COUNTIF(I434:T434,"R")</f>
        <v>1</v>
      </c>
      <c r="V434" s="101" t="n">
        <f aca="false">COUNTIF(I434:T434,"E")</f>
        <v>1</v>
      </c>
      <c r="W434" s="101" t="n">
        <f aca="false">COUNTIF(I434:T434,"X")</f>
        <v>0</v>
      </c>
      <c r="X434" s="101" t="n">
        <f aca="false">COUNTIF(I434:T434,"C2")+COUNTIF(I434:T434,"C3")</f>
        <v>0</v>
      </c>
      <c r="Y434" s="101" t="n">
        <f aca="true">SUMPRODUCT((I434:INDEX(I434:T434,MONTH(TODAY()))="X")*1)</f>
        <v>0</v>
      </c>
      <c r="Z434" s="104" t="n">
        <f aca="false">IFERROR(V434/U434,"")</f>
        <v>1</v>
      </c>
    </row>
    <row r="435" customFormat="false" ht="15" hidden="false" customHeight="true" outlineLevel="0" collapsed="false">
      <c r="A435" s="100" t="str">
        <f aca="false">Equipos!C433</f>
        <v>2-112531</v>
      </c>
      <c r="B435" s="101" t="str">
        <f aca="false">Equipos!D433</f>
        <v>Monitor Multiparámetros</v>
      </c>
      <c r="C435" s="101" t="str">
        <f aca="false">Equipos!E433</f>
        <v>Pabellones Gineco-Obstétricos</v>
      </c>
      <c r="D435" s="101" t="n">
        <f aca="false">Equipos!G433</f>
        <v>0</v>
      </c>
      <c r="E435" s="101" t="str">
        <f aca="false">Equipos!I433</f>
        <v>Drager </v>
      </c>
      <c r="F435" s="101" t="str">
        <f aca="false">Equipos!J433</f>
        <v>Infinity Kappa</v>
      </c>
      <c r="G435" s="100" t="str">
        <f aca="false">Equipos!K433</f>
        <v>5494770058</v>
      </c>
      <c r="H435" s="101"/>
      <c r="I435" s="102"/>
      <c r="J435" s="102"/>
      <c r="K435" s="102"/>
      <c r="L435" s="102"/>
      <c r="M435" s="103" t="s">
        <v>328</v>
      </c>
      <c r="N435" s="102"/>
      <c r="O435" s="102"/>
      <c r="P435" s="102"/>
      <c r="Q435" s="102"/>
      <c r="R435" s="102"/>
      <c r="S435" s="102"/>
      <c r="T435" s="102"/>
      <c r="U435" s="101" t="n">
        <f aca="false">V435+W435+X435+COUNTIF(I435:T435,"R")</f>
        <v>1</v>
      </c>
      <c r="V435" s="101" t="n">
        <f aca="false">COUNTIF(I435:T435,"E")</f>
        <v>1</v>
      </c>
      <c r="W435" s="101" t="n">
        <f aca="false">COUNTIF(I435:T435,"X")</f>
        <v>0</v>
      </c>
      <c r="X435" s="101" t="n">
        <f aca="false">COUNTIF(I435:T435,"C2")+COUNTIF(I435:T435,"C3")</f>
        <v>0</v>
      </c>
      <c r="Y435" s="101" t="n">
        <f aca="true">SUMPRODUCT((I435:INDEX(I435:T435,MONTH(TODAY()))="X")*1)</f>
        <v>0</v>
      </c>
      <c r="Z435" s="104" t="n">
        <f aca="false">IFERROR(V435/U435,"")</f>
        <v>1</v>
      </c>
    </row>
    <row r="436" customFormat="false" ht="15" hidden="false" customHeight="true" outlineLevel="0" collapsed="false">
      <c r="A436" s="100" t="str">
        <f aca="false">Equipos!C434</f>
        <v>2-024460</v>
      </c>
      <c r="B436" s="101" t="str">
        <f aca="false">Equipos!D434</f>
        <v>Monitor Multiparámetros</v>
      </c>
      <c r="C436" s="101" t="str">
        <f aca="false">Equipos!E434</f>
        <v>Pabellón Quirúrgico</v>
      </c>
      <c r="D436" s="101" t="n">
        <f aca="false">Equipos!G434</f>
        <v>0</v>
      </c>
      <c r="E436" s="101" t="str">
        <f aca="false">Equipos!I434</f>
        <v>Drager </v>
      </c>
      <c r="F436" s="101" t="str">
        <f aca="false">Equipos!J434</f>
        <v>Infinity Kappa</v>
      </c>
      <c r="G436" s="100" t="str">
        <f aca="false">Equipos!K434</f>
        <v>5494537845</v>
      </c>
      <c r="H436" s="101"/>
      <c r="I436" s="102"/>
      <c r="J436" s="102"/>
      <c r="K436" s="102"/>
      <c r="L436" s="103" t="s">
        <v>328</v>
      </c>
      <c r="M436" s="102"/>
      <c r="N436" s="102"/>
      <c r="O436" s="102"/>
      <c r="P436" s="102"/>
      <c r="Q436" s="102"/>
      <c r="R436" s="102"/>
      <c r="S436" s="102"/>
      <c r="T436" s="102"/>
      <c r="U436" s="101" t="n">
        <f aca="false">V436+W436+X436+COUNTIF(I436:T436,"R")</f>
        <v>1</v>
      </c>
      <c r="V436" s="101" t="n">
        <f aca="false">COUNTIF(I436:T436,"E")</f>
        <v>1</v>
      </c>
      <c r="W436" s="101" t="n">
        <f aca="false">COUNTIF(I436:T436,"X")</f>
        <v>0</v>
      </c>
      <c r="X436" s="101" t="n">
        <f aca="false">COUNTIF(I436:T436,"C2")+COUNTIF(I436:T436,"C3")</f>
        <v>0</v>
      </c>
      <c r="Y436" s="101" t="n">
        <f aca="true">SUMPRODUCT((I436:INDEX(I436:T436,MONTH(TODAY()))="X")*1)</f>
        <v>0</v>
      </c>
      <c r="Z436" s="104" t="n">
        <f aca="false">IFERROR(V436/U436,"")</f>
        <v>1</v>
      </c>
    </row>
    <row r="437" customFormat="false" ht="15" hidden="false" customHeight="true" outlineLevel="0" collapsed="false">
      <c r="A437" s="100" t="str">
        <f aca="false">Equipos!C435</f>
        <v>2-121188</v>
      </c>
      <c r="B437" s="101" t="str">
        <f aca="false">Equipos!D435</f>
        <v>Monitor Multiparámetros</v>
      </c>
      <c r="C437" s="101" t="str">
        <f aca="false">Equipos!E435</f>
        <v>Medicina</v>
      </c>
      <c r="D437" s="101" t="str">
        <f aca="false">Equipos!G435</f>
        <v>510-2E</v>
      </c>
      <c r="E437" s="101" t="str">
        <f aca="false">Equipos!I435</f>
        <v>Nihon Kohden </v>
      </c>
      <c r="F437" s="101" t="str">
        <f aca="false">Equipos!J435</f>
        <v>BSM-3562K</v>
      </c>
      <c r="G437" s="100" t="str">
        <f aca="false">Equipos!K435</f>
        <v>29761</v>
      </c>
      <c r="H437" s="101"/>
      <c r="I437" s="102"/>
      <c r="J437" s="103" t="s">
        <v>328</v>
      </c>
      <c r="K437" s="102"/>
      <c r="L437" s="102"/>
      <c r="M437" s="102"/>
      <c r="N437" s="102"/>
      <c r="O437" s="102"/>
      <c r="P437" s="102"/>
      <c r="Q437" s="102"/>
      <c r="R437" s="102"/>
      <c r="S437" s="102"/>
      <c r="T437" s="102"/>
      <c r="U437" s="101" t="n">
        <f aca="false">V437+W437+X437+COUNTIF(I437:T437,"R")</f>
        <v>1</v>
      </c>
      <c r="V437" s="101" t="n">
        <f aca="false">COUNTIF(I437:T437,"E")</f>
        <v>1</v>
      </c>
      <c r="W437" s="101" t="n">
        <f aca="false">COUNTIF(I437:T437,"X")</f>
        <v>0</v>
      </c>
      <c r="X437" s="101" t="n">
        <f aca="false">COUNTIF(I437:T437,"C2")+COUNTIF(I437:T437,"C3")</f>
        <v>0</v>
      </c>
      <c r="Y437" s="101" t="n">
        <f aca="true">SUMPRODUCT((I437:INDEX(I437:T437,MONTH(TODAY()))="X")*1)</f>
        <v>0</v>
      </c>
      <c r="Z437" s="104" t="n">
        <f aca="false">IFERROR(V437/U437,"")</f>
        <v>1</v>
      </c>
    </row>
    <row r="438" customFormat="false" ht="15" hidden="false" customHeight="true" outlineLevel="0" collapsed="false">
      <c r="A438" s="100" t="str">
        <f aca="false">Equipos!C436</f>
        <v>2-017347</v>
      </c>
      <c r="B438" s="101" t="str">
        <f aca="false">Equipos!D436</f>
        <v>Monitor Multiparámetros</v>
      </c>
      <c r="C438" s="101" t="str">
        <f aca="false">Equipos!E436</f>
        <v>Pabellón Quirúrgico</v>
      </c>
      <c r="D438" s="101" t="str">
        <f aca="false">Equipos!G436</f>
        <v>Angiógrafo FD20</v>
      </c>
      <c r="E438" s="101" t="str">
        <f aca="false">Equipos!I436</f>
        <v>Drager </v>
      </c>
      <c r="F438" s="101" t="str">
        <f aca="false">Equipos!J436</f>
        <v>Infinity Kappa</v>
      </c>
      <c r="G438" s="100" t="str">
        <f aca="false">Equipos!K436</f>
        <v>5493645944</v>
      </c>
      <c r="H438" s="101"/>
      <c r="I438" s="102"/>
      <c r="J438" s="102"/>
      <c r="K438" s="102"/>
      <c r="L438" s="103" t="s">
        <v>328</v>
      </c>
      <c r="M438" s="102"/>
      <c r="N438" s="102"/>
      <c r="O438" s="102"/>
      <c r="P438" s="102"/>
      <c r="Q438" s="102"/>
      <c r="R438" s="102"/>
      <c r="S438" s="102"/>
      <c r="T438" s="102"/>
      <c r="U438" s="101" t="n">
        <f aca="false">V438+W438+X438+COUNTIF(I438:T438,"R")</f>
        <v>1</v>
      </c>
      <c r="V438" s="101" t="n">
        <f aca="false">COUNTIF(I438:T438,"E")</f>
        <v>1</v>
      </c>
      <c r="W438" s="101" t="n">
        <f aca="false">COUNTIF(I438:T438,"X")</f>
        <v>0</v>
      </c>
      <c r="X438" s="101" t="n">
        <f aca="false">COUNTIF(I438:T438,"C2")+COUNTIF(I438:T438,"C3")</f>
        <v>0</v>
      </c>
      <c r="Y438" s="101" t="n">
        <f aca="true">SUMPRODUCT((I438:INDEX(I438:T438,MONTH(TODAY()))="X")*1)</f>
        <v>0</v>
      </c>
      <c r="Z438" s="104" t="n">
        <f aca="false">IFERROR(V438/U438,"")</f>
        <v>1</v>
      </c>
    </row>
    <row r="439" customFormat="false" ht="15" hidden="false" customHeight="true" outlineLevel="0" collapsed="false">
      <c r="A439" s="100" t="str">
        <f aca="false">Equipos!C437</f>
        <v>2-022637</v>
      </c>
      <c r="B439" s="101" t="str">
        <f aca="false">Equipos!D437</f>
        <v>Monitor Multiparámetros</v>
      </c>
      <c r="C439" s="101" t="str">
        <f aca="false">Equipos!E437</f>
        <v>Pabellones Gineco-Obstétricos</v>
      </c>
      <c r="D439" s="101" t="str">
        <f aca="false">Equipos!G437</f>
        <v>Pasillo</v>
      </c>
      <c r="E439" s="101" t="str">
        <f aca="false">Equipos!I437</f>
        <v>Drager </v>
      </c>
      <c r="F439" s="101" t="str">
        <f aca="false">Equipos!J437</f>
        <v>Infinity Kappa</v>
      </c>
      <c r="G439" s="100" t="str">
        <f aca="false">Equipos!K437</f>
        <v>5494286652</v>
      </c>
      <c r="H439" s="101"/>
      <c r="I439" s="102"/>
      <c r="J439" s="102"/>
      <c r="K439" s="102"/>
      <c r="L439" s="102"/>
      <c r="M439" s="103" t="s">
        <v>328</v>
      </c>
      <c r="N439" s="102"/>
      <c r="O439" s="102"/>
      <c r="P439" s="102"/>
      <c r="Q439" s="102"/>
      <c r="R439" s="102"/>
      <c r="S439" s="102"/>
      <c r="T439" s="102"/>
      <c r="U439" s="101" t="n">
        <f aca="false">V439+W439+X439+COUNTIF(I439:T439,"R")</f>
        <v>1</v>
      </c>
      <c r="V439" s="101" t="n">
        <f aca="false">COUNTIF(I439:T439,"E")</f>
        <v>1</v>
      </c>
      <c r="W439" s="101" t="n">
        <f aca="false">COUNTIF(I439:T439,"X")</f>
        <v>0</v>
      </c>
      <c r="X439" s="101" t="n">
        <f aca="false">COUNTIF(I439:T439,"C2")+COUNTIF(I439:T439,"C3")</f>
        <v>0</v>
      </c>
      <c r="Y439" s="101" t="n">
        <f aca="true">SUMPRODUCT((I439:INDEX(I439:T439,MONTH(TODAY()))="X")*1)</f>
        <v>0</v>
      </c>
      <c r="Z439" s="104" t="n">
        <f aca="false">IFERROR(V439/U439,"")</f>
        <v>1</v>
      </c>
    </row>
    <row r="440" customFormat="false" ht="15" hidden="false" customHeight="true" outlineLevel="0" collapsed="false">
      <c r="A440" s="100" t="str">
        <f aca="false">Equipos!C438</f>
        <v>2-016196</v>
      </c>
      <c r="B440" s="101" t="str">
        <f aca="false">Equipos!D438</f>
        <v>Monitor Multiparámetros</v>
      </c>
      <c r="C440" s="101" t="str">
        <f aca="false">Equipos!E438</f>
        <v>Pabellón Quirúrgico</v>
      </c>
      <c r="D440" s="101" t="str">
        <f aca="false">Equipos!G438</f>
        <v>Pre Anestesia</v>
      </c>
      <c r="E440" s="101" t="str">
        <f aca="false">Equipos!I438</f>
        <v>Drager </v>
      </c>
      <c r="F440" s="101" t="str">
        <f aca="false">Equipos!J438</f>
        <v>Infinity Kappa</v>
      </c>
      <c r="G440" s="100" t="str">
        <f aca="false">Equipos!K438</f>
        <v>5493642252</v>
      </c>
      <c r="H440" s="101"/>
      <c r="I440" s="102"/>
      <c r="J440" s="102"/>
      <c r="K440" s="102"/>
      <c r="L440" s="103" t="s">
        <v>328</v>
      </c>
      <c r="M440" s="102"/>
      <c r="N440" s="102"/>
      <c r="O440" s="102"/>
      <c r="P440" s="102"/>
      <c r="Q440" s="102"/>
      <c r="R440" s="102"/>
      <c r="S440" s="102"/>
      <c r="T440" s="102"/>
      <c r="U440" s="101" t="n">
        <f aca="false">V440+W440+X440+COUNTIF(I440:T440,"R")</f>
        <v>1</v>
      </c>
      <c r="V440" s="101" t="n">
        <f aca="false">COUNTIF(I440:T440,"E")</f>
        <v>1</v>
      </c>
      <c r="W440" s="101" t="n">
        <f aca="false">COUNTIF(I440:T440,"X")</f>
        <v>0</v>
      </c>
      <c r="X440" s="101" t="n">
        <f aca="false">COUNTIF(I440:T440,"C2")+COUNTIF(I440:T440,"C3")</f>
        <v>0</v>
      </c>
      <c r="Y440" s="101" t="n">
        <f aca="true">SUMPRODUCT((I440:INDEX(I440:T440,MONTH(TODAY()))="X")*1)</f>
        <v>0</v>
      </c>
      <c r="Z440" s="104" t="n">
        <f aca="false">IFERROR(V440/U440,"")</f>
        <v>1</v>
      </c>
    </row>
    <row r="441" customFormat="false" ht="15" hidden="false" customHeight="true" outlineLevel="0" collapsed="false">
      <c r="A441" s="100" t="str">
        <f aca="false">Equipos!C439</f>
        <v>2-116503</v>
      </c>
      <c r="B441" s="101" t="str">
        <f aca="false">Equipos!D439</f>
        <v>Monitor Multiparámetros</v>
      </c>
      <c r="C441" s="101" t="str">
        <f aca="false">Equipos!E439</f>
        <v>UPC Pediátrica</v>
      </c>
      <c r="D441" s="101" t="str">
        <f aca="false">Equipos!G439</f>
        <v>Cama 1</v>
      </c>
      <c r="E441" s="101" t="str">
        <f aca="false">Equipos!I439</f>
        <v>SPACELABS HEALTHCARE</v>
      </c>
      <c r="F441" s="101" t="str">
        <f aca="false">Equipos!J439</f>
        <v>XPREZZON</v>
      </c>
      <c r="G441" s="100" t="str">
        <f aca="false">Equipos!K439</f>
        <v>1393-109311</v>
      </c>
      <c r="H441" s="101"/>
      <c r="I441" s="103" t="s">
        <v>330</v>
      </c>
      <c r="J441" s="103" t="s">
        <v>328</v>
      </c>
      <c r="K441" s="102"/>
      <c r="L441" s="102"/>
      <c r="M441" s="102"/>
      <c r="N441" s="102"/>
      <c r="O441" s="102"/>
      <c r="P441" s="102"/>
      <c r="Q441" s="102"/>
      <c r="R441" s="102"/>
      <c r="S441" s="102"/>
      <c r="T441" s="102"/>
      <c r="U441" s="101" t="n">
        <f aca="false">V441+W441+X441+COUNTIF(I441:T441,"R")</f>
        <v>2</v>
      </c>
      <c r="V441" s="101" t="n">
        <f aca="false">COUNTIF(I441:T441,"E")</f>
        <v>1</v>
      </c>
      <c r="W441" s="101" t="n">
        <f aca="false">COUNTIF(I441:T441,"X")</f>
        <v>0</v>
      </c>
      <c r="X441" s="101" t="n">
        <f aca="false">COUNTIF(I441:T441,"C2")+COUNTIF(I441:T441,"C3")</f>
        <v>0</v>
      </c>
      <c r="Y441" s="101" t="n">
        <f aca="true">SUMPRODUCT((I441:INDEX(I441:T441,MONTH(TODAY()))="X")*1)</f>
        <v>0</v>
      </c>
      <c r="Z441" s="104" t="n">
        <f aca="false">IFERROR(V441/U441,"")</f>
        <v>0.5</v>
      </c>
    </row>
    <row r="442" customFormat="false" ht="15" hidden="false" customHeight="true" outlineLevel="0" collapsed="false">
      <c r="A442" s="100" t="str">
        <f aca="false">Equipos!C440</f>
        <v>2-112502</v>
      </c>
      <c r="B442" s="101" t="str">
        <f aca="false">Equipos!D440</f>
        <v>Monitor Multiparámetros</v>
      </c>
      <c r="C442" s="101" t="str">
        <f aca="false">Equipos!E440</f>
        <v>Cardiología</v>
      </c>
      <c r="D442" s="101" t="str">
        <f aca="false">Equipos!G440</f>
        <v>Modulo C box Eco</v>
      </c>
      <c r="E442" s="101" t="str">
        <f aca="false">Equipos!I440</f>
        <v>Drager </v>
      </c>
      <c r="F442" s="101" t="str">
        <f aca="false">Equipos!J440</f>
        <v>Infinity Vista</v>
      </c>
      <c r="G442" s="100" t="str">
        <f aca="false">Equipos!K440</f>
        <v>5395660070</v>
      </c>
      <c r="H442" s="101"/>
      <c r="I442" s="102"/>
      <c r="J442" s="102"/>
      <c r="K442" s="103" t="s">
        <v>330</v>
      </c>
      <c r="L442" s="103" t="s">
        <v>328</v>
      </c>
      <c r="M442" s="102"/>
      <c r="N442" s="102"/>
      <c r="O442" s="102"/>
      <c r="P442" s="102"/>
      <c r="Q442" s="102"/>
      <c r="R442" s="102"/>
      <c r="S442" s="102"/>
      <c r="T442" s="102"/>
      <c r="U442" s="101" t="n">
        <f aca="false">V442+W442+X442+COUNTIF(I442:T442,"R")</f>
        <v>2</v>
      </c>
      <c r="V442" s="101" t="n">
        <f aca="false">COUNTIF(I442:T442,"E")</f>
        <v>1</v>
      </c>
      <c r="W442" s="101" t="n">
        <f aca="false">COUNTIF(I442:T442,"X")</f>
        <v>0</v>
      </c>
      <c r="X442" s="101" t="n">
        <f aca="false">COUNTIF(I442:T442,"C2")+COUNTIF(I442:T442,"C3")</f>
        <v>0</v>
      </c>
      <c r="Y442" s="101" t="n">
        <f aca="true">SUMPRODUCT((I442:INDEX(I442:T442,MONTH(TODAY()))="X")*1)</f>
        <v>0</v>
      </c>
      <c r="Z442" s="104" t="n">
        <f aca="false">IFERROR(V442/U442,"")</f>
        <v>0.5</v>
      </c>
    </row>
    <row r="443" customFormat="false" ht="15" hidden="false" customHeight="true" outlineLevel="0" collapsed="false">
      <c r="A443" s="100" t="str">
        <f aca="false">Equipos!C441</f>
        <v>2-112572</v>
      </c>
      <c r="B443" s="101" t="str">
        <f aca="false">Equipos!D441</f>
        <v>Monitor Multiparámetros</v>
      </c>
      <c r="C443" s="101" t="str">
        <f aca="false">Equipos!E441</f>
        <v>Imagenología (Prestado a Pabellón Quirúrgico)</v>
      </c>
      <c r="D443" s="101" t="str">
        <f aca="false">Equipos!G441</f>
        <v>Pabellón 2</v>
      </c>
      <c r="E443" s="101" t="str">
        <f aca="false">Equipos!I441</f>
        <v>Drager </v>
      </c>
      <c r="F443" s="101" t="str">
        <f aca="false">Equipos!J441</f>
        <v>Infinity Kappa</v>
      </c>
      <c r="G443" s="100" t="str">
        <f aca="false">Equipos!K441</f>
        <v>5494287054</v>
      </c>
      <c r="H443" s="101"/>
      <c r="I443" s="102"/>
      <c r="J443" s="102"/>
      <c r="K443" s="102"/>
      <c r="L443" s="103" t="s">
        <v>328</v>
      </c>
      <c r="M443" s="102"/>
      <c r="N443" s="102"/>
      <c r="O443" s="102"/>
      <c r="P443" s="102"/>
      <c r="Q443" s="102"/>
      <c r="R443" s="102"/>
      <c r="S443" s="102"/>
      <c r="T443" s="102"/>
      <c r="U443" s="101" t="n">
        <f aca="false">V443+W443+X443+COUNTIF(I443:T443,"R")</f>
        <v>1</v>
      </c>
      <c r="V443" s="101" t="n">
        <f aca="false">COUNTIF(I443:T443,"E")</f>
        <v>1</v>
      </c>
      <c r="W443" s="101" t="n">
        <f aca="false">COUNTIF(I443:T443,"X")</f>
        <v>0</v>
      </c>
      <c r="X443" s="101" t="n">
        <f aca="false">COUNTIF(I443:T443,"C2")+COUNTIF(I443:T443,"C3")</f>
        <v>0</v>
      </c>
      <c r="Y443" s="101" t="n">
        <f aca="true">SUMPRODUCT((I443:INDEX(I443:T443,MONTH(TODAY()))="X")*1)</f>
        <v>0</v>
      </c>
      <c r="Z443" s="104" t="n">
        <f aca="false">IFERROR(V443/U443,"")</f>
        <v>1</v>
      </c>
    </row>
    <row r="444" customFormat="false" ht="15" hidden="false" customHeight="true" outlineLevel="0" collapsed="false">
      <c r="A444" s="100" t="str">
        <f aca="false">Equipos!C442</f>
        <v>2-116504</v>
      </c>
      <c r="B444" s="101" t="str">
        <f aca="false">Equipos!D442</f>
        <v>Monitor Multiparámetros</v>
      </c>
      <c r="C444" s="101" t="str">
        <f aca="false">Equipos!E442</f>
        <v>UPC Pediátrica</v>
      </c>
      <c r="D444" s="101" t="str">
        <f aca="false">Equipos!G442</f>
        <v>Cama 2</v>
      </c>
      <c r="E444" s="101" t="str">
        <f aca="false">Equipos!I442</f>
        <v>SPACELABS HEALTHCARE</v>
      </c>
      <c r="F444" s="101" t="str">
        <f aca="false">Equipos!J442</f>
        <v>XPREZZON</v>
      </c>
      <c r="G444" s="100" t="str">
        <f aca="false">Equipos!K442</f>
        <v>1393-109319</v>
      </c>
      <c r="H444" s="101"/>
      <c r="I444" s="103" t="s">
        <v>330</v>
      </c>
      <c r="J444" s="103" t="s">
        <v>328</v>
      </c>
      <c r="K444" s="102"/>
      <c r="L444" s="102"/>
      <c r="M444" s="102"/>
      <c r="N444" s="102"/>
      <c r="O444" s="102"/>
      <c r="P444" s="102"/>
      <c r="Q444" s="102"/>
      <c r="R444" s="102"/>
      <c r="S444" s="102"/>
      <c r="T444" s="102"/>
      <c r="U444" s="101" t="n">
        <f aca="false">V444+W444+X444+COUNTIF(I444:T444,"R")</f>
        <v>2</v>
      </c>
      <c r="V444" s="101" t="n">
        <f aca="false">COUNTIF(I444:T444,"E")</f>
        <v>1</v>
      </c>
      <c r="W444" s="101" t="n">
        <f aca="false">COUNTIF(I444:T444,"X")</f>
        <v>0</v>
      </c>
      <c r="X444" s="101" t="n">
        <f aca="false">COUNTIF(I444:T444,"C2")+COUNTIF(I444:T444,"C3")</f>
        <v>0</v>
      </c>
      <c r="Y444" s="101" t="n">
        <f aca="true">SUMPRODUCT((I444:INDEX(I444:T444,MONTH(TODAY()))="X")*1)</f>
        <v>0</v>
      </c>
      <c r="Z444" s="104" t="n">
        <f aca="false">IFERROR(V444/U444,"")</f>
        <v>0.5</v>
      </c>
    </row>
    <row r="445" customFormat="false" ht="15" hidden="false" customHeight="true" outlineLevel="0" collapsed="false">
      <c r="A445" s="100" t="str">
        <f aca="false">Equipos!C443</f>
        <v>2-024433</v>
      </c>
      <c r="B445" s="101" t="str">
        <f aca="false">Equipos!D443</f>
        <v>Monitor Multiparámetros</v>
      </c>
      <c r="C445" s="101" t="str">
        <f aca="false">Equipos!E443</f>
        <v>Pabellón Quirúrgico</v>
      </c>
      <c r="D445" s="101" t="str">
        <f aca="false">Equipos!G443</f>
        <v>CDT-P2-QF07</v>
      </c>
      <c r="E445" s="101" t="str">
        <f aca="false">Equipos!I443</f>
        <v>Drager </v>
      </c>
      <c r="F445" s="101" t="str">
        <f aca="false">Equipos!J443</f>
        <v>Infinity Kappa</v>
      </c>
      <c r="G445" s="100" t="str">
        <f aca="false">Equipos!K443</f>
        <v>5493757948</v>
      </c>
      <c r="H445" s="101"/>
      <c r="I445" s="102"/>
      <c r="J445" s="102"/>
      <c r="K445" s="102"/>
      <c r="L445" s="103" t="s">
        <v>328</v>
      </c>
      <c r="M445" s="102"/>
      <c r="N445" s="102"/>
      <c r="O445" s="102"/>
      <c r="P445" s="102"/>
      <c r="Q445" s="102"/>
      <c r="R445" s="102"/>
      <c r="S445" s="102"/>
      <c r="T445" s="102"/>
      <c r="U445" s="101" t="n">
        <f aca="false">V445+W445+X445+COUNTIF(I445:T445,"R")</f>
        <v>1</v>
      </c>
      <c r="V445" s="101" t="n">
        <f aca="false">COUNTIF(I445:T445,"E")</f>
        <v>1</v>
      </c>
      <c r="W445" s="101" t="n">
        <f aca="false">COUNTIF(I445:T445,"X")</f>
        <v>0</v>
      </c>
      <c r="X445" s="101" t="n">
        <f aca="false">COUNTIF(I445:T445,"C2")+COUNTIF(I445:T445,"C3")</f>
        <v>0</v>
      </c>
      <c r="Y445" s="101" t="n">
        <f aca="true">SUMPRODUCT((I445:INDEX(I445:T445,MONTH(TODAY()))="X")*1)</f>
        <v>0</v>
      </c>
      <c r="Z445" s="104" t="n">
        <f aca="false">IFERROR(V445/U445,"")</f>
        <v>1</v>
      </c>
    </row>
    <row r="446" customFormat="false" ht="15" hidden="false" customHeight="true" outlineLevel="0" collapsed="false">
      <c r="A446" s="100" t="str">
        <f aca="false">Equipos!C444</f>
        <v>2-133447</v>
      </c>
      <c r="B446" s="101" t="str">
        <f aca="false">Equipos!D444</f>
        <v>Monitor Multiparámetros</v>
      </c>
      <c r="C446" s="101" t="str">
        <f aca="false">Equipos!E444</f>
        <v>Ginecología</v>
      </c>
      <c r="D446" s="101" t="str">
        <f aca="false">Equipos!G444</f>
        <v>EPA-P4-SA06</v>
      </c>
      <c r="E446" s="101" t="str">
        <f aca="false">Equipos!I444</f>
        <v>Drager </v>
      </c>
      <c r="F446" s="101" t="str">
        <f aca="false">Equipos!J444</f>
        <v>Vista 300</v>
      </c>
      <c r="G446" s="100" t="str">
        <f aca="false">Equipos!K444</f>
        <v>VSSTB0049</v>
      </c>
      <c r="H446" s="101"/>
      <c r="I446" s="102"/>
      <c r="J446" s="102"/>
      <c r="K446" s="102"/>
      <c r="L446" s="102"/>
      <c r="M446" s="103" t="s">
        <v>329</v>
      </c>
      <c r="N446" s="102"/>
      <c r="O446" s="102"/>
      <c r="P446" s="102"/>
      <c r="Q446" s="102"/>
      <c r="R446" s="102"/>
      <c r="S446" s="102"/>
      <c r="T446" s="102"/>
      <c r="U446" s="101" t="n">
        <f aca="false">V446+W446+X446+COUNTIF(I446:T446,"R")</f>
        <v>1</v>
      </c>
      <c r="V446" s="101" t="n">
        <f aca="false">COUNTIF(I446:T446,"E")</f>
        <v>0</v>
      </c>
      <c r="W446" s="101" t="n">
        <f aca="false">COUNTIF(I446:T446,"X")</f>
        <v>1</v>
      </c>
      <c r="X446" s="101" t="n">
        <f aca="false">COUNTIF(I446:T446,"C2")+COUNTIF(I446:T446,"C3")</f>
        <v>0</v>
      </c>
      <c r="Y446" s="101" t="n">
        <f aca="true">SUMPRODUCT((I446:INDEX(I446:T446,MONTH(TODAY()))="X")*1)</f>
        <v>1</v>
      </c>
      <c r="Z446" s="104" t="n">
        <f aca="false">IFERROR(V446/U446,"")</f>
        <v>0</v>
      </c>
    </row>
    <row r="447" customFormat="false" ht="15" hidden="false" customHeight="true" outlineLevel="0" collapsed="false">
      <c r="A447" s="100" t="str">
        <f aca="false">Equipos!C445</f>
        <v>2-116507</v>
      </c>
      <c r="B447" s="101" t="str">
        <f aca="false">Equipos!D445</f>
        <v>Monitor Multiparámetros</v>
      </c>
      <c r="C447" s="101" t="str">
        <f aca="false">Equipos!E445</f>
        <v>UPC Pediátrica</v>
      </c>
      <c r="D447" s="101" t="str">
        <f aca="false">Equipos!G445</f>
        <v>Cama 3</v>
      </c>
      <c r="E447" s="101" t="str">
        <f aca="false">Equipos!I445</f>
        <v>SPACELABS HEALTHCARE</v>
      </c>
      <c r="F447" s="101" t="str">
        <f aca="false">Equipos!J445</f>
        <v>XPREZZON</v>
      </c>
      <c r="G447" s="100" t="str">
        <f aca="false">Equipos!K445</f>
        <v>1393-109304</v>
      </c>
      <c r="H447" s="101"/>
      <c r="I447" s="103" t="s">
        <v>330</v>
      </c>
      <c r="J447" s="103" t="s">
        <v>328</v>
      </c>
      <c r="K447" s="102"/>
      <c r="L447" s="102"/>
      <c r="M447" s="102"/>
      <c r="N447" s="102"/>
      <c r="O447" s="102"/>
      <c r="P447" s="102"/>
      <c r="Q447" s="102"/>
      <c r="R447" s="102"/>
      <c r="S447" s="102"/>
      <c r="T447" s="102"/>
      <c r="U447" s="101" t="n">
        <f aca="false">V447+W447+X447+COUNTIF(I447:T447,"R")</f>
        <v>2</v>
      </c>
      <c r="V447" s="101" t="n">
        <f aca="false">COUNTIF(I447:T447,"E")</f>
        <v>1</v>
      </c>
      <c r="W447" s="101" t="n">
        <f aca="false">COUNTIF(I447:T447,"X")</f>
        <v>0</v>
      </c>
      <c r="X447" s="101" t="n">
        <f aca="false">COUNTIF(I447:T447,"C2")+COUNTIF(I447:T447,"C3")</f>
        <v>0</v>
      </c>
      <c r="Y447" s="101" t="n">
        <f aca="true">SUMPRODUCT((I447:INDEX(I447:T447,MONTH(TODAY()))="X")*1)</f>
        <v>0</v>
      </c>
      <c r="Z447" s="104" t="n">
        <f aca="false">IFERROR(V447/U447,"")</f>
        <v>0.5</v>
      </c>
    </row>
    <row r="448" customFormat="false" ht="15" hidden="false" customHeight="true" outlineLevel="0" collapsed="false">
      <c r="A448" s="100" t="str">
        <f aca="false">Equipos!C446</f>
        <v>2-133448</v>
      </c>
      <c r="B448" s="101" t="str">
        <f aca="false">Equipos!D446</f>
        <v>Monitor Multiparámetros</v>
      </c>
      <c r="C448" s="101" t="str">
        <f aca="false">Equipos!E446</f>
        <v>Ginecología</v>
      </c>
      <c r="D448" s="101" t="str">
        <f aca="false">Equipos!G446</f>
        <v>EPA-P4-SA06</v>
      </c>
      <c r="E448" s="101" t="str">
        <f aca="false">Equipos!I446</f>
        <v>Drager </v>
      </c>
      <c r="F448" s="101" t="str">
        <f aca="false">Equipos!J446</f>
        <v>Vista 300</v>
      </c>
      <c r="G448" s="100" t="str">
        <f aca="false">Equipos!K446</f>
        <v>VSSTB0059</v>
      </c>
      <c r="H448" s="101"/>
      <c r="I448" s="102"/>
      <c r="J448" s="102"/>
      <c r="K448" s="102"/>
      <c r="L448" s="102"/>
      <c r="M448" s="103" t="s">
        <v>329</v>
      </c>
      <c r="N448" s="102"/>
      <c r="O448" s="102"/>
      <c r="P448" s="102"/>
      <c r="Q448" s="102"/>
      <c r="R448" s="102"/>
      <c r="S448" s="102"/>
      <c r="T448" s="102"/>
      <c r="U448" s="101" t="n">
        <f aca="false">V448+W448+X448+COUNTIF(I448:T448,"R")</f>
        <v>1</v>
      </c>
      <c r="V448" s="101" t="n">
        <f aca="false">COUNTIF(I448:T448,"E")</f>
        <v>0</v>
      </c>
      <c r="W448" s="101" t="n">
        <f aca="false">COUNTIF(I448:T448,"X")</f>
        <v>1</v>
      </c>
      <c r="X448" s="101" t="n">
        <f aca="false">COUNTIF(I448:T448,"C2")+COUNTIF(I448:T448,"C3")</f>
        <v>0</v>
      </c>
      <c r="Y448" s="101" t="n">
        <f aca="true">SUMPRODUCT((I448:INDEX(I448:T448,MONTH(TODAY()))="X")*1)</f>
        <v>1</v>
      </c>
      <c r="Z448" s="104" t="n">
        <f aca="false">IFERROR(V448/U448,"")</f>
        <v>0</v>
      </c>
    </row>
    <row r="449" customFormat="false" ht="15" hidden="false" customHeight="true" outlineLevel="0" collapsed="false">
      <c r="A449" s="100" t="str">
        <f aca="false">Equipos!C447</f>
        <v>2-116506</v>
      </c>
      <c r="B449" s="101" t="str">
        <f aca="false">Equipos!D447</f>
        <v>Monitor Multiparámetros</v>
      </c>
      <c r="C449" s="101" t="str">
        <f aca="false">Equipos!E447</f>
        <v>UPC Pediátrica</v>
      </c>
      <c r="D449" s="101" t="str">
        <f aca="false">Equipos!G447</f>
        <v>Cama 9</v>
      </c>
      <c r="E449" s="101" t="str">
        <f aca="false">Equipos!I447</f>
        <v>SPACELABS HEALTHCARE</v>
      </c>
      <c r="F449" s="101" t="str">
        <f aca="false">Equipos!J447</f>
        <v>XPREZZON</v>
      </c>
      <c r="G449" s="100" t="str">
        <f aca="false">Equipos!K447</f>
        <v>1393-109320</v>
      </c>
      <c r="H449" s="101"/>
      <c r="I449" s="103" t="s">
        <v>330</v>
      </c>
      <c r="J449" s="103" t="s">
        <v>328</v>
      </c>
      <c r="K449" s="102"/>
      <c r="L449" s="102"/>
      <c r="M449" s="102"/>
      <c r="N449" s="102"/>
      <c r="O449" s="102"/>
      <c r="P449" s="102"/>
      <c r="Q449" s="102"/>
      <c r="R449" s="102"/>
      <c r="S449" s="102"/>
      <c r="T449" s="102"/>
      <c r="U449" s="101" t="n">
        <f aca="false">V449+W449+X449+COUNTIF(I449:T449,"R")</f>
        <v>2</v>
      </c>
      <c r="V449" s="101" t="n">
        <f aca="false">COUNTIF(I449:T449,"E")</f>
        <v>1</v>
      </c>
      <c r="W449" s="101" t="n">
        <f aca="false">COUNTIF(I449:T449,"X")</f>
        <v>0</v>
      </c>
      <c r="X449" s="101" t="n">
        <f aca="false">COUNTIF(I449:T449,"C2")+COUNTIF(I449:T449,"C3")</f>
        <v>0</v>
      </c>
      <c r="Y449" s="101" t="n">
        <f aca="true">SUMPRODUCT((I449:INDEX(I449:T449,MONTH(TODAY()))="X")*1)</f>
        <v>0</v>
      </c>
      <c r="Z449" s="104" t="n">
        <f aca="false">IFERROR(V449/U449,"")</f>
        <v>0.5</v>
      </c>
    </row>
    <row r="450" customFormat="false" ht="15" hidden="false" customHeight="true" outlineLevel="0" collapsed="false">
      <c r="A450" s="100" t="str">
        <f aca="false">Equipos!C448</f>
        <v>2-135919</v>
      </c>
      <c r="B450" s="101" t="str">
        <f aca="false">Equipos!D448</f>
        <v>Monitor Multiparámetros</v>
      </c>
      <c r="C450" s="101" t="str">
        <f aca="false">Equipos!E448</f>
        <v>TROI</v>
      </c>
      <c r="D450" s="101" t="n">
        <f aca="false">Equipos!G448</f>
        <v>0</v>
      </c>
      <c r="E450" s="101" t="str">
        <f aca="false">Equipos!I448</f>
        <v>Drager</v>
      </c>
      <c r="F450" s="101" t="str">
        <f aca="false">Equipos!J448</f>
        <v>Vista 300</v>
      </c>
      <c r="G450" s="100" t="str">
        <f aca="false">Equipos!K448</f>
        <v>VSSUM0044</v>
      </c>
      <c r="H450" s="101"/>
      <c r="I450" s="102"/>
      <c r="J450" s="102"/>
      <c r="K450" s="102"/>
      <c r="L450" s="103" t="s">
        <v>328</v>
      </c>
      <c r="M450" s="102"/>
      <c r="N450" s="102"/>
      <c r="O450" s="102"/>
      <c r="P450" s="102"/>
      <c r="Q450" s="102"/>
      <c r="R450" s="102"/>
      <c r="S450" s="102"/>
      <c r="T450" s="102"/>
      <c r="U450" s="101" t="n">
        <f aca="false">V450+W450+X450+COUNTIF(I450:T450,"R")</f>
        <v>1</v>
      </c>
      <c r="V450" s="101" t="n">
        <f aca="false">COUNTIF(I450:T450,"E")</f>
        <v>1</v>
      </c>
      <c r="W450" s="101" t="n">
        <f aca="false">COUNTIF(I450:T450,"X")</f>
        <v>0</v>
      </c>
      <c r="X450" s="101" t="n">
        <f aca="false">COUNTIF(I450:T450,"C2")+COUNTIF(I450:T450,"C3")</f>
        <v>0</v>
      </c>
      <c r="Y450" s="101" t="n">
        <f aca="true">SUMPRODUCT((I450:INDEX(I450:T450,MONTH(TODAY()))="X")*1)</f>
        <v>0</v>
      </c>
      <c r="Z450" s="104" t="n">
        <f aca="false">IFERROR(V450/U450,"")</f>
        <v>1</v>
      </c>
    </row>
    <row r="451" customFormat="false" ht="15" hidden="false" customHeight="true" outlineLevel="0" collapsed="false">
      <c r="A451" s="100" t="str">
        <f aca="false">Equipos!C449</f>
        <v>2-134895</v>
      </c>
      <c r="B451" s="101" t="str">
        <f aca="false">Equipos!D449</f>
        <v>Monitor Multiparámetros</v>
      </c>
      <c r="C451" s="101" t="str">
        <f aca="false">Equipos!E449</f>
        <v>CR ONCOLOGICO AMBULATORIO</v>
      </c>
      <c r="D451" s="101" t="str">
        <f aca="false">Equipos!G449</f>
        <v>MODULO ZD CDT</v>
      </c>
      <c r="E451" s="101" t="str">
        <f aca="false">Equipos!I449</f>
        <v>NORTHERN</v>
      </c>
      <c r="F451" s="101" t="str">
        <f aca="false">Equipos!J449</f>
        <v>Aquarius ECG</v>
      </c>
      <c r="G451" s="100" t="str">
        <f aca="false">Equipos!K449</f>
        <v>JB01B910013</v>
      </c>
      <c r="H451" s="101"/>
      <c r="I451" s="102"/>
      <c r="J451" s="103" t="s">
        <v>330</v>
      </c>
      <c r="K451" s="103" t="s">
        <v>328</v>
      </c>
      <c r="L451" s="102"/>
      <c r="M451" s="102"/>
      <c r="N451" s="102"/>
      <c r="O451" s="102"/>
      <c r="P451" s="102"/>
      <c r="Q451" s="102"/>
      <c r="R451" s="102"/>
      <c r="S451" s="102"/>
      <c r="T451" s="102"/>
      <c r="U451" s="101" t="n">
        <f aca="false">V451+W451+X451+COUNTIF(I451:T451,"R")</f>
        <v>2</v>
      </c>
      <c r="V451" s="101" t="n">
        <f aca="false">COUNTIF(I451:T451,"E")</f>
        <v>1</v>
      </c>
      <c r="W451" s="101" t="n">
        <f aca="false">COUNTIF(I451:T451,"X")</f>
        <v>0</v>
      </c>
      <c r="X451" s="101" t="n">
        <f aca="false">COUNTIF(I451:T451,"C2")+COUNTIF(I451:T451,"C3")</f>
        <v>0</v>
      </c>
      <c r="Y451" s="101" t="n">
        <f aca="true">SUMPRODUCT((I451:INDEX(I451:T451,MONTH(TODAY()))="X")*1)</f>
        <v>0</v>
      </c>
      <c r="Z451" s="104" t="n">
        <f aca="false">IFERROR(V451/U451,"")</f>
        <v>0.5</v>
      </c>
    </row>
    <row r="452" customFormat="false" ht="15" hidden="false" customHeight="true" outlineLevel="0" collapsed="false">
      <c r="A452" s="100" t="str">
        <f aca="false">Equipos!C450</f>
        <v>2-119651</v>
      </c>
      <c r="B452" s="101" t="str">
        <f aca="false">Equipos!D450</f>
        <v>Monitor Multiparámetros</v>
      </c>
      <c r="C452" s="101" t="str">
        <f aca="false">Equipos!E450</f>
        <v>Medicina (Prestado a Psiquiatria)</v>
      </c>
      <c r="D452" s="101" t="str">
        <f aca="false">Equipos!G450</f>
        <v>Salud Mental</v>
      </c>
      <c r="E452" s="101" t="str">
        <f aca="false">Equipos!I450</f>
        <v>General Electric</v>
      </c>
      <c r="F452" s="101" t="str">
        <f aca="false">Equipos!J450</f>
        <v>B105</v>
      </c>
      <c r="G452" s="100" t="str">
        <f aca="false">Equipos!K450</f>
        <v>SQE19510002SA</v>
      </c>
      <c r="H452" s="101"/>
      <c r="I452" s="102"/>
      <c r="J452" s="103" t="s">
        <v>330</v>
      </c>
      <c r="K452" s="103" t="s">
        <v>328</v>
      </c>
      <c r="L452" s="102"/>
      <c r="M452" s="102"/>
      <c r="N452" s="102"/>
      <c r="O452" s="102"/>
      <c r="P452" s="102"/>
      <c r="Q452" s="102"/>
      <c r="R452" s="102"/>
      <c r="S452" s="102"/>
      <c r="T452" s="102"/>
      <c r="U452" s="101" t="n">
        <f aca="false">V452+W452+X452+COUNTIF(I452:T452,"R")</f>
        <v>2</v>
      </c>
      <c r="V452" s="101" t="n">
        <f aca="false">COUNTIF(I452:T452,"E")</f>
        <v>1</v>
      </c>
      <c r="W452" s="101" t="n">
        <f aca="false">COUNTIF(I452:T452,"X")</f>
        <v>0</v>
      </c>
      <c r="X452" s="101" t="n">
        <f aca="false">COUNTIF(I452:T452,"C2")+COUNTIF(I452:T452,"C3")</f>
        <v>0</v>
      </c>
      <c r="Y452" s="101" t="n">
        <f aca="true">SUMPRODUCT((I452:INDEX(I452:T452,MONTH(TODAY()))="X")*1)</f>
        <v>0</v>
      </c>
      <c r="Z452" s="104" t="n">
        <f aca="false">IFERROR(V452/U452,"")</f>
        <v>0.5</v>
      </c>
    </row>
    <row r="453" customFormat="false" ht="15" hidden="false" customHeight="true" outlineLevel="0" collapsed="false">
      <c r="A453" s="100" t="str">
        <f aca="false">Equipos!C451</f>
        <v>2-133532</v>
      </c>
      <c r="B453" s="101" t="str">
        <f aca="false">Equipos!D451</f>
        <v>Monitor Multiparámetros</v>
      </c>
      <c r="C453" s="101" t="str">
        <f aca="false">Equipos!E451</f>
        <v>Pabellones Gineco-Obstétricos</v>
      </c>
      <c r="D453" s="101" t="n">
        <f aca="false">Equipos!G451</f>
        <v>0</v>
      </c>
      <c r="E453" s="101" t="str">
        <f aca="false">Equipos!I451</f>
        <v>Drager </v>
      </c>
      <c r="F453" s="101" t="str">
        <f aca="false">Equipos!J451</f>
        <v>Vista 300</v>
      </c>
      <c r="G453" s="100" t="str">
        <f aca="false">Equipos!K451</f>
        <v>VSSTA0230</v>
      </c>
      <c r="H453" s="101"/>
      <c r="I453" s="102"/>
      <c r="J453" s="102"/>
      <c r="K453" s="102"/>
      <c r="L453" s="102"/>
      <c r="M453" s="103" t="s">
        <v>328</v>
      </c>
      <c r="N453" s="102"/>
      <c r="O453" s="102"/>
      <c r="P453" s="102"/>
      <c r="Q453" s="102"/>
      <c r="R453" s="102"/>
      <c r="S453" s="102"/>
      <c r="T453" s="102"/>
      <c r="U453" s="101" t="n">
        <f aca="false">V453+W453+X453+COUNTIF(I453:T453,"R")</f>
        <v>1</v>
      </c>
      <c r="V453" s="101" t="n">
        <f aca="false">COUNTIF(I453:T453,"E")</f>
        <v>1</v>
      </c>
      <c r="W453" s="101" t="n">
        <f aca="false">COUNTIF(I453:T453,"X")</f>
        <v>0</v>
      </c>
      <c r="X453" s="101" t="n">
        <f aca="false">COUNTIF(I453:T453,"C2")+COUNTIF(I453:T453,"C3")</f>
        <v>0</v>
      </c>
      <c r="Y453" s="101" t="n">
        <f aca="true">SUMPRODUCT((I453:INDEX(I453:T453,MONTH(TODAY()))="X")*1)</f>
        <v>0</v>
      </c>
      <c r="Z453" s="104" t="n">
        <f aca="false">IFERROR(V453/U453,"")</f>
        <v>1</v>
      </c>
    </row>
    <row r="454" customFormat="false" ht="15" hidden="false" customHeight="true" outlineLevel="0" collapsed="false">
      <c r="A454" s="100" t="str">
        <f aca="false">Equipos!C452</f>
        <v>2-116505</v>
      </c>
      <c r="B454" s="101" t="str">
        <f aca="false">Equipos!D452</f>
        <v>Monitor Multiparámetros</v>
      </c>
      <c r="C454" s="101" t="str">
        <f aca="false">Equipos!E452</f>
        <v>UPC Pediátrica</v>
      </c>
      <c r="D454" s="101" t="str">
        <f aca="false">Equipos!G452</f>
        <v>Cama 5</v>
      </c>
      <c r="E454" s="101" t="str">
        <f aca="false">Equipos!I452</f>
        <v>SPACELABS HEALTHCARE</v>
      </c>
      <c r="F454" s="101" t="str">
        <f aca="false">Equipos!J452</f>
        <v>XPREZZON</v>
      </c>
      <c r="G454" s="100" t="str">
        <f aca="false">Equipos!K452</f>
        <v>1393-109322</v>
      </c>
      <c r="H454" s="101"/>
      <c r="I454" s="103" t="s">
        <v>330</v>
      </c>
      <c r="J454" s="103" t="s">
        <v>328</v>
      </c>
      <c r="K454" s="102"/>
      <c r="L454" s="102"/>
      <c r="M454" s="102"/>
      <c r="N454" s="102"/>
      <c r="O454" s="102"/>
      <c r="P454" s="102"/>
      <c r="Q454" s="102"/>
      <c r="R454" s="102"/>
      <c r="S454" s="102"/>
      <c r="T454" s="102"/>
      <c r="U454" s="101" t="n">
        <f aca="false">V454+W454+X454+COUNTIF(I454:T454,"R")</f>
        <v>2</v>
      </c>
      <c r="V454" s="101" t="n">
        <f aca="false">COUNTIF(I454:T454,"E")</f>
        <v>1</v>
      </c>
      <c r="W454" s="101" t="n">
        <f aca="false">COUNTIF(I454:T454,"X")</f>
        <v>0</v>
      </c>
      <c r="X454" s="101" t="n">
        <f aca="false">COUNTIF(I454:T454,"C2")+COUNTIF(I454:T454,"C3")</f>
        <v>0</v>
      </c>
      <c r="Y454" s="101" t="n">
        <f aca="true">SUMPRODUCT((I454:INDEX(I454:T454,MONTH(TODAY()))="X")*1)</f>
        <v>0</v>
      </c>
      <c r="Z454" s="104" t="n">
        <f aca="false">IFERROR(V454/U454,"")</f>
        <v>0.5</v>
      </c>
    </row>
    <row r="455" customFormat="false" ht="15" hidden="false" customHeight="true" outlineLevel="0" collapsed="false">
      <c r="A455" s="100" t="str">
        <f aca="false">Equipos!C453</f>
        <v>2-113494</v>
      </c>
      <c r="B455" s="101" t="str">
        <f aca="false">Equipos!D453</f>
        <v>Monitor Multiparámetros</v>
      </c>
      <c r="C455" s="101" t="str">
        <f aca="false">Equipos!E453</f>
        <v>Pabellón CMA</v>
      </c>
      <c r="D455" s="101" t="n">
        <f aca="false">Equipos!G453</f>
        <v>0</v>
      </c>
      <c r="E455" s="101" t="str">
        <f aca="false">Equipos!I453</f>
        <v>SPACELABS HEALTHCARE</v>
      </c>
      <c r="F455" s="101" t="str">
        <f aca="false">Equipos!J453</f>
        <v>Elance 2.0</v>
      </c>
      <c r="G455" s="100" t="str">
        <f aca="false">Equipos!K453</f>
        <v>3300-004914</v>
      </c>
      <c r="H455" s="101"/>
      <c r="I455" s="102"/>
      <c r="J455" s="102"/>
      <c r="K455" s="102"/>
      <c r="L455" s="102"/>
      <c r="M455" s="103" t="s">
        <v>329</v>
      </c>
      <c r="N455" s="102"/>
      <c r="O455" s="102"/>
      <c r="P455" s="102"/>
      <c r="Q455" s="102"/>
      <c r="R455" s="102"/>
      <c r="S455" s="102"/>
      <c r="T455" s="102"/>
      <c r="U455" s="101" t="n">
        <f aca="false">V455+W455+X455+COUNTIF(I455:T455,"R")</f>
        <v>1</v>
      </c>
      <c r="V455" s="101" t="n">
        <f aca="false">COUNTIF(I455:T455,"E")</f>
        <v>0</v>
      </c>
      <c r="W455" s="101" t="n">
        <f aca="false">COUNTIF(I455:T455,"X")</f>
        <v>1</v>
      </c>
      <c r="X455" s="101" t="n">
        <f aca="false">COUNTIF(I455:T455,"C2")+COUNTIF(I455:T455,"C3")</f>
        <v>0</v>
      </c>
      <c r="Y455" s="101" t="n">
        <f aca="true">SUMPRODUCT((I455:INDEX(I455:T455,MONTH(TODAY()))="X")*1)</f>
        <v>1</v>
      </c>
      <c r="Z455" s="104" t="n">
        <f aca="false">IFERROR(V455/U455,"")</f>
        <v>0</v>
      </c>
    </row>
    <row r="456" customFormat="false" ht="15" hidden="false" customHeight="true" outlineLevel="0" collapsed="false">
      <c r="A456" s="100" t="str">
        <f aca="false">Equipos!C454</f>
        <v>121010-024574</v>
      </c>
      <c r="B456" s="101" t="str">
        <f aca="false">Equipos!D454</f>
        <v>Monitor Multiparámetros</v>
      </c>
      <c r="C456" s="101" t="str">
        <f aca="false">Equipos!E454</f>
        <v>Unidad Evaluación Paciente Imputado</v>
      </c>
      <c r="D456" s="101" t="str">
        <f aca="false">Equipos!G454</f>
        <v>UEPI-103</v>
      </c>
      <c r="E456" s="101" t="str">
        <f aca="false">Equipos!I454</f>
        <v>Nihon Kohden </v>
      </c>
      <c r="F456" s="101" t="str">
        <f aca="false">Equipos!J454</f>
        <v>Vismo 2701K</v>
      </c>
      <c r="G456" s="100" t="str">
        <f aca="false">Equipos!K454</f>
        <v>131641</v>
      </c>
      <c r="H456" s="101"/>
      <c r="I456" s="102"/>
      <c r="J456" s="102"/>
      <c r="K456" s="102"/>
      <c r="L456" s="102"/>
      <c r="M456" s="103" t="s">
        <v>328</v>
      </c>
      <c r="N456" s="102"/>
      <c r="O456" s="102"/>
      <c r="P456" s="102"/>
      <c r="Q456" s="102"/>
      <c r="R456" s="102"/>
      <c r="S456" s="102"/>
      <c r="T456" s="102"/>
      <c r="U456" s="101" t="n">
        <f aca="false">V456+W456+X456+COUNTIF(I456:T456,"R")</f>
        <v>1</v>
      </c>
      <c r="V456" s="101" t="n">
        <f aca="false">COUNTIF(I456:T456,"E")</f>
        <v>1</v>
      </c>
      <c r="W456" s="101" t="n">
        <f aca="false">COUNTIF(I456:T456,"X")</f>
        <v>0</v>
      </c>
      <c r="X456" s="101" t="n">
        <f aca="false">COUNTIF(I456:T456,"C2")+COUNTIF(I456:T456,"C3")</f>
        <v>0</v>
      </c>
      <c r="Y456" s="101" t="n">
        <f aca="true">SUMPRODUCT((I456:INDEX(I456:T456,MONTH(TODAY()))="X")*1)</f>
        <v>0</v>
      </c>
      <c r="Z456" s="104" t="n">
        <f aca="false">IFERROR(V456/U456,"")</f>
        <v>1</v>
      </c>
    </row>
    <row r="457" customFormat="false" ht="15" hidden="false" customHeight="true" outlineLevel="0" collapsed="false">
      <c r="A457" s="100" t="str">
        <f aca="false">Equipos!C455</f>
        <v>2-116508</v>
      </c>
      <c r="B457" s="101" t="str">
        <f aca="false">Equipos!D455</f>
        <v>Monitor Multiparámetros</v>
      </c>
      <c r="C457" s="101" t="str">
        <f aca="false">Equipos!E455</f>
        <v>UPC Pediátrica</v>
      </c>
      <c r="D457" s="101" t="str">
        <f aca="false">Equipos!G455</f>
        <v>Cama 6</v>
      </c>
      <c r="E457" s="101" t="str">
        <f aca="false">Equipos!I455</f>
        <v>SPACELABS HEALTHCARE</v>
      </c>
      <c r="F457" s="101" t="str">
        <f aca="false">Equipos!J455</f>
        <v>XPREZZON</v>
      </c>
      <c r="G457" s="100" t="str">
        <f aca="false">Equipos!K455</f>
        <v>1393-109327</v>
      </c>
      <c r="H457" s="101"/>
      <c r="I457" s="103" t="s">
        <v>330</v>
      </c>
      <c r="J457" s="103" t="s">
        <v>328</v>
      </c>
      <c r="K457" s="102"/>
      <c r="L457" s="102"/>
      <c r="M457" s="102"/>
      <c r="N457" s="102"/>
      <c r="O457" s="102"/>
      <c r="P457" s="102"/>
      <c r="Q457" s="102"/>
      <c r="R457" s="102"/>
      <c r="S457" s="102"/>
      <c r="T457" s="102"/>
      <c r="U457" s="101" t="n">
        <f aca="false">V457+W457+X457+COUNTIF(I457:T457,"R")</f>
        <v>2</v>
      </c>
      <c r="V457" s="101" t="n">
        <f aca="false">COUNTIF(I457:T457,"E")</f>
        <v>1</v>
      </c>
      <c r="W457" s="101" t="n">
        <f aca="false">COUNTIF(I457:T457,"X")</f>
        <v>0</v>
      </c>
      <c r="X457" s="101" t="n">
        <f aca="false">COUNTIF(I457:T457,"C2")+COUNTIF(I457:T457,"C3")</f>
        <v>0</v>
      </c>
      <c r="Y457" s="101" t="n">
        <f aca="true">SUMPRODUCT((I457:INDEX(I457:T457,MONTH(TODAY()))="X")*1)</f>
        <v>0</v>
      </c>
      <c r="Z457" s="104" t="n">
        <f aca="false">IFERROR(V457/U457,"")</f>
        <v>0.5</v>
      </c>
    </row>
    <row r="458" customFormat="false" ht="15" hidden="false" customHeight="true" outlineLevel="0" collapsed="false">
      <c r="A458" s="100" t="str">
        <f aca="false">Equipos!C456</f>
        <v>2-118854</v>
      </c>
      <c r="B458" s="101" t="str">
        <f aca="false">Equipos!D456</f>
        <v>Monitor Multiparámetros</v>
      </c>
      <c r="C458" s="101" t="str">
        <f aca="false">Equipos!E456</f>
        <v>Pabellón Quirúrgico</v>
      </c>
      <c r="D458" s="101" t="str">
        <f aca="false">Equipos!G456</f>
        <v>Pabellón 9</v>
      </c>
      <c r="E458" s="101" t="str">
        <f aca="false">Equipos!I456</f>
        <v>Drager</v>
      </c>
      <c r="F458" s="101" t="str">
        <f aca="false">Equipos!J456</f>
        <v>M540</v>
      </c>
      <c r="G458" s="100" t="str">
        <f aca="false">Equipos!K456</f>
        <v>5613541169</v>
      </c>
      <c r="H458" s="101"/>
      <c r="I458" s="102"/>
      <c r="J458" s="102"/>
      <c r="K458" s="102"/>
      <c r="L458" s="102" t="s">
        <v>329</v>
      </c>
      <c r="M458" s="102"/>
      <c r="N458" s="102"/>
      <c r="O458" s="102"/>
      <c r="P458" s="102"/>
      <c r="Q458" s="102"/>
      <c r="R458" s="102"/>
      <c r="S458" s="102"/>
      <c r="T458" s="102"/>
      <c r="U458" s="101" t="n">
        <f aca="false">V458+W458+X458+COUNTIF(I458:T458,"R")</f>
        <v>1</v>
      </c>
      <c r="V458" s="101" t="n">
        <f aca="false">COUNTIF(I458:T458,"E")</f>
        <v>0</v>
      </c>
      <c r="W458" s="101" t="n">
        <f aca="false">COUNTIF(I458:T458,"X")</f>
        <v>1</v>
      </c>
      <c r="X458" s="101" t="n">
        <f aca="false">COUNTIF(I458:T458,"C2")+COUNTIF(I458:T458,"C3")</f>
        <v>0</v>
      </c>
      <c r="Y458" s="101" t="n">
        <f aca="true">SUMPRODUCT((I458:INDEX(I458:T458,MONTH(TODAY()))="X")*1)</f>
        <v>1</v>
      </c>
      <c r="Z458" s="104" t="n">
        <f aca="false">IFERROR(V458/U458,"")</f>
        <v>0</v>
      </c>
    </row>
    <row r="459" customFormat="false" ht="15" hidden="false" customHeight="true" outlineLevel="0" collapsed="false">
      <c r="A459" s="100" t="str">
        <f aca="false">Equipos!C457</f>
        <v>2-116510</v>
      </c>
      <c r="B459" s="101" t="str">
        <f aca="false">Equipos!D457</f>
        <v>Monitor Multiparámetros</v>
      </c>
      <c r="C459" s="101" t="str">
        <f aca="false">Equipos!E457</f>
        <v>UPC Pediátrica</v>
      </c>
      <c r="D459" s="101" t="str">
        <f aca="false">Equipos!G457</f>
        <v>Cama 7</v>
      </c>
      <c r="E459" s="101" t="str">
        <f aca="false">Equipos!I457</f>
        <v>SPACELABS HEALTHCARE</v>
      </c>
      <c r="F459" s="101" t="str">
        <f aca="false">Equipos!J457</f>
        <v>XPREZZON</v>
      </c>
      <c r="G459" s="100" t="str">
        <f aca="false">Equipos!K457</f>
        <v>1393-109328</v>
      </c>
      <c r="H459" s="101"/>
      <c r="I459" s="103" t="s">
        <v>330</v>
      </c>
      <c r="J459" s="103" t="s">
        <v>328</v>
      </c>
      <c r="K459" s="102"/>
      <c r="L459" s="102"/>
      <c r="M459" s="102"/>
      <c r="N459" s="102"/>
      <c r="O459" s="102"/>
      <c r="P459" s="102"/>
      <c r="Q459" s="102"/>
      <c r="R459" s="102"/>
      <c r="S459" s="102"/>
      <c r="T459" s="102"/>
      <c r="U459" s="101" t="n">
        <f aca="false">V459+W459+X459+COUNTIF(I459:T459,"R")</f>
        <v>2</v>
      </c>
      <c r="V459" s="101" t="n">
        <f aca="false">COUNTIF(I459:T459,"E")</f>
        <v>1</v>
      </c>
      <c r="W459" s="101" t="n">
        <f aca="false">COUNTIF(I459:T459,"X")</f>
        <v>0</v>
      </c>
      <c r="X459" s="101" t="n">
        <f aca="false">COUNTIF(I459:T459,"C2")+COUNTIF(I459:T459,"C3")</f>
        <v>0</v>
      </c>
      <c r="Y459" s="101" t="n">
        <f aca="true">SUMPRODUCT((I459:INDEX(I459:T459,MONTH(TODAY()))="X")*1)</f>
        <v>0</v>
      </c>
      <c r="Z459" s="104" t="n">
        <f aca="false">IFERROR(V459/U459,"")</f>
        <v>0.5</v>
      </c>
    </row>
    <row r="460" customFormat="false" ht="15" hidden="false" customHeight="true" outlineLevel="0" collapsed="false">
      <c r="A460" s="100" t="str">
        <f aca="false">Equipos!C458</f>
        <v>2-016560</v>
      </c>
      <c r="B460" s="101" t="str">
        <f aca="false">Equipos!D458</f>
        <v>Monitor Multiparámetros</v>
      </c>
      <c r="C460" s="101" t="str">
        <f aca="false">Equipos!E458</f>
        <v>Pediatría</v>
      </c>
      <c r="D460" s="101" t="str">
        <f aca="false">Equipos!G458</f>
        <v>Sala de equipos</v>
      </c>
      <c r="E460" s="101" t="str">
        <f aca="false">Equipos!I458</f>
        <v>Drager </v>
      </c>
      <c r="F460" s="101" t="str">
        <f aca="false">Equipos!J458</f>
        <v>Infinity Vista </v>
      </c>
      <c r="G460" s="100" t="str">
        <f aca="false">Equipos!K458</f>
        <v>5514429166</v>
      </c>
      <c r="H460" s="101"/>
      <c r="I460" s="103" t="s">
        <v>330</v>
      </c>
      <c r="J460" s="103" t="s">
        <v>328</v>
      </c>
      <c r="K460" s="102"/>
      <c r="L460" s="102"/>
      <c r="M460" s="102"/>
      <c r="N460" s="102"/>
      <c r="O460" s="102"/>
      <c r="P460" s="102"/>
      <c r="Q460" s="102"/>
      <c r="R460" s="102"/>
      <c r="S460" s="102"/>
      <c r="T460" s="102"/>
      <c r="U460" s="101" t="n">
        <f aca="false">V460+W460+X460+COUNTIF(I460:T460,"R")</f>
        <v>2</v>
      </c>
      <c r="V460" s="101" t="n">
        <f aca="false">COUNTIF(I460:T460,"E")</f>
        <v>1</v>
      </c>
      <c r="W460" s="101" t="n">
        <f aca="false">COUNTIF(I460:T460,"X")</f>
        <v>0</v>
      </c>
      <c r="X460" s="101" t="n">
        <f aca="false">COUNTIF(I460:T460,"C2")+COUNTIF(I460:T460,"C3")</f>
        <v>0</v>
      </c>
      <c r="Y460" s="101" t="n">
        <f aca="true">SUMPRODUCT((I460:INDEX(I460:T460,MONTH(TODAY()))="X")*1)</f>
        <v>0</v>
      </c>
      <c r="Z460" s="104" t="n">
        <f aca="false">IFERROR(V460/U460,"")</f>
        <v>0.5</v>
      </c>
    </row>
    <row r="461" customFormat="false" ht="15" hidden="false" customHeight="true" outlineLevel="0" collapsed="false">
      <c r="A461" s="100" t="str">
        <f aca="false">Equipos!C459</f>
        <v>2-124788</v>
      </c>
      <c r="B461" s="101" t="str">
        <f aca="false">Equipos!D459</f>
        <v>Monitor Multiparámetros</v>
      </c>
      <c r="C461" s="101" t="str">
        <f aca="false">Equipos!E459</f>
        <v>Quimioterapia Ambulatoria Adulto</v>
      </c>
      <c r="D461" s="101" t="str">
        <f aca="false">Equipos!G459</f>
        <v>EPC-P2</v>
      </c>
      <c r="E461" s="101" t="str">
        <f aca="false">Equipos!I459</f>
        <v>Mindray</v>
      </c>
      <c r="F461" s="101" t="str">
        <f aca="false">Equipos!J459</f>
        <v>UMEC10</v>
      </c>
      <c r="G461" s="100" t="str">
        <f aca="false">Equipos!K459</f>
        <v>KN-25140948</v>
      </c>
      <c r="H461" s="101"/>
      <c r="I461" s="102"/>
      <c r="J461" s="102"/>
      <c r="K461" s="103" t="s">
        <v>330</v>
      </c>
      <c r="L461" s="103" t="s">
        <v>328</v>
      </c>
      <c r="M461" s="102"/>
      <c r="N461" s="102"/>
      <c r="O461" s="102"/>
      <c r="P461" s="102"/>
      <c r="Q461" s="102"/>
      <c r="R461" s="102"/>
      <c r="S461" s="102"/>
      <c r="T461" s="102"/>
      <c r="U461" s="101" t="n">
        <f aca="false">V461+W461+X461+COUNTIF(I461:T461,"R")</f>
        <v>2</v>
      </c>
      <c r="V461" s="101" t="n">
        <f aca="false">COUNTIF(I461:T461,"E")</f>
        <v>1</v>
      </c>
      <c r="W461" s="101" t="n">
        <f aca="false">COUNTIF(I461:T461,"X")</f>
        <v>0</v>
      </c>
      <c r="X461" s="101" t="n">
        <f aca="false">COUNTIF(I461:T461,"C2")+COUNTIF(I461:T461,"C3")</f>
        <v>0</v>
      </c>
      <c r="Y461" s="101" t="n">
        <f aca="true">SUMPRODUCT((I461:INDEX(I461:T461,MONTH(TODAY()))="X")*1)</f>
        <v>0</v>
      </c>
      <c r="Z461" s="104" t="n">
        <f aca="false">IFERROR(V461/U461,"")</f>
        <v>0.5</v>
      </c>
    </row>
    <row r="462" customFormat="false" ht="15" hidden="false" customHeight="true" outlineLevel="0" collapsed="false">
      <c r="A462" s="100" t="str">
        <f aca="false">Equipos!C460</f>
        <v>2-023497</v>
      </c>
      <c r="B462" s="101" t="str">
        <f aca="false">Equipos!D460</f>
        <v>Monitor Multiparámetros</v>
      </c>
      <c r="C462" s="101" t="str">
        <f aca="false">Equipos!E460</f>
        <v>Neonatología</v>
      </c>
      <c r="D462" s="101" t="n">
        <f aca="false">Equipos!G460</f>
        <v>0</v>
      </c>
      <c r="E462" s="101" t="str">
        <f aca="false">Equipos!I460</f>
        <v>Philips</v>
      </c>
      <c r="F462" s="101" t="str">
        <f aca="false">Equipos!J460</f>
        <v>M8003A</v>
      </c>
      <c r="G462" s="100" t="str">
        <f aca="false">Equipos!K460</f>
        <v>DE82025973</v>
      </c>
      <c r="H462" s="101"/>
      <c r="I462" s="103" t="s">
        <v>331</v>
      </c>
      <c r="J462" s="102"/>
      <c r="K462" s="102"/>
      <c r="L462" s="102"/>
      <c r="M462" s="102"/>
      <c r="N462" s="102"/>
      <c r="O462" s="102"/>
      <c r="P462" s="102"/>
      <c r="Q462" s="102"/>
      <c r="R462" s="102"/>
      <c r="S462" s="102"/>
      <c r="T462" s="102"/>
      <c r="U462" s="101" t="n">
        <f aca="false">V462+W462+X462+COUNTIF(I462:T462,"R")</f>
        <v>1</v>
      </c>
      <c r="V462" s="101" t="n">
        <f aca="false">COUNTIF(I462:T462,"E")</f>
        <v>0</v>
      </c>
      <c r="W462" s="101" t="n">
        <f aca="false">COUNTIF(I462:T462,"X")</f>
        <v>0</v>
      </c>
      <c r="X462" s="101" t="n">
        <f aca="false">COUNTIF(I462:T462,"C2")+COUNTIF(I462:T462,"C3")</f>
        <v>1</v>
      </c>
      <c r="Y462" s="101" t="n">
        <f aca="true">SUMPRODUCT((I462:INDEX(I462:T462,MONTH(TODAY()))="X")*1)</f>
        <v>0</v>
      </c>
      <c r="Z462" s="104" t="n">
        <f aca="false">IFERROR(V462/U462,"")</f>
        <v>0</v>
      </c>
    </row>
    <row r="463" customFormat="false" ht="15" hidden="false" customHeight="true" outlineLevel="0" collapsed="false">
      <c r="A463" s="100" t="str">
        <f aca="false">Equipos!C461</f>
        <v>2-027939</v>
      </c>
      <c r="B463" s="101" t="str">
        <f aca="false">Equipos!D461</f>
        <v>Monitor Multiparámetros</v>
      </c>
      <c r="C463" s="101" t="str">
        <f aca="false">Equipos!E461</f>
        <v>Neonatología</v>
      </c>
      <c r="D463" s="101" t="n">
        <f aca="false">Equipos!G461</f>
        <v>0</v>
      </c>
      <c r="E463" s="101" t="str">
        <f aca="false">Equipos!I461</f>
        <v>Philips</v>
      </c>
      <c r="F463" s="101" t="str">
        <f aca="false">Equipos!J461</f>
        <v>M8003A</v>
      </c>
      <c r="G463" s="100" t="str">
        <f aca="false">Equipos!K461</f>
        <v>DE82025965</v>
      </c>
      <c r="H463" s="101"/>
      <c r="I463" s="103" t="s">
        <v>330</v>
      </c>
      <c r="J463" s="103" t="s">
        <v>328</v>
      </c>
      <c r="K463" s="102"/>
      <c r="L463" s="102"/>
      <c r="M463" s="102"/>
      <c r="N463" s="102"/>
      <c r="O463" s="102"/>
      <c r="P463" s="102"/>
      <c r="Q463" s="102"/>
      <c r="R463" s="102"/>
      <c r="S463" s="102"/>
      <c r="T463" s="102"/>
      <c r="U463" s="101" t="n">
        <f aca="false">V463+W463+X463+COUNTIF(I463:T463,"R")</f>
        <v>2</v>
      </c>
      <c r="V463" s="101" t="n">
        <f aca="false">COUNTIF(I463:T463,"E")</f>
        <v>1</v>
      </c>
      <c r="W463" s="101" t="n">
        <f aca="false">COUNTIF(I463:T463,"X")</f>
        <v>0</v>
      </c>
      <c r="X463" s="101" t="n">
        <f aca="false">COUNTIF(I463:T463,"C2")+COUNTIF(I463:T463,"C3")</f>
        <v>0</v>
      </c>
      <c r="Y463" s="101" t="n">
        <f aca="true">SUMPRODUCT((I463:INDEX(I463:T463,MONTH(TODAY()))="X")*1)</f>
        <v>0</v>
      </c>
      <c r="Z463" s="104" t="n">
        <f aca="false">IFERROR(V463/U463,"")</f>
        <v>0.5</v>
      </c>
    </row>
    <row r="464" customFormat="false" ht="15" hidden="false" customHeight="true" outlineLevel="0" collapsed="false">
      <c r="A464" s="100" t="str">
        <f aca="false">Equipos!C462</f>
        <v>2-134990</v>
      </c>
      <c r="B464" s="101" t="str">
        <f aca="false">Equipos!D462</f>
        <v>Monitor Multiparámetros</v>
      </c>
      <c r="C464" s="101" t="str">
        <f aca="false">Equipos!E462</f>
        <v>Quimioterapia Ambulatoria Adulto</v>
      </c>
      <c r="D464" s="101" t="n">
        <f aca="false">Equipos!G462</f>
        <v>0</v>
      </c>
      <c r="E464" s="101" t="str">
        <f aca="false">Equipos!I462</f>
        <v>Drager</v>
      </c>
      <c r="F464" s="101" t="str">
        <f aca="false">Equipos!J462</f>
        <v>Vista 120</v>
      </c>
      <c r="G464" s="100" t="str">
        <f aca="false">Equipos!K462</f>
        <v>VSSTE0203</v>
      </c>
      <c r="H464" s="101"/>
      <c r="I464" s="102"/>
      <c r="J464" s="103" t="s">
        <v>330</v>
      </c>
      <c r="K464" s="103" t="s">
        <v>328</v>
      </c>
      <c r="L464" s="102"/>
      <c r="M464" s="102"/>
      <c r="N464" s="102"/>
      <c r="O464" s="102"/>
      <c r="P464" s="102"/>
      <c r="Q464" s="102"/>
      <c r="R464" s="102"/>
      <c r="S464" s="102"/>
      <c r="T464" s="102"/>
      <c r="U464" s="101" t="n">
        <f aca="false">V464+W464+X464+COUNTIF(I464:T464,"R")</f>
        <v>2</v>
      </c>
      <c r="V464" s="101" t="n">
        <f aca="false">COUNTIF(I464:T464,"E")</f>
        <v>1</v>
      </c>
      <c r="W464" s="101" t="n">
        <f aca="false">COUNTIF(I464:T464,"X")</f>
        <v>0</v>
      </c>
      <c r="X464" s="101" t="n">
        <f aca="false">COUNTIF(I464:T464,"C2")+COUNTIF(I464:T464,"C3")</f>
        <v>0</v>
      </c>
      <c r="Y464" s="101" t="n">
        <f aca="true">SUMPRODUCT((I464:INDEX(I464:T464,MONTH(TODAY()))="X")*1)</f>
        <v>0</v>
      </c>
      <c r="Z464" s="104" t="n">
        <f aca="false">IFERROR(V464/U464,"")</f>
        <v>0.5</v>
      </c>
    </row>
    <row r="465" customFormat="false" ht="15" hidden="false" customHeight="true" outlineLevel="0" collapsed="false">
      <c r="A465" s="100" t="str">
        <f aca="false">Equipos!C463</f>
        <v>2-119259</v>
      </c>
      <c r="B465" s="101" t="str">
        <f aca="false">Equipos!D463</f>
        <v>Oxímetro</v>
      </c>
      <c r="C465" s="101" t="str">
        <f aca="false">Equipos!E463</f>
        <v>Neonatología</v>
      </c>
      <c r="D465" s="101" t="n">
        <f aca="false">Equipos!G463</f>
        <v>0</v>
      </c>
      <c r="E465" s="101" t="str">
        <f aca="false">Equipos!I463</f>
        <v>SOMANETICS</v>
      </c>
      <c r="F465" s="101" t="str">
        <f aca="false">Equipos!J463</f>
        <v>5100C</v>
      </c>
      <c r="G465" s="100" t="str">
        <f aca="false">Equipos!K463</f>
        <v>(21)17G11325X</v>
      </c>
      <c r="H465" s="101"/>
      <c r="I465" s="102"/>
      <c r="J465" s="102"/>
      <c r="K465" s="102"/>
      <c r="L465" s="102"/>
      <c r="M465" s="103" t="s">
        <v>328</v>
      </c>
      <c r="N465" s="102"/>
      <c r="O465" s="102"/>
      <c r="P465" s="102"/>
      <c r="Q465" s="102"/>
      <c r="R465" s="102"/>
      <c r="S465" s="102"/>
      <c r="T465" s="102"/>
      <c r="U465" s="101" t="n">
        <f aca="false">V465+W465+X465+COUNTIF(I465:T465,"R")</f>
        <v>1</v>
      </c>
      <c r="V465" s="101" t="n">
        <f aca="false">COUNTIF(I465:T465,"E")</f>
        <v>1</v>
      </c>
      <c r="W465" s="101" t="n">
        <f aca="false">COUNTIF(I465:T465,"X")</f>
        <v>0</v>
      </c>
      <c r="X465" s="101" t="n">
        <f aca="false">COUNTIF(I465:T465,"C2")+COUNTIF(I465:T465,"C3")</f>
        <v>0</v>
      </c>
      <c r="Y465" s="101" t="n">
        <f aca="true">SUMPRODUCT((I465:INDEX(I465:T465,MONTH(TODAY()))="X")*1)</f>
        <v>0</v>
      </c>
      <c r="Z465" s="104" t="n">
        <f aca="false">IFERROR(V465/U465,"")</f>
        <v>1</v>
      </c>
    </row>
    <row r="466" customFormat="false" ht="15" hidden="false" customHeight="true" outlineLevel="0" collapsed="false">
      <c r="A466" s="100" t="str">
        <f aca="false">Equipos!C464</f>
        <v>2-119260</v>
      </c>
      <c r="B466" s="101" t="str">
        <f aca="false">Equipos!D464</f>
        <v>Oxímetro</v>
      </c>
      <c r="C466" s="101" t="str">
        <f aca="false">Equipos!E464</f>
        <v>Neonatología</v>
      </c>
      <c r="D466" s="101" t="n">
        <f aca="false">Equipos!G464</f>
        <v>0</v>
      </c>
      <c r="E466" s="101" t="str">
        <f aca="false">Equipos!I464</f>
        <v>SOMANETICS</v>
      </c>
      <c r="F466" s="101" t="str">
        <f aca="false">Equipos!J464</f>
        <v>5100C</v>
      </c>
      <c r="G466" s="100" t="str">
        <f aca="false">Equipos!K464</f>
        <v>(21)18G10312X</v>
      </c>
      <c r="H466" s="101"/>
      <c r="I466" s="102"/>
      <c r="J466" s="102"/>
      <c r="K466" s="102"/>
      <c r="L466" s="102"/>
      <c r="M466" s="103" t="s">
        <v>328</v>
      </c>
      <c r="N466" s="102"/>
      <c r="O466" s="102"/>
      <c r="P466" s="102"/>
      <c r="Q466" s="102"/>
      <c r="R466" s="102"/>
      <c r="S466" s="102"/>
      <c r="T466" s="102"/>
      <c r="U466" s="101" t="n">
        <f aca="false">V466+W466+X466+COUNTIF(I466:T466,"R")</f>
        <v>1</v>
      </c>
      <c r="V466" s="101" t="n">
        <f aca="false">COUNTIF(I466:T466,"E")</f>
        <v>1</v>
      </c>
      <c r="W466" s="101" t="n">
        <f aca="false">COUNTIF(I466:T466,"X")</f>
        <v>0</v>
      </c>
      <c r="X466" s="101" t="n">
        <f aca="false">COUNTIF(I466:T466,"C2")+COUNTIF(I466:T466,"C3")</f>
        <v>0</v>
      </c>
      <c r="Y466" s="101" t="n">
        <f aca="true">SUMPRODUCT((I466:INDEX(I466:T466,MONTH(TODAY()))="X")*1)</f>
        <v>0</v>
      </c>
      <c r="Z466" s="104" t="n">
        <f aca="false">IFERROR(V466/U466,"")</f>
        <v>1</v>
      </c>
    </row>
    <row r="467" customFormat="false" ht="15" hidden="false" customHeight="true" outlineLevel="0" collapsed="false">
      <c r="A467" s="100" t="str">
        <f aca="false">Equipos!C465</f>
        <v>2-119363</v>
      </c>
      <c r="B467" s="101" t="str">
        <f aca="false">Equipos!D465</f>
        <v>Monitor Multiparámetros</v>
      </c>
      <c r="C467" s="101" t="str">
        <f aca="false">Equipos!E465</f>
        <v>Pabellón (Recuperación)</v>
      </c>
      <c r="D467" s="101" t="str">
        <f aca="false">Equipos!G465</f>
        <v>Cama N° 17</v>
      </c>
      <c r="E467" s="101" t="str">
        <f aca="false">Equipos!I465</f>
        <v>Drager</v>
      </c>
      <c r="F467" s="101" t="str">
        <f aca="false">Equipos!J465</f>
        <v>Vista 120</v>
      </c>
      <c r="G467" s="100" t="str">
        <f aca="false">Equipos!K465</f>
        <v>VGSML0046</v>
      </c>
      <c r="H467" s="101"/>
      <c r="I467" s="102"/>
      <c r="J467" s="103" t="s">
        <v>328</v>
      </c>
      <c r="K467" s="102"/>
      <c r="L467" s="102"/>
      <c r="M467" s="102"/>
      <c r="N467" s="102"/>
      <c r="O467" s="102"/>
      <c r="P467" s="102"/>
      <c r="Q467" s="102"/>
      <c r="R467" s="102"/>
      <c r="S467" s="102"/>
      <c r="T467" s="102"/>
      <c r="U467" s="101" t="n">
        <f aca="false">V467+W467+X467+COUNTIF(I467:T467,"R")</f>
        <v>1</v>
      </c>
      <c r="V467" s="101" t="n">
        <f aca="false">COUNTIF(I467:T467,"E")</f>
        <v>1</v>
      </c>
      <c r="W467" s="101" t="n">
        <f aca="false">COUNTIF(I467:T467,"X")</f>
        <v>0</v>
      </c>
      <c r="X467" s="101" t="n">
        <f aca="false">COUNTIF(I467:T467,"C2")+COUNTIF(I467:T467,"C3")</f>
        <v>0</v>
      </c>
      <c r="Y467" s="101" t="n">
        <f aca="true">SUMPRODUCT((I467:INDEX(I467:T467,MONTH(TODAY()))="X")*1)</f>
        <v>0</v>
      </c>
      <c r="Z467" s="104" t="n">
        <f aca="false">IFERROR(V467/U467,"")</f>
        <v>1</v>
      </c>
    </row>
    <row r="468" customFormat="false" ht="15" hidden="false" customHeight="true" outlineLevel="0" collapsed="false">
      <c r="A468" s="100" t="str">
        <f aca="false">Equipos!C466</f>
        <v>2-119364</v>
      </c>
      <c r="B468" s="101" t="str">
        <f aca="false">Equipos!D466</f>
        <v>Monitor Multiparámetros</v>
      </c>
      <c r="C468" s="101" t="str">
        <f aca="false">Equipos!E466</f>
        <v>Pabellón (Recuperación)</v>
      </c>
      <c r="D468" s="101" t="str">
        <f aca="false">Equipos!G466</f>
        <v>Unidad N° 11</v>
      </c>
      <c r="E468" s="101" t="str">
        <f aca="false">Equipos!I466</f>
        <v>Drager</v>
      </c>
      <c r="F468" s="101" t="str">
        <f aca="false">Equipos!J466</f>
        <v>Vista 120</v>
      </c>
      <c r="G468" s="100" t="str">
        <f aca="false">Equipos!K466</f>
        <v>VGSML0057</v>
      </c>
      <c r="H468" s="101"/>
      <c r="I468" s="102"/>
      <c r="J468" s="103" t="s">
        <v>328</v>
      </c>
      <c r="K468" s="102"/>
      <c r="L468" s="102"/>
      <c r="M468" s="102"/>
      <c r="N468" s="102"/>
      <c r="O468" s="102"/>
      <c r="P468" s="102"/>
      <c r="Q468" s="102"/>
      <c r="R468" s="102"/>
      <c r="S468" s="102"/>
      <c r="T468" s="102"/>
      <c r="U468" s="101" t="n">
        <f aca="false">V468+W468+X468+COUNTIF(I468:T468,"R")</f>
        <v>1</v>
      </c>
      <c r="V468" s="101" t="n">
        <f aca="false">COUNTIF(I468:T468,"E")</f>
        <v>1</v>
      </c>
      <c r="W468" s="101" t="n">
        <f aca="false">COUNTIF(I468:T468,"X")</f>
        <v>0</v>
      </c>
      <c r="X468" s="101" t="n">
        <f aca="false">COUNTIF(I468:T468,"C2")+COUNTIF(I468:T468,"C3")</f>
        <v>0</v>
      </c>
      <c r="Y468" s="101" t="n">
        <f aca="true">SUMPRODUCT((I468:INDEX(I468:T468,MONTH(TODAY()))="X")*1)</f>
        <v>0</v>
      </c>
      <c r="Z468" s="104" t="n">
        <f aca="false">IFERROR(V468/U468,"")</f>
        <v>1</v>
      </c>
    </row>
    <row r="469" customFormat="false" ht="15" hidden="false" customHeight="true" outlineLevel="0" collapsed="false">
      <c r="A469" s="100" t="str">
        <f aca="false">Equipos!C467</f>
        <v>2-119365</v>
      </c>
      <c r="B469" s="101" t="str">
        <f aca="false">Equipos!D467</f>
        <v>Monitor Multiparámetros</v>
      </c>
      <c r="C469" s="101" t="str">
        <f aca="false">Equipos!E467</f>
        <v>Pabellón (Recuperación)</v>
      </c>
      <c r="D469" s="101" t="str">
        <f aca="false">Equipos!G467</f>
        <v>Cama 14</v>
      </c>
      <c r="E469" s="101" t="str">
        <f aca="false">Equipos!I467</f>
        <v>Drager</v>
      </c>
      <c r="F469" s="101" t="str">
        <f aca="false">Equipos!J467</f>
        <v>Vista 120</v>
      </c>
      <c r="G469" s="100" t="str">
        <f aca="false">Equipos!K467</f>
        <v>VGSML0043</v>
      </c>
      <c r="H469" s="101"/>
      <c r="I469" s="102"/>
      <c r="J469" s="103" t="s">
        <v>328</v>
      </c>
      <c r="K469" s="102"/>
      <c r="L469" s="102"/>
      <c r="M469" s="102"/>
      <c r="N469" s="102"/>
      <c r="O469" s="102"/>
      <c r="P469" s="102"/>
      <c r="Q469" s="102"/>
      <c r="R469" s="102"/>
      <c r="S469" s="102"/>
      <c r="T469" s="102"/>
      <c r="U469" s="101" t="n">
        <f aca="false">V469+W469+X469+COUNTIF(I469:T469,"R")</f>
        <v>1</v>
      </c>
      <c r="V469" s="101" t="n">
        <f aca="false">COUNTIF(I469:T469,"E")</f>
        <v>1</v>
      </c>
      <c r="W469" s="101" t="n">
        <f aca="false">COUNTIF(I469:T469,"X")</f>
        <v>0</v>
      </c>
      <c r="X469" s="101" t="n">
        <f aca="false">COUNTIF(I469:T469,"C2")+COUNTIF(I469:T469,"C3")</f>
        <v>0</v>
      </c>
      <c r="Y469" s="101" t="n">
        <f aca="true">SUMPRODUCT((I469:INDEX(I469:T469,MONTH(TODAY()))="X")*1)</f>
        <v>0</v>
      </c>
      <c r="Z469" s="104" t="n">
        <f aca="false">IFERROR(V469/U469,"")</f>
        <v>1</v>
      </c>
    </row>
    <row r="470" customFormat="false" ht="15" hidden="false" customHeight="true" outlineLevel="0" collapsed="false">
      <c r="A470" s="100" t="str">
        <f aca="false">Equipos!C468</f>
        <v>2-119366</v>
      </c>
      <c r="B470" s="101" t="str">
        <f aca="false">Equipos!D468</f>
        <v>Monitor Multiparámetros</v>
      </c>
      <c r="C470" s="101" t="str">
        <f aca="false">Equipos!E468</f>
        <v>Pabellón (Recuperación)</v>
      </c>
      <c r="D470" s="101" t="str">
        <f aca="false">Equipos!G468</f>
        <v>Unidad N° 03</v>
      </c>
      <c r="E470" s="101" t="str">
        <f aca="false">Equipos!I468</f>
        <v>Drager</v>
      </c>
      <c r="F470" s="101" t="str">
        <f aca="false">Equipos!J468</f>
        <v>Vista 120</v>
      </c>
      <c r="G470" s="100" t="str">
        <f aca="false">Equipos!K468</f>
        <v>VGSML0044</v>
      </c>
      <c r="H470" s="101"/>
      <c r="I470" s="102"/>
      <c r="J470" s="103" t="s">
        <v>328</v>
      </c>
      <c r="K470" s="102"/>
      <c r="L470" s="102"/>
      <c r="M470" s="102"/>
      <c r="N470" s="102"/>
      <c r="O470" s="102"/>
      <c r="P470" s="102"/>
      <c r="Q470" s="102"/>
      <c r="R470" s="102"/>
      <c r="S470" s="102"/>
      <c r="T470" s="102"/>
      <c r="U470" s="101" t="n">
        <f aca="false">V470+W470+X470+COUNTIF(I470:T470,"R")</f>
        <v>1</v>
      </c>
      <c r="V470" s="101" t="n">
        <f aca="false">COUNTIF(I470:T470,"E")</f>
        <v>1</v>
      </c>
      <c r="W470" s="101" t="n">
        <f aca="false">COUNTIF(I470:T470,"X")</f>
        <v>0</v>
      </c>
      <c r="X470" s="101" t="n">
        <f aca="false">COUNTIF(I470:T470,"C2")+COUNTIF(I470:T470,"C3")</f>
        <v>0</v>
      </c>
      <c r="Y470" s="101" t="n">
        <f aca="true">SUMPRODUCT((I470:INDEX(I470:T470,MONTH(TODAY()))="X")*1)</f>
        <v>0</v>
      </c>
      <c r="Z470" s="104" t="n">
        <f aca="false">IFERROR(V470/U470,"")</f>
        <v>1</v>
      </c>
    </row>
    <row r="471" customFormat="false" ht="15" hidden="false" customHeight="true" outlineLevel="0" collapsed="false">
      <c r="A471" s="100" t="str">
        <f aca="false">Equipos!C469</f>
        <v>2-119367</v>
      </c>
      <c r="B471" s="101" t="str">
        <f aca="false">Equipos!D469</f>
        <v>Monitor Multiparámetros</v>
      </c>
      <c r="C471" s="101" t="str">
        <f aca="false">Equipos!E469</f>
        <v>Pabellón (Recuperación) prestado a UPC Adulto</v>
      </c>
      <c r="D471" s="101" t="str">
        <f aca="false">Equipos!G469</f>
        <v>Oficina Supervisora</v>
      </c>
      <c r="E471" s="101" t="str">
        <f aca="false">Equipos!I469</f>
        <v>Drager</v>
      </c>
      <c r="F471" s="101" t="str">
        <f aca="false">Equipos!J469</f>
        <v>Vista 120</v>
      </c>
      <c r="G471" s="100" t="str">
        <f aca="false">Equipos!K469</f>
        <v>VGSML0047</v>
      </c>
      <c r="H471" s="101"/>
      <c r="I471" s="102"/>
      <c r="J471" s="103" t="s">
        <v>330</v>
      </c>
      <c r="K471" s="103" t="s">
        <v>328</v>
      </c>
      <c r="L471" s="102"/>
      <c r="M471" s="102"/>
      <c r="N471" s="102"/>
      <c r="O471" s="102"/>
      <c r="P471" s="102"/>
      <c r="Q471" s="102"/>
      <c r="R471" s="102"/>
      <c r="S471" s="102"/>
      <c r="T471" s="102"/>
      <c r="U471" s="101" t="n">
        <f aca="false">V471+W471+X471+COUNTIF(I471:T471,"R")</f>
        <v>2</v>
      </c>
      <c r="V471" s="101" t="n">
        <f aca="false">COUNTIF(I471:T471,"E")</f>
        <v>1</v>
      </c>
      <c r="W471" s="101" t="n">
        <f aca="false">COUNTIF(I471:T471,"X")</f>
        <v>0</v>
      </c>
      <c r="X471" s="101" t="n">
        <f aca="false">COUNTIF(I471:T471,"C2")+COUNTIF(I471:T471,"C3")</f>
        <v>0</v>
      </c>
      <c r="Y471" s="101" t="n">
        <f aca="true">SUMPRODUCT((I471:INDEX(I471:T471,MONTH(TODAY()))="X")*1)</f>
        <v>0</v>
      </c>
      <c r="Z471" s="104" t="n">
        <f aca="false">IFERROR(V471/U471,"")</f>
        <v>0.5</v>
      </c>
    </row>
    <row r="472" customFormat="false" ht="15" hidden="false" customHeight="true" outlineLevel="0" collapsed="false">
      <c r="A472" s="100" t="str">
        <f aca="false">Equipos!C470</f>
        <v>2-119368</v>
      </c>
      <c r="B472" s="101" t="str">
        <f aca="false">Equipos!D470</f>
        <v>Monitor Multiparámetros</v>
      </c>
      <c r="C472" s="101" t="str">
        <f aca="false">Equipos!E470</f>
        <v>Pabellón (Recuperación)</v>
      </c>
      <c r="D472" s="101" t="str">
        <f aca="false">Equipos!G470</f>
        <v>Unidad N° 10</v>
      </c>
      <c r="E472" s="101" t="str">
        <f aca="false">Equipos!I470</f>
        <v>Drager</v>
      </c>
      <c r="F472" s="101" t="str">
        <f aca="false">Equipos!J470</f>
        <v>Vista 120</v>
      </c>
      <c r="G472" s="100" t="str">
        <f aca="false">Equipos!K470</f>
        <v>VGSML0049</v>
      </c>
      <c r="H472" s="101"/>
      <c r="I472" s="102"/>
      <c r="J472" s="103" t="s">
        <v>328</v>
      </c>
      <c r="K472" s="102"/>
      <c r="L472" s="102"/>
      <c r="M472" s="102"/>
      <c r="N472" s="102"/>
      <c r="O472" s="102"/>
      <c r="P472" s="102"/>
      <c r="Q472" s="102"/>
      <c r="R472" s="102"/>
      <c r="S472" s="102"/>
      <c r="T472" s="102"/>
      <c r="U472" s="101" t="n">
        <f aca="false">V472+W472+X472+COUNTIF(I472:T472,"R")</f>
        <v>1</v>
      </c>
      <c r="V472" s="101" t="n">
        <f aca="false">COUNTIF(I472:T472,"E")</f>
        <v>1</v>
      </c>
      <c r="W472" s="101" t="n">
        <f aca="false">COUNTIF(I472:T472,"X")</f>
        <v>0</v>
      </c>
      <c r="X472" s="101" t="n">
        <f aca="false">COUNTIF(I472:T472,"C2")+COUNTIF(I472:T472,"C3")</f>
        <v>0</v>
      </c>
      <c r="Y472" s="101" t="n">
        <f aca="true">SUMPRODUCT((I472:INDEX(I472:T472,MONTH(TODAY()))="X")*1)</f>
        <v>0</v>
      </c>
      <c r="Z472" s="104" t="n">
        <f aca="false">IFERROR(V472/U472,"")</f>
        <v>1</v>
      </c>
    </row>
    <row r="473" customFormat="false" ht="15" hidden="false" customHeight="true" outlineLevel="0" collapsed="false">
      <c r="A473" s="100" t="str">
        <f aca="false">Equipos!C471</f>
        <v>2-119369</v>
      </c>
      <c r="B473" s="101" t="str">
        <f aca="false">Equipos!D471</f>
        <v>Monitor Multiparámetros</v>
      </c>
      <c r="C473" s="101" t="str">
        <f aca="false">Equipos!E471</f>
        <v>Pabellón (Recuperación)</v>
      </c>
      <c r="D473" s="101" t="str">
        <f aca="false">Equipos!G471</f>
        <v>Cama 15</v>
      </c>
      <c r="E473" s="101" t="str">
        <f aca="false">Equipos!I471</f>
        <v>Drager</v>
      </c>
      <c r="F473" s="101" t="str">
        <f aca="false">Equipos!J471</f>
        <v>Vista 120</v>
      </c>
      <c r="G473" s="100" t="str">
        <f aca="false">Equipos!K471</f>
        <v>VGSML0050</v>
      </c>
      <c r="H473" s="101"/>
      <c r="I473" s="102"/>
      <c r="J473" s="103" t="s">
        <v>328</v>
      </c>
      <c r="K473" s="102"/>
      <c r="L473" s="102"/>
      <c r="M473" s="102"/>
      <c r="N473" s="102"/>
      <c r="O473" s="102"/>
      <c r="P473" s="102"/>
      <c r="Q473" s="102"/>
      <c r="R473" s="102"/>
      <c r="S473" s="102"/>
      <c r="T473" s="102"/>
      <c r="U473" s="101" t="n">
        <f aca="false">V473+W473+X473+COUNTIF(I473:T473,"R")</f>
        <v>1</v>
      </c>
      <c r="V473" s="101" t="n">
        <f aca="false">COUNTIF(I473:T473,"E")</f>
        <v>1</v>
      </c>
      <c r="W473" s="101" t="n">
        <f aca="false">COUNTIF(I473:T473,"X")</f>
        <v>0</v>
      </c>
      <c r="X473" s="101" t="n">
        <f aca="false">COUNTIF(I473:T473,"C2")+COUNTIF(I473:T473,"C3")</f>
        <v>0</v>
      </c>
      <c r="Y473" s="101" t="n">
        <f aca="true">SUMPRODUCT((I473:INDEX(I473:T473,MONTH(TODAY()))="X")*1)</f>
        <v>0</v>
      </c>
      <c r="Z473" s="104" t="n">
        <f aca="false">IFERROR(V473/U473,"")</f>
        <v>1</v>
      </c>
    </row>
    <row r="474" customFormat="false" ht="15" hidden="false" customHeight="true" outlineLevel="0" collapsed="false">
      <c r="A474" s="100" t="str">
        <f aca="false">Equipos!C472</f>
        <v>2-119370</v>
      </c>
      <c r="B474" s="101" t="str">
        <f aca="false">Equipos!D472</f>
        <v>Monitor Multiparámetros</v>
      </c>
      <c r="C474" s="101" t="str">
        <f aca="false">Equipos!E472</f>
        <v>Pabellón (Recuperación)</v>
      </c>
      <c r="D474" s="101" t="str">
        <f aca="false">Equipos!G472</f>
        <v>Cama N° 12</v>
      </c>
      <c r="E474" s="101" t="str">
        <f aca="false">Equipos!I472</f>
        <v>Drager</v>
      </c>
      <c r="F474" s="101" t="str">
        <f aca="false">Equipos!J472</f>
        <v>Vista 120</v>
      </c>
      <c r="G474" s="100" t="str">
        <f aca="false">Equipos!K472</f>
        <v>VGSML0062</v>
      </c>
      <c r="H474" s="101"/>
      <c r="I474" s="102"/>
      <c r="J474" s="103" t="s">
        <v>328</v>
      </c>
      <c r="K474" s="102"/>
      <c r="L474" s="102"/>
      <c r="M474" s="102"/>
      <c r="N474" s="102"/>
      <c r="O474" s="102"/>
      <c r="P474" s="102"/>
      <c r="Q474" s="102"/>
      <c r="R474" s="102"/>
      <c r="S474" s="102"/>
      <c r="T474" s="102"/>
      <c r="U474" s="101" t="n">
        <f aca="false">V474+W474+X474+COUNTIF(I474:T474,"R")</f>
        <v>1</v>
      </c>
      <c r="V474" s="101" t="n">
        <f aca="false">COUNTIF(I474:T474,"E")</f>
        <v>1</v>
      </c>
      <c r="W474" s="101" t="n">
        <f aca="false">COUNTIF(I474:T474,"X")</f>
        <v>0</v>
      </c>
      <c r="X474" s="101" t="n">
        <f aca="false">COUNTIF(I474:T474,"C2")+COUNTIF(I474:T474,"C3")</f>
        <v>0</v>
      </c>
      <c r="Y474" s="101" t="n">
        <f aca="true">SUMPRODUCT((I474:INDEX(I474:T474,MONTH(TODAY()))="X")*1)</f>
        <v>0</v>
      </c>
      <c r="Z474" s="104" t="n">
        <f aca="false">IFERROR(V474/U474,"")</f>
        <v>1</v>
      </c>
    </row>
    <row r="475" customFormat="false" ht="15" hidden="false" customHeight="true" outlineLevel="0" collapsed="false">
      <c r="A475" s="100" t="str">
        <f aca="false">Equipos!C473</f>
        <v>2-119371</v>
      </c>
      <c r="B475" s="101" t="str">
        <f aca="false">Equipos!D473</f>
        <v>Monitor Multiparámetros</v>
      </c>
      <c r="C475" s="101" t="str">
        <f aca="false">Equipos!E473</f>
        <v>Pabellón (Recuperación)</v>
      </c>
      <c r="D475" s="101" t="str">
        <f aca="false">Equipos!G473</f>
        <v>Cama N° 16</v>
      </c>
      <c r="E475" s="101" t="str">
        <f aca="false">Equipos!I473</f>
        <v>Drager</v>
      </c>
      <c r="F475" s="101" t="str">
        <f aca="false">Equipos!J473</f>
        <v>Vista 120</v>
      </c>
      <c r="G475" s="100" t="str">
        <f aca="false">Equipos!K473</f>
        <v>VGSML0065</v>
      </c>
      <c r="H475" s="101"/>
      <c r="I475" s="102"/>
      <c r="J475" s="103" t="s">
        <v>328</v>
      </c>
      <c r="K475" s="102"/>
      <c r="L475" s="102"/>
      <c r="M475" s="102"/>
      <c r="N475" s="102"/>
      <c r="O475" s="102"/>
      <c r="P475" s="102"/>
      <c r="Q475" s="102"/>
      <c r="R475" s="102"/>
      <c r="S475" s="102"/>
      <c r="T475" s="102"/>
      <c r="U475" s="101" t="n">
        <f aca="false">V475+W475+X475+COUNTIF(I475:T475,"R")</f>
        <v>1</v>
      </c>
      <c r="V475" s="101" t="n">
        <f aca="false">COUNTIF(I475:T475,"E")</f>
        <v>1</v>
      </c>
      <c r="W475" s="101" t="n">
        <f aca="false">COUNTIF(I475:T475,"X")</f>
        <v>0</v>
      </c>
      <c r="X475" s="101" t="n">
        <f aca="false">COUNTIF(I475:T475,"C2")+COUNTIF(I475:T475,"C3")</f>
        <v>0</v>
      </c>
      <c r="Y475" s="101" t="n">
        <f aca="true">SUMPRODUCT((I475:INDEX(I475:T475,MONTH(TODAY()))="X")*1)</f>
        <v>0</v>
      </c>
      <c r="Z475" s="104" t="n">
        <f aca="false">IFERROR(V475/U475,"")</f>
        <v>1</v>
      </c>
    </row>
    <row r="476" customFormat="false" ht="15" hidden="false" customHeight="true" outlineLevel="0" collapsed="false">
      <c r="A476" s="100" t="str">
        <f aca="false">Equipos!C474</f>
        <v>2-027911</v>
      </c>
      <c r="B476" s="101" t="str">
        <f aca="false">Equipos!D474</f>
        <v>Monitor Multiparámetros</v>
      </c>
      <c r="C476" s="101" t="str">
        <f aca="false">Equipos!E474</f>
        <v>Neonatología</v>
      </c>
      <c r="D476" s="101" t="n">
        <f aca="false">Equipos!G474</f>
        <v>0</v>
      </c>
      <c r="E476" s="101" t="str">
        <f aca="false">Equipos!I474</f>
        <v>Nihon Kohden </v>
      </c>
      <c r="F476" s="101" t="str">
        <f aca="false">Equipos!J474</f>
        <v>PVM-2701K</v>
      </c>
      <c r="G476" s="100" t="str">
        <f aca="false">Equipos!K474</f>
        <v>100639</v>
      </c>
      <c r="H476" s="101"/>
      <c r="I476" s="103" t="s">
        <v>330</v>
      </c>
      <c r="J476" s="103" t="s">
        <v>328</v>
      </c>
      <c r="K476" s="102"/>
      <c r="L476" s="102"/>
      <c r="M476" s="102"/>
      <c r="N476" s="102"/>
      <c r="O476" s="102"/>
      <c r="P476" s="102"/>
      <c r="Q476" s="102"/>
      <c r="R476" s="102"/>
      <c r="S476" s="102"/>
      <c r="T476" s="102"/>
      <c r="U476" s="101" t="n">
        <f aca="false">V476+W476+X476+COUNTIF(I476:T476,"R")</f>
        <v>2</v>
      </c>
      <c r="V476" s="101" t="n">
        <f aca="false">COUNTIF(I476:T476,"E")</f>
        <v>1</v>
      </c>
      <c r="W476" s="101" t="n">
        <f aca="false">COUNTIF(I476:T476,"X")</f>
        <v>0</v>
      </c>
      <c r="X476" s="101" t="n">
        <f aca="false">COUNTIF(I476:T476,"C2")+COUNTIF(I476:T476,"C3")</f>
        <v>0</v>
      </c>
      <c r="Y476" s="101" t="n">
        <f aca="true">SUMPRODUCT((I476:INDEX(I476:T476,MONTH(TODAY()))="X")*1)</f>
        <v>0</v>
      </c>
      <c r="Z476" s="104" t="n">
        <f aca="false">IFERROR(V476/U476,"")</f>
        <v>0.5</v>
      </c>
    </row>
    <row r="477" customFormat="false" ht="15" hidden="false" customHeight="true" outlineLevel="0" collapsed="false">
      <c r="A477" s="100" t="str">
        <f aca="false">Equipos!C475</f>
        <v>2-027888</v>
      </c>
      <c r="B477" s="101" t="str">
        <f aca="false">Equipos!D475</f>
        <v>Monitor Multiparámetros</v>
      </c>
      <c r="C477" s="101" t="str">
        <f aca="false">Equipos!E475</f>
        <v>Neonatología</v>
      </c>
      <c r="D477" s="101" t="n">
        <f aca="false">Equipos!G475</f>
        <v>0</v>
      </c>
      <c r="E477" s="101" t="str">
        <f aca="false">Equipos!I475</f>
        <v>Nihon Kohden </v>
      </c>
      <c r="F477" s="101" t="str">
        <f aca="false">Equipos!J475</f>
        <v>BSM-6301K</v>
      </c>
      <c r="G477" s="100" t="str">
        <f aca="false">Equipos!K475</f>
        <v>1070</v>
      </c>
      <c r="H477" s="101"/>
      <c r="I477" s="103" t="s">
        <v>332</v>
      </c>
      <c r="J477" s="102"/>
      <c r="K477" s="102"/>
      <c r="L477" s="102"/>
      <c r="M477" s="102"/>
      <c r="N477" s="102"/>
      <c r="O477" s="102"/>
      <c r="P477" s="102"/>
      <c r="Q477" s="102"/>
      <c r="R477" s="102"/>
      <c r="S477" s="102"/>
      <c r="T477" s="102"/>
      <c r="U477" s="101" t="n">
        <f aca="false">V477+W477+X477+COUNTIF(I477:T477,"R")</f>
        <v>1</v>
      </c>
      <c r="V477" s="101" t="n">
        <f aca="false">COUNTIF(I477:T477,"E")</f>
        <v>0</v>
      </c>
      <c r="W477" s="101" t="n">
        <f aca="false">COUNTIF(I477:T477,"X")</f>
        <v>0</v>
      </c>
      <c r="X477" s="101" t="n">
        <f aca="false">COUNTIF(I477:T477,"C2")+COUNTIF(I477:T477,"C3")</f>
        <v>1</v>
      </c>
      <c r="Y477" s="101" t="n">
        <f aca="true">SUMPRODUCT((I477:INDEX(I477:T477,MONTH(TODAY()))="X")*1)</f>
        <v>0</v>
      </c>
      <c r="Z477" s="104" t="n">
        <f aca="false">IFERROR(V477/U477,"")</f>
        <v>0</v>
      </c>
    </row>
    <row r="478" customFormat="false" ht="15" hidden="false" customHeight="true" outlineLevel="0" collapsed="false">
      <c r="A478" s="100" t="str">
        <f aca="false">Equipos!C476</f>
        <v>2-016546</v>
      </c>
      <c r="B478" s="101" t="str">
        <f aca="false">Equipos!D476</f>
        <v>Monitor Multiparámetros</v>
      </c>
      <c r="C478" s="101" t="str">
        <f aca="false">Equipos!E476</f>
        <v>Neonatología</v>
      </c>
      <c r="D478" s="101" t="n">
        <f aca="false">Equipos!G476</f>
        <v>0</v>
      </c>
      <c r="E478" s="101" t="str">
        <f aca="false">Equipos!I476</f>
        <v>Nihon Kohden </v>
      </c>
      <c r="F478" s="101" t="str">
        <f aca="false">Equipos!J476</f>
        <v>BSM-6301K</v>
      </c>
      <c r="G478" s="100" t="str">
        <f aca="false">Equipos!K476</f>
        <v>1033</v>
      </c>
      <c r="H478" s="101"/>
      <c r="I478" s="103" t="s">
        <v>330</v>
      </c>
      <c r="J478" s="103" t="s">
        <v>328</v>
      </c>
      <c r="K478" s="102"/>
      <c r="L478" s="102"/>
      <c r="M478" s="102"/>
      <c r="N478" s="102"/>
      <c r="O478" s="102"/>
      <c r="P478" s="102"/>
      <c r="Q478" s="102"/>
      <c r="R478" s="102"/>
      <c r="S478" s="102"/>
      <c r="T478" s="102"/>
      <c r="U478" s="101" t="n">
        <f aca="false">V478+W478+X478+COUNTIF(I478:T478,"R")</f>
        <v>2</v>
      </c>
      <c r="V478" s="101" t="n">
        <f aca="false">COUNTIF(I478:T478,"E")</f>
        <v>1</v>
      </c>
      <c r="W478" s="101" t="n">
        <f aca="false">COUNTIF(I478:T478,"X")</f>
        <v>0</v>
      </c>
      <c r="X478" s="101" t="n">
        <f aca="false">COUNTIF(I478:T478,"C2")+COUNTIF(I478:T478,"C3")</f>
        <v>0</v>
      </c>
      <c r="Y478" s="101" t="n">
        <f aca="true">SUMPRODUCT((I478:INDEX(I478:T478,MONTH(TODAY()))="X")*1)</f>
        <v>0</v>
      </c>
      <c r="Z478" s="104" t="n">
        <f aca="false">IFERROR(V478/U478,"")</f>
        <v>0.5</v>
      </c>
    </row>
    <row r="479" customFormat="false" ht="15" hidden="false" customHeight="true" outlineLevel="0" collapsed="false">
      <c r="A479" s="100" t="str">
        <f aca="false">Equipos!C477</f>
        <v>2-027912</v>
      </c>
      <c r="B479" s="101" t="str">
        <f aca="false">Equipos!D477</f>
        <v>Monitor Multiparámetros</v>
      </c>
      <c r="C479" s="101" t="str">
        <f aca="false">Equipos!E477</f>
        <v>Neonatología</v>
      </c>
      <c r="D479" s="101" t="n">
        <f aca="false">Equipos!G477</f>
        <v>0</v>
      </c>
      <c r="E479" s="101" t="str">
        <f aca="false">Equipos!I477</f>
        <v>Nihon Kohden </v>
      </c>
      <c r="F479" s="101" t="str">
        <f aca="false">Equipos!J477</f>
        <v>BSM-6301K</v>
      </c>
      <c r="G479" s="100" t="str">
        <f aca="false">Equipos!K477</f>
        <v>1044</v>
      </c>
      <c r="H479" s="101"/>
      <c r="I479" s="103" t="s">
        <v>330</v>
      </c>
      <c r="J479" s="103" t="s">
        <v>328</v>
      </c>
      <c r="K479" s="102"/>
      <c r="L479" s="102"/>
      <c r="M479" s="102"/>
      <c r="N479" s="102"/>
      <c r="O479" s="102"/>
      <c r="P479" s="102"/>
      <c r="Q479" s="102"/>
      <c r="R479" s="102"/>
      <c r="S479" s="102"/>
      <c r="T479" s="102"/>
      <c r="U479" s="101" t="n">
        <f aca="false">V479+W479+X479+COUNTIF(I479:T479,"R")</f>
        <v>2</v>
      </c>
      <c r="V479" s="101" t="n">
        <f aca="false">COUNTIF(I479:T479,"E")</f>
        <v>1</v>
      </c>
      <c r="W479" s="101" t="n">
        <f aca="false">COUNTIF(I479:T479,"X")</f>
        <v>0</v>
      </c>
      <c r="X479" s="101" t="n">
        <f aca="false">COUNTIF(I479:T479,"C2")+COUNTIF(I479:T479,"C3")</f>
        <v>0</v>
      </c>
      <c r="Y479" s="101" t="n">
        <f aca="true">SUMPRODUCT((I479:INDEX(I479:T479,MONTH(TODAY()))="X")*1)</f>
        <v>0</v>
      </c>
      <c r="Z479" s="104" t="n">
        <f aca="false">IFERROR(V479/U479,"")</f>
        <v>0.5</v>
      </c>
    </row>
    <row r="480" customFormat="false" ht="15" hidden="false" customHeight="true" outlineLevel="0" collapsed="false">
      <c r="A480" s="100" t="str">
        <f aca="false">Equipos!C478</f>
        <v>2-027891</v>
      </c>
      <c r="B480" s="101" t="str">
        <f aca="false">Equipos!D478</f>
        <v>Monitor Multiparámetros</v>
      </c>
      <c r="C480" s="101" t="str">
        <f aca="false">Equipos!E478</f>
        <v>Neonatología</v>
      </c>
      <c r="D480" s="101" t="n">
        <f aca="false">Equipos!G478</f>
        <v>0</v>
      </c>
      <c r="E480" s="101" t="str">
        <f aca="false">Equipos!I478</f>
        <v>Nihon Kohden </v>
      </c>
      <c r="F480" s="101" t="str">
        <f aca="false">Equipos!J478</f>
        <v>BSM-6301K</v>
      </c>
      <c r="G480" s="100" t="str">
        <f aca="false">Equipos!K478</f>
        <v>1071</v>
      </c>
      <c r="H480" s="101"/>
      <c r="I480" s="103" t="s">
        <v>330</v>
      </c>
      <c r="J480" s="103" t="s">
        <v>328</v>
      </c>
      <c r="K480" s="102"/>
      <c r="L480" s="102"/>
      <c r="M480" s="102"/>
      <c r="N480" s="102"/>
      <c r="O480" s="102"/>
      <c r="P480" s="102"/>
      <c r="Q480" s="102"/>
      <c r="R480" s="102"/>
      <c r="S480" s="102"/>
      <c r="T480" s="102"/>
      <c r="U480" s="101" t="n">
        <f aca="false">V480+W480+X480+COUNTIF(I480:T480,"R")</f>
        <v>2</v>
      </c>
      <c r="V480" s="101" t="n">
        <f aca="false">COUNTIF(I480:T480,"E")</f>
        <v>1</v>
      </c>
      <c r="W480" s="101" t="n">
        <f aca="false">COUNTIF(I480:T480,"X")</f>
        <v>0</v>
      </c>
      <c r="X480" s="101" t="n">
        <f aca="false">COUNTIF(I480:T480,"C2")+COUNTIF(I480:T480,"C3")</f>
        <v>0</v>
      </c>
      <c r="Y480" s="101" t="n">
        <f aca="true">SUMPRODUCT((I480:INDEX(I480:T480,MONTH(TODAY()))="X")*1)</f>
        <v>0</v>
      </c>
      <c r="Z480" s="104" t="n">
        <f aca="false">IFERROR(V480/U480,"")</f>
        <v>0.5</v>
      </c>
    </row>
    <row r="481" customFormat="false" ht="15" hidden="false" customHeight="true" outlineLevel="0" collapsed="false">
      <c r="A481" s="100" t="str">
        <f aca="false">Equipos!C479</f>
        <v>2-016561</v>
      </c>
      <c r="B481" s="101" t="str">
        <f aca="false">Equipos!D479</f>
        <v>Monitor Multiparámetros</v>
      </c>
      <c r="C481" s="101" t="str">
        <f aca="false">Equipos!E479</f>
        <v>UPC Pediátrica</v>
      </c>
      <c r="D481" s="101" t="str">
        <f aca="false">Equipos!G479</f>
        <v>Bodega</v>
      </c>
      <c r="E481" s="101" t="str">
        <f aca="false">Equipos!I479</f>
        <v>Drager </v>
      </c>
      <c r="F481" s="101" t="str">
        <f aca="false">Equipos!J479</f>
        <v>Infinity Vista </v>
      </c>
      <c r="G481" s="100" t="str">
        <f aca="false">Equipos!K479</f>
        <v>5516412180</v>
      </c>
      <c r="H481" s="101"/>
      <c r="I481" s="103" t="s">
        <v>330</v>
      </c>
      <c r="J481" s="103" t="s">
        <v>328</v>
      </c>
      <c r="K481" s="102"/>
      <c r="L481" s="102"/>
      <c r="M481" s="102"/>
      <c r="N481" s="102"/>
      <c r="O481" s="102"/>
      <c r="P481" s="102"/>
      <c r="Q481" s="102"/>
      <c r="R481" s="102"/>
      <c r="S481" s="102"/>
      <c r="T481" s="102"/>
      <c r="U481" s="101" t="n">
        <f aca="false">V481+W481+X481+COUNTIF(I481:T481,"R")</f>
        <v>2</v>
      </c>
      <c r="V481" s="101" t="n">
        <f aca="false">COUNTIF(I481:T481,"E")</f>
        <v>1</v>
      </c>
      <c r="W481" s="101" t="n">
        <f aca="false">COUNTIF(I481:T481,"X")</f>
        <v>0</v>
      </c>
      <c r="X481" s="101" t="n">
        <f aca="false">COUNTIF(I481:T481,"C2")+COUNTIF(I481:T481,"C3")</f>
        <v>0</v>
      </c>
      <c r="Y481" s="101" t="n">
        <f aca="true">SUMPRODUCT((I481:INDEX(I481:T481,MONTH(TODAY()))="X")*1)</f>
        <v>0</v>
      </c>
      <c r="Z481" s="104" t="n">
        <f aca="false">IFERROR(V481/U481,"")</f>
        <v>0.5</v>
      </c>
    </row>
    <row r="482" customFormat="false" ht="15" hidden="false" customHeight="true" outlineLevel="0" collapsed="false">
      <c r="A482" s="100" t="str">
        <f aca="false">Equipos!C480</f>
        <v>2-112499</v>
      </c>
      <c r="B482" s="101" t="str">
        <f aca="false">Equipos!D480</f>
        <v>Monitor Multiparámetros</v>
      </c>
      <c r="C482" s="101" t="str">
        <f aca="false">Equipos!E480</f>
        <v>Pediatría</v>
      </c>
      <c r="D482" s="101" t="str">
        <f aca="false">Equipos!G480</f>
        <v>Sala de equipos</v>
      </c>
      <c r="E482" s="101" t="str">
        <f aca="false">Equipos!I480</f>
        <v>Drager </v>
      </c>
      <c r="F482" s="101" t="str">
        <f aca="false">Equipos!J480</f>
        <v>Infinity Vista </v>
      </c>
      <c r="G482" s="100" t="str">
        <f aca="false">Equipos!K480</f>
        <v>5516412278</v>
      </c>
      <c r="H482" s="101"/>
      <c r="I482" s="103" t="s">
        <v>330</v>
      </c>
      <c r="J482" s="103" t="s">
        <v>328</v>
      </c>
      <c r="K482" s="102"/>
      <c r="L482" s="102"/>
      <c r="M482" s="102"/>
      <c r="N482" s="102"/>
      <c r="O482" s="102"/>
      <c r="P482" s="102"/>
      <c r="Q482" s="102"/>
      <c r="R482" s="102"/>
      <c r="S482" s="102"/>
      <c r="T482" s="102"/>
      <c r="U482" s="101" t="n">
        <f aca="false">V482+W482+X482+COUNTIF(I482:T482,"R")</f>
        <v>2</v>
      </c>
      <c r="V482" s="101" t="n">
        <f aca="false">COUNTIF(I482:T482,"E")</f>
        <v>1</v>
      </c>
      <c r="W482" s="101" t="n">
        <f aca="false">COUNTIF(I482:T482,"X")</f>
        <v>0</v>
      </c>
      <c r="X482" s="101" t="n">
        <f aca="false">COUNTIF(I482:T482,"C2")+COUNTIF(I482:T482,"C3")</f>
        <v>0</v>
      </c>
      <c r="Y482" s="101" t="n">
        <f aca="true">SUMPRODUCT((I482:INDEX(I482:T482,MONTH(TODAY()))="X")*1)</f>
        <v>0</v>
      </c>
      <c r="Z482" s="104" t="n">
        <f aca="false">IFERROR(V482/U482,"")</f>
        <v>0.5</v>
      </c>
    </row>
    <row r="483" customFormat="false" ht="15" hidden="false" customHeight="true" outlineLevel="0" collapsed="false">
      <c r="A483" s="100" t="str">
        <f aca="false">Equipos!C481</f>
        <v>2-027889</v>
      </c>
      <c r="B483" s="101" t="str">
        <f aca="false">Equipos!D481</f>
        <v>Monitor Multiparámetros</v>
      </c>
      <c r="C483" s="101" t="str">
        <f aca="false">Equipos!E481</f>
        <v>Neonatología</v>
      </c>
      <c r="D483" s="101" t="n">
        <f aca="false">Equipos!G481</f>
        <v>0</v>
      </c>
      <c r="E483" s="101" t="str">
        <f aca="false">Equipos!I481</f>
        <v>Nihon Kohden </v>
      </c>
      <c r="F483" s="101" t="str">
        <f aca="false">Equipos!J481</f>
        <v>BSM-6301K</v>
      </c>
      <c r="G483" s="100" t="str">
        <f aca="false">Equipos!K481</f>
        <v>1051</v>
      </c>
      <c r="H483" s="101"/>
      <c r="I483" s="103" t="s">
        <v>330</v>
      </c>
      <c r="J483" s="103" t="s">
        <v>328</v>
      </c>
      <c r="K483" s="102"/>
      <c r="L483" s="102"/>
      <c r="M483" s="102"/>
      <c r="N483" s="102"/>
      <c r="O483" s="102"/>
      <c r="P483" s="102"/>
      <c r="Q483" s="102"/>
      <c r="R483" s="102"/>
      <c r="S483" s="102"/>
      <c r="T483" s="102"/>
      <c r="U483" s="101" t="n">
        <f aca="false">V483+W483+X483+COUNTIF(I483:T483,"R")</f>
        <v>2</v>
      </c>
      <c r="V483" s="101" t="n">
        <f aca="false">COUNTIF(I483:T483,"E")</f>
        <v>1</v>
      </c>
      <c r="W483" s="101" t="n">
        <f aca="false">COUNTIF(I483:T483,"X")</f>
        <v>0</v>
      </c>
      <c r="X483" s="101" t="n">
        <f aca="false">COUNTIF(I483:T483,"C2")+COUNTIF(I483:T483,"C3")</f>
        <v>0</v>
      </c>
      <c r="Y483" s="101" t="n">
        <f aca="true">SUMPRODUCT((I483:INDEX(I483:T483,MONTH(TODAY()))="X")*1)</f>
        <v>0</v>
      </c>
      <c r="Z483" s="104" t="n">
        <f aca="false">IFERROR(V483/U483,"")</f>
        <v>0.5</v>
      </c>
    </row>
    <row r="484" customFormat="false" ht="15" hidden="false" customHeight="true" outlineLevel="0" collapsed="false">
      <c r="A484" s="100" t="str">
        <f aca="false">Equipos!C482</f>
        <v>2-112659</v>
      </c>
      <c r="B484" s="101" t="str">
        <f aca="false">Equipos!D482</f>
        <v>Monitor Multiparámetros</v>
      </c>
      <c r="C484" s="101" t="str">
        <f aca="false">Equipos!E482</f>
        <v>Neonatología</v>
      </c>
      <c r="D484" s="101" t="n">
        <f aca="false">Equipos!G482</f>
        <v>0</v>
      </c>
      <c r="E484" s="101" t="str">
        <f aca="false">Equipos!I482</f>
        <v>Nihon Kohden </v>
      </c>
      <c r="F484" s="101" t="str">
        <f aca="false">Equipos!J482</f>
        <v>PVM-2701K</v>
      </c>
      <c r="G484" s="100" t="str">
        <f aca="false">Equipos!K482</f>
        <v>100657</v>
      </c>
      <c r="H484" s="101"/>
      <c r="I484" s="103" t="s">
        <v>330</v>
      </c>
      <c r="J484" s="103" t="s">
        <v>328</v>
      </c>
      <c r="K484" s="102"/>
      <c r="L484" s="102"/>
      <c r="M484" s="102"/>
      <c r="N484" s="102"/>
      <c r="O484" s="102"/>
      <c r="P484" s="102"/>
      <c r="Q484" s="102"/>
      <c r="R484" s="102"/>
      <c r="S484" s="102"/>
      <c r="T484" s="102"/>
      <c r="U484" s="101" t="n">
        <f aca="false">V484+W484+X484+COUNTIF(I484:T484,"R")</f>
        <v>2</v>
      </c>
      <c r="V484" s="101" t="n">
        <f aca="false">COUNTIF(I484:T484,"E")</f>
        <v>1</v>
      </c>
      <c r="W484" s="101" t="n">
        <f aca="false">COUNTIF(I484:T484,"X")</f>
        <v>0</v>
      </c>
      <c r="X484" s="101" t="n">
        <f aca="false">COUNTIF(I484:T484,"C2")+COUNTIF(I484:T484,"C3")</f>
        <v>0</v>
      </c>
      <c r="Y484" s="101" t="n">
        <f aca="true">SUMPRODUCT((I484:INDEX(I484:T484,MONTH(TODAY()))="X")*1)</f>
        <v>0</v>
      </c>
      <c r="Z484" s="104" t="n">
        <f aca="false">IFERROR(V484/U484,"")</f>
        <v>0.5</v>
      </c>
    </row>
    <row r="485" customFormat="false" ht="15" hidden="false" customHeight="true" outlineLevel="0" collapsed="false">
      <c r="A485" s="100" t="str">
        <f aca="false">Equipos!C483</f>
        <v>2-027887</v>
      </c>
      <c r="B485" s="101" t="str">
        <f aca="false">Equipos!D483</f>
        <v>Monitor Multiparámetros</v>
      </c>
      <c r="C485" s="101" t="str">
        <f aca="false">Equipos!E483</f>
        <v>Pediatría</v>
      </c>
      <c r="D485" s="101" t="str">
        <f aca="false">Equipos!G483</f>
        <v>Sala de equipos</v>
      </c>
      <c r="E485" s="101" t="str">
        <f aca="false">Equipos!I483</f>
        <v>Drager </v>
      </c>
      <c r="F485" s="101" t="str">
        <f aca="false">Equipos!J483</f>
        <v>Infinity Vista </v>
      </c>
      <c r="G485" s="100" t="str">
        <f aca="false">Equipos!K483</f>
        <v>5514422672</v>
      </c>
      <c r="H485" s="101"/>
      <c r="I485" s="103" t="s">
        <v>330</v>
      </c>
      <c r="J485" s="103" t="s">
        <v>328</v>
      </c>
      <c r="K485" s="102"/>
      <c r="L485" s="102"/>
      <c r="M485" s="102"/>
      <c r="N485" s="102"/>
      <c r="O485" s="102"/>
      <c r="P485" s="102"/>
      <c r="Q485" s="102"/>
      <c r="R485" s="102"/>
      <c r="S485" s="102"/>
      <c r="T485" s="102"/>
      <c r="U485" s="101" t="n">
        <f aca="false">V485+W485+X485+COUNTIF(I485:T485,"R")</f>
        <v>2</v>
      </c>
      <c r="V485" s="101" t="n">
        <f aca="false">COUNTIF(I485:T485,"E")</f>
        <v>1</v>
      </c>
      <c r="W485" s="101" t="n">
        <f aca="false">COUNTIF(I485:T485,"X")</f>
        <v>0</v>
      </c>
      <c r="X485" s="101" t="n">
        <f aca="false">COUNTIF(I485:T485,"C2")+COUNTIF(I485:T485,"C3")</f>
        <v>0</v>
      </c>
      <c r="Y485" s="101" t="n">
        <f aca="true">SUMPRODUCT((I485:INDEX(I485:T485,MONTH(TODAY()))="X")*1)</f>
        <v>0</v>
      </c>
      <c r="Z485" s="104" t="n">
        <f aca="false">IFERROR(V485/U485,"")</f>
        <v>0.5</v>
      </c>
    </row>
    <row r="486" customFormat="false" ht="15" hidden="false" customHeight="true" outlineLevel="0" collapsed="false">
      <c r="A486" s="100" t="str">
        <f aca="false">Equipos!C484</f>
        <v>2-027890</v>
      </c>
      <c r="B486" s="101" t="str">
        <f aca="false">Equipos!D484</f>
        <v>Monitor Multiparámetros</v>
      </c>
      <c r="C486" s="101" t="str">
        <f aca="false">Equipos!E484</f>
        <v>Neonatología</v>
      </c>
      <c r="D486" s="101" t="n">
        <f aca="false">Equipos!G484</f>
        <v>0</v>
      </c>
      <c r="E486" s="101" t="str">
        <f aca="false">Equipos!I484</f>
        <v>Nihon Kohden </v>
      </c>
      <c r="F486" s="101" t="str">
        <f aca="false">Equipos!J484</f>
        <v>BSM-6301K</v>
      </c>
      <c r="G486" s="100" t="str">
        <f aca="false">Equipos!K484</f>
        <v>1037</v>
      </c>
      <c r="H486" s="101"/>
      <c r="I486" s="103" t="s">
        <v>330</v>
      </c>
      <c r="J486" s="103" t="s">
        <v>328</v>
      </c>
      <c r="K486" s="102"/>
      <c r="L486" s="102"/>
      <c r="M486" s="102"/>
      <c r="N486" s="102"/>
      <c r="O486" s="102"/>
      <c r="P486" s="102"/>
      <c r="Q486" s="102"/>
      <c r="R486" s="102"/>
      <c r="S486" s="102"/>
      <c r="T486" s="102"/>
      <c r="U486" s="101" t="n">
        <f aca="false">V486+W486+X486+COUNTIF(I486:T486,"R")</f>
        <v>2</v>
      </c>
      <c r="V486" s="101" t="n">
        <f aca="false">COUNTIF(I486:T486,"E")</f>
        <v>1</v>
      </c>
      <c r="W486" s="101" t="n">
        <f aca="false">COUNTIF(I486:T486,"X")</f>
        <v>0</v>
      </c>
      <c r="X486" s="101" t="n">
        <f aca="false">COUNTIF(I486:T486,"C2")+COUNTIF(I486:T486,"C3")</f>
        <v>0</v>
      </c>
      <c r="Y486" s="101" t="n">
        <f aca="true">SUMPRODUCT((I486:INDEX(I486:T486,MONTH(TODAY()))="X")*1)</f>
        <v>0</v>
      </c>
      <c r="Z486" s="104" t="n">
        <f aca="false">IFERROR(V486/U486,"")</f>
        <v>0.5</v>
      </c>
    </row>
    <row r="487" customFormat="false" ht="15" hidden="false" customHeight="true" outlineLevel="0" collapsed="false">
      <c r="A487" s="100" t="str">
        <f aca="false">Equipos!C485</f>
        <v>2-023484</v>
      </c>
      <c r="B487" s="101" t="str">
        <f aca="false">Equipos!D485</f>
        <v>Monitor Multiparámetros</v>
      </c>
      <c r="C487" s="101" t="str">
        <f aca="false">Equipos!E485</f>
        <v>Pediatría</v>
      </c>
      <c r="D487" s="101" t="str">
        <f aca="false">Equipos!G485</f>
        <v>Sala de equipos</v>
      </c>
      <c r="E487" s="101" t="str">
        <f aca="false">Equipos!I485</f>
        <v>Drager </v>
      </c>
      <c r="F487" s="101" t="str">
        <f aca="false">Equipos!J485</f>
        <v>Infinity Vista </v>
      </c>
      <c r="G487" s="100" t="str">
        <f aca="false">Equipos!K485</f>
        <v>5516414472</v>
      </c>
      <c r="H487" s="101"/>
      <c r="I487" s="103" t="s">
        <v>330</v>
      </c>
      <c r="J487" s="103" t="s">
        <v>328</v>
      </c>
      <c r="K487" s="102"/>
      <c r="L487" s="102"/>
      <c r="M487" s="102"/>
      <c r="N487" s="102"/>
      <c r="O487" s="102"/>
      <c r="P487" s="102"/>
      <c r="Q487" s="102"/>
      <c r="R487" s="102"/>
      <c r="S487" s="102"/>
      <c r="T487" s="102"/>
      <c r="U487" s="101" t="n">
        <f aca="false">V487+W487+X487+COUNTIF(I487:T487,"R")</f>
        <v>2</v>
      </c>
      <c r="V487" s="101" t="n">
        <f aca="false">COUNTIF(I487:T487,"E")</f>
        <v>1</v>
      </c>
      <c r="W487" s="101" t="n">
        <f aca="false">COUNTIF(I487:T487,"X")</f>
        <v>0</v>
      </c>
      <c r="X487" s="101" t="n">
        <f aca="false">COUNTIF(I487:T487,"C2")+COUNTIF(I487:T487,"C3")</f>
        <v>0</v>
      </c>
      <c r="Y487" s="101" t="n">
        <f aca="true">SUMPRODUCT((I487:INDEX(I487:T487,MONTH(TODAY()))="X")*1)</f>
        <v>0</v>
      </c>
      <c r="Z487" s="104" t="n">
        <f aca="false">IFERROR(V487/U487,"")</f>
        <v>0.5</v>
      </c>
    </row>
    <row r="488" customFormat="false" ht="15" hidden="false" customHeight="true" outlineLevel="0" collapsed="false">
      <c r="A488" s="100" t="str">
        <f aca="false">Equipos!C486</f>
        <v>2-016545</v>
      </c>
      <c r="B488" s="101" t="str">
        <f aca="false">Equipos!D486</f>
        <v>Monitor Multiparámetros</v>
      </c>
      <c r="C488" s="101" t="str">
        <f aca="false">Equipos!E486</f>
        <v>Pediatría</v>
      </c>
      <c r="D488" s="101" t="str">
        <f aca="false">Equipos!G486</f>
        <v>Sala de equipos</v>
      </c>
      <c r="E488" s="101" t="str">
        <f aca="false">Equipos!I486</f>
        <v>Nihon Kohden </v>
      </c>
      <c r="F488" s="101" t="str">
        <f aca="false">Equipos!J486</f>
        <v>PVM-2701K</v>
      </c>
      <c r="G488" s="100" t="str">
        <f aca="false">Equipos!K486</f>
        <v>100649</v>
      </c>
      <c r="H488" s="101"/>
      <c r="I488" s="103" t="s">
        <v>330</v>
      </c>
      <c r="J488" s="103" t="s">
        <v>328</v>
      </c>
      <c r="K488" s="102"/>
      <c r="L488" s="102"/>
      <c r="M488" s="102"/>
      <c r="N488" s="102"/>
      <c r="O488" s="102"/>
      <c r="P488" s="102"/>
      <c r="Q488" s="102"/>
      <c r="R488" s="102"/>
      <c r="S488" s="102"/>
      <c r="T488" s="102"/>
      <c r="U488" s="101" t="n">
        <f aca="false">V488+W488+X488+COUNTIF(I488:T488,"R")</f>
        <v>2</v>
      </c>
      <c r="V488" s="101" t="n">
        <f aca="false">COUNTIF(I488:T488,"E")</f>
        <v>1</v>
      </c>
      <c r="W488" s="101" t="n">
        <f aca="false">COUNTIF(I488:T488,"X")</f>
        <v>0</v>
      </c>
      <c r="X488" s="101" t="n">
        <f aca="false">COUNTIF(I488:T488,"C2")+COUNTIF(I488:T488,"C3")</f>
        <v>0</v>
      </c>
      <c r="Y488" s="101" t="n">
        <f aca="true">SUMPRODUCT((I488:INDEX(I488:T488,MONTH(TODAY()))="X")*1)</f>
        <v>0</v>
      </c>
      <c r="Z488" s="104" t="n">
        <f aca="false">IFERROR(V488/U488,"")</f>
        <v>0.5</v>
      </c>
    </row>
    <row r="489" customFormat="false" ht="15" hidden="false" customHeight="true" outlineLevel="0" collapsed="false">
      <c r="A489" s="100" t="str">
        <f aca="false">Equipos!C487</f>
        <v>2-023483</v>
      </c>
      <c r="B489" s="101" t="str">
        <f aca="false">Equipos!D487</f>
        <v>Monitor Multiparámetros</v>
      </c>
      <c r="C489" s="101" t="str">
        <f aca="false">Equipos!E487</f>
        <v>Pediatría</v>
      </c>
      <c r="D489" s="101" t="str">
        <f aca="false">Equipos!G487</f>
        <v>Segunda infancia</v>
      </c>
      <c r="E489" s="101" t="str">
        <f aca="false">Equipos!I487</f>
        <v>Nihon Kohden </v>
      </c>
      <c r="F489" s="101" t="str">
        <f aca="false">Equipos!J487</f>
        <v>PVM-2701K</v>
      </c>
      <c r="G489" s="100" t="str">
        <f aca="false">Equipos!K487</f>
        <v>100640</v>
      </c>
      <c r="H489" s="101"/>
      <c r="I489" s="103" t="s">
        <v>330</v>
      </c>
      <c r="J489" s="103" t="s">
        <v>328</v>
      </c>
      <c r="K489" s="102"/>
      <c r="L489" s="102"/>
      <c r="M489" s="102"/>
      <c r="N489" s="102"/>
      <c r="O489" s="102"/>
      <c r="P489" s="102"/>
      <c r="Q489" s="102"/>
      <c r="R489" s="102"/>
      <c r="S489" s="102"/>
      <c r="T489" s="102"/>
      <c r="U489" s="101" t="n">
        <f aca="false">V489+W489+X489+COUNTIF(I489:T489,"R")</f>
        <v>2</v>
      </c>
      <c r="V489" s="101" t="n">
        <f aca="false">COUNTIF(I489:T489,"E")</f>
        <v>1</v>
      </c>
      <c r="W489" s="101" t="n">
        <f aca="false">COUNTIF(I489:T489,"X")</f>
        <v>0</v>
      </c>
      <c r="X489" s="101" t="n">
        <f aca="false">COUNTIF(I489:T489,"C2")+COUNTIF(I489:T489,"C3")</f>
        <v>0</v>
      </c>
      <c r="Y489" s="101" t="n">
        <f aca="true">SUMPRODUCT((I489:INDEX(I489:T489,MONTH(TODAY()))="X")*1)</f>
        <v>0</v>
      </c>
      <c r="Z489" s="104" t="n">
        <f aca="false">IFERROR(V489/U489,"")</f>
        <v>0.5</v>
      </c>
    </row>
    <row r="490" customFormat="false" ht="15" hidden="false" customHeight="true" outlineLevel="0" collapsed="false">
      <c r="A490" s="100" t="str">
        <f aca="false">Equipos!C488</f>
        <v>2-017324</v>
      </c>
      <c r="B490" s="101" t="str">
        <f aca="false">Equipos!D488</f>
        <v>Monitor Multiparámetros</v>
      </c>
      <c r="C490" s="101" t="str">
        <f aca="false">Equipos!E488</f>
        <v>Pabellón Quirúrgico</v>
      </c>
      <c r="D490" s="101" t="str">
        <f aca="false">Equipos!G488</f>
        <v>CDT-P2-QF08</v>
      </c>
      <c r="E490" s="101" t="str">
        <f aca="false">Equipos!I488</f>
        <v>Drager </v>
      </c>
      <c r="F490" s="101" t="str">
        <f aca="false">Equipos!J488</f>
        <v>Infinity Kappa</v>
      </c>
      <c r="G490" s="100" t="str">
        <f aca="false">Equipos!K488</f>
        <v>5494782651</v>
      </c>
      <c r="H490" s="101"/>
      <c r="I490" s="102"/>
      <c r="J490" s="102"/>
      <c r="K490" s="102"/>
      <c r="L490" s="103" t="s">
        <v>328</v>
      </c>
      <c r="M490" s="102"/>
      <c r="N490" s="102"/>
      <c r="O490" s="102"/>
      <c r="P490" s="102"/>
      <c r="Q490" s="102"/>
      <c r="R490" s="102"/>
      <c r="S490" s="102"/>
      <c r="T490" s="102"/>
      <c r="U490" s="101" t="n">
        <f aca="false">V490+W490+X490+COUNTIF(I490:T490,"R")</f>
        <v>1</v>
      </c>
      <c r="V490" s="101" t="n">
        <f aca="false">COUNTIF(I490:T490,"E")</f>
        <v>1</v>
      </c>
      <c r="W490" s="101" t="n">
        <f aca="false">COUNTIF(I490:T490,"X")</f>
        <v>0</v>
      </c>
      <c r="X490" s="101" t="n">
        <f aca="false">COUNTIF(I490:T490,"C2")+COUNTIF(I490:T490,"C3")</f>
        <v>0</v>
      </c>
      <c r="Y490" s="101" t="n">
        <f aca="true">SUMPRODUCT((I490:INDEX(I490:T490,MONTH(TODAY()))="X")*1)</f>
        <v>0</v>
      </c>
      <c r="Z490" s="104" t="n">
        <f aca="false">IFERROR(V490/U490,"")</f>
        <v>1</v>
      </c>
    </row>
    <row r="491" customFormat="false" ht="15" hidden="false" customHeight="true" outlineLevel="0" collapsed="false">
      <c r="A491" s="100" t="str">
        <f aca="false">Equipos!C489</f>
        <v>2-002719</v>
      </c>
      <c r="B491" s="101" t="str">
        <f aca="false">Equipos!D489</f>
        <v>Monitor Multiparámetros</v>
      </c>
      <c r="C491" s="101" t="str">
        <f aca="false">Equipos!E489</f>
        <v>Traumatología</v>
      </c>
      <c r="D491" s="101" t="str">
        <f aca="false">Equipos!G489</f>
        <v>Cirugía Trauma</v>
      </c>
      <c r="E491" s="101" t="str">
        <f aca="false">Equipos!I489</f>
        <v>Nihon Kohden </v>
      </c>
      <c r="F491" s="101" t="str">
        <f aca="false">Equipos!J489</f>
        <v>BSM-6301K</v>
      </c>
      <c r="G491" s="100" t="str">
        <f aca="false">Equipos!K489</f>
        <v>01035.</v>
      </c>
      <c r="H491" s="101"/>
      <c r="I491" s="102"/>
      <c r="J491" s="102"/>
      <c r="K491" s="103" t="s">
        <v>330</v>
      </c>
      <c r="L491" s="103" t="s">
        <v>328</v>
      </c>
      <c r="M491" s="102"/>
      <c r="N491" s="102"/>
      <c r="O491" s="102"/>
      <c r="P491" s="102"/>
      <c r="Q491" s="102"/>
      <c r="R491" s="102"/>
      <c r="S491" s="102"/>
      <c r="T491" s="102"/>
      <c r="U491" s="101" t="n">
        <f aca="false">V491+W491+X491+COUNTIF(I491:T491,"R")</f>
        <v>2</v>
      </c>
      <c r="V491" s="101" t="n">
        <f aca="false">COUNTIF(I491:T491,"E")</f>
        <v>1</v>
      </c>
      <c r="W491" s="101" t="n">
        <f aca="false">COUNTIF(I491:T491,"X")</f>
        <v>0</v>
      </c>
      <c r="X491" s="101" t="n">
        <f aca="false">COUNTIF(I491:T491,"C2")+COUNTIF(I491:T491,"C3")</f>
        <v>0</v>
      </c>
      <c r="Y491" s="101" t="n">
        <f aca="true">SUMPRODUCT((I491:INDEX(I491:T491,MONTH(TODAY()))="X")*1)</f>
        <v>0</v>
      </c>
      <c r="Z491" s="104" t="n">
        <f aca="false">IFERROR(V491/U491,"")</f>
        <v>0.5</v>
      </c>
    </row>
    <row r="492" customFormat="false" ht="15" hidden="false" customHeight="true" outlineLevel="0" collapsed="false">
      <c r="A492" s="100" t="str">
        <f aca="false">Equipos!C490</f>
        <v>2-002681</v>
      </c>
      <c r="B492" s="101" t="str">
        <f aca="false">Equipos!D490</f>
        <v>Monitor Multiparámetros</v>
      </c>
      <c r="C492" s="101" t="str">
        <f aca="false">Equipos!E490</f>
        <v>Traumatología</v>
      </c>
      <c r="D492" s="101" t="str">
        <f aca="false">Equipos!G490</f>
        <v>Pasillo</v>
      </c>
      <c r="E492" s="101" t="str">
        <f aca="false">Equipos!I490</f>
        <v>Nihon Kohden </v>
      </c>
      <c r="F492" s="101" t="str">
        <f aca="false">Equipos!J490</f>
        <v>BSM-6301K</v>
      </c>
      <c r="G492" s="100" t="str">
        <f aca="false">Equipos!K490</f>
        <v>01036.</v>
      </c>
      <c r="H492" s="101"/>
      <c r="I492" s="102"/>
      <c r="J492" s="102"/>
      <c r="K492" s="103" t="s">
        <v>330</v>
      </c>
      <c r="L492" s="103" t="s">
        <v>328</v>
      </c>
      <c r="M492" s="102"/>
      <c r="N492" s="102"/>
      <c r="O492" s="102"/>
      <c r="P492" s="102"/>
      <c r="Q492" s="102"/>
      <c r="R492" s="102"/>
      <c r="S492" s="102"/>
      <c r="T492" s="102"/>
      <c r="U492" s="101" t="n">
        <f aca="false">V492+W492+X492+COUNTIF(I492:T492,"R")</f>
        <v>2</v>
      </c>
      <c r="V492" s="101" t="n">
        <f aca="false">COUNTIF(I492:T492,"E")</f>
        <v>1</v>
      </c>
      <c r="W492" s="101" t="n">
        <f aca="false">COUNTIF(I492:T492,"X")</f>
        <v>0</v>
      </c>
      <c r="X492" s="101" t="n">
        <f aca="false">COUNTIF(I492:T492,"C2")+COUNTIF(I492:T492,"C3")</f>
        <v>0</v>
      </c>
      <c r="Y492" s="101" t="n">
        <f aca="true">SUMPRODUCT((I492:INDEX(I492:T492,MONTH(TODAY()))="X")*1)</f>
        <v>0</v>
      </c>
      <c r="Z492" s="104" t="n">
        <f aca="false">IFERROR(V492/U492,"")</f>
        <v>0.5</v>
      </c>
    </row>
    <row r="493" customFormat="false" ht="15" hidden="false" customHeight="true" outlineLevel="0" collapsed="false">
      <c r="A493" s="100" t="str">
        <f aca="false">Equipos!C491</f>
        <v>2-111918</v>
      </c>
      <c r="B493" s="101" t="str">
        <f aca="false">Equipos!D491</f>
        <v>Monitor Multiparámetros</v>
      </c>
      <c r="C493" s="101" t="str">
        <f aca="false">Equipos!E491</f>
        <v>Hemato Oncología Adulto</v>
      </c>
      <c r="D493" s="101" t="str">
        <f aca="false">Equipos!G491</f>
        <v>EPB-P5-SA11</v>
      </c>
      <c r="E493" s="101" t="str">
        <f aca="false">Equipos!I491</f>
        <v>Nihon Kohden </v>
      </c>
      <c r="F493" s="101" t="str">
        <f aca="false">Equipos!J491</f>
        <v>BSM-6301K</v>
      </c>
      <c r="G493" s="100" t="str">
        <f aca="false">Equipos!K491</f>
        <v>1039</v>
      </c>
      <c r="H493" s="101"/>
      <c r="I493" s="102"/>
      <c r="J493" s="102"/>
      <c r="K493" s="103" t="s">
        <v>330</v>
      </c>
      <c r="L493" s="103" t="s">
        <v>328</v>
      </c>
      <c r="M493" s="102"/>
      <c r="N493" s="102"/>
      <c r="O493" s="102"/>
      <c r="P493" s="102"/>
      <c r="Q493" s="102"/>
      <c r="R493" s="102"/>
      <c r="S493" s="102"/>
      <c r="T493" s="102"/>
      <c r="U493" s="101" t="n">
        <f aca="false">V493+W493+X493+COUNTIF(I493:T493,"R")</f>
        <v>2</v>
      </c>
      <c r="V493" s="101" t="n">
        <f aca="false">COUNTIF(I493:T493,"E")</f>
        <v>1</v>
      </c>
      <c r="W493" s="101" t="n">
        <f aca="false">COUNTIF(I493:T493,"X")</f>
        <v>0</v>
      </c>
      <c r="X493" s="101" t="n">
        <f aca="false">COUNTIF(I493:T493,"C2")+COUNTIF(I493:T493,"C3")</f>
        <v>0</v>
      </c>
      <c r="Y493" s="101" t="n">
        <f aca="true">SUMPRODUCT((I493:INDEX(I493:T493,MONTH(TODAY()))="X")*1)</f>
        <v>0</v>
      </c>
      <c r="Z493" s="104" t="n">
        <f aca="false">IFERROR(V493/U493,"")</f>
        <v>0.5</v>
      </c>
    </row>
    <row r="494" customFormat="false" ht="15" hidden="false" customHeight="true" outlineLevel="0" collapsed="false">
      <c r="A494" s="100" t="str">
        <f aca="false">Equipos!C492</f>
        <v>2-111913</v>
      </c>
      <c r="B494" s="101" t="str">
        <f aca="false">Equipos!D492</f>
        <v>Monitor Multiparámetros</v>
      </c>
      <c r="C494" s="101" t="str">
        <f aca="false">Equipos!E492</f>
        <v>Hemato Oncología Adulto</v>
      </c>
      <c r="D494" s="101" t="str">
        <f aca="false">Equipos!G492</f>
        <v>EPB-P5-SA12</v>
      </c>
      <c r="E494" s="101" t="str">
        <f aca="false">Equipos!I492</f>
        <v>Criticare </v>
      </c>
      <c r="F494" s="101" t="str">
        <f aca="false">Equipos!J492</f>
        <v>8100E-S</v>
      </c>
      <c r="G494" s="100" t="str">
        <f aca="false">Equipos!K492</f>
        <v>212726171</v>
      </c>
      <c r="H494" s="101"/>
      <c r="I494" s="102"/>
      <c r="J494" s="102"/>
      <c r="K494" s="103" t="s">
        <v>330</v>
      </c>
      <c r="L494" s="103" t="s">
        <v>328</v>
      </c>
      <c r="M494" s="102"/>
      <c r="N494" s="102"/>
      <c r="O494" s="102"/>
      <c r="P494" s="102"/>
      <c r="Q494" s="102"/>
      <c r="R494" s="102"/>
      <c r="S494" s="102"/>
      <c r="T494" s="102"/>
      <c r="U494" s="101" t="n">
        <f aca="false">V494+W494+X494+COUNTIF(I494:T494,"R")</f>
        <v>2</v>
      </c>
      <c r="V494" s="101" t="n">
        <f aca="false">COUNTIF(I494:T494,"E")</f>
        <v>1</v>
      </c>
      <c r="W494" s="101" t="n">
        <f aca="false">COUNTIF(I494:T494,"X")</f>
        <v>0</v>
      </c>
      <c r="X494" s="101" t="n">
        <f aca="false">COUNTIF(I494:T494,"C2")+COUNTIF(I494:T494,"C3")</f>
        <v>0</v>
      </c>
      <c r="Y494" s="101" t="n">
        <f aca="true">SUMPRODUCT((I494:INDEX(I494:T494,MONTH(TODAY()))="X")*1)</f>
        <v>0</v>
      </c>
      <c r="Z494" s="104" t="n">
        <f aca="false">IFERROR(V494/U494,"")</f>
        <v>0.5</v>
      </c>
    </row>
    <row r="495" customFormat="false" ht="15" hidden="false" customHeight="true" outlineLevel="0" collapsed="false">
      <c r="A495" s="100" t="str">
        <f aca="false">Equipos!C493</f>
        <v>2-002869</v>
      </c>
      <c r="B495" s="101" t="str">
        <f aca="false">Equipos!D493</f>
        <v>Monitor Multiparámetros</v>
      </c>
      <c r="C495" s="101" t="str">
        <f aca="false">Equipos!E493</f>
        <v>Hemato Oncología Adulto</v>
      </c>
      <c r="D495" s="101" t="str">
        <f aca="false">Equipos!G493</f>
        <v>EPB-P5-SA08</v>
      </c>
      <c r="E495" s="101" t="str">
        <f aca="false">Equipos!I493</f>
        <v>Nihon Kohden </v>
      </c>
      <c r="F495" s="101" t="str">
        <f aca="false">Equipos!J493</f>
        <v>BSM-6301K</v>
      </c>
      <c r="G495" s="100" t="str">
        <f aca="false">Equipos!K493</f>
        <v>1074</v>
      </c>
      <c r="H495" s="101"/>
      <c r="I495" s="102"/>
      <c r="J495" s="102"/>
      <c r="K495" s="103" t="s">
        <v>330</v>
      </c>
      <c r="L495" s="103" t="s">
        <v>328</v>
      </c>
      <c r="M495" s="102"/>
      <c r="N495" s="102"/>
      <c r="O495" s="102"/>
      <c r="P495" s="102"/>
      <c r="Q495" s="102"/>
      <c r="R495" s="102"/>
      <c r="S495" s="102"/>
      <c r="T495" s="102"/>
      <c r="U495" s="101" t="n">
        <f aca="false">V495+W495+X495+COUNTIF(I495:T495,"R")</f>
        <v>2</v>
      </c>
      <c r="V495" s="101" t="n">
        <f aca="false">COUNTIF(I495:T495,"E")</f>
        <v>1</v>
      </c>
      <c r="W495" s="101" t="n">
        <f aca="false">COUNTIF(I495:T495,"X")</f>
        <v>0</v>
      </c>
      <c r="X495" s="101" t="n">
        <f aca="false">COUNTIF(I495:T495,"C2")+COUNTIF(I495:T495,"C3")</f>
        <v>0</v>
      </c>
      <c r="Y495" s="101" t="n">
        <f aca="true">SUMPRODUCT((I495:INDEX(I495:T495,MONTH(TODAY()))="X")*1)</f>
        <v>0</v>
      </c>
      <c r="Z495" s="104" t="n">
        <f aca="false">IFERROR(V495/U495,"")</f>
        <v>0.5</v>
      </c>
    </row>
    <row r="496" customFormat="false" ht="15" hidden="false" customHeight="true" outlineLevel="0" collapsed="false">
      <c r="A496" s="100" t="str">
        <f aca="false">Equipos!C494</f>
        <v>2-111945</v>
      </c>
      <c r="B496" s="101" t="str">
        <f aca="false">Equipos!D494</f>
        <v>Monitor Multiparámetros</v>
      </c>
      <c r="C496" s="101" t="str">
        <f aca="false">Equipos!E494</f>
        <v>Hemato Oncología Adulto</v>
      </c>
      <c r="D496" s="101" t="str">
        <f aca="false">Equipos!G494</f>
        <v>EPB-P5-SA10</v>
      </c>
      <c r="E496" s="101" t="str">
        <f aca="false">Equipos!I494</f>
        <v>Nihon Kohden </v>
      </c>
      <c r="F496" s="101" t="str">
        <f aca="false">Equipos!J494</f>
        <v>BSM-6301K</v>
      </c>
      <c r="G496" s="100" t="str">
        <f aca="false">Equipos!K494</f>
        <v>1063</v>
      </c>
      <c r="H496" s="101"/>
      <c r="I496" s="102"/>
      <c r="J496" s="102"/>
      <c r="K496" s="103" t="s">
        <v>330</v>
      </c>
      <c r="L496" s="103" t="s">
        <v>328</v>
      </c>
      <c r="M496" s="102"/>
      <c r="N496" s="102"/>
      <c r="O496" s="102"/>
      <c r="P496" s="102"/>
      <c r="Q496" s="102"/>
      <c r="R496" s="102"/>
      <c r="S496" s="102"/>
      <c r="T496" s="102"/>
      <c r="U496" s="101" t="n">
        <f aca="false">V496+W496+X496+COUNTIF(I496:T496,"R")</f>
        <v>2</v>
      </c>
      <c r="V496" s="101" t="n">
        <f aca="false">COUNTIF(I496:T496,"E")</f>
        <v>1</v>
      </c>
      <c r="W496" s="101" t="n">
        <f aca="false">COUNTIF(I496:T496,"X")</f>
        <v>0</v>
      </c>
      <c r="X496" s="101" t="n">
        <f aca="false">COUNTIF(I496:T496,"C2")+COUNTIF(I496:T496,"C3")</f>
        <v>0</v>
      </c>
      <c r="Y496" s="101" t="n">
        <f aca="true">SUMPRODUCT((I496:INDEX(I496:T496,MONTH(TODAY()))="X")*1)</f>
        <v>0</v>
      </c>
      <c r="Z496" s="104" t="n">
        <f aca="false">IFERROR(V496/U496,"")</f>
        <v>0.5</v>
      </c>
    </row>
    <row r="497" customFormat="false" ht="15" hidden="false" customHeight="true" outlineLevel="0" collapsed="false">
      <c r="A497" s="100" t="str">
        <f aca="false">Equipos!C495</f>
        <v>2-002849</v>
      </c>
      <c r="B497" s="101" t="str">
        <f aca="false">Equipos!D495</f>
        <v>Monitor Multiparámetros</v>
      </c>
      <c r="C497" s="101" t="str">
        <f aca="false">Equipos!E495</f>
        <v>Hemato Oncología Adulto</v>
      </c>
      <c r="D497" s="101" t="str">
        <f aca="false">Equipos!G495</f>
        <v>EPB-P5-SA13</v>
      </c>
      <c r="E497" s="101" t="str">
        <f aca="false">Equipos!I495</f>
        <v>Nihon Kohden </v>
      </c>
      <c r="F497" s="101" t="str">
        <f aca="false">Equipos!J495</f>
        <v>BSM-6301K</v>
      </c>
      <c r="G497" s="100" t="str">
        <f aca="false">Equipos!K495</f>
        <v>1043</v>
      </c>
      <c r="H497" s="101"/>
      <c r="I497" s="102"/>
      <c r="J497" s="102"/>
      <c r="K497" s="103" t="s">
        <v>330</v>
      </c>
      <c r="L497" s="103" t="s">
        <v>328</v>
      </c>
      <c r="M497" s="102"/>
      <c r="N497" s="102"/>
      <c r="O497" s="102"/>
      <c r="P497" s="102"/>
      <c r="Q497" s="102"/>
      <c r="R497" s="102"/>
      <c r="S497" s="102"/>
      <c r="T497" s="102"/>
      <c r="U497" s="101" t="n">
        <f aca="false">V497+W497+X497+COUNTIF(I497:T497,"R")</f>
        <v>2</v>
      </c>
      <c r="V497" s="101" t="n">
        <f aca="false">COUNTIF(I497:T497,"E")</f>
        <v>1</v>
      </c>
      <c r="W497" s="101" t="n">
        <f aca="false">COUNTIF(I497:T497,"X")</f>
        <v>0</v>
      </c>
      <c r="X497" s="101" t="n">
        <f aca="false">COUNTIF(I497:T497,"C2")+COUNTIF(I497:T497,"C3")</f>
        <v>0</v>
      </c>
      <c r="Y497" s="101" t="n">
        <f aca="true">SUMPRODUCT((I497:INDEX(I497:T497,MONTH(TODAY()))="X")*1)</f>
        <v>0</v>
      </c>
      <c r="Z497" s="104" t="n">
        <f aca="false">IFERROR(V497/U497,"")</f>
        <v>0.5</v>
      </c>
    </row>
    <row r="498" customFormat="false" ht="15" hidden="false" customHeight="true" outlineLevel="0" collapsed="false">
      <c r="A498" s="100" t="str">
        <f aca="false">Equipos!C496</f>
        <v>2-111950</v>
      </c>
      <c r="B498" s="101" t="str">
        <f aca="false">Equipos!D496</f>
        <v>Monitor Multiparámetros</v>
      </c>
      <c r="C498" s="101" t="str">
        <f aca="false">Equipos!E496</f>
        <v>Quimioterapia Ambulatoria Adulto</v>
      </c>
      <c r="D498" s="101" t="str">
        <f aca="false">Equipos!G496</f>
        <v>Sala de Procedimientos</v>
      </c>
      <c r="E498" s="101" t="str">
        <f aca="false">Equipos!I496</f>
        <v>Criticare </v>
      </c>
      <c r="F498" s="101" t="str">
        <f aca="false">Equipos!J496</f>
        <v>8100E-S</v>
      </c>
      <c r="G498" s="100" t="str">
        <f aca="false">Equipos!K496</f>
        <v>212726117</v>
      </c>
      <c r="H498" s="101"/>
      <c r="I498" s="102"/>
      <c r="J498" s="102"/>
      <c r="K498" s="103" t="s">
        <v>330</v>
      </c>
      <c r="L498" s="103" t="s">
        <v>328</v>
      </c>
      <c r="M498" s="102"/>
      <c r="N498" s="102"/>
      <c r="O498" s="102"/>
      <c r="P498" s="102"/>
      <c r="Q498" s="102"/>
      <c r="R498" s="102"/>
      <c r="S498" s="102"/>
      <c r="T498" s="102"/>
      <c r="U498" s="101" t="n">
        <f aca="false">V498+W498+X498+COUNTIF(I498:T498,"R")</f>
        <v>2</v>
      </c>
      <c r="V498" s="101" t="n">
        <f aca="false">COUNTIF(I498:T498,"E")</f>
        <v>1</v>
      </c>
      <c r="W498" s="101" t="n">
        <f aca="false">COUNTIF(I498:T498,"X")</f>
        <v>0</v>
      </c>
      <c r="X498" s="101" t="n">
        <f aca="false">COUNTIF(I498:T498,"C2")+COUNTIF(I498:T498,"C3")</f>
        <v>0</v>
      </c>
      <c r="Y498" s="101" t="n">
        <f aca="true">SUMPRODUCT((I498:INDEX(I498:T498,MONTH(TODAY()))="X")*1)</f>
        <v>0</v>
      </c>
      <c r="Z498" s="104" t="n">
        <f aca="false">IFERROR(V498/U498,"")</f>
        <v>0.5</v>
      </c>
    </row>
    <row r="499" customFormat="false" ht="15" hidden="false" customHeight="true" outlineLevel="0" collapsed="false">
      <c r="A499" s="100" t="str">
        <f aca="false">Equipos!C497</f>
        <v>2-013337</v>
      </c>
      <c r="B499" s="101" t="str">
        <f aca="false">Equipos!D497</f>
        <v>Monitor Multiparámetros</v>
      </c>
      <c r="C499" s="101" t="str">
        <f aca="false">Equipos!E497</f>
        <v>Neurocirugía</v>
      </c>
      <c r="D499" s="101" t="str">
        <f aca="false">Equipos!G497</f>
        <v>Cama 298-2</v>
      </c>
      <c r="E499" s="101" t="str">
        <f aca="false">Equipos!I497</f>
        <v>Drager </v>
      </c>
      <c r="F499" s="101" t="str">
        <f aca="false">Equipos!J497</f>
        <v>Infinity Vista XL </v>
      </c>
      <c r="G499" s="100" t="str">
        <f aca="false">Equipos!K497</f>
        <v>6001128079</v>
      </c>
      <c r="H499" s="101"/>
      <c r="I499" s="102"/>
      <c r="J499" s="102"/>
      <c r="K499" s="103" t="s">
        <v>330</v>
      </c>
      <c r="L499" s="103" t="s">
        <v>328</v>
      </c>
      <c r="M499" s="102"/>
      <c r="N499" s="102"/>
      <c r="O499" s="102"/>
      <c r="P499" s="102"/>
      <c r="Q499" s="102"/>
      <c r="R499" s="102"/>
      <c r="S499" s="102"/>
      <c r="T499" s="102"/>
      <c r="U499" s="101" t="n">
        <f aca="false">V499+W499+X499+COUNTIF(I499:T499,"R")</f>
        <v>2</v>
      </c>
      <c r="V499" s="101" t="n">
        <f aca="false">COUNTIF(I499:T499,"E")</f>
        <v>1</v>
      </c>
      <c r="W499" s="101" t="n">
        <f aca="false">COUNTIF(I499:T499,"X")</f>
        <v>0</v>
      </c>
      <c r="X499" s="101" t="n">
        <f aca="false">COUNTIF(I499:T499,"C2")+COUNTIF(I499:T499,"C3")</f>
        <v>0</v>
      </c>
      <c r="Y499" s="101" t="n">
        <f aca="true">SUMPRODUCT((I499:INDEX(I499:T499,MONTH(TODAY()))="X")*1)</f>
        <v>0</v>
      </c>
      <c r="Z499" s="104" t="n">
        <f aca="false">IFERROR(V499/U499,"")</f>
        <v>0.5</v>
      </c>
    </row>
    <row r="500" customFormat="false" ht="15" hidden="false" customHeight="true" outlineLevel="0" collapsed="false">
      <c r="A500" s="100" t="str">
        <f aca="false">Equipos!C498</f>
        <v>2-013336</v>
      </c>
      <c r="B500" s="101" t="str">
        <f aca="false">Equipos!D498</f>
        <v>Monitor Multiparámetros</v>
      </c>
      <c r="C500" s="101" t="str">
        <f aca="false">Equipos!E498</f>
        <v>Neurocirugía</v>
      </c>
      <c r="D500" s="101" t="str">
        <f aca="false">Equipos!G498</f>
        <v>Cama 298-1</v>
      </c>
      <c r="E500" s="101" t="str">
        <f aca="false">Equipos!I498</f>
        <v>Drager </v>
      </c>
      <c r="F500" s="101" t="str">
        <f aca="false">Equipos!J498</f>
        <v>Infinity Vista XL </v>
      </c>
      <c r="G500" s="100" t="str">
        <f aca="false">Equipos!K498</f>
        <v>6001029471</v>
      </c>
      <c r="H500" s="101"/>
      <c r="I500" s="102"/>
      <c r="J500" s="102"/>
      <c r="K500" s="103" t="s">
        <v>330</v>
      </c>
      <c r="L500" s="103" t="s">
        <v>328</v>
      </c>
      <c r="M500" s="102"/>
      <c r="N500" s="102"/>
      <c r="O500" s="102"/>
      <c r="P500" s="102"/>
      <c r="Q500" s="102"/>
      <c r="R500" s="102"/>
      <c r="S500" s="102"/>
      <c r="T500" s="102"/>
      <c r="U500" s="101" t="n">
        <f aca="false">V500+W500+X500+COUNTIF(I500:T500,"R")</f>
        <v>2</v>
      </c>
      <c r="V500" s="101" t="n">
        <f aca="false">COUNTIF(I500:T500,"E")</f>
        <v>1</v>
      </c>
      <c r="W500" s="101" t="n">
        <f aca="false">COUNTIF(I500:T500,"X")</f>
        <v>0</v>
      </c>
      <c r="X500" s="101" t="n">
        <f aca="false">COUNTIF(I500:T500,"C2")+COUNTIF(I500:T500,"C3")</f>
        <v>0</v>
      </c>
      <c r="Y500" s="101" t="n">
        <f aca="true">SUMPRODUCT((I500:INDEX(I500:T500,MONTH(TODAY()))="X")*1)</f>
        <v>0</v>
      </c>
      <c r="Z500" s="104" t="n">
        <f aca="false">IFERROR(V500/U500,"")</f>
        <v>0.5</v>
      </c>
    </row>
    <row r="501" customFormat="false" ht="15" hidden="false" customHeight="true" outlineLevel="0" collapsed="false">
      <c r="A501" s="100" t="str">
        <f aca="false">Equipos!C499</f>
        <v>2-013338</v>
      </c>
      <c r="B501" s="101" t="str">
        <f aca="false">Equipos!D499</f>
        <v>Monitor Multiparámetros</v>
      </c>
      <c r="C501" s="101" t="str">
        <f aca="false">Equipos!E499</f>
        <v>Neurocirugía</v>
      </c>
      <c r="D501" s="101" t="str">
        <f aca="false">Equipos!G499</f>
        <v>Cama 298-3</v>
      </c>
      <c r="E501" s="101" t="str">
        <f aca="false">Equipos!I499</f>
        <v>Drager </v>
      </c>
      <c r="F501" s="101" t="str">
        <f aca="false">Equipos!J499</f>
        <v>Infinity Vista XL </v>
      </c>
      <c r="G501" s="100" t="str">
        <f aca="false">Equipos!K499</f>
        <v>6001111685</v>
      </c>
      <c r="H501" s="101"/>
      <c r="I501" s="102"/>
      <c r="J501" s="102"/>
      <c r="K501" s="103" t="s">
        <v>328</v>
      </c>
      <c r="L501" s="102"/>
      <c r="M501" s="102"/>
      <c r="N501" s="102"/>
      <c r="O501" s="102"/>
      <c r="P501" s="102"/>
      <c r="Q501" s="102"/>
      <c r="R501" s="102"/>
      <c r="S501" s="102"/>
      <c r="T501" s="102"/>
      <c r="U501" s="101" t="n">
        <f aca="false">V501+W501+X501+COUNTIF(I501:T501,"R")</f>
        <v>1</v>
      </c>
      <c r="V501" s="101" t="n">
        <f aca="false">COUNTIF(I501:T501,"E")</f>
        <v>1</v>
      </c>
      <c r="W501" s="101" t="n">
        <f aca="false">COUNTIF(I501:T501,"X")</f>
        <v>0</v>
      </c>
      <c r="X501" s="101" t="n">
        <f aca="false">COUNTIF(I501:T501,"C2")+COUNTIF(I501:T501,"C3")</f>
        <v>0</v>
      </c>
      <c r="Y501" s="101" t="n">
        <f aca="true">SUMPRODUCT((I501:INDEX(I501:T501,MONTH(TODAY()))="X")*1)</f>
        <v>0</v>
      </c>
      <c r="Z501" s="104" t="n">
        <f aca="false">IFERROR(V501/U501,"")</f>
        <v>1</v>
      </c>
    </row>
    <row r="502" customFormat="false" ht="15" hidden="false" customHeight="true" outlineLevel="0" collapsed="false">
      <c r="A502" s="100" t="str">
        <f aca="false">Equipos!C500</f>
        <v>2-135920</v>
      </c>
      <c r="B502" s="101" t="str">
        <f aca="false">Equipos!D500</f>
        <v>Monitor Multiparámetros</v>
      </c>
      <c r="C502" s="101" t="str">
        <f aca="false">Equipos!E500</f>
        <v>TROI</v>
      </c>
      <c r="D502" s="101" t="n">
        <f aca="false">Equipos!G500</f>
        <v>0</v>
      </c>
      <c r="E502" s="101" t="str">
        <f aca="false">Equipos!I500</f>
        <v>Drager</v>
      </c>
      <c r="F502" s="101" t="str">
        <f aca="false">Equipos!J500</f>
        <v>Vista 300</v>
      </c>
      <c r="G502" s="100" t="str">
        <f aca="false">Equipos!K500</f>
        <v>VSSUM0046</v>
      </c>
      <c r="H502" s="101"/>
      <c r="I502" s="102"/>
      <c r="J502" s="102"/>
      <c r="K502" s="102"/>
      <c r="L502" s="103" t="s">
        <v>328</v>
      </c>
      <c r="M502" s="102"/>
      <c r="N502" s="102"/>
      <c r="O502" s="102"/>
      <c r="P502" s="102"/>
      <c r="Q502" s="102"/>
      <c r="R502" s="102"/>
      <c r="S502" s="102"/>
      <c r="T502" s="102"/>
      <c r="U502" s="101" t="n">
        <f aca="false">V502+W502+X502+COUNTIF(I502:T502,"R")</f>
        <v>1</v>
      </c>
      <c r="V502" s="101" t="n">
        <f aca="false">COUNTIF(I502:T502,"E")</f>
        <v>1</v>
      </c>
      <c r="W502" s="101" t="n">
        <f aca="false">COUNTIF(I502:T502,"X")</f>
        <v>0</v>
      </c>
      <c r="X502" s="101" t="n">
        <f aca="false">COUNTIF(I502:T502,"C2")+COUNTIF(I502:T502,"C3")</f>
        <v>0</v>
      </c>
      <c r="Y502" s="101" t="n">
        <f aca="true">SUMPRODUCT((I502:INDEX(I502:T502,MONTH(TODAY()))="X")*1)</f>
        <v>0</v>
      </c>
      <c r="Z502" s="104" t="n">
        <f aca="false">IFERROR(V502/U502,"")</f>
        <v>1</v>
      </c>
    </row>
    <row r="503" customFormat="false" ht="15" hidden="false" customHeight="true" outlineLevel="0" collapsed="false">
      <c r="A503" s="100" t="str">
        <f aca="false">Equipos!C501</f>
        <v>2-013334</v>
      </c>
      <c r="B503" s="101" t="str">
        <f aca="false">Equipos!D501</f>
        <v>Monitor Multiparámetros</v>
      </c>
      <c r="C503" s="101" t="str">
        <f aca="false">Equipos!E501</f>
        <v>Neurocirugía</v>
      </c>
      <c r="D503" s="101" t="str">
        <f aca="false">Equipos!G501</f>
        <v>Cama 299-2</v>
      </c>
      <c r="E503" s="101" t="str">
        <f aca="false">Equipos!I501</f>
        <v>Drager </v>
      </c>
      <c r="F503" s="101" t="str">
        <f aca="false">Equipos!J501</f>
        <v>Infinity Vista </v>
      </c>
      <c r="G503" s="100" t="str">
        <f aca="false">Equipos!K501</f>
        <v>6001123877</v>
      </c>
      <c r="H503" s="101"/>
      <c r="I503" s="102"/>
      <c r="J503" s="102"/>
      <c r="K503" s="103" t="s">
        <v>328</v>
      </c>
      <c r="L503" s="102"/>
      <c r="M503" s="102"/>
      <c r="N503" s="102"/>
      <c r="O503" s="102"/>
      <c r="P503" s="102"/>
      <c r="Q503" s="102"/>
      <c r="R503" s="102"/>
      <c r="S503" s="102"/>
      <c r="T503" s="102"/>
      <c r="U503" s="101" t="n">
        <f aca="false">V503+W503+X503+COUNTIF(I503:T503,"R")</f>
        <v>1</v>
      </c>
      <c r="V503" s="101" t="n">
        <f aca="false">COUNTIF(I503:T503,"E")</f>
        <v>1</v>
      </c>
      <c r="W503" s="101" t="n">
        <f aca="false">COUNTIF(I503:T503,"X")</f>
        <v>0</v>
      </c>
      <c r="X503" s="101" t="n">
        <f aca="false">COUNTIF(I503:T503,"C2")+COUNTIF(I503:T503,"C3")</f>
        <v>0</v>
      </c>
      <c r="Y503" s="101" t="n">
        <f aca="true">SUMPRODUCT((I503:INDEX(I503:T503,MONTH(TODAY()))="X")*1)</f>
        <v>0</v>
      </c>
      <c r="Z503" s="104" t="n">
        <f aca="false">IFERROR(V503/U503,"")</f>
        <v>1</v>
      </c>
    </row>
    <row r="504" customFormat="false" ht="15" hidden="false" customHeight="true" outlineLevel="0" collapsed="false">
      <c r="A504" s="100" t="str">
        <f aca="false">Equipos!C502</f>
        <v>2-116509</v>
      </c>
      <c r="B504" s="101" t="str">
        <f aca="false">Equipos!D502</f>
        <v>Monitor Multiparámetros</v>
      </c>
      <c r="C504" s="101" t="str">
        <f aca="false">Equipos!E502</f>
        <v>UPC Pediátrica</v>
      </c>
      <c r="D504" s="101" t="str">
        <f aca="false">Equipos!G502</f>
        <v>Cama 8</v>
      </c>
      <c r="E504" s="101" t="str">
        <f aca="false">Equipos!I502</f>
        <v>SPACELABS HEALTHCARE</v>
      </c>
      <c r="F504" s="101" t="str">
        <f aca="false">Equipos!J502</f>
        <v>XPREZZON</v>
      </c>
      <c r="G504" s="100" t="str">
        <f aca="false">Equipos!K502</f>
        <v>1393-109300</v>
      </c>
      <c r="H504" s="101"/>
      <c r="I504" s="103" t="s">
        <v>330</v>
      </c>
      <c r="J504" s="103" t="s">
        <v>328</v>
      </c>
      <c r="K504" s="102"/>
      <c r="L504" s="102"/>
      <c r="M504" s="102"/>
      <c r="N504" s="102"/>
      <c r="O504" s="102"/>
      <c r="P504" s="102"/>
      <c r="Q504" s="102"/>
      <c r="R504" s="102"/>
      <c r="S504" s="102"/>
      <c r="T504" s="102"/>
      <c r="U504" s="101" t="n">
        <f aca="false">V504+W504+X504+COUNTIF(I504:T504,"R")</f>
        <v>2</v>
      </c>
      <c r="V504" s="101" t="n">
        <f aca="false">COUNTIF(I504:T504,"E")</f>
        <v>1</v>
      </c>
      <c r="W504" s="101" t="n">
        <f aca="false">COUNTIF(I504:T504,"X")</f>
        <v>0</v>
      </c>
      <c r="X504" s="101" t="n">
        <f aca="false">COUNTIF(I504:T504,"C2")+COUNTIF(I504:T504,"C3")</f>
        <v>0</v>
      </c>
      <c r="Y504" s="101" t="n">
        <f aca="true">SUMPRODUCT((I504:INDEX(I504:T504,MONTH(TODAY()))="X")*1)</f>
        <v>0</v>
      </c>
      <c r="Z504" s="104" t="n">
        <f aca="false">IFERROR(V504/U504,"")</f>
        <v>0.5</v>
      </c>
    </row>
    <row r="505" customFormat="false" ht="15" hidden="false" customHeight="true" outlineLevel="0" collapsed="false">
      <c r="A505" s="100" t="str">
        <f aca="false">Equipos!C503</f>
        <v>2-007695</v>
      </c>
      <c r="B505" s="101" t="str">
        <f aca="false">Equipos!D503</f>
        <v>Monitor Multiparámetros</v>
      </c>
      <c r="C505" s="101" t="str">
        <f aca="false">Equipos!E503</f>
        <v>Cirugía Adulto</v>
      </c>
      <c r="D505" s="101" t="str">
        <f aca="false">Equipos!G503</f>
        <v>EPC</v>
      </c>
      <c r="E505" s="101" t="str">
        <f aca="false">Equipos!I503</f>
        <v>Nihon Kohden </v>
      </c>
      <c r="F505" s="101" t="str">
        <f aca="false">Equipos!J503</f>
        <v>BSM-6301K</v>
      </c>
      <c r="G505" s="100" t="str">
        <f aca="false">Equipos!K503</f>
        <v>1041</v>
      </c>
      <c r="H505" s="101"/>
      <c r="I505" s="102"/>
      <c r="J505" s="102"/>
      <c r="K505" s="102"/>
      <c r="L505" s="102"/>
      <c r="M505" s="103" t="s">
        <v>329</v>
      </c>
      <c r="N505" s="102"/>
      <c r="O505" s="102"/>
      <c r="P505" s="102"/>
      <c r="Q505" s="102"/>
      <c r="R505" s="102"/>
      <c r="S505" s="102"/>
      <c r="T505" s="102"/>
      <c r="U505" s="101" t="n">
        <f aca="false">V505+W505+X505+COUNTIF(I505:T505,"R")</f>
        <v>1</v>
      </c>
      <c r="V505" s="101" t="n">
        <f aca="false">COUNTIF(I505:T505,"E")</f>
        <v>0</v>
      </c>
      <c r="W505" s="101" t="n">
        <f aca="false">COUNTIF(I505:T505,"X")</f>
        <v>1</v>
      </c>
      <c r="X505" s="101" t="n">
        <f aca="false">COUNTIF(I505:T505,"C2")+COUNTIF(I505:T505,"C3")</f>
        <v>0</v>
      </c>
      <c r="Y505" s="101" t="n">
        <f aca="true">SUMPRODUCT((I505:INDEX(I505:T505,MONTH(TODAY()))="X")*1)</f>
        <v>1</v>
      </c>
      <c r="Z505" s="104" t="n">
        <f aca="false">IFERROR(V505/U505,"")</f>
        <v>0</v>
      </c>
    </row>
    <row r="506" customFormat="false" ht="15" hidden="false" customHeight="true" outlineLevel="0" collapsed="false">
      <c r="A506" s="100" t="str">
        <f aca="false">Equipos!C504</f>
        <v>2-003579</v>
      </c>
      <c r="B506" s="101" t="str">
        <f aca="false">Equipos!D504</f>
        <v>Monitor Multiparámetros</v>
      </c>
      <c r="C506" s="101" t="str">
        <f aca="false">Equipos!E504</f>
        <v>Cirugía Adulto</v>
      </c>
      <c r="D506" s="101" t="str">
        <f aca="false">Equipos!G504</f>
        <v>EPC</v>
      </c>
      <c r="E506" s="101" t="str">
        <f aca="false">Equipos!I504</f>
        <v>Nihon Kohden </v>
      </c>
      <c r="F506" s="101" t="str">
        <f aca="false">Equipos!J504</f>
        <v>BSM-6301K</v>
      </c>
      <c r="G506" s="100" t="str">
        <f aca="false">Equipos!K504</f>
        <v>1049</v>
      </c>
      <c r="H506" s="101"/>
      <c r="I506" s="102"/>
      <c r="J506" s="102"/>
      <c r="K506" s="102"/>
      <c r="L506" s="102"/>
      <c r="M506" s="103" t="s">
        <v>329</v>
      </c>
      <c r="N506" s="102"/>
      <c r="O506" s="102"/>
      <c r="P506" s="102"/>
      <c r="Q506" s="102"/>
      <c r="R506" s="102"/>
      <c r="S506" s="102"/>
      <c r="T506" s="102"/>
      <c r="U506" s="101" t="n">
        <f aca="false">V506+W506+X506+COUNTIF(I506:T506,"R")</f>
        <v>1</v>
      </c>
      <c r="V506" s="101" t="n">
        <f aca="false">COUNTIF(I506:T506,"E")</f>
        <v>0</v>
      </c>
      <c r="W506" s="101" t="n">
        <f aca="false">COUNTIF(I506:T506,"X")</f>
        <v>1</v>
      </c>
      <c r="X506" s="101" t="n">
        <f aca="false">COUNTIF(I506:T506,"C2")+COUNTIF(I506:T506,"C3")</f>
        <v>0</v>
      </c>
      <c r="Y506" s="101" t="n">
        <f aca="true">SUMPRODUCT((I506:INDEX(I506:T506,MONTH(TODAY()))="X")*1)</f>
        <v>1</v>
      </c>
      <c r="Z506" s="104" t="n">
        <f aca="false">IFERROR(V506/U506,"")</f>
        <v>0</v>
      </c>
    </row>
    <row r="507" customFormat="false" ht="15" hidden="false" customHeight="true" outlineLevel="0" collapsed="false">
      <c r="A507" s="100" t="str">
        <f aca="false">Equipos!C505</f>
        <v>2-003577</v>
      </c>
      <c r="B507" s="101" t="str">
        <f aca="false">Equipos!D505</f>
        <v>Monitor Multiparámetros</v>
      </c>
      <c r="C507" s="101" t="str">
        <f aca="false">Equipos!E505</f>
        <v>Cirugía Adulto</v>
      </c>
      <c r="D507" s="101" t="str">
        <f aca="false">Equipos!G505</f>
        <v>EPC</v>
      </c>
      <c r="E507" s="101" t="str">
        <f aca="false">Equipos!I505</f>
        <v>Nihon Kohden </v>
      </c>
      <c r="F507" s="101" t="str">
        <f aca="false">Equipos!J505</f>
        <v>BSM-6301K</v>
      </c>
      <c r="G507" s="100" t="str">
        <f aca="false">Equipos!K505</f>
        <v>1055</v>
      </c>
      <c r="H507" s="101"/>
      <c r="I507" s="102"/>
      <c r="J507" s="102"/>
      <c r="K507" s="102"/>
      <c r="L507" s="102"/>
      <c r="M507" s="103" t="s">
        <v>329</v>
      </c>
      <c r="N507" s="102"/>
      <c r="O507" s="102"/>
      <c r="P507" s="102"/>
      <c r="Q507" s="102"/>
      <c r="R507" s="102"/>
      <c r="S507" s="102"/>
      <c r="T507" s="102"/>
      <c r="U507" s="101" t="n">
        <f aca="false">V507+W507+X507+COUNTIF(I507:T507,"R")</f>
        <v>1</v>
      </c>
      <c r="V507" s="101" t="n">
        <f aca="false">COUNTIF(I507:T507,"E")</f>
        <v>0</v>
      </c>
      <c r="W507" s="101" t="n">
        <f aca="false">COUNTIF(I507:T507,"X")</f>
        <v>1</v>
      </c>
      <c r="X507" s="101" t="n">
        <f aca="false">COUNTIF(I507:T507,"C2")+COUNTIF(I507:T507,"C3")</f>
        <v>0</v>
      </c>
      <c r="Y507" s="101" t="n">
        <f aca="true">SUMPRODUCT((I507:INDEX(I507:T507,MONTH(TODAY()))="X")*1)</f>
        <v>1</v>
      </c>
      <c r="Z507" s="104" t="n">
        <f aca="false">IFERROR(V507/U507,"")</f>
        <v>0</v>
      </c>
    </row>
    <row r="508" customFormat="false" ht="15" hidden="false" customHeight="true" outlineLevel="0" collapsed="false">
      <c r="A508" s="100" t="str">
        <f aca="false">Equipos!C506</f>
        <v>2-007631</v>
      </c>
      <c r="B508" s="101" t="str">
        <f aca="false">Equipos!D506</f>
        <v>Monitor Multiparámetros</v>
      </c>
      <c r="C508" s="101" t="str">
        <f aca="false">Equipos!E506</f>
        <v>Cirugía Adulto</v>
      </c>
      <c r="D508" s="101" t="str">
        <f aca="false">Equipos!G506</f>
        <v>EPB</v>
      </c>
      <c r="E508" s="101" t="str">
        <f aca="false">Equipos!I506</f>
        <v>Nihon Kohden </v>
      </c>
      <c r="F508" s="101" t="str">
        <f aca="false">Equipos!J506</f>
        <v>BSM-6301K</v>
      </c>
      <c r="G508" s="100" t="str">
        <f aca="false">Equipos!K506</f>
        <v>1057</v>
      </c>
      <c r="H508" s="101"/>
      <c r="I508" s="102"/>
      <c r="J508" s="102"/>
      <c r="K508" s="102"/>
      <c r="L508" s="102"/>
      <c r="M508" s="103" t="s">
        <v>329</v>
      </c>
      <c r="N508" s="102"/>
      <c r="O508" s="102"/>
      <c r="P508" s="102"/>
      <c r="Q508" s="102"/>
      <c r="R508" s="102"/>
      <c r="S508" s="102"/>
      <c r="T508" s="102"/>
      <c r="U508" s="101" t="n">
        <f aca="false">V508+W508+X508+COUNTIF(I508:T508,"R")</f>
        <v>1</v>
      </c>
      <c r="V508" s="101" t="n">
        <f aca="false">COUNTIF(I508:T508,"E")</f>
        <v>0</v>
      </c>
      <c r="W508" s="101" t="n">
        <f aca="false">COUNTIF(I508:T508,"X")</f>
        <v>1</v>
      </c>
      <c r="X508" s="101" t="n">
        <f aca="false">COUNTIF(I508:T508,"C2")+COUNTIF(I508:T508,"C3")</f>
        <v>0</v>
      </c>
      <c r="Y508" s="101" t="n">
        <f aca="true">SUMPRODUCT((I508:INDEX(I508:T508,MONTH(TODAY()))="X")*1)</f>
        <v>1</v>
      </c>
      <c r="Z508" s="104" t="n">
        <f aca="false">IFERROR(V508/U508,"")</f>
        <v>0</v>
      </c>
    </row>
    <row r="509" customFormat="false" ht="15" hidden="false" customHeight="true" outlineLevel="0" collapsed="false">
      <c r="A509" s="100" t="str">
        <f aca="false">Equipos!C507</f>
        <v>2-007632</v>
      </c>
      <c r="B509" s="101" t="str">
        <f aca="false">Equipos!D507</f>
        <v>Monitor Multiparámetros</v>
      </c>
      <c r="C509" s="101" t="str">
        <f aca="false">Equipos!E507</f>
        <v>Cirugía Adulto</v>
      </c>
      <c r="D509" s="101" t="str">
        <f aca="false">Equipos!G507</f>
        <v>EPB</v>
      </c>
      <c r="E509" s="101" t="str">
        <f aca="false">Equipos!I507</f>
        <v>Nihon Kohden </v>
      </c>
      <c r="F509" s="101" t="str">
        <f aca="false">Equipos!J507</f>
        <v>BSM-6301K</v>
      </c>
      <c r="G509" s="100" t="str">
        <f aca="false">Equipos!K507</f>
        <v>1065</v>
      </c>
      <c r="H509" s="101"/>
      <c r="I509" s="102"/>
      <c r="J509" s="102"/>
      <c r="K509" s="102"/>
      <c r="L509" s="102"/>
      <c r="M509" s="103" t="s">
        <v>329</v>
      </c>
      <c r="N509" s="102"/>
      <c r="O509" s="102"/>
      <c r="P509" s="102"/>
      <c r="Q509" s="102"/>
      <c r="R509" s="102"/>
      <c r="S509" s="102"/>
      <c r="T509" s="102"/>
      <c r="U509" s="101" t="n">
        <f aca="false">V509+W509+X509+COUNTIF(I509:T509,"R")</f>
        <v>1</v>
      </c>
      <c r="V509" s="101" t="n">
        <f aca="false">COUNTIF(I509:T509,"E")</f>
        <v>0</v>
      </c>
      <c r="W509" s="101" t="n">
        <f aca="false">COUNTIF(I509:T509,"X")</f>
        <v>1</v>
      </c>
      <c r="X509" s="101" t="n">
        <f aca="false">COUNTIF(I509:T509,"C2")+COUNTIF(I509:T509,"C3")</f>
        <v>0</v>
      </c>
      <c r="Y509" s="101" t="n">
        <f aca="true">SUMPRODUCT((I509:INDEX(I509:T509,MONTH(TODAY()))="X")*1)</f>
        <v>1</v>
      </c>
      <c r="Z509" s="104" t="n">
        <f aca="false">IFERROR(V509/U509,"")</f>
        <v>0</v>
      </c>
    </row>
    <row r="510" customFormat="false" ht="15" hidden="false" customHeight="true" outlineLevel="0" collapsed="false">
      <c r="A510" s="100" t="str">
        <f aca="false">Equipos!C508</f>
        <v>2-003601</v>
      </c>
      <c r="B510" s="101" t="str">
        <f aca="false">Equipos!D508</f>
        <v>Monitor Multiparámetros</v>
      </c>
      <c r="C510" s="101" t="str">
        <f aca="false">Equipos!E508</f>
        <v>Cirugía Adulto</v>
      </c>
      <c r="D510" s="101" t="str">
        <f aca="false">Equipos!G508</f>
        <v>TNB 705</v>
      </c>
      <c r="E510" s="101" t="str">
        <f aca="false">Equipos!I508</f>
        <v>Nihon Kohden </v>
      </c>
      <c r="F510" s="101" t="str">
        <f aca="false">Equipos!J508</f>
        <v>BSM-6301K</v>
      </c>
      <c r="G510" s="100" t="str">
        <f aca="false">Equipos!K508</f>
        <v>1032</v>
      </c>
      <c r="H510" s="101"/>
      <c r="I510" s="102"/>
      <c r="J510" s="102"/>
      <c r="K510" s="102"/>
      <c r="L510" s="102"/>
      <c r="M510" s="103" t="s">
        <v>329</v>
      </c>
      <c r="N510" s="102"/>
      <c r="O510" s="102"/>
      <c r="P510" s="102"/>
      <c r="Q510" s="102"/>
      <c r="R510" s="102"/>
      <c r="S510" s="102"/>
      <c r="T510" s="102"/>
      <c r="U510" s="101" t="n">
        <f aca="false">V510+W510+X510+COUNTIF(I510:T510,"R")</f>
        <v>1</v>
      </c>
      <c r="V510" s="101" t="n">
        <f aca="false">COUNTIF(I510:T510,"E")</f>
        <v>0</v>
      </c>
      <c r="W510" s="101" t="n">
        <f aca="false">COUNTIF(I510:T510,"X")</f>
        <v>1</v>
      </c>
      <c r="X510" s="101" t="n">
        <f aca="false">COUNTIF(I510:T510,"C2")+COUNTIF(I510:T510,"C3")</f>
        <v>0</v>
      </c>
      <c r="Y510" s="101" t="n">
        <f aca="true">SUMPRODUCT((I510:INDEX(I510:T510,MONTH(TODAY()))="X")*1)</f>
        <v>1</v>
      </c>
      <c r="Z510" s="104" t="n">
        <f aca="false">IFERROR(V510/U510,"")</f>
        <v>0</v>
      </c>
    </row>
    <row r="511" customFormat="false" ht="15" hidden="false" customHeight="true" outlineLevel="0" collapsed="false">
      <c r="A511" s="100" t="str">
        <f aca="false">Equipos!C509</f>
        <v>2-112423</v>
      </c>
      <c r="B511" s="101" t="str">
        <f aca="false">Equipos!D509</f>
        <v>Monitor Multiparámetros</v>
      </c>
      <c r="C511" s="101" t="str">
        <f aca="false">Equipos!E509</f>
        <v>Cirugía Adulto</v>
      </c>
      <c r="D511" s="101" t="str">
        <f aca="false">Equipos!G509</f>
        <v>TNB 709</v>
      </c>
      <c r="E511" s="101" t="str">
        <f aca="false">Equipos!I509</f>
        <v>Nihon Kohden </v>
      </c>
      <c r="F511" s="101" t="str">
        <f aca="false">Equipos!J509</f>
        <v>BSM-6301K</v>
      </c>
      <c r="G511" s="100" t="str">
        <f aca="false">Equipos!K509</f>
        <v>1053</v>
      </c>
      <c r="H511" s="101"/>
      <c r="I511" s="102"/>
      <c r="J511" s="102"/>
      <c r="K511" s="102"/>
      <c r="L511" s="102"/>
      <c r="M511" s="103" t="s">
        <v>329</v>
      </c>
      <c r="N511" s="102"/>
      <c r="O511" s="102"/>
      <c r="P511" s="102"/>
      <c r="Q511" s="102"/>
      <c r="R511" s="102"/>
      <c r="S511" s="102"/>
      <c r="T511" s="102"/>
      <c r="U511" s="101" t="n">
        <f aca="false">V511+W511+X511+COUNTIF(I511:T511,"R")</f>
        <v>1</v>
      </c>
      <c r="V511" s="101" t="n">
        <f aca="false">COUNTIF(I511:T511,"E")</f>
        <v>0</v>
      </c>
      <c r="W511" s="101" t="n">
        <f aca="false">COUNTIF(I511:T511,"X")</f>
        <v>1</v>
      </c>
      <c r="X511" s="101" t="n">
        <f aca="false">COUNTIF(I511:T511,"C2")+COUNTIF(I511:T511,"C3")</f>
        <v>0</v>
      </c>
      <c r="Y511" s="101" t="n">
        <f aca="true">SUMPRODUCT((I511:INDEX(I511:T511,MONTH(TODAY()))="X")*1)</f>
        <v>1</v>
      </c>
      <c r="Z511" s="104" t="n">
        <f aca="false">IFERROR(V511/U511,"")</f>
        <v>0</v>
      </c>
    </row>
    <row r="512" customFormat="false" ht="15" hidden="false" customHeight="true" outlineLevel="0" collapsed="false">
      <c r="A512" s="100" t="str">
        <f aca="false">Equipos!C510</f>
        <v>2-007992</v>
      </c>
      <c r="B512" s="101" t="str">
        <f aca="false">Equipos!D510</f>
        <v>Monitor Multiparámetros</v>
      </c>
      <c r="C512" s="101" t="str">
        <f aca="false">Equipos!E510</f>
        <v>Ginecología</v>
      </c>
      <c r="D512" s="101" t="n">
        <f aca="false">Equipos!G510</f>
        <v>0</v>
      </c>
      <c r="E512" s="101" t="str">
        <f aca="false">Equipos!I510</f>
        <v>Nihon Kohden </v>
      </c>
      <c r="F512" s="101" t="str">
        <f aca="false">Equipos!J510</f>
        <v>BSM-6301K</v>
      </c>
      <c r="G512" s="100" t="str">
        <f aca="false">Equipos!K510</f>
        <v>1034</v>
      </c>
      <c r="H512" s="101"/>
      <c r="I512" s="102"/>
      <c r="J512" s="102"/>
      <c r="K512" s="102"/>
      <c r="L512" s="102"/>
      <c r="M512" s="103" t="s">
        <v>329</v>
      </c>
      <c r="N512" s="102"/>
      <c r="O512" s="102"/>
      <c r="P512" s="102"/>
      <c r="Q512" s="102"/>
      <c r="R512" s="102"/>
      <c r="S512" s="102"/>
      <c r="T512" s="102"/>
      <c r="U512" s="101" t="n">
        <f aca="false">V512+W512+X512+COUNTIF(I512:T512,"R")</f>
        <v>1</v>
      </c>
      <c r="V512" s="101" t="n">
        <f aca="false">COUNTIF(I512:T512,"E")</f>
        <v>0</v>
      </c>
      <c r="W512" s="101" t="n">
        <f aca="false">COUNTIF(I512:T512,"X")</f>
        <v>1</v>
      </c>
      <c r="X512" s="101" t="n">
        <f aca="false">COUNTIF(I512:T512,"C2")+COUNTIF(I512:T512,"C3")</f>
        <v>0</v>
      </c>
      <c r="Y512" s="101" t="n">
        <f aca="true">SUMPRODUCT((I512:INDEX(I512:T512,MONTH(TODAY()))="X")*1)</f>
        <v>1</v>
      </c>
      <c r="Z512" s="104" t="n">
        <f aca="false">IFERROR(V512/U512,"")</f>
        <v>0</v>
      </c>
    </row>
    <row r="513" customFormat="false" ht="15" hidden="false" customHeight="true" outlineLevel="0" collapsed="false">
      <c r="A513" s="100" t="str">
        <f aca="false">Equipos!C511</f>
        <v>2-007991</v>
      </c>
      <c r="B513" s="101" t="str">
        <f aca="false">Equipos!D511</f>
        <v>Monitor Multiparámetros</v>
      </c>
      <c r="C513" s="101" t="str">
        <f aca="false">Equipos!E511</f>
        <v>Ginecología</v>
      </c>
      <c r="D513" s="101" t="n">
        <f aca="false">Equipos!G511</f>
        <v>0</v>
      </c>
      <c r="E513" s="101" t="str">
        <f aca="false">Equipos!I511</f>
        <v>Nihon Kohden </v>
      </c>
      <c r="F513" s="101" t="str">
        <f aca="false">Equipos!J511</f>
        <v>BSM-6301K</v>
      </c>
      <c r="G513" s="100" t="str">
        <f aca="false">Equipos!K511</f>
        <v>1050</v>
      </c>
      <c r="H513" s="101"/>
      <c r="I513" s="102"/>
      <c r="J513" s="102"/>
      <c r="K513" s="102"/>
      <c r="L513" s="102"/>
      <c r="M513" s="103" t="s">
        <v>329</v>
      </c>
      <c r="N513" s="102"/>
      <c r="O513" s="102"/>
      <c r="P513" s="102"/>
      <c r="Q513" s="102"/>
      <c r="R513" s="102"/>
      <c r="S513" s="102"/>
      <c r="T513" s="102"/>
      <c r="U513" s="101" t="n">
        <f aca="false">V513+W513+X513+COUNTIF(I513:T513,"R")</f>
        <v>1</v>
      </c>
      <c r="V513" s="101" t="n">
        <f aca="false">COUNTIF(I513:T513,"E")</f>
        <v>0</v>
      </c>
      <c r="W513" s="101" t="n">
        <f aca="false">COUNTIF(I513:T513,"X")</f>
        <v>1</v>
      </c>
      <c r="X513" s="101" t="n">
        <f aca="false">COUNTIF(I513:T513,"C2")+COUNTIF(I513:T513,"C3")</f>
        <v>0</v>
      </c>
      <c r="Y513" s="101" t="n">
        <f aca="true">SUMPRODUCT((I513:INDEX(I513:T513,MONTH(TODAY()))="X")*1)</f>
        <v>1</v>
      </c>
      <c r="Z513" s="104" t="n">
        <f aca="false">IFERROR(V513/U513,"")</f>
        <v>0</v>
      </c>
    </row>
    <row r="514" customFormat="false" ht="15" hidden="false" customHeight="true" outlineLevel="0" collapsed="false">
      <c r="A514" s="100" t="str">
        <f aca="false">Equipos!C512</f>
        <v>2-007993</v>
      </c>
      <c r="B514" s="101" t="str">
        <f aca="false">Equipos!D512</f>
        <v>Monitor Multiparámetros</v>
      </c>
      <c r="C514" s="101" t="str">
        <f aca="false">Equipos!E512</f>
        <v>Ginecología</v>
      </c>
      <c r="D514" s="101" t="n">
        <f aca="false">Equipos!G512</f>
        <v>0</v>
      </c>
      <c r="E514" s="101" t="str">
        <f aca="false">Equipos!I512</f>
        <v>Nihon Kohden </v>
      </c>
      <c r="F514" s="101" t="str">
        <f aca="false">Equipos!J512</f>
        <v>BSM-6301K</v>
      </c>
      <c r="G514" s="100" t="str">
        <f aca="false">Equipos!K512</f>
        <v>1038</v>
      </c>
      <c r="H514" s="101"/>
      <c r="I514" s="102"/>
      <c r="J514" s="102"/>
      <c r="K514" s="102"/>
      <c r="L514" s="102"/>
      <c r="M514" s="103" t="s">
        <v>329</v>
      </c>
      <c r="N514" s="102"/>
      <c r="O514" s="102"/>
      <c r="P514" s="102"/>
      <c r="Q514" s="102"/>
      <c r="R514" s="102"/>
      <c r="S514" s="102"/>
      <c r="T514" s="102"/>
      <c r="U514" s="101" t="n">
        <f aca="false">V514+W514+X514+COUNTIF(I514:T514,"R")</f>
        <v>1</v>
      </c>
      <c r="V514" s="101" t="n">
        <f aca="false">COUNTIF(I514:T514,"E")</f>
        <v>0</v>
      </c>
      <c r="W514" s="101" t="n">
        <f aca="false">COUNTIF(I514:T514,"X")</f>
        <v>1</v>
      </c>
      <c r="X514" s="101" t="n">
        <f aca="false">COUNTIF(I514:T514,"C2")+COUNTIF(I514:T514,"C3")</f>
        <v>0</v>
      </c>
      <c r="Y514" s="101" t="n">
        <f aca="true">SUMPRODUCT((I514:INDEX(I514:T514,MONTH(TODAY()))="X")*1)</f>
        <v>1</v>
      </c>
      <c r="Z514" s="104" t="n">
        <f aca="false">IFERROR(V514/U514,"")</f>
        <v>0</v>
      </c>
    </row>
    <row r="515" customFormat="false" ht="15" hidden="false" customHeight="true" outlineLevel="0" collapsed="false">
      <c r="A515" s="100" t="n">
        <f aca="false">Equipos!C513</f>
        <v>0</v>
      </c>
      <c r="B515" s="101" t="n">
        <f aca="false">Equipos!D513</f>
        <v>0</v>
      </c>
      <c r="C515" s="101" t="n">
        <f aca="false">Equipos!E513</f>
        <v>0</v>
      </c>
      <c r="D515" s="101" t="n">
        <f aca="false">Equipos!G513</f>
        <v>0</v>
      </c>
      <c r="E515" s="101" t="n">
        <f aca="false">Equipos!I513</f>
        <v>0</v>
      </c>
      <c r="F515" s="101" t="n">
        <f aca="false">Equipos!J513</f>
        <v>0</v>
      </c>
      <c r="G515" s="100" t="n">
        <f aca="false">Equipos!K513</f>
        <v>0</v>
      </c>
      <c r="H515" s="101"/>
      <c r="I515" s="102"/>
      <c r="J515" s="102"/>
      <c r="K515" s="102"/>
      <c r="L515" s="102"/>
      <c r="M515" s="102"/>
      <c r="N515" s="102"/>
      <c r="O515" s="102"/>
      <c r="P515" s="102"/>
      <c r="Q515" s="102"/>
      <c r="R515" s="102"/>
      <c r="S515" s="102"/>
      <c r="T515" s="102"/>
      <c r="U515" s="101" t="n">
        <f aca="false">V515+W515+X515+COUNTIF(I515:T515,"R")</f>
        <v>0</v>
      </c>
      <c r="V515" s="101" t="n">
        <f aca="false">COUNTIF(I515:T515,"E")</f>
        <v>0</v>
      </c>
      <c r="W515" s="101" t="n">
        <f aca="false">COUNTIF(I515:T515,"X")</f>
        <v>0</v>
      </c>
      <c r="X515" s="101" t="n">
        <f aca="false">COUNTIF(I515:T515,"C2")+COUNTIF(I515:T515,"C3")</f>
        <v>0</v>
      </c>
      <c r="Y515" s="101" t="n">
        <f aca="true">SUMPRODUCT((I515:INDEX(I515:T515,MONTH(TODAY()))="X")*1)</f>
        <v>0</v>
      </c>
      <c r="Z515" s="104" t="str">
        <f aca="false">IFERROR(V515/U515,"")</f>
        <v/>
      </c>
    </row>
    <row r="516" customFormat="false" ht="15" hidden="false" customHeight="true" outlineLevel="0" collapsed="false">
      <c r="A516" s="100" t="str">
        <f aca="false">Equipos!C514</f>
        <v>2-022179</v>
      </c>
      <c r="B516" s="101" t="str">
        <f aca="false">Equipos!D514</f>
        <v>Monitor Multiparámetros</v>
      </c>
      <c r="C516" s="101" t="str">
        <f aca="false">Equipos!E514</f>
        <v>Quimioterapia Ambulatoria Adulto</v>
      </c>
      <c r="D516" s="101" t="str">
        <f aca="false">Equipos!G514</f>
        <v>EPC-P2</v>
      </c>
      <c r="E516" s="101" t="str">
        <f aca="false">Equipos!I514</f>
        <v>Nihon Kohden </v>
      </c>
      <c r="F516" s="101" t="str">
        <f aca="false">Equipos!J514</f>
        <v>BSM-6301K</v>
      </c>
      <c r="G516" s="100" t="str">
        <f aca="false">Equipos!K514</f>
        <v>1072</v>
      </c>
      <c r="H516" s="101"/>
      <c r="I516" s="102"/>
      <c r="J516" s="102"/>
      <c r="K516" s="103" t="s">
        <v>330</v>
      </c>
      <c r="L516" s="103" t="s">
        <v>328</v>
      </c>
      <c r="M516" s="102"/>
      <c r="N516" s="102"/>
      <c r="O516" s="102"/>
      <c r="P516" s="102"/>
      <c r="Q516" s="102"/>
      <c r="R516" s="102"/>
      <c r="S516" s="102"/>
      <c r="T516" s="102"/>
      <c r="U516" s="101" t="n">
        <f aca="false">V516+W516+X516+COUNTIF(I516:T516,"R")</f>
        <v>2</v>
      </c>
      <c r="V516" s="101" t="n">
        <f aca="false">COUNTIF(I516:T516,"E")</f>
        <v>1</v>
      </c>
      <c r="W516" s="101" t="n">
        <f aca="false">COUNTIF(I516:T516,"X")</f>
        <v>0</v>
      </c>
      <c r="X516" s="101" t="n">
        <f aca="false">COUNTIF(I516:T516,"C2")+COUNTIF(I516:T516,"C3")</f>
        <v>0</v>
      </c>
      <c r="Y516" s="101" t="n">
        <f aca="true">SUMPRODUCT((I516:INDEX(I516:T516,MONTH(TODAY()))="X")*1)</f>
        <v>0</v>
      </c>
      <c r="Z516" s="104" t="n">
        <f aca="false">IFERROR(V516/U516,"")</f>
        <v>0.5</v>
      </c>
    </row>
    <row r="517" customFormat="false" ht="15" hidden="false" customHeight="true" outlineLevel="0" collapsed="false">
      <c r="A517" s="100" t="str">
        <f aca="false">Equipos!C515</f>
        <v>2-004857</v>
      </c>
      <c r="B517" s="101" t="str">
        <f aca="false">Equipos!D515</f>
        <v>Monitor Multiparámetros</v>
      </c>
      <c r="C517" s="101" t="str">
        <f aca="false">Equipos!E515</f>
        <v>Pediatría</v>
      </c>
      <c r="D517" s="101" t="str">
        <f aca="false">Equipos!G515</f>
        <v>Segunda infancia</v>
      </c>
      <c r="E517" s="101" t="str">
        <f aca="false">Equipos!I515</f>
        <v>Criticare </v>
      </c>
      <c r="F517" s="101" t="str">
        <f aca="false">Equipos!J515</f>
        <v>8100E-S</v>
      </c>
      <c r="G517" s="100" t="str">
        <f aca="false">Equipos!K515</f>
        <v>212726139</v>
      </c>
      <c r="H517" s="101"/>
      <c r="I517" s="103" t="s">
        <v>330</v>
      </c>
      <c r="J517" s="103" t="s">
        <v>328</v>
      </c>
      <c r="K517" s="102"/>
      <c r="L517" s="102"/>
      <c r="M517" s="102"/>
      <c r="N517" s="102"/>
      <c r="O517" s="102"/>
      <c r="P517" s="102"/>
      <c r="Q517" s="102"/>
      <c r="R517" s="102"/>
      <c r="S517" s="102"/>
      <c r="T517" s="102"/>
      <c r="U517" s="101" t="n">
        <f aca="false">V517+W517+X517+COUNTIF(I517:T517,"R")</f>
        <v>2</v>
      </c>
      <c r="V517" s="101" t="n">
        <f aca="false">COUNTIF(I517:T517,"E")</f>
        <v>1</v>
      </c>
      <c r="W517" s="101" t="n">
        <f aca="false">COUNTIF(I517:T517,"X")</f>
        <v>0</v>
      </c>
      <c r="X517" s="101" t="n">
        <f aca="false">COUNTIF(I517:T517,"C2")+COUNTIF(I517:T517,"C3")</f>
        <v>0</v>
      </c>
      <c r="Y517" s="101" t="n">
        <f aca="true">SUMPRODUCT((I517:INDEX(I517:T517,MONTH(TODAY()))="X")*1)</f>
        <v>0</v>
      </c>
      <c r="Z517" s="104" t="n">
        <f aca="false">IFERROR(V517/U517,"")</f>
        <v>0.5</v>
      </c>
    </row>
    <row r="518" customFormat="false" ht="15" hidden="false" customHeight="true" outlineLevel="0" collapsed="false">
      <c r="A518" s="100" t="str">
        <f aca="false">Equipos!C516</f>
        <v>2-014911</v>
      </c>
      <c r="B518" s="101" t="str">
        <f aca="false">Equipos!D516</f>
        <v>Monitor Multiparámetros</v>
      </c>
      <c r="C518" s="101" t="str">
        <f aca="false">Equipos!E516</f>
        <v>Pediatría</v>
      </c>
      <c r="D518" s="101" t="str">
        <f aca="false">Equipos!G516</f>
        <v>Lactantes</v>
      </c>
      <c r="E518" s="101" t="str">
        <f aca="false">Equipos!I516</f>
        <v>Criticare </v>
      </c>
      <c r="F518" s="101" t="str">
        <f aca="false">Equipos!J516</f>
        <v>8100E-S</v>
      </c>
      <c r="G518" s="100" t="str">
        <f aca="false">Equipos!K516</f>
        <v>212726134</v>
      </c>
      <c r="H518" s="101"/>
      <c r="I518" s="103" t="s">
        <v>330</v>
      </c>
      <c r="J518" s="103" t="s">
        <v>328</v>
      </c>
      <c r="K518" s="102"/>
      <c r="L518" s="102"/>
      <c r="M518" s="102"/>
      <c r="N518" s="102"/>
      <c r="O518" s="102"/>
      <c r="P518" s="102"/>
      <c r="Q518" s="102"/>
      <c r="R518" s="102"/>
      <c r="S518" s="102"/>
      <c r="T518" s="102"/>
      <c r="U518" s="101" t="n">
        <f aca="false">V518+W518+X518+COUNTIF(I518:T518,"R")</f>
        <v>2</v>
      </c>
      <c r="V518" s="101" t="n">
        <f aca="false">COUNTIF(I518:T518,"E")</f>
        <v>1</v>
      </c>
      <c r="W518" s="101" t="n">
        <f aca="false">COUNTIF(I518:T518,"X")</f>
        <v>0</v>
      </c>
      <c r="X518" s="101" t="n">
        <f aca="false">COUNTIF(I518:T518,"C2")+COUNTIF(I518:T518,"C3")</f>
        <v>0</v>
      </c>
      <c r="Y518" s="101" t="n">
        <f aca="true">SUMPRODUCT((I518:INDEX(I518:T518,MONTH(TODAY()))="X")*1)</f>
        <v>0</v>
      </c>
      <c r="Z518" s="104" t="n">
        <f aca="false">IFERROR(V518/U518,"")</f>
        <v>0.5</v>
      </c>
    </row>
    <row r="519" customFormat="false" ht="15" hidden="false" customHeight="true" outlineLevel="0" collapsed="false">
      <c r="A519" s="100" t="str">
        <f aca="false">Equipos!C517</f>
        <v>2-014718</v>
      </c>
      <c r="B519" s="101" t="str">
        <f aca="false">Equipos!D517</f>
        <v>Monitor Multiparámetros</v>
      </c>
      <c r="C519" s="101" t="str">
        <f aca="false">Equipos!E517</f>
        <v>Pediatría</v>
      </c>
      <c r="D519" s="101" t="str">
        <f aca="false">Equipos!G517</f>
        <v>Segunda infancia</v>
      </c>
      <c r="E519" s="101" t="str">
        <f aca="false">Equipos!I517</f>
        <v>Nihon Kohden </v>
      </c>
      <c r="F519" s="101" t="str">
        <f aca="false">Equipos!J517</f>
        <v>BSM-6301K</v>
      </c>
      <c r="G519" s="100" t="str">
        <f aca="false">Equipos!K517</f>
        <v>1062</v>
      </c>
      <c r="H519" s="101"/>
      <c r="I519" s="103" t="s">
        <v>330</v>
      </c>
      <c r="J519" s="103" t="s">
        <v>328</v>
      </c>
      <c r="K519" s="102"/>
      <c r="L519" s="102"/>
      <c r="M519" s="102"/>
      <c r="N519" s="102"/>
      <c r="O519" s="102"/>
      <c r="P519" s="102"/>
      <c r="Q519" s="102"/>
      <c r="R519" s="102"/>
      <c r="S519" s="102"/>
      <c r="T519" s="102"/>
      <c r="U519" s="101" t="n">
        <f aca="false">V519+W519+X519+COUNTIF(I519:T519,"R")</f>
        <v>2</v>
      </c>
      <c r="V519" s="101" t="n">
        <f aca="false">COUNTIF(I519:T519,"E")</f>
        <v>1</v>
      </c>
      <c r="W519" s="101" t="n">
        <f aca="false">COUNTIF(I519:T519,"X")</f>
        <v>0</v>
      </c>
      <c r="X519" s="101" t="n">
        <f aca="false">COUNTIF(I519:T519,"C2")+COUNTIF(I519:T519,"C3")</f>
        <v>0</v>
      </c>
      <c r="Y519" s="101" t="n">
        <f aca="true">SUMPRODUCT((I519:INDEX(I519:T519,MONTH(TODAY()))="X")*1)</f>
        <v>0</v>
      </c>
      <c r="Z519" s="104" t="n">
        <f aca="false">IFERROR(V519/U519,"")</f>
        <v>0.5</v>
      </c>
    </row>
    <row r="520" customFormat="false" ht="15" hidden="false" customHeight="true" outlineLevel="0" collapsed="false">
      <c r="A520" s="100" t="str">
        <f aca="false">Equipos!C518</f>
        <v>2-004772</v>
      </c>
      <c r="B520" s="101" t="str">
        <f aca="false">Equipos!D518</f>
        <v>Monitor Multiparámetros</v>
      </c>
      <c r="C520" s="101" t="str">
        <f aca="false">Equipos!E518</f>
        <v>Pediatría</v>
      </c>
      <c r="D520" s="101" t="str">
        <f aca="false">Equipos!G518</f>
        <v>Oncología Pediátrica</v>
      </c>
      <c r="E520" s="101" t="str">
        <f aca="false">Equipos!I518</f>
        <v>Criticare </v>
      </c>
      <c r="F520" s="101" t="str">
        <f aca="false">Equipos!J518</f>
        <v>8100E-S</v>
      </c>
      <c r="G520" s="100" t="str">
        <f aca="false">Equipos!K518</f>
        <v>212726126</v>
      </c>
      <c r="H520" s="101"/>
      <c r="I520" s="103" t="s">
        <v>330</v>
      </c>
      <c r="J520" s="103" t="s">
        <v>328</v>
      </c>
      <c r="K520" s="102"/>
      <c r="L520" s="102"/>
      <c r="M520" s="102"/>
      <c r="N520" s="102"/>
      <c r="O520" s="102"/>
      <c r="P520" s="102"/>
      <c r="Q520" s="102"/>
      <c r="R520" s="102"/>
      <c r="S520" s="102"/>
      <c r="T520" s="102"/>
      <c r="U520" s="101" t="n">
        <f aca="false">V520+W520+X520+COUNTIF(I520:T520,"R")</f>
        <v>2</v>
      </c>
      <c r="V520" s="101" t="n">
        <f aca="false">COUNTIF(I520:T520,"E")</f>
        <v>1</v>
      </c>
      <c r="W520" s="101" t="n">
        <f aca="false">COUNTIF(I520:T520,"X")</f>
        <v>0</v>
      </c>
      <c r="X520" s="101" t="n">
        <f aca="false">COUNTIF(I520:T520,"C2")+COUNTIF(I520:T520,"C3")</f>
        <v>0</v>
      </c>
      <c r="Y520" s="101" t="n">
        <f aca="true">SUMPRODUCT((I520:INDEX(I520:T520,MONTH(TODAY()))="X")*1)</f>
        <v>0</v>
      </c>
      <c r="Z520" s="104" t="n">
        <f aca="false">IFERROR(V520/U520,"")</f>
        <v>0.5</v>
      </c>
    </row>
    <row r="521" customFormat="false" ht="15" hidden="false" customHeight="true" outlineLevel="0" collapsed="false">
      <c r="A521" s="100" t="str">
        <f aca="false">Equipos!C519</f>
        <v>2-014981</v>
      </c>
      <c r="B521" s="101" t="str">
        <f aca="false">Equipos!D519</f>
        <v>Monitor Multiparámetros</v>
      </c>
      <c r="C521" s="101" t="str">
        <f aca="false">Equipos!E519</f>
        <v>Cirugía Infantil</v>
      </c>
      <c r="D521" s="101" t="str">
        <f aca="false">Equipos!G519</f>
        <v>Cirugía infantil 624-628</v>
      </c>
      <c r="E521" s="101" t="str">
        <f aca="false">Equipos!I519</f>
        <v>Nihon Kohden </v>
      </c>
      <c r="F521" s="101" t="str">
        <f aca="false">Equipos!J519</f>
        <v>BSM-6301K</v>
      </c>
      <c r="G521" s="100" t="str">
        <f aca="false">Equipos!K519</f>
        <v>1030</v>
      </c>
      <c r="H521" s="101"/>
      <c r="I521" s="103" t="s">
        <v>330</v>
      </c>
      <c r="J521" s="103" t="s">
        <v>328</v>
      </c>
      <c r="K521" s="102"/>
      <c r="L521" s="102"/>
      <c r="M521" s="102"/>
      <c r="N521" s="102"/>
      <c r="O521" s="102"/>
      <c r="P521" s="102"/>
      <c r="Q521" s="102"/>
      <c r="R521" s="102"/>
      <c r="S521" s="102"/>
      <c r="T521" s="102"/>
      <c r="U521" s="101" t="n">
        <f aca="false">V521+W521+X521+COUNTIF(I521:T521,"R")</f>
        <v>2</v>
      </c>
      <c r="V521" s="101" t="n">
        <f aca="false">COUNTIF(I521:T521,"E")</f>
        <v>1</v>
      </c>
      <c r="W521" s="101" t="n">
        <f aca="false">COUNTIF(I521:T521,"X")</f>
        <v>0</v>
      </c>
      <c r="X521" s="101" t="n">
        <f aca="false">COUNTIF(I521:T521,"C2")+COUNTIF(I521:T521,"C3")</f>
        <v>0</v>
      </c>
      <c r="Y521" s="101" t="n">
        <f aca="true">SUMPRODUCT((I521:INDEX(I521:T521,MONTH(TODAY()))="X")*1)</f>
        <v>0</v>
      </c>
      <c r="Z521" s="104" t="n">
        <f aca="false">IFERROR(V521/U521,"")</f>
        <v>0.5</v>
      </c>
    </row>
    <row r="522" customFormat="false" ht="15" hidden="false" customHeight="true" outlineLevel="0" collapsed="false">
      <c r="A522" s="100" t="str">
        <f aca="false">Equipos!C520</f>
        <v>2-004356</v>
      </c>
      <c r="B522" s="101" t="str">
        <f aca="false">Equipos!D520</f>
        <v>Monitor Multiparámetros</v>
      </c>
      <c r="C522" s="101" t="str">
        <f aca="false">Equipos!E520</f>
        <v>Medicina</v>
      </c>
      <c r="D522" s="101" t="str">
        <f aca="false">Equipos!G520</f>
        <v>509-2</v>
      </c>
      <c r="E522" s="101" t="str">
        <f aca="false">Equipos!I520</f>
        <v>Nihon Kohden </v>
      </c>
      <c r="F522" s="101" t="str">
        <f aca="false">Equipos!J520</f>
        <v>BSM-6301K</v>
      </c>
      <c r="G522" s="100" t="str">
        <f aca="false">Equipos!K520</f>
        <v>1064</v>
      </c>
      <c r="H522" s="101"/>
      <c r="I522" s="102"/>
      <c r="J522" s="103" t="s">
        <v>330</v>
      </c>
      <c r="K522" s="103" t="s">
        <v>328</v>
      </c>
      <c r="L522" s="102"/>
      <c r="M522" s="102"/>
      <c r="N522" s="102"/>
      <c r="O522" s="102"/>
      <c r="P522" s="102"/>
      <c r="Q522" s="102"/>
      <c r="R522" s="102"/>
      <c r="S522" s="102"/>
      <c r="T522" s="102"/>
      <c r="U522" s="101" t="n">
        <f aca="false">V522+W522+X522+COUNTIF(I522:T522,"R")</f>
        <v>2</v>
      </c>
      <c r="V522" s="101" t="n">
        <f aca="false">COUNTIF(I522:T522,"E")</f>
        <v>1</v>
      </c>
      <c r="W522" s="101" t="n">
        <f aca="false">COUNTIF(I522:T522,"X")</f>
        <v>0</v>
      </c>
      <c r="X522" s="101" t="n">
        <f aca="false">COUNTIF(I522:T522,"C2")+COUNTIF(I522:T522,"C3")</f>
        <v>0</v>
      </c>
      <c r="Y522" s="101" t="n">
        <f aca="true">SUMPRODUCT((I522:INDEX(I522:T522,MONTH(TODAY()))="X")*1)</f>
        <v>0</v>
      </c>
      <c r="Z522" s="104" t="n">
        <f aca="false">IFERROR(V522/U522,"")</f>
        <v>0.5</v>
      </c>
    </row>
    <row r="523" customFormat="false" ht="15" hidden="false" customHeight="true" outlineLevel="0" collapsed="false">
      <c r="A523" s="100" t="str">
        <f aca="false">Equipos!C521</f>
        <v>2-008498</v>
      </c>
      <c r="B523" s="101" t="str">
        <f aca="false">Equipos!D521</f>
        <v>Monitor Multiparámetros</v>
      </c>
      <c r="C523" s="101" t="str">
        <f aca="false">Equipos!E521</f>
        <v>Quimioterapia Ambulatoria Adulto</v>
      </c>
      <c r="D523" s="101" t="str">
        <f aca="false">Equipos!G521</f>
        <v>EPC-P2</v>
      </c>
      <c r="E523" s="101" t="str">
        <f aca="false">Equipos!I521</f>
        <v>Nihon Kohden </v>
      </c>
      <c r="F523" s="101" t="str">
        <f aca="false">Equipos!J521</f>
        <v>BSM-6301K</v>
      </c>
      <c r="G523" s="100" t="str">
        <f aca="false">Equipos!K521</f>
        <v>1056</v>
      </c>
      <c r="H523" s="101"/>
      <c r="I523" s="102"/>
      <c r="J523" s="102"/>
      <c r="K523" s="103" t="s">
        <v>330</v>
      </c>
      <c r="L523" s="103" t="s">
        <v>328</v>
      </c>
      <c r="M523" s="102"/>
      <c r="N523" s="102"/>
      <c r="O523" s="102"/>
      <c r="P523" s="102"/>
      <c r="Q523" s="102"/>
      <c r="R523" s="102"/>
      <c r="S523" s="102"/>
      <c r="T523" s="102"/>
      <c r="U523" s="101" t="n">
        <f aca="false">V523+W523+X523+COUNTIF(I523:T523,"R")</f>
        <v>2</v>
      </c>
      <c r="V523" s="101" t="n">
        <f aca="false">COUNTIF(I523:T523,"E")</f>
        <v>1</v>
      </c>
      <c r="W523" s="101" t="n">
        <f aca="false">COUNTIF(I523:T523,"X")</f>
        <v>0</v>
      </c>
      <c r="X523" s="101" t="n">
        <f aca="false">COUNTIF(I523:T523,"C2")+COUNTIF(I523:T523,"C3")</f>
        <v>0</v>
      </c>
      <c r="Y523" s="101" t="n">
        <f aca="true">SUMPRODUCT((I523:INDEX(I523:T523,MONTH(TODAY()))="X")*1)</f>
        <v>0</v>
      </c>
      <c r="Z523" s="104" t="n">
        <f aca="false">IFERROR(V523/U523,"")</f>
        <v>0.5</v>
      </c>
    </row>
    <row r="524" customFormat="false" ht="15" hidden="false" customHeight="true" outlineLevel="0" collapsed="false">
      <c r="A524" s="100" t="str">
        <f aca="false">Equipos!C522</f>
        <v>2-008452</v>
      </c>
      <c r="B524" s="101" t="str">
        <f aca="false">Equipos!D522</f>
        <v>Monitor Multiparámetros</v>
      </c>
      <c r="C524" s="101" t="str">
        <f aca="false">Equipos!E522</f>
        <v>Medicina</v>
      </c>
      <c r="D524" s="101" t="str">
        <f aca="false">Equipos!G522</f>
        <v>Sala 599</v>
      </c>
      <c r="E524" s="101" t="str">
        <f aca="false">Equipos!I522</f>
        <v>Nihon Kohden </v>
      </c>
      <c r="F524" s="101" t="str">
        <f aca="false">Equipos!J522</f>
        <v>BSM-6301K</v>
      </c>
      <c r="G524" s="100" t="str">
        <f aca="false">Equipos!K522</f>
        <v>1073</v>
      </c>
      <c r="H524" s="101"/>
      <c r="I524" s="102"/>
      <c r="J524" s="103" t="s">
        <v>328</v>
      </c>
      <c r="K524" s="102"/>
      <c r="L524" s="102"/>
      <c r="M524" s="102"/>
      <c r="N524" s="102"/>
      <c r="O524" s="102"/>
      <c r="P524" s="102"/>
      <c r="Q524" s="102"/>
      <c r="R524" s="102"/>
      <c r="S524" s="102"/>
      <c r="T524" s="102"/>
      <c r="U524" s="101" t="n">
        <f aca="false">V524+W524+X524+COUNTIF(I524:T524,"R")</f>
        <v>1</v>
      </c>
      <c r="V524" s="101" t="n">
        <f aca="false">COUNTIF(I524:T524,"E")</f>
        <v>1</v>
      </c>
      <c r="W524" s="101" t="n">
        <f aca="false">COUNTIF(I524:T524,"X")</f>
        <v>0</v>
      </c>
      <c r="X524" s="101" t="n">
        <f aca="false">COUNTIF(I524:T524,"C2")+COUNTIF(I524:T524,"C3")</f>
        <v>0</v>
      </c>
      <c r="Y524" s="101" t="n">
        <f aca="true">SUMPRODUCT((I524:INDEX(I524:T524,MONTH(TODAY()))="X")*1)</f>
        <v>0</v>
      </c>
      <c r="Z524" s="104" t="n">
        <f aca="false">IFERROR(V524/U524,"")</f>
        <v>1</v>
      </c>
    </row>
    <row r="525" customFormat="false" ht="15" hidden="false" customHeight="true" outlineLevel="0" collapsed="false">
      <c r="A525" s="100" t="str">
        <f aca="false">Equipos!C523</f>
        <v>2-008450</v>
      </c>
      <c r="B525" s="101" t="str">
        <f aca="false">Equipos!D523</f>
        <v>Monitor Multiparámetros</v>
      </c>
      <c r="C525" s="101" t="str">
        <f aca="false">Equipos!E523</f>
        <v>Medicina</v>
      </c>
      <c r="D525" s="101" t="str">
        <f aca="false">Equipos!G523</f>
        <v>503-2E</v>
      </c>
      <c r="E525" s="101" t="str">
        <f aca="false">Equipos!I523</f>
        <v>Nihon Kohden </v>
      </c>
      <c r="F525" s="101" t="str">
        <f aca="false">Equipos!J523</f>
        <v>BSM-6301K</v>
      </c>
      <c r="G525" s="100" t="str">
        <f aca="false">Equipos!K523</f>
        <v>1061</v>
      </c>
      <c r="H525" s="101"/>
      <c r="I525" s="102"/>
      <c r="J525" s="103" t="s">
        <v>328</v>
      </c>
      <c r="K525" s="102"/>
      <c r="L525" s="102"/>
      <c r="M525" s="102"/>
      <c r="N525" s="102"/>
      <c r="O525" s="102"/>
      <c r="P525" s="102"/>
      <c r="Q525" s="102"/>
      <c r="R525" s="102"/>
      <c r="S525" s="102"/>
      <c r="T525" s="102"/>
      <c r="U525" s="101" t="n">
        <f aca="false">V525+W525+X525+COUNTIF(I525:T525,"R")</f>
        <v>1</v>
      </c>
      <c r="V525" s="101" t="n">
        <f aca="false">COUNTIF(I525:T525,"E")</f>
        <v>1</v>
      </c>
      <c r="W525" s="101" t="n">
        <f aca="false">COUNTIF(I525:T525,"X")</f>
        <v>0</v>
      </c>
      <c r="X525" s="101" t="n">
        <f aca="false">COUNTIF(I525:T525,"C2")+COUNTIF(I525:T525,"C3")</f>
        <v>0</v>
      </c>
      <c r="Y525" s="101" t="n">
        <f aca="true">SUMPRODUCT((I525:INDEX(I525:T525,MONTH(TODAY()))="X")*1)</f>
        <v>0</v>
      </c>
      <c r="Z525" s="104" t="n">
        <f aca="false">IFERROR(V525/U525,"")</f>
        <v>1</v>
      </c>
    </row>
    <row r="526" customFormat="false" ht="15" hidden="false" customHeight="true" outlineLevel="0" collapsed="false">
      <c r="A526" s="100" t="str">
        <f aca="false">Equipos!C524</f>
        <v>2-008659</v>
      </c>
      <c r="B526" s="101" t="str">
        <f aca="false">Equipos!D524</f>
        <v>Monitor Multiparámetros</v>
      </c>
      <c r="C526" s="101" t="str">
        <f aca="false">Equipos!E524</f>
        <v>SAMU</v>
      </c>
      <c r="D526" s="101" t="str">
        <f aca="false">Equipos!G524</f>
        <v>Base 1</v>
      </c>
      <c r="E526" s="101" t="str">
        <f aca="false">Equipos!I524</f>
        <v>Nihon Kohden </v>
      </c>
      <c r="F526" s="101" t="str">
        <f aca="false">Equipos!J524</f>
        <v>BSM-6301K</v>
      </c>
      <c r="G526" s="100" t="str">
        <f aca="false">Equipos!K524</f>
        <v>1048</v>
      </c>
      <c r="H526" s="101"/>
      <c r="I526" s="102"/>
      <c r="J526" s="102"/>
      <c r="K526" s="102"/>
      <c r="L526" s="103" t="s">
        <v>328</v>
      </c>
      <c r="M526" s="102"/>
      <c r="N526" s="102"/>
      <c r="O526" s="102"/>
      <c r="P526" s="102"/>
      <c r="Q526" s="102"/>
      <c r="R526" s="102"/>
      <c r="S526" s="102"/>
      <c r="T526" s="102"/>
      <c r="U526" s="101" t="n">
        <f aca="false">V526+W526+X526+COUNTIF(I526:T526,"R")</f>
        <v>1</v>
      </c>
      <c r="V526" s="101" t="n">
        <f aca="false">COUNTIF(I526:T526,"E")</f>
        <v>1</v>
      </c>
      <c r="W526" s="101" t="n">
        <f aca="false">COUNTIF(I526:T526,"X")</f>
        <v>0</v>
      </c>
      <c r="X526" s="101" t="n">
        <f aca="false">COUNTIF(I526:T526,"C2")+COUNTIF(I526:T526,"C3")</f>
        <v>0</v>
      </c>
      <c r="Y526" s="101" t="n">
        <f aca="true">SUMPRODUCT((I526:INDEX(I526:T526,MONTH(TODAY()))="X")*1)</f>
        <v>0</v>
      </c>
      <c r="Z526" s="104" t="n">
        <f aca="false">IFERROR(V526/U526,"")</f>
        <v>1</v>
      </c>
    </row>
    <row r="527" customFormat="false" ht="15" hidden="false" customHeight="true" outlineLevel="0" collapsed="false">
      <c r="A527" s="100" t="str">
        <f aca="false">Equipos!C525</f>
        <v>2-008465</v>
      </c>
      <c r="B527" s="101" t="str">
        <f aca="false">Equipos!D525</f>
        <v>Monitor Multiparámetros</v>
      </c>
      <c r="C527" s="101" t="str">
        <f aca="false">Equipos!E525</f>
        <v>SAMU</v>
      </c>
      <c r="D527" s="101" t="str">
        <f aca="false">Equipos!G525</f>
        <v>Base 13</v>
      </c>
      <c r="E527" s="101" t="str">
        <f aca="false">Equipos!I525</f>
        <v>Nihon Kohden </v>
      </c>
      <c r="F527" s="101" t="str">
        <f aca="false">Equipos!J525</f>
        <v>BSM-6301K</v>
      </c>
      <c r="G527" s="100" t="str">
        <f aca="false">Equipos!K525</f>
        <v>1040</v>
      </c>
      <c r="H527" s="101"/>
      <c r="I527" s="102"/>
      <c r="J527" s="102"/>
      <c r="K527" s="102"/>
      <c r="L527" s="103" t="s">
        <v>328</v>
      </c>
      <c r="M527" s="102"/>
      <c r="N527" s="102"/>
      <c r="O527" s="102"/>
      <c r="P527" s="102"/>
      <c r="Q527" s="102"/>
      <c r="R527" s="102"/>
      <c r="S527" s="102"/>
      <c r="T527" s="102"/>
      <c r="U527" s="101" t="n">
        <f aca="false">V527+W527+X527+COUNTIF(I527:T527,"R")</f>
        <v>1</v>
      </c>
      <c r="V527" s="101" t="n">
        <f aca="false">COUNTIF(I527:T527,"E")</f>
        <v>1</v>
      </c>
      <c r="W527" s="101" t="n">
        <f aca="false">COUNTIF(I527:T527,"X")</f>
        <v>0</v>
      </c>
      <c r="X527" s="101" t="n">
        <f aca="false">COUNTIF(I527:T527,"C2")+COUNTIF(I527:T527,"C3")</f>
        <v>0</v>
      </c>
      <c r="Y527" s="101" t="n">
        <f aca="true">SUMPRODUCT((I527:INDEX(I527:T527,MONTH(TODAY()))="X")*1)</f>
        <v>0</v>
      </c>
      <c r="Z527" s="104" t="n">
        <f aca="false">IFERROR(V527/U527,"")</f>
        <v>1</v>
      </c>
    </row>
    <row r="528" customFormat="false" ht="15" hidden="false" customHeight="true" outlineLevel="0" collapsed="false">
      <c r="A528" s="100" t="str">
        <f aca="false">Equipos!C526</f>
        <v>2-008497</v>
      </c>
      <c r="B528" s="101" t="str">
        <f aca="false">Equipos!D526</f>
        <v>Monitor Multiparámetros</v>
      </c>
      <c r="C528" s="101" t="str">
        <f aca="false">Equipos!E526</f>
        <v>Medicina (Prestado a medicina cardiovascular)</v>
      </c>
      <c r="D528" s="101" t="str">
        <f aca="false">Equipos!G526</f>
        <v>514-3</v>
      </c>
      <c r="E528" s="101" t="str">
        <f aca="false">Equipos!I526</f>
        <v>Nihon Kohden </v>
      </c>
      <c r="F528" s="101" t="str">
        <f aca="false">Equipos!J526</f>
        <v>BSM-6301K</v>
      </c>
      <c r="G528" s="100" t="str">
        <f aca="false">Equipos!K526</f>
        <v>1068</v>
      </c>
      <c r="H528" s="101"/>
      <c r="I528" s="102"/>
      <c r="J528" s="103" t="s">
        <v>330</v>
      </c>
      <c r="K528" s="103" t="s">
        <v>328</v>
      </c>
      <c r="L528" s="102"/>
      <c r="M528" s="102"/>
      <c r="N528" s="102"/>
      <c r="O528" s="102"/>
      <c r="P528" s="102"/>
      <c r="Q528" s="102"/>
      <c r="R528" s="102"/>
      <c r="S528" s="102"/>
      <c r="T528" s="102"/>
      <c r="U528" s="101" t="n">
        <f aca="false">V528+W528+X528+COUNTIF(I528:T528,"R")</f>
        <v>2</v>
      </c>
      <c r="V528" s="101" t="n">
        <f aca="false">COUNTIF(I528:T528,"E")</f>
        <v>1</v>
      </c>
      <c r="W528" s="101" t="n">
        <f aca="false">COUNTIF(I528:T528,"X")</f>
        <v>0</v>
      </c>
      <c r="X528" s="101" t="n">
        <f aca="false">COUNTIF(I528:T528,"C2")+COUNTIF(I528:T528,"C3")</f>
        <v>0</v>
      </c>
      <c r="Y528" s="101" t="n">
        <f aca="true">SUMPRODUCT((I528:INDEX(I528:T528,MONTH(TODAY()))="X")*1)</f>
        <v>0</v>
      </c>
      <c r="Z528" s="104" t="n">
        <f aca="false">IFERROR(V528/U528,"")</f>
        <v>0.5</v>
      </c>
    </row>
    <row r="529" customFormat="false" ht="15" hidden="false" customHeight="true" outlineLevel="0" collapsed="false">
      <c r="A529" s="100" t="str">
        <f aca="false">Equipos!C527</f>
        <v>2-004583</v>
      </c>
      <c r="B529" s="101" t="str">
        <f aca="false">Equipos!D527</f>
        <v>Monitor Multiparámetros</v>
      </c>
      <c r="C529" s="101" t="str">
        <f aca="false">Equipos!E527</f>
        <v>Medicina</v>
      </c>
      <c r="D529" s="101" t="str">
        <f aca="false">Equipos!G527</f>
        <v>514-3</v>
      </c>
      <c r="E529" s="101" t="str">
        <f aca="false">Equipos!I527</f>
        <v>Nihon Kohden </v>
      </c>
      <c r="F529" s="101" t="str">
        <f aca="false">Equipos!J527</f>
        <v>BSM-6301K</v>
      </c>
      <c r="G529" s="100" t="str">
        <f aca="false">Equipos!K527</f>
        <v>1067</v>
      </c>
      <c r="H529" s="101"/>
      <c r="I529" s="102"/>
      <c r="J529" s="103" t="s">
        <v>328</v>
      </c>
      <c r="K529" s="102"/>
      <c r="L529" s="102"/>
      <c r="M529" s="102"/>
      <c r="N529" s="102"/>
      <c r="O529" s="102"/>
      <c r="P529" s="102"/>
      <c r="Q529" s="102"/>
      <c r="R529" s="102"/>
      <c r="S529" s="102"/>
      <c r="T529" s="102"/>
      <c r="U529" s="101" t="n">
        <f aca="false">V529+W529+X529+COUNTIF(I529:T529,"R")</f>
        <v>1</v>
      </c>
      <c r="V529" s="101" t="n">
        <f aca="false">COUNTIF(I529:T529,"E")</f>
        <v>1</v>
      </c>
      <c r="W529" s="101" t="n">
        <f aca="false">COUNTIF(I529:T529,"X")</f>
        <v>0</v>
      </c>
      <c r="X529" s="101" t="n">
        <f aca="false">COUNTIF(I529:T529,"C2")+COUNTIF(I529:T529,"C3")</f>
        <v>0</v>
      </c>
      <c r="Y529" s="101" t="n">
        <f aca="true">SUMPRODUCT((I529:INDEX(I529:T529,MONTH(TODAY()))="X")*1)</f>
        <v>0</v>
      </c>
      <c r="Z529" s="104" t="n">
        <f aca="false">IFERROR(V529/U529,"")</f>
        <v>1</v>
      </c>
    </row>
    <row r="530" customFormat="false" ht="15" hidden="false" customHeight="true" outlineLevel="0" collapsed="false">
      <c r="A530" s="100" t="str">
        <f aca="false">Equipos!C528</f>
        <v>2-008485</v>
      </c>
      <c r="B530" s="101" t="str">
        <f aca="false">Equipos!D528</f>
        <v>Monitor Multiparámetros</v>
      </c>
      <c r="C530" s="101" t="str">
        <f aca="false">Equipos!E528</f>
        <v>Medicina</v>
      </c>
      <c r="D530" s="101" t="str">
        <f aca="false">Equipos!G528</f>
        <v>526-3</v>
      </c>
      <c r="E530" s="101" t="str">
        <f aca="false">Equipos!I528</f>
        <v>Nihon Kohden </v>
      </c>
      <c r="F530" s="101" t="str">
        <f aca="false">Equipos!J528</f>
        <v>BSM-6301K</v>
      </c>
      <c r="G530" s="100" t="str">
        <f aca="false">Equipos!K528</f>
        <v>1042</v>
      </c>
      <c r="H530" s="101"/>
      <c r="I530" s="102"/>
      <c r="J530" s="103" t="s">
        <v>328</v>
      </c>
      <c r="K530" s="102"/>
      <c r="L530" s="102"/>
      <c r="M530" s="102"/>
      <c r="N530" s="102"/>
      <c r="O530" s="102"/>
      <c r="P530" s="102"/>
      <c r="Q530" s="102"/>
      <c r="R530" s="102"/>
      <c r="S530" s="102"/>
      <c r="T530" s="102"/>
      <c r="U530" s="101" t="n">
        <f aca="false">V530+W530+X530+COUNTIF(I530:T530,"R")</f>
        <v>1</v>
      </c>
      <c r="V530" s="101" t="n">
        <f aca="false">COUNTIF(I530:T530,"E")</f>
        <v>1</v>
      </c>
      <c r="W530" s="101" t="n">
        <f aca="false">COUNTIF(I530:T530,"X")</f>
        <v>0</v>
      </c>
      <c r="X530" s="101" t="n">
        <f aca="false">COUNTIF(I530:T530,"C2")+COUNTIF(I530:T530,"C3")</f>
        <v>0</v>
      </c>
      <c r="Y530" s="101" t="n">
        <f aca="true">SUMPRODUCT((I530:INDEX(I530:T530,MONTH(TODAY()))="X")*1)</f>
        <v>0</v>
      </c>
      <c r="Z530" s="104" t="n">
        <f aca="false">IFERROR(V530/U530,"")</f>
        <v>1</v>
      </c>
    </row>
    <row r="531" customFormat="false" ht="15" hidden="false" customHeight="true" outlineLevel="0" collapsed="false">
      <c r="A531" s="100" t="str">
        <f aca="false">Equipos!C529</f>
        <v>2-004503</v>
      </c>
      <c r="B531" s="101" t="str">
        <f aca="false">Equipos!D529</f>
        <v>Monitor Multiparámetros</v>
      </c>
      <c r="C531" s="101" t="str">
        <f aca="false">Equipos!E529</f>
        <v>Medicina (Prestado a medicina cardiovascular)</v>
      </c>
      <c r="D531" s="101" t="str">
        <f aca="false">Equipos!G529</f>
        <v>517-2</v>
      </c>
      <c r="E531" s="101" t="str">
        <f aca="false">Equipos!I529</f>
        <v>Nihon Kohden </v>
      </c>
      <c r="F531" s="101" t="str">
        <f aca="false">Equipos!J529</f>
        <v>BSM-6301K</v>
      </c>
      <c r="G531" s="100" t="str">
        <f aca="false">Equipos!K529</f>
        <v>1058</v>
      </c>
      <c r="H531" s="101"/>
      <c r="I531" s="102"/>
      <c r="J531" s="103" t="s">
        <v>330</v>
      </c>
      <c r="K531" s="103" t="s">
        <v>328</v>
      </c>
      <c r="L531" s="102"/>
      <c r="M531" s="102"/>
      <c r="N531" s="102"/>
      <c r="O531" s="102"/>
      <c r="P531" s="102"/>
      <c r="Q531" s="102"/>
      <c r="R531" s="102"/>
      <c r="S531" s="102"/>
      <c r="T531" s="102"/>
      <c r="U531" s="101" t="n">
        <f aca="false">V531+W531+X531+COUNTIF(I531:T531,"R")</f>
        <v>2</v>
      </c>
      <c r="V531" s="101" t="n">
        <f aca="false">COUNTIF(I531:T531,"E")</f>
        <v>1</v>
      </c>
      <c r="W531" s="101" t="n">
        <f aca="false">COUNTIF(I531:T531,"X")</f>
        <v>0</v>
      </c>
      <c r="X531" s="101" t="n">
        <f aca="false">COUNTIF(I531:T531,"C2")+COUNTIF(I531:T531,"C3")</f>
        <v>0</v>
      </c>
      <c r="Y531" s="101" t="n">
        <f aca="true">SUMPRODUCT((I531:INDEX(I531:T531,MONTH(TODAY()))="X")*1)</f>
        <v>0</v>
      </c>
      <c r="Z531" s="104" t="n">
        <f aca="false">IFERROR(V531/U531,"")</f>
        <v>0.5</v>
      </c>
    </row>
    <row r="532" customFormat="false" ht="15" hidden="false" customHeight="true" outlineLevel="0" collapsed="false">
      <c r="A532" s="100" t="str">
        <f aca="false">Equipos!C530</f>
        <v>2-004584</v>
      </c>
      <c r="B532" s="101" t="str">
        <f aca="false">Equipos!D530</f>
        <v>Monitor Multiparámetros</v>
      </c>
      <c r="C532" s="101" t="str">
        <f aca="false">Equipos!E530</f>
        <v>Medicina</v>
      </c>
      <c r="D532" s="101" t="str">
        <f aca="false">Equipos!G530</f>
        <v>526-3</v>
      </c>
      <c r="E532" s="101" t="str">
        <f aca="false">Equipos!I530</f>
        <v>Nihon Kohden </v>
      </c>
      <c r="F532" s="101" t="str">
        <f aca="false">Equipos!J530</f>
        <v>BSM-6301K</v>
      </c>
      <c r="G532" s="100" t="str">
        <f aca="false">Equipos!K530</f>
        <v>1045</v>
      </c>
      <c r="H532" s="101"/>
      <c r="I532" s="102"/>
      <c r="J532" s="103" t="s">
        <v>332</v>
      </c>
      <c r="K532" s="102"/>
      <c r="L532" s="102"/>
      <c r="M532" s="102"/>
      <c r="N532" s="102"/>
      <c r="O532" s="102"/>
      <c r="P532" s="102"/>
      <c r="Q532" s="102"/>
      <c r="R532" s="102"/>
      <c r="S532" s="102"/>
      <c r="T532" s="102"/>
      <c r="U532" s="101" t="n">
        <f aca="false">V532+W532+X532+COUNTIF(I532:T532,"R")</f>
        <v>1</v>
      </c>
      <c r="V532" s="101" t="n">
        <f aca="false">COUNTIF(I532:T532,"E")</f>
        <v>0</v>
      </c>
      <c r="W532" s="101" t="n">
        <f aca="false">COUNTIF(I532:T532,"X")</f>
        <v>0</v>
      </c>
      <c r="X532" s="101" t="n">
        <f aca="false">COUNTIF(I532:T532,"C2")+COUNTIF(I532:T532,"C3")</f>
        <v>1</v>
      </c>
      <c r="Y532" s="101" t="n">
        <f aca="true">SUMPRODUCT((I532:INDEX(I532:T532,MONTH(TODAY()))="X")*1)</f>
        <v>0</v>
      </c>
      <c r="Z532" s="104" t="n">
        <f aca="false">IFERROR(V532/U532,"")</f>
        <v>0</v>
      </c>
    </row>
    <row r="533" customFormat="false" ht="15" hidden="false" customHeight="true" outlineLevel="0" collapsed="false">
      <c r="A533" s="100" t="str">
        <f aca="false">Equipos!C531</f>
        <v>2-116511</v>
      </c>
      <c r="B533" s="101" t="str">
        <f aca="false">Equipos!D531</f>
        <v>Monitor Multiparámetros</v>
      </c>
      <c r="C533" s="101" t="str">
        <f aca="false">Equipos!E531</f>
        <v>UPC Pediátrica</v>
      </c>
      <c r="D533" s="101" t="str">
        <f aca="false">Equipos!G531</f>
        <v>Cama 4</v>
      </c>
      <c r="E533" s="101" t="str">
        <f aca="false">Equipos!I531</f>
        <v>SPACELABS HEALTHCARE</v>
      </c>
      <c r="F533" s="101" t="str">
        <f aca="false">Equipos!J531</f>
        <v>XPREZZON</v>
      </c>
      <c r="G533" s="100" t="str">
        <f aca="false">Equipos!K531</f>
        <v>1393-109309</v>
      </c>
      <c r="H533" s="101"/>
      <c r="I533" s="103" t="s">
        <v>330</v>
      </c>
      <c r="J533" s="103" t="s">
        <v>328</v>
      </c>
      <c r="K533" s="102"/>
      <c r="L533" s="102"/>
      <c r="M533" s="102"/>
      <c r="N533" s="102"/>
      <c r="O533" s="102"/>
      <c r="P533" s="102"/>
      <c r="Q533" s="102"/>
      <c r="R533" s="102"/>
      <c r="S533" s="102"/>
      <c r="T533" s="102"/>
      <c r="U533" s="101" t="n">
        <f aca="false">V533+W533+X533+COUNTIF(I533:T533,"R")</f>
        <v>2</v>
      </c>
      <c r="V533" s="101" t="n">
        <f aca="false">COUNTIF(I533:T533,"E")</f>
        <v>1</v>
      </c>
      <c r="W533" s="101" t="n">
        <f aca="false">COUNTIF(I533:T533,"X")</f>
        <v>0</v>
      </c>
      <c r="X533" s="101" t="n">
        <f aca="false">COUNTIF(I533:T533,"C2")+COUNTIF(I533:T533,"C3")</f>
        <v>0</v>
      </c>
      <c r="Y533" s="101" t="n">
        <f aca="true">SUMPRODUCT((I533:INDEX(I533:T533,MONTH(TODAY()))="X")*1)</f>
        <v>0</v>
      </c>
      <c r="Z533" s="104" t="n">
        <f aca="false">IFERROR(V533/U533,"")</f>
        <v>0.5</v>
      </c>
    </row>
    <row r="534" customFormat="false" ht="15" hidden="false" customHeight="true" outlineLevel="0" collapsed="false">
      <c r="A534" s="100" t="str">
        <f aca="false">Equipos!C532</f>
        <v>2-008451</v>
      </c>
      <c r="B534" s="101" t="str">
        <f aca="false">Equipos!D532</f>
        <v>Monitor Multiparámetros</v>
      </c>
      <c r="C534" s="101" t="str">
        <f aca="false">Equipos!E532</f>
        <v>CDT</v>
      </c>
      <c r="D534" s="101" t="str">
        <f aca="false">Equipos!G532</f>
        <v>Pabellón Procedimiento</v>
      </c>
      <c r="E534" s="101" t="str">
        <f aca="false">Equipos!I532</f>
        <v>Nihon Kohden </v>
      </c>
      <c r="F534" s="101" t="str">
        <f aca="false">Equipos!J532</f>
        <v>BSM-6301K</v>
      </c>
      <c r="G534" s="100" t="str">
        <f aca="false">Equipos!K532</f>
        <v>1029</v>
      </c>
      <c r="H534" s="101"/>
      <c r="I534" s="102"/>
      <c r="J534" s="102"/>
      <c r="K534" s="103" t="s">
        <v>330</v>
      </c>
      <c r="L534" s="103" t="s">
        <v>328</v>
      </c>
      <c r="M534" s="102"/>
      <c r="N534" s="102"/>
      <c r="O534" s="102"/>
      <c r="P534" s="102"/>
      <c r="Q534" s="102"/>
      <c r="R534" s="102"/>
      <c r="S534" s="102"/>
      <c r="T534" s="102"/>
      <c r="U534" s="101" t="n">
        <f aca="false">V534+W534+X534+COUNTIF(I534:T534,"R")</f>
        <v>2</v>
      </c>
      <c r="V534" s="101" t="n">
        <f aca="false">COUNTIF(I534:T534,"E")</f>
        <v>1</v>
      </c>
      <c r="W534" s="101" t="n">
        <f aca="false">COUNTIF(I534:T534,"X")</f>
        <v>0</v>
      </c>
      <c r="X534" s="101" t="n">
        <f aca="false">COUNTIF(I534:T534,"C2")+COUNTIF(I534:T534,"C3")</f>
        <v>0</v>
      </c>
      <c r="Y534" s="101" t="n">
        <f aca="true">SUMPRODUCT((I534:INDEX(I534:T534,MONTH(TODAY()))="X")*1)</f>
        <v>0</v>
      </c>
      <c r="Z534" s="104" t="n">
        <f aca="false">IFERROR(V534/U534,"")</f>
        <v>0.5</v>
      </c>
    </row>
    <row r="535" customFormat="false" ht="15" hidden="false" customHeight="true" outlineLevel="0" collapsed="false">
      <c r="A535" s="100" t="str">
        <f aca="false">Equipos!C533</f>
        <v>2-116513</v>
      </c>
      <c r="B535" s="101" t="str">
        <f aca="false">Equipos!D533</f>
        <v>Monitor Multiparámetros</v>
      </c>
      <c r="C535" s="101" t="str">
        <f aca="false">Equipos!E533</f>
        <v>UPC Pediátrica</v>
      </c>
      <c r="D535" s="101" t="str">
        <f aca="false">Equipos!G533</f>
        <v>Cama 10</v>
      </c>
      <c r="E535" s="101" t="str">
        <f aca="false">Equipos!I533</f>
        <v>SPACELABS HEALTHCARE</v>
      </c>
      <c r="F535" s="101" t="str">
        <f aca="false">Equipos!J533</f>
        <v>XPREZZON</v>
      </c>
      <c r="G535" s="100" t="str">
        <f aca="false">Equipos!K533</f>
        <v>1393-109310</v>
      </c>
      <c r="H535" s="101"/>
      <c r="I535" s="103" t="s">
        <v>330</v>
      </c>
      <c r="J535" s="103" t="s">
        <v>328</v>
      </c>
      <c r="K535" s="102"/>
      <c r="L535" s="102"/>
      <c r="M535" s="102"/>
      <c r="N535" s="102"/>
      <c r="O535" s="102"/>
      <c r="P535" s="102"/>
      <c r="Q535" s="102"/>
      <c r="R535" s="102"/>
      <c r="S535" s="102"/>
      <c r="T535" s="102"/>
      <c r="U535" s="101" t="n">
        <f aca="false">V535+W535+X535+COUNTIF(I535:T535,"R")</f>
        <v>2</v>
      </c>
      <c r="V535" s="101" t="n">
        <f aca="false">COUNTIF(I535:T535,"E")</f>
        <v>1</v>
      </c>
      <c r="W535" s="101" t="n">
        <f aca="false">COUNTIF(I535:T535,"X")</f>
        <v>0</v>
      </c>
      <c r="X535" s="101" t="n">
        <f aca="false">COUNTIF(I535:T535,"C2")+COUNTIF(I535:T535,"C3")</f>
        <v>0</v>
      </c>
      <c r="Y535" s="101" t="n">
        <f aca="true">SUMPRODUCT((I535:INDEX(I535:T535,MONTH(TODAY()))="X")*1)</f>
        <v>0</v>
      </c>
      <c r="Z535" s="104" t="n">
        <f aca="false">IFERROR(V535/U535,"")</f>
        <v>0.5</v>
      </c>
    </row>
    <row r="536" customFormat="false" ht="15" hidden="false" customHeight="true" outlineLevel="0" collapsed="false">
      <c r="A536" s="100" t="str">
        <f aca="false">Equipos!C534</f>
        <v>2-008466</v>
      </c>
      <c r="B536" s="101" t="str">
        <f aca="false">Equipos!D534</f>
        <v>Monitor Multiparámetros</v>
      </c>
      <c r="C536" s="101" t="str">
        <f aca="false">Equipos!E534</f>
        <v>Medicina</v>
      </c>
      <c r="D536" s="101" t="str">
        <f aca="false">Equipos!G534</f>
        <v>510-1</v>
      </c>
      <c r="E536" s="101" t="str">
        <f aca="false">Equipos!I534</f>
        <v>Nihon Kohden </v>
      </c>
      <c r="F536" s="101" t="str">
        <f aca="false">Equipos!J534</f>
        <v>BSM-6301K</v>
      </c>
      <c r="G536" s="100" t="str">
        <f aca="false">Equipos!K534</f>
        <v>1069</v>
      </c>
      <c r="H536" s="101"/>
      <c r="I536" s="102"/>
      <c r="J536" s="103" t="s">
        <v>330</v>
      </c>
      <c r="K536" s="103" t="s">
        <v>328</v>
      </c>
      <c r="L536" s="102"/>
      <c r="M536" s="102"/>
      <c r="N536" s="102"/>
      <c r="O536" s="102"/>
      <c r="P536" s="102"/>
      <c r="Q536" s="102"/>
      <c r="R536" s="102"/>
      <c r="S536" s="102"/>
      <c r="T536" s="102"/>
      <c r="U536" s="101" t="n">
        <f aca="false">V536+W536+X536+COUNTIF(I536:T536,"R")</f>
        <v>2</v>
      </c>
      <c r="V536" s="101" t="n">
        <f aca="false">COUNTIF(I536:T536,"E")</f>
        <v>1</v>
      </c>
      <c r="W536" s="101" t="n">
        <f aca="false">COUNTIF(I536:T536,"X")</f>
        <v>0</v>
      </c>
      <c r="X536" s="101" t="n">
        <f aca="false">COUNTIF(I536:T536,"C2")+COUNTIF(I536:T536,"C3")</f>
        <v>0</v>
      </c>
      <c r="Y536" s="101" t="n">
        <f aca="true">SUMPRODUCT((I536:INDEX(I536:T536,MONTH(TODAY()))="X")*1)</f>
        <v>0</v>
      </c>
      <c r="Z536" s="104" t="n">
        <f aca="false">IFERROR(V536/U536,"")</f>
        <v>0.5</v>
      </c>
    </row>
    <row r="537" customFormat="false" ht="15" hidden="false" customHeight="true" outlineLevel="0" collapsed="false">
      <c r="A537" s="100" t="str">
        <f aca="false">Equipos!C535</f>
        <v>2-121189</v>
      </c>
      <c r="B537" s="101" t="str">
        <f aca="false">Equipos!D535</f>
        <v>Monitor Multiparámetros</v>
      </c>
      <c r="C537" s="101" t="str">
        <f aca="false">Equipos!E535</f>
        <v>Medicina</v>
      </c>
      <c r="D537" s="101" t="str">
        <f aca="false">Equipos!G535</f>
        <v>503-3E</v>
      </c>
      <c r="E537" s="101" t="str">
        <f aca="false">Equipos!I535</f>
        <v>Nihon Kohden </v>
      </c>
      <c r="F537" s="101" t="str">
        <f aca="false">Equipos!J535</f>
        <v>BSM-3562K</v>
      </c>
      <c r="G537" s="100" t="str">
        <f aca="false">Equipos!K535</f>
        <v>29789</v>
      </c>
      <c r="H537" s="101"/>
      <c r="I537" s="102"/>
      <c r="J537" s="103" t="s">
        <v>328</v>
      </c>
      <c r="K537" s="102"/>
      <c r="L537" s="102"/>
      <c r="M537" s="102"/>
      <c r="N537" s="102"/>
      <c r="O537" s="102"/>
      <c r="P537" s="102"/>
      <c r="Q537" s="102"/>
      <c r="R537" s="102"/>
      <c r="S537" s="102"/>
      <c r="T537" s="102"/>
      <c r="U537" s="101" t="n">
        <f aca="false">V537+W537+X537+COUNTIF(I537:T537,"R")</f>
        <v>1</v>
      </c>
      <c r="V537" s="101" t="n">
        <f aca="false">COUNTIF(I537:T537,"E")</f>
        <v>1</v>
      </c>
      <c r="W537" s="101" t="n">
        <f aca="false">COUNTIF(I537:T537,"X")</f>
        <v>0</v>
      </c>
      <c r="X537" s="101" t="n">
        <f aca="false">COUNTIF(I537:T537,"C2")+COUNTIF(I537:T537,"C3")</f>
        <v>0</v>
      </c>
      <c r="Y537" s="101" t="n">
        <f aca="true">SUMPRODUCT((I537:INDEX(I537:T537,MONTH(TODAY()))="X")*1)</f>
        <v>0</v>
      </c>
      <c r="Z537" s="104" t="n">
        <f aca="false">IFERROR(V537/U537,"")</f>
        <v>1</v>
      </c>
    </row>
    <row r="538" customFormat="false" ht="15" hidden="false" customHeight="true" outlineLevel="0" collapsed="false">
      <c r="A538" s="100" t="str">
        <f aca="false">Equipos!C536</f>
        <v>2-008660</v>
      </c>
      <c r="B538" s="101" t="str">
        <f aca="false">Equipos!D536</f>
        <v>Monitor Multiparámetros</v>
      </c>
      <c r="C538" s="101" t="str">
        <f aca="false">Equipos!E536</f>
        <v>Medicina</v>
      </c>
      <c r="D538" s="101" t="str">
        <f aca="false">Equipos!G536</f>
        <v>511-2</v>
      </c>
      <c r="E538" s="101" t="str">
        <f aca="false">Equipos!I536</f>
        <v>Nihon Kohden </v>
      </c>
      <c r="F538" s="101" t="str">
        <f aca="false">Equipos!J536</f>
        <v>BSM-6301K</v>
      </c>
      <c r="G538" s="100" t="str">
        <f aca="false">Equipos!K536</f>
        <v>1054</v>
      </c>
      <c r="H538" s="101"/>
      <c r="I538" s="102"/>
      <c r="J538" s="103" t="s">
        <v>330</v>
      </c>
      <c r="K538" s="103" t="s">
        <v>328</v>
      </c>
      <c r="L538" s="102"/>
      <c r="M538" s="102"/>
      <c r="N538" s="102"/>
      <c r="O538" s="102"/>
      <c r="P538" s="102"/>
      <c r="Q538" s="102"/>
      <c r="R538" s="102"/>
      <c r="S538" s="102"/>
      <c r="T538" s="102"/>
      <c r="U538" s="101" t="n">
        <f aca="false">V538+W538+X538+COUNTIF(I538:T538,"R")</f>
        <v>2</v>
      </c>
      <c r="V538" s="101" t="n">
        <f aca="false">COUNTIF(I538:T538,"E")</f>
        <v>1</v>
      </c>
      <c r="W538" s="101" t="n">
        <f aca="false">COUNTIF(I538:T538,"X")</f>
        <v>0</v>
      </c>
      <c r="X538" s="101" t="n">
        <f aca="false">COUNTIF(I538:T538,"C2")+COUNTIF(I538:T538,"C3")</f>
        <v>0</v>
      </c>
      <c r="Y538" s="101" t="n">
        <f aca="true">SUMPRODUCT((I538:INDEX(I538:T538,MONTH(TODAY()))="X")*1)</f>
        <v>0</v>
      </c>
      <c r="Z538" s="104" t="n">
        <f aca="false">IFERROR(V538/U538,"")</f>
        <v>0.5</v>
      </c>
    </row>
    <row r="539" customFormat="false" ht="15" hidden="false" customHeight="true" outlineLevel="0" collapsed="false">
      <c r="A539" s="100" t="str">
        <f aca="false">Equipos!C537</f>
        <v>2-116512</v>
      </c>
      <c r="B539" s="101" t="str">
        <f aca="false">Equipos!D537</f>
        <v>Monitor Multiparámetros</v>
      </c>
      <c r="C539" s="101" t="str">
        <f aca="false">Equipos!E537</f>
        <v>UPC Pediátrica</v>
      </c>
      <c r="D539" s="101" t="str">
        <f aca="false">Equipos!G537</f>
        <v>Cama 11</v>
      </c>
      <c r="E539" s="101" t="str">
        <f aca="false">Equipos!I537</f>
        <v>SPACELABS HEALTHCARE</v>
      </c>
      <c r="F539" s="101" t="str">
        <f aca="false">Equipos!J537</f>
        <v>XPREZZON</v>
      </c>
      <c r="G539" s="100" t="str">
        <f aca="false">Equipos!K537</f>
        <v>1393-109301</v>
      </c>
      <c r="H539" s="101"/>
      <c r="I539" s="103" t="s">
        <v>330</v>
      </c>
      <c r="J539" s="103" t="s">
        <v>328</v>
      </c>
      <c r="K539" s="102"/>
      <c r="L539" s="102"/>
      <c r="M539" s="102"/>
      <c r="N539" s="102"/>
      <c r="O539" s="102"/>
      <c r="P539" s="102"/>
      <c r="Q539" s="102"/>
      <c r="R539" s="102"/>
      <c r="S539" s="102"/>
      <c r="T539" s="102"/>
      <c r="U539" s="101" t="n">
        <f aca="false">V539+W539+X539+COUNTIF(I539:T539,"R")</f>
        <v>2</v>
      </c>
      <c r="V539" s="101" t="n">
        <f aca="false">COUNTIF(I539:T539,"E")</f>
        <v>1</v>
      </c>
      <c r="W539" s="101" t="n">
        <f aca="false">COUNTIF(I539:T539,"X")</f>
        <v>0</v>
      </c>
      <c r="X539" s="101" t="n">
        <f aca="false">COUNTIF(I539:T539,"C2")+COUNTIF(I539:T539,"C3")</f>
        <v>0</v>
      </c>
      <c r="Y539" s="101" t="n">
        <f aca="true">SUMPRODUCT((I539:INDEX(I539:T539,MONTH(TODAY()))="X")*1)</f>
        <v>0</v>
      </c>
      <c r="Z539" s="104" t="n">
        <f aca="false">IFERROR(V539/U539,"")</f>
        <v>0.5</v>
      </c>
    </row>
    <row r="540" customFormat="false" ht="15" hidden="false" customHeight="true" outlineLevel="0" collapsed="false">
      <c r="A540" s="100" t="str">
        <f aca="false">Equipos!C538</f>
        <v>2-112424</v>
      </c>
      <c r="B540" s="101" t="str">
        <f aca="false">Equipos!D538</f>
        <v>Monitor Multiparámetros</v>
      </c>
      <c r="C540" s="101" t="str">
        <f aca="false">Equipos!E538</f>
        <v>Cirugía Adulto</v>
      </c>
      <c r="D540" s="101" t="str">
        <f aca="false">Equipos!G538</f>
        <v>EPC (Clinica)</v>
      </c>
      <c r="E540" s="101" t="str">
        <f aca="false">Equipos!I538</f>
        <v>Nihon Kohden </v>
      </c>
      <c r="F540" s="101" t="str">
        <f aca="false">Equipos!J538</f>
        <v>BSM-2351K</v>
      </c>
      <c r="G540" s="100" t="str">
        <f aca="false">Equipos!K538</f>
        <v>3643</v>
      </c>
      <c r="H540" s="101"/>
      <c r="I540" s="102"/>
      <c r="J540" s="103" t="s">
        <v>333</v>
      </c>
      <c r="K540" s="102"/>
      <c r="L540" s="102"/>
      <c r="M540" s="102"/>
      <c r="N540" s="102"/>
      <c r="O540" s="102"/>
      <c r="P540" s="102"/>
      <c r="Q540" s="102"/>
      <c r="R540" s="102"/>
      <c r="S540" s="102"/>
      <c r="T540" s="102"/>
      <c r="U540" s="101" t="n">
        <f aca="false">V540+W540+X540+COUNTIF(I540:T540,"R")</f>
        <v>0</v>
      </c>
      <c r="V540" s="101" t="n">
        <f aca="false">COUNTIF(I540:T540,"E")</f>
        <v>0</v>
      </c>
      <c r="W540" s="101" t="n">
        <f aca="false">COUNTIF(I540:T540,"X")</f>
        <v>0</v>
      </c>
      <c r="X540" s="101" t="n">
        <f aca="false">COUNTIF(I540:T540,"C2")+COUNTIF(I540:T540,"C3")</f>
        <v>0</v>
      </c>
      <c r="Y540" s="101" t="n">
        <f aca="true">SUMPRODUCT((I540:INDEX(I540:T540,MONTH(TODAY()))="X")*1)</f>
        <v>0</v>
      </c>
      <c r="Z540" s="104" t="str">
        <f aca="false">IFERROR(V540/U540,"")</f>
        <v/>
      </c>
    </row>
    <row r="541" customFormat="false" ht="15" hidden="false" customHeight="true" outlineLevel="0" collapsed="false">
      <c r="A541" s="100" t="str">
        <f aca="false">Equipos!C539</f>
        <v>2-112501</v>
      </c>
      <c r="B541" s="101" t="str">
        <f aca="false">Equipos!D539</f>
        <v>Monitor Multiparámetros</v>
      </c>
      <c r="C541" s="101" t="str">
        <f aca="false">Equipos!E539</f>
        <v>Traumatología</v>
      </c>
      <c r="D541" s="101" t="str">
        <f aca="false">Equipos!G539</f>
        <v>Cirugía Trauma</v>
      </c>
      <c r="E541" s="101" t="str">
        <f aca="false">Equipos!I539</f>
        <v>Nihon Kohden </v>
      </c>
      <c r="F541" s="101" t="str">
        <f aca="false">Equipos!J539</f>
        <v>BSM-6301K</v>
      </c>
      <c r="G541" s="100" t="str">
        <f aca="false">Equipos!K539</f>
        <v>01052.</v>
      </c>
      <c r="H541" s="101"/>
      <c r="I541" s="102"/>
      <c r="J541" s="102"/>
      <c r="K541" s="103" t="s">
        <v>330</v>
      </c>
      <c r="L541" s="103" t="s">
        <v>328</v>
      </c>
      <c r="M541" s="102"/>
      <c r="N541" s="102"/>
      <c r="O541" s="102"/>
      <c r="P541" s="102"/>
      <c r="Q541" s="102"/>
      <c r="R541" s="102"/>
      <c r="S541" s="102"/>
      <c r="T541" s="102"/>
      <c r="U541" s="101" t="n">
        <f aca="false">V541+W541+X541+COUNTIF(I541:T541,"R")</f>
        <v>2</v>
      </c>
      <c r="V541" s="101" t="n">
        <f aca="false">COUNTIF(I541:T541,"E")</f>
        <v>1</v>
      </c>
      <c r="W541" s="101" t="n">
        <f aca="false">COUNTIF(I541:T541,"X")</f>
        <v>0</v>
      </c>
      <c r="X541" s="101" t="n">
        <f aca="false">COUNTIF(I541:T541,"C2")+COUNTIF(I541:T541,"C3")</f>
        <v>0</v>
      </c>
      <c r="Y541" s="101" t="n">
        <f aca="true">SUMPRODUCT((I541:INDEX(I541:T541,MONTH(TODAY()))="X")*1)</f>
        <v>0</v>
      </c>
      <c r="Z541" s="104" t="n">
        <f aca="false">IFERROR(V541/U541,"")</f>
        <v>0.5</v>
      </c>
    </row>
    <row r="542" customFormat="false" ht="15" hidden="false" customHeight="true" outlineLevel="0" collapsed="false">
      <c r="A542" s="100" t="str">
        <f aca="false">Equipos!C540</f>
        <v>2-012781</v>
      </c>
      <c r="B542" s="101" t="str">
        <f aca="false">Equipos!D540</f>
        <v>Monitor Multiparámetros</v>
      </c>
      <c r="C542" s="101" t="str">
        <f aca="false">Equipos!E540</f>
        <v>Traumatología</v>
      </c>
      <c r="D542" s="101" t="str">
        <f aca="false">Equipos!G540</f>
        <v>Cirugía Trauma</v>
      </c>
      <c r="E542" s="101" t="str">
        <f aca="false">Equipos!I540</f>
        <v>Nihon Kohden </v>
      </c>
      <c r="F542" s="101" t="str">
        <f aca="false">Equipos!J540</f>
        <v>BSM-6301K</v>
      </c>
      <c r="G542" s="100" t="str">
        <f aca="false">Equipos!K540</f>
        <v>01046.</v>
      </c>
      <c r="H542" s="101"/>
      <c r="I542" s="102"/>
      <c r="J542" s="102"/>
      <c r="K542" s="103" t="s">
        <v>330</v>
      </c>
      <c r="L542" s="103" t="s">
        <v>328</v>
      </c>
      <c r="M542" s="102"/>
      <c r="N542" s="102"/>
      <c r="O542" s="102"/>
      <c r="P542" s="102"/>
      <c r="Q542" s="102"/>
      <c r="R542" s="102"/>
      <c r="S542" s="102"/>
      <c r="T542" s="102"/>
      <c r="U542" s="101" t="n">
        <f aca="false">V542+W542+X542+COUNTIF(I542:T542,"R")</f>
        <v>2</v>
      </c>
      <c r="V542" s="101" t="n">
        <f aca="false">COUNTIF(I542:T542,"E")</f>
        <v>1</v>
      </c>
      <c r="W542" s="101" t="n">
        <f aca="false">COUNTIF(I542:T542,"X")</f>
        <v>0</v>
      </c>
      <c r="X542" s="101" t="n">
        <f aca="false">COUNTIF(I542:T542,"C2")+COUNTIF(I542:T542,"C3")</f>
        <v>0</v>
      </c>
      <c r="Y542" s="101" t="n">
        <f aca="true">SUMPRODUCT((I542:INDEX(I542:T542,MONTH(TODAY()))="X")*1)</f>
        <v>0</v>
      </c>
      <c r="Z542" s="104" t="n">
        <f aca="false">IFERROR(V542/U542,"")</f>
        <v>0.5</v>
      </c>
    </row>
    <row r="543" customFormat="false" ht="15" hidden="false" customHeight="true" outlineLevel="0" collapsed="false">
      <c r="A543" s="100" t="str">
        <f aca="false">Equipos!C541</f>
        <v>2-003578</v>
      </c>
      <c r="B543" s="101" t="str">
        <f aca="false">Equipos!D541</f>
        <v>Monitor Multiparámetros</v>
      </c>
      <c r="C543" s="101" t="str">
        <f aca="false">Equipos!E541</f>
        <v>Cirugía Adulto</v>
      </c>
      <c r="D543" s="101" t="str">
        <f aca="false">Equipos!G541</f>
        <v>EPB</v>
      </c>
      <c r="E543" s="101" t="str">
        <f aca="false">Equipos!I541</f>
        <v>Nihon Kohden </v>
      </c>
      <c r="F543" s="101" t="str">
        <f aca="false">Equipos!J541</f>
        <v>BSM-6301K</v>
      </c>
      <c r="G543" s="100" t="str">
        <f aca="false">Equipos!K541</f>
        <v>1047</v>
      </c>
      <c r="H543" s="101"/>
      <c r="I543" s="102"/>
      <c r="J543" s="102"/>
      <c r="K543" s="102"/>
      <c r="L543" s="102"/>
      <c r="M543" s="103" t="s">
        <v>329</v>
      </c>
      <c r="N543" s="102"/>
      <c r="O543" s="102"/>
      <c r="P543" s="102"/>
      <c r="Q543" s="102"/>
      <c r="R543" s="102"/>
      <c r="S543" s="102"/>
      <c r="T543" s="102"/>
      <c r="U543" s="101" t="n">
        <f aca="false">V543+W543+X543+COUNTIF(I543:T543,"R")</f>
        <v>1</v>
      </c>
      <c r="V543" s="101" t="n">
        <f aca="false">COUNTIF(I543:T543,"E")</f>
        <v>0</v>
      </c>
      <c r="W543" s="101" t="n">
        <f aca="false">COUNTIF(I543:T543,"X")</f>
        <v>1</v>
      </c>
      <c r="X543" s="101" t="n">
        <f aca="false">COUNTIF(I543:T543,"C2")+COUNTIF(I543:T543,"C3")</f>
        <v>0</v>
      </c>
      <c r="Y543" s="101" t="n">
        <f aca="true">SUMPRODUCT((I543:INDEX(I543:T543,MONTH(TODAY()))="X")*1)</f>
        <v>1</v>
      </c>
      <c r="Z543" s="104" t="n">
        <f aca="false">IFERROR(V543/U543,"")</f>
        <v>0</v>
      </c>
    </row>
    <row r="544" customFormat="false" ht="15" hidden="false" customHeight="true" outlineLevel="0" collapsed="false">
      <c r="A544" s="100" t="str">
        <f aca="false">Equipos!C542</f>
        <v>2-002733</v>
      </c>
      <c r="B544" s="101" t="str">
        <f aca="false">Equipos!D542</f>
        <v>Monitor Multiparámetros</v>
      </c>
      <c r="C544" s="101" t="str">
        <f aca="false">Equipos!E542</f>
        <v>Traumatología</v>
      </c>
      <c r="D544" s="101" t="str">
        <f aca="false">Equipos!G542</f>
        <v>Cirugía Trauma</v>
      </c>
      <c r="E544" s="101" t="str">
        <f aca="false">Equipos!I542</f>
        <v>Nihon Kohden </v>
      </c>
      <c r="F544" s="101" t="str">
        <f aca="false">Equipos!J542</f>
        <v>BSM-6301K</v>
      </c>
      <c r="G544" s="100" t="str">
        <f aca="false">Equipos!K542</f>
        <v>01059.</v>
      </c>
      <c r="H544" s="101"/>
      <c r="I544" s="102"/>
      <c r="J544" s="102"/>
      <c r="K544" s="103" t="s">
        <v>330</v>
      </c>
      <c r="L544" s="103" t="s">
        <v>328</v>
      </c>
      <c r="M544" s="102"/>
      <c r="N544" s="102"/>
      <c r="O544" s="102"/>
      <c r="P544" s="102"/>
      <c r="Q544" s="102"/>
      <c r="R544" s="102"/>
      <c r="S544" s="102"/>
      <c r="T544" s="102"/>
      <c r="U544" s="101" t="n">
        <f aca="false">V544+W544+X544+COUNTIF(I544:T544,"R")</f>
        <v>2</v>
      </c>
      <c r="V544" s="101" t="n">
        <f aca="false">COUNTIF(I544:T544,"E")</f>
        <v>1</v>
      </c>
      <c r="W544" s="101" t="n">
        <f aca="false">COUNTIF(I544:T544,"X")</f>
        <v>0</v>
      </c>
      <c r="X544" s="101" t="n">
        <f aca="false">COUNTIF(I544:T544,"C2")+COUNTIF(I544:T544,"C3")</f>
        <v>0</v>
      </c>
      <c r="Y544" s="101" t="n">
        <f aca="true">SUMPRODUCT((I544:INDEX(I544:T544,MONTH(TODAY()))="X")*1)</f>
        <v>0</v>
      </c>
      <c r="Z544" s="104" t="n">
        <f aca="false">IFERROR(V544/U544,"")</f>
        <v>0.5</v>
      </c>
    </row>
    <row r="545" customFormat="false" ht="15" hidden="false" customHeight="true" outlineLevel="0" collapsed="false">
      <c r="A545" s="100" t="str">
        <f aca="false">Equipos!C543</f>
        <v>2-119372</v>
      </c>
      <c r="B545" s="101" t="str">
        <f aca="false">Equipos!D543</f>
        <v>Monitor Multiparámetros</v>
      </c>
      <c r="C545" s="101" t="str">
        <f aca="false">Equipos!E543</f>
        <v>Pabellón (Recuperación)</v>
      </c>
      <c r="D545" s="101" t="str">
        <f aca="false">Equipos!G543</f>
        <v>Unidad N° 02</v>
      </c>
      <c r="E545" s="101" t="str">
        <f aca="false">Equipos!I543</f>
        <v>Drager</v>
      </c>
      <c r="F545" s="101" t="str">
        <f aca="false">Equipos!J543</f>
        <v>Vista 120</v>
      </c>
      <c r="G545" s="100" t="str">
        <f aca="false">Equipos!K543</f>
        <v>VGSML0069</v>
      </c>
      <c r="H545" s="101"/>
      <c r="I545" s="102"/>
      <c r="J545" s="103" t="s">
        <v>328</v>
      </c>
      <c r="K545" s="102"/>
      <c r="L545" s="102"/>
      <c r="M545" s="102"/>
      <c r="N545" s="102"/>
      <c r="O545" s="102"/>
      <c r="P545" s="102"/>
      <c r="Q545" s="102"/>
      <c r="R545" s="102"/>
      <c r="S545" s="102"/>
      <c r="T545" s="102"/>
      <c r="U545" s="101" t="n">
        <f aca="false">V545+W545+X545+COUNTIF(I545:T545,"R")</f>
        <v>1</v>
      </c>
      <c r="V545" s="101" t="n">
        <f aca="false">COUNTIF(I545:T545,"E")</f>
        <v>1</v>
      </c>
      <c r="W545" s="101" t="n">
        <f aca="false">COUNTIF(I545:T545,"X")</f>
        <v>0</v>
      </c>
      <c r="X545" s="101" t="n">
        <f aca="false">COUNTIF(I545:T545,"C2")+COUNTIF(I545:T545,"C3")</f>
        <v>0</v>
      </c>
      <c r="Y545" s="101" t="n">
        <f aca="true">SUMPRODUCT((I545:INDEX(I545:T545,MONTH(TODAY()))="X")*1)</f>
        <v>0</v>
      </c>
      <c r="Z545" s="104" t="n">
        <f aca="false">IFERROR(V545/U545,"")</f>
        <v>1</v>
      </c>
    </row>
    <row r="546" customFormat="false" ht="15" hidden="false" customHeight="true" outlineLevel="0" collapsed="false">
      <c r="A546" s="100" t="str">
        <f aca="false">Equipos!C544</f>
        <v>2-116514</v>
      </c>
      <c r="B546" s="101" t="str">
        <f aca="false">Equipos!D544</f>
        <v>Monitor Multiparámetros</v>
      </c>
      <c r="C546" s="101" t="str">
        <f aca="false">Equipos!E544</f>
        <v>UPC Pediátrica</v>
      </c>
      <c r="D546" s="101" t="str">
        <f aca="false">Equipos!G544</f>
        <v>Cama 12</v>
      </c>
      <c r="E546" s="101" t="str">
        <f aca="false">Equipos!I544</f>
        <v>SPACELABS HEALTHCARE</v>
      </c>
      <c r="F546" s="101" t="str">
        <f aca="false">Equipos!J544</f>
        <v>XPREZZON</v>
      </c>
      <c r="G546" s="100" t="str">
        <f aca="false">Equipos!K544</f>
        <v>1393-109325</v>
      </c>
      <c r="H546" s="101"/>
      <c r="I546" s="103" t="s">
        <v>330</v>
      </c>
      <c r="J546" s="103" t="s">
        <v>328</v>
      </c>
      <c r="K546" s="102"/>
      <c r="L546" s="102"/>
      <c r="M546" s="102"/>
      <c r="N546" s="102"/>
      <c r="O546" s="102"/>
      <c r="P546" s="102"/>
      <c r="Q546" s="102"/>
      <c r="R546" s="102"/>
      <c r="S546" s="102"/>
      <c r="T546" s="102"/>
      <c r="U546" s="101" t="n">
        <f aca="false">V546+W546+X546+COUNTIF(I546:T546,"R")</f>
        <v>2</v>
      </c>
      <c r="V546" s="101" t="n">
        <f aca="false">COUNTIF(I546:T546,"E")</f>
        <v>1</v>
      </c>
      <c r="W546" s="101" t="n">
        <f aca="false">COUNTIF(I546:T546,"X")</f>
        <v>0</v>
      </c>
      <c r="X546" s="101" t="n">
        <f aca="false">COUNTIF(I546:T546,"C2")+COUNTIF(I546:T546,"C3")</f>
        <v>0</v>
      </c>
      <c r="Y546" s="101" t="n">
        <f aca="true">SUMPRODUCT((I546:INDEX(I546:T546,MONTH(TODAY()))="X")*1)</f>
        <v>0</v>
      </c>
      <c r="Z546" s="104" t="n">
        <f aca="false">IFERROR(V546/U546,"")</f>
        <v>0.5</v>
      </c>
    </row>
    <row r="547" customFormat="false" ht="15" hidden="false" customHeight="true" outlineLevel="0" collapsed="false">
      <c r="A547" s="100" t="str">
        <f aca="false">Equipos!C545</f>
        <v>2-116515</v>
      </c>
      <c r="B547" s="101" t="str">
        <f aca="false">Equipos!D545</f>
        <v>Monitor Multiparámetros</v>
      </c>
      <c r="C547" s="101" t="str">
        <f aca="false">Equipos!E545</f>
        <v>UPC Pediátrica</v>
      </c>
      <c r="D547" s="101" t="str">
        <f aca="false">Equipos!G545</f>
        <v>Cama 13</v>
      </c>
      <c r="E547" s="101" t="str">
        <f aca="false">Equipos!I545</f>
        <v>SPACELABS HEALTHCARE</v>
      </c>
      <c r="F547" s="101" t="str">
        <f aca="false">Equipos!J545</f>
        <v>XPREZZON</v>
      </c>
      <c r="G547" s="100" t="str">
        <f aca="false">Equipos!K545</f>
        <v>1393-109314</v>
      </c>
      <c r="H547" s="101"/>
      <c r="I547" s="103" t="s">
        <v>330</v>
      </c>
      <c r="J547" s="103" t="s">
        <v>328</v>
      </c>
      <c r="K547" s="102"/>
      <c r="L547" s="102"/>
      <c r="M547" s="102"/>
      <c r="N547" s="102"/>
      <c r="O547" s="102"/>
      <c r="P547" s="102"/>
      <c r="Q547" s="102"/>
      <c r="R547" s="102"/>
      <c r="S547" s="102"/>
      <c r="T547" s="102"/>
      <c r="U547" s="101" t="n">
        <f aca="false">V547+W547+X547+COUNTIF(I547:T547,"R")</f>
        <v>2</v>
      </c>
      <c r="V547" s="101" t="n">
        <f aca="false">COUNTIF(I547:T547,"E")</f>
        <v>1</v>
      </c>
      <c r="W547" s="101" t="n">
        <f aca="false">COUNTIF(I547:T547,"X")</f>
        <v>0</v>
      </c>
      <c r="X547" s="101" t="n">
        <f aca="false">COUNTIF(I547:T547,"C2")+COUNTIF(I547:T547,"C3")</f>
        <v>0</v>
      </c>
      <c r="Y547" s="101" t="n">
        <f aca="true">SUMPRODUCT((I547:INDEX(I547:T547,MONTH(TODAY()))="X")*1)</f>
        <v>0</v>
      </c>
      <c r="Z547" s="104" t="n">
        <f aca="false">IFERROR(V547/U547,"")</f>
        <v>0.5</v>
      </c>
    </row>
    <row r="548" customFormat="false" ht="15" hidden="false" customHeight="true" outlineLevel="0" collapsed="false">
      <c r="A548" s="100" t="str">
        <f aca="false">Equipos!C546</f>
        <v>2-119373</v>
      </c>
      <c r="B548" s="101" t="str">
        <f aca="false">Equipos!D546</f>
        <v>Monitor Multiparámetros</v>
      </c>
      <c r="C548" s="101" t="str">
        <f aca="false">Equipos!E546</f>
        <v>Pabellón Quirúrgico (Prestado a Endoscopía)</v>
      </c>
      <c r="D548" s="101" t="str">
        <f aca="false">Equipos!G546</f>
        <v>1º Piso</v>
      </c>
      <c r="E548" s="101" t="str">
        <f aca="false">Equipos!I546</f>
        <v>Drager</v>
      </c>
      <c r="F548" s="101" t="str">
        <f aca="false">Equipos!J546</f>
        <v>Vista 120</v>
      </c>
      <c r="G548" s="100" t="str">
        <f aca="false">Equipos!K546</f>
        <v>VGSML0070</v>
      </c>
      <c r="H548" s="101"/>
      <c r="I548" s="102"/>
      <c r="J548" s="102"/>
      <c r="K548" s="102"/>
      <c r="L548" s="102" t="s">
        <v>329</v>
      </c>
      <c r="M548" s="102"/>
      <c r="N548" s="102"/>
      <c r="O548" s="102"/>
      <c r="P548" s="102"/>
      <c r="Q548" s="102"/>
      <c r="R548" s="102"/>
      <c r="S548" s="102"/>
      <c r="T548" s="102"/>
      <c r="U548" s="101" t="n">
        <f aca="false">V548+W548+X548+COUNTIF(I548:T548,"R")</f>
        <v>1</v>
      </c>
      <c r="V548" s="101" t="n">
        <f aca="false">COUNTIF(I548:T548,"E")</f>
        <v>0</v>
      </c>
      <c r="W548" s="101" t="n">
        <f aca="false">COUNTIF(I548:T548,"X")</f>
        <v>1</v>
      </c>
      <c r="X548" s="101" t="n">
        <f aca="false">COUNTIF(I548:T548,"C2")+COUNTIF(I548:T548,"C3")</f>
        <v>0</v>
      </c>
      <c r="Y548" s="101" t="n">
        <f aca="true">SUMPRODUCT((I548:INDEX(I548:T548,MONTH(TODAY()))="X")*1)</f>
        <v>1</v>
      </c>
      <c r="Z548" s="104" t="n">
        <f aca="false">IFERROR(V548/U548,"")</f>
        <v>0</v>
      </c>
    </row>
    <row r="549" customFormat="false" ht="15" hidden="false" customHeight="true" outlineLevel="0" collapsed="false">
      <c r="A549" s="100" t="str">
        <f aca="false">Equipos!C547</f>
        <v>2-013525</v>
      </c>
      <c r="B549" s="101" t="str">
        <f aca="false">Equipos!D547</f>
        <v>Monitor Multiparámetros</v>
      </c>
      <c r="C549" s="101" t="str">
        <f aca="false">Equipos!E547</f>
        <v>UPC Cardiovascular</v>
      </c>
      <c r="D549" s="101" t="str">
        <f aca="false">Equipos!G547</f>
        <v>BODEGA</v>
      </c>
      <c r="E549" s="101" t="str">
        <f aca="false">Equipos!I547</f>
        <v>Drager </v>
      </c>
      <c r="F549" s="101" t="str">
        <f aca="false">Equipos!J547</f>
        <v>Infinity Vista XL </v>
      </c>
      <c r="G549" s="100" t="str">
        <f aca="false">Equipos!K547</f>
        <v>6000874576</v>
      </c>
      <c r="H549" s="101"/>
      <c r="I549" s="103" t="s">
        <v>330</v>
      </c>
      <c r="J549" s="103" t="s">
        <v>328</v>
      </c>
      <c r="K549" s="102"/>
      <c r="L549" s="102"/>
      <c r="M549" s="102"/>
      <c r="N549" s="102"/>
      <c r="O549" s="102"/>
      <c r="P549" s="102"/>
      <c r="Q549" s="102"/>
      <c r="R549" s="102"/>
      <c r="S549" s="102"/>
      <c r="T549" s="102"/>
      <c r="U549" s="101" t="n">
        <f aca="false">V549+W549+X549+COUNTIF(I549:T549,"R")</f>
        <v>2</v>
      </c>
      <c r="V549" s="101" t="n">
        <f aca="false">COUNTIF(I549:T549,"E")</f>
        <v>1</v>
      </c>
      <c r="W549" s="101" t="n">
        <f aca="false">COUNTIF(I549:T549,"X")</f>
        <v>0</v>
      </c>
      <c r="X549" s="101" t="n">
        <f aca="false">COUNTIF(I549:T549,"C2")+COUNTIF(I549:T549,"C3")</f>
        <v>0</v>
      </c>
      <c r="Y549" s="101" t="n">
        <f aca="true">SUMPRODUCT((I549:INDEX(I549:T549,MONTH(TODAY()))="X")*1)</f>
        <v>0</v>
      </c>
      <c r="Z549" s="104" t="n">
        <f aca="false">IFERROR(V549/U549,"")</f>
        <v>0.5</v>
      </c>
    </row>
    <row r="550" customFormat="false" ht="15" hidden="false" customHeight="true" outlineLevel="0" collapsed="false">
      <c r="A550" s="100" t="str">
        <f aca="false">Equipos!C548</f>
        <v>2-013523</v>
      </c>
      <c r="B550" s="101" t="str">
        <f aca="false">Equipos!D548</f>
        <v>Monitor Multiparámetros</v>
      </c>
      <c r="C550" s="101" t="str">
        <f aca="false">Equipos!E548</f>
        <v>UPC Cardiovascular</v>
      </c>
      <c r="D550" s="101" t="str">
        <f aca="false">Equipos!G548</f>
        <v>BODEGA</v>
      </c>
      <c r="E550" s="101" t="str">
        <f aca="false">Equipos!I548</f>
        <v>Drager </v>
      </c>
      <c r="F550" s="101" t="str">
        <f aca="false">Equipos!J548</f>
        <v>Infinity Vista XL </v>
      </c>
      <c r="G550" s="100" t="str">
        <f aca="false">Equipos!K548</f>
        <v>6000907871</v>
      </c>
      <c r="H550" s="101"/>
      <c r="I550" s="103" t="s">
        <v>332</v>
      </c>
      <c r="J550" s="102"/>
      <c r="K550" s="103" t="s">
        <v>328</v>
      </c>
      <c r="L550" s="102"/>
      <c r="M550" s="102"/>
      <c r="N550" s="102"/>
      <c r="O550" s="102"/>
      <c r="P550" s="102"/>
      <c r="Q550" s="102"/>
      <c r="R550" s="102"/>
      <c r="S550" s="102"/>
      <c r="T550" s="102"/>
      <c r="U550" s="101" t="n">
        <f aca="false">V550+W550+X550+COUNTIF(I550:T550,"R")</f>
        <v>2</v>
      </c>
      <c r="V550" s="101" t="n">
        <f aca="false">COUNTIF(I550:T550,"E")</f>
        <v>1</v>
      </c>
      <c r="W550" s="101" t="n">
        <f aca="false">COUNTIF(I550:T550,"X")</f>
        <v>0</v>
      </c>
      <c r="X550" s="101" t="n">
        <f aca="false">COUNTIF(I550:T550,"C2")+COUNTIF(I550:T550,"C3")</f>
        <v>1</v>
      </c>
      <c r="Y550" s="101" t="n">
        <f aca="true">SUMPRODUCT((I550:INDEX(I550:T550,MONTH(TODAY()))="X")*1)</f>
        <v>0</v>
      </c>
      <c r="Z550" s="104" t="n">
        <f aca="false">IFERROR(V550/U550,"")</f>
        <v>0.5</v>
      </c>
    </row>
    <row r="551" customFormat="false" ht="15" hidden="false" customHeight="true" outlineLevel="0" collapsed="false">
      <c r="A551" s="100" t="str">
        <f aca="false">Equipos!C549</f>
        <v>2-013524</v>
      </c>
      <c r="B551" s="101" t="str">
        <f aca="false">Equipos!D549</f>
        <v>Monitor Multiparámetros</v>
      </c>
      <c r="C551" s="101" t="str">
        <f aca="false">Equipos!E549</f>
        <v>UPC Cardiovascular (Prestado a UPC Adulto)</v>
      </c>
      <c r="D551" s="101" t="str">
        <f aca="false">Equipos!G549</f>
        <v>Armario de equipos UCI Cardio</v>
      </c>
      <c r="E551" s="101" t="str">
        <f aca="false">Equipos!I549</f>
        <v>Drager </v>
      </c>
      <c r="F551" s="101" t="str">
        <f aca="false">Equipos!J549</f>
        <v>Infinity Vista XL </v>
      </c>
      <c r="G551" s="100" t="str">
        <f aca="false">Equipos!K549</f>
        <v>6000875272</v>
      </c>
      <c r="H551" s="101"/>
      <c r="I551" s="102"/>
      <c r="J551" s="102"/>
      <c r="K551" s="102"/>
      <c r="L551" s="103"/>
      <c r="M551" s="102"/>
      <c r="N551" s="102"/>
      <c r="O551" s="102"/>
      <c r="P551" s="102"/>
      <c r="Q551" s="102"/>
      <c r="R551" s="102"/>
      <c r="S551" s="102"/>
      <c r="T551" s="102"/>
      <c r="U551" s="101" t="n">
        <f aca="false">V551+W551+X551+COUNTIF(I551:T551,"R")</f>
        <v>0</v>
      </c>
      <c r="V551" s="101" t="n">
        <f aca="false">COUNTIF(I551:T551,"E")</f>
        <v>0</v>
      </c>
      <c r="W551" s="101" t="n">
        <f aca="false">COUNTIF(I551:T551,"X")</f>
        <v>0</v>
      </c>
      <c r="X551" s="101" t="n">
        <f aca="false">COUNTIF(I551:T551,"C2")+COUNTIF(I551:T551,"C3")</f>
        <v>0</v>
      </c>
      <c r="Y551" s="101" t="n">
        <f aca="true">SUMPRODUCT((I551:INDEX(I551:T551,MONTH(TODAY()))="X")*1)</f>
        <v>0</v>
      </c>
      <c r="Z551" s="104" t="str">
        <f aca="false">IFERROR(V551/U551,"")</f>
        <v/>
      </c>
    </row>
    <row r="552" customFormat="false" ht="15" hidden="false" customHeight="true" outlineLevel="0" collapsed="false">
      <c r="A552" s="100" t="str">
        <f aca="false">Equipos!C550</f>
        <v>2-013521</v>
      </c>
      <c r="B552" s="101" t="str">
        <f aca="false">Equipos!D550</f>
        <v>Monitor Multiparámetros</v>
      </c>
      <c r="C552" s="101" t="str">
        <f aca="false">Equipos!E550</f>
        <v>Medicina</v>
      </c>
      <c r="D552" s="101" t="str">
        <f aca="false">Equipos!G550</f>
        <v>522-3</v>
      </c>
      <c r="E552" s="101" t="str">
        <f aca="false">Equipos!I550</f>
        <v>Drager </v>
      </c>
      <c r="F552" s="101" t="str">
        <f aca="false">Equipos!J550</f>
        <v>Infinity Vista XL </v>
      </c>
      <c r="G552" s="100" t="str">
        <f aca="false">Equipos!K550</f>
        <v>6000873372</v>
      </c>
      <c r="H552" s="101"/>
      <c r="I552" s="102"/>
      <c r="J552" s="103" t="s">
        <v>328</v>
      </c>
      <c r="K552" s="102"/>
      <c r="L552" s="102"/>
      <c r="M552" s="102"/>
      <c r="N552" s="102"/>
      <c r="O552" s="102"/>
      <c r="P552" s="102"/>
      <c r="Q552" s="102"/>
      <c r="R552" s="102"/>
      <c r="S552" s="102"/>
      <c r="T552" s="102"/>
      <c r="U552" s="101" t="n">
        <f aca="false">V552+W552+X552+COUNTIF(I552:T552,"R")</f>
        <v>1</v>
      </c>
      <c r="V552" s="101" t="n">
        <f aca="false">COUNTIF(I552:T552,"E")</f>
        <v>1</v>
      </c>
      <c r="W552" s="101" t="n">
        <f aca="false">COUNTIF(I552:T552,"X")</f>
        <v>0</v>
      </c>
      <c r="X552" s="101" t="n">
        <f aca="false">COUNTIF(I552:T552,"C2")+COUNTIF(I552:T552,"C3")</f>
        <v>0</v>
      </c>
      <c r="Y552" s="101" t="n">
        <f aca="true">SUMPRODUCT((I552:INDEX(I552:T552,MONTH(TODAY()))="X")*1)</f>
        <v>0</v>
      </c>
      <c r="Z552" s="104" t="n">
        <f aca="false">IFERROR(V552/U552,"")</f>
        <v>1</v>
      </c>
    </row>
    <row r="553" customFormat="false" ht="15" hidden="false" customHeight="true" outlineLevel="0" collapsed="false">
      <c r="A553" s="100" t="str">
        <f aca="false">Equipos!C551</f>
        <v>2-112577</v>
      </c>
      <c r="B553" s="101" t="str">
        <f aca="false">Equipos!D551</f>
        <v>Monitor Multiparámetros</v>
      </c>
      <c r="C553" s="101" t="str">
        <f aca="false">Equipos!E551</f>
        <v>Cardiología</v>
      </c>
      <c r="D553" s="101" t="str">
        <f aca="false">Equipos!G551</f>
        <v>Box 12 - Ecografia</v>
      </c>
      <c r="E553" s="101" t="str">
        <f aca="false">Equipos!I551</f>
        <v>Nellcor</v>
      </c>
      <c r="F553" s="101" t="str">
        <f aca="false">Equipos!J551</f>
        <v>M5600-LA</v>
      </c>
      <c r="G553" s="100" t="str">
        <f aca="false">Equipos!K551</f>
        <v>23307030152</v>
      </c>
      <c r="H553" s="101"/>
      <c r="I553" s="102"/>
      <c r="J553" s="102"/>
      <c r="K553" s="103" t="s">
        <v>330</v>
      </c>
      <c r="L553" s="103" t="s">
        <v>328</v>
      </c>
      <c r="M553" s="102"/>
      <c r="N553" s="102"/>
      <c r="O553" s="102"/>
      <c r="P553" s="102"/>
      <c r="Q553" s="102"/>
      <c r="R553" s="102"/>
      <c r="S553" s="102"/>
      <c r="T553" s="102"/>
      <c r="U553" s="101" t="n">
        <f aca="false">V553+W553+X553+COUNTIF(I553:T553,"R")</f>
        <v>2</v>
      </c>
      <c r="V553" s="101" t="n">
        <f aca="false">COUNTIF(I553:T553,"E")</f>
        <v>1</v>
      </c>
      <c r="W553" s="101" t="n">
        <f aca="false">COUNTIF(I553:T553,"X")</f>
        <v>0</v>
      </c>
      <c r="X553" s="101" t="n">
        <f aca="false">COUNTIF(I553:T553,"C2")+COUNTIF(I553:T553,"C3")</f>
        <v>0</v>
      </c>
      <c r="Y553" s="101" t="n">
        <f aca="true">SUMPRODUCT((I553:INDEX(I553:T553,MONTH(TODAY()))="X")*1)</f>
        <v>0</v>
      </c>
      <c r="Z553" s="104" t="n">
        <f aca="false">IFERROR(V553/U553,"")</f>
        <v>0.5</v>
      </c>
    </row>
    <row r="554" customFormat="false" ht="15" hidden="false" customHeight="true" outlineLevel="0" collapsed="false">
      <c r="A554" s="100" t="str">
        <f aca="false">Equipos!C552</f>
        <v>2-111613</v>
      </c>
      <c r="B554" s="101" t="str">
        <f aca="false">Equipos!D552</f>
        <v>Monitor Multiparámetros</v>
      </c>
      <c r="C554" s="101" t="str">
        <f aca="false">Equipos!E552</f>
        <v>Urgencia Infantil (Prestado a Pediatría)</v>
      </c>
      <c r="D554" s="101" t="n">
        <f aca="false">Equipos!G552</f>
        <v>0</v>
      </c>
      <c r="E554" s="101" t="str">
        <f aca="false">Equipos!I552</f>
        <v>Drager </v>
      </c>
      <c r="F554" s="101" t="str">
        <f aca="false">Equipos!J552</f>
        <v>Infinity Vista XL </v>
      </c>
      <c r="G554" s="100" t="str">
        <f aca="false">Equipos!K552</f>
        <v>5395673564</v>
      </c>
      <c r="H554" s="101"/>
      <c r="I554" s="102"/>
      <c r="J554" s="103" t="s">
        <v>330</v>
      </c>
      <c r="K554" s="103" t="s">
        <v>328</v>
      </c>
      <c r="L554" s="102"/>
      <c r="M554" s="102"/>
      <c r="N554" s="102"/>
      <c r="O554" s="102"/>
      <c r="P554" s="102"/>
      <c r="Q554" s="102"/>
      <c r="R554" s="102"/>
      <c r="S554" s="102"/>
      <c r="T554" s="102"/>
      <c r="U554" s="101" t="n">
        <f aca="false">V554+W554+X554+COUNTIF(I554:T554,"R")</f>
        <v>2</v>
      </c>
      <c r="V554" s="101" t="n">
        <f aca="false">COUNTIF(I554:T554,"E")</f>
        <v>1</v>
      </c>
      <c r="W554" s="101" t="n">
        <f aca="false">COUNTIF(I554:T554,"X")</f>
        <v>0</v>
      </c>
      <c r="X554" s="101" t="n">
        <f aca="false">COUNTIF(I554:T554,"C2")+COUNTIF(I554:T554,"C3")</f>
        <v>0</v>
      </c>
      <c r="Y554" s="101" t="n">
        <f aca="true">SUMPRODUCT((I554:INDEX(I554:T554,MONTH(TODAY()))="X")*1)</f>
        <v>0</v>
      </c>
      <c r="Z554" s="104" t="n">
        <f aca="false">IFERROR(V554/U554,"")</f>
        <v>0.5</v>
      </c>
    </row>
    <row r="555" customFormat="false" ht="15" hidden="false" customHeight="true" outlineLevel="0" collapsed="false">
      <c r="A555" s="100" t="str">
        <f aca="false">Equipos!C553</f>
        <v>2-021178</v>
      </c>
      <c r="B555" s="101" t="str">
        <f aca="false">Equipos!D553</f>
        <v>Monitor Multiparámetros</v>
      </c>
      <c r="C555" s="101" t="str">
        <f aca="false">Equipos!E553</f>
        <v>Cirugía Infantil</v>
      </c>
      <c r="D555" s="101" t="str">
        <f aca="false">Equipos!G553</f>
        <v>Cirugia infantil 619-623</v>
      </c>
      <c r="E555" s="101" t="str">
        <f aca="false">Equipos!I553</f>
        <v>Nihon Kohden </v>
      </c>
      <c r="F555" s="101" t="str">
        <f aca="false">Equipos!J553</f>
        <v>BSM-6301K</v>
      </c>
      <c r="G555" s="100" t="str">
        <f aca="false">Equipos!K553</f>
        <v>1066</v>
      </c>
      <c r="H555" s="101"/>
      <c r="I555" s="103" t="s">
        <v>330</v>
      </c>
      <c r="J555" s="103" t="s">
        <v>328</v>
      </c>
      <c r="K555" s="102"/>
      <c r="L555" s="102"/>
      <c r="M555" s="102"/>
      <c r="N555" s="102"/>
      <c r="O555" s="102"/>
      <c r="P555" s="102"/>
      <c r="Q555" s="102"/>
      <c r="R555" s="102"/>
      <c r="S555" s="102"/>
      <c r="T555" s="102"/>
      <c r="U555" s="101" t="n">
        <f aca="false">V555+W555+X555+COUNTIF(I555:T555,"R")</f>
        <v>2</v>
      </c>
      <c r="V555" s="101" t="n">
        <f aca="false">COUNTIF(I555:T555,"E")</f>
        <v>1</v>
      </c>
      <c r="W555" s="101" t="n">
        <f aca="false">COUNTIF(I555:T555,"X")</f>
        <v>0</v>
      </c>
      <c r="X555" s="101" t="n">
        <f aca="false">COUNTIF(I555:T555,"C2")+COUNTIF(I555:T555,"C3")</f>
        <v>0</v>
      </c>
      <c r="Y555" s="101" t="n">
        <f aca="true">SUMPRODUCT((I555:INDEX(I555:T555,MONTH(TODAY()))="X")*1)</f>
        <v>0</v>
      </c>
      <c r="Z555" s="104" t="n">
        <f aca="false">IFERROR(V555/U555,"")</f>
        <v>0.5</v>
      </c>
    </row>
    <row r="556" customFormat="false" ht="15" hidden="false" customHeight="true" outlineLevel="0" collapsed="false">
      <c r="A556" s="100" t="str">
        <f aca="false">Equipos!C554</f>
        <v>2-119374</v>
      </c>
      <c r="B556" s="101" t="str">
        <f aca="false">Equipos!D554</f>
        <v>Monitor Multiparámetros</v>
      </c>
      <c r="C556" s="101" t="str">
        <f aca="false">Equipos!E554</f>
        <v>Pabellón (Recuperación)</v>
      </c>
      <c r="D556" s="101" t="str">
        <f aca="false">Equipos!G554</f>
        <v>Cama N° 13</v>
      </c>
      <c r="E556" s="101" t="str">
        <f aca="false">Equipos!I554</f>
        <v>Drager</v>
      </c>
      <c r="F556" s="101" t="str">
        <f aca="false">Equipos!J554</f>
        <v>Vista 120</v>
      </c>
      <c r="G556" s="100" t="str">
        <f aca="false">Equipos!K554</f>
        <v>VGSML0072</v>
      </c>
      <c r="H556" s="101"/>
      <c r="I556" s="102"/>
      <c r="J556" s="103" t="s">
        <v>328</v>
      </c>
      <c r="K556" s="102"/>
      <c r="L556" s="102"/>
      <c r="M556" s="102"/>
      <c r="N556" s="102"/>
      <c r="O556" s="102"/>
      <c r="P556" s="102"/>
      <c r="Q556" s="102"/>
      <c r="R556" s="102"/>
      <c r="S556" s="102"/>
      <c r="T556" s="102"/>
      <c r="U556" s="101" t="n">
        <f aca="false">V556+W556+X556+COUNTIF(I556:T556,"R")</f>
        <v>1</v>
      </c>
      <c r="V556" s="101" t="n">
        <f aca="false">COUNTIF(I556:T556,"E")</f>
        <v>1</v>
      </c>
      <c r="W556" s="101" t="n">
        <f aca="false">COUNTIF(I556:T556,"X")</f>
        <v>0</v>
      </c>
      <c r="X556" s="101" t="n">
        <f aca="false">COUNTIF(I556:T556,"C2")+COUNTIF(I556:T556,"C3")</f>
        <v>0</v>
      </c>
      <c r="Y556" s="101" t="n">
        <f aca="true">SUMPRODUCT((I556:INDEX(I556:T556,MONTH(TODAY()))="X")*1)</f>
        <v>0</v>
      </c>
      <c r="Z556" s="104" t="n">
        <f aca="false">IFERROR(V556/U556,"")</f>
        <v>1</v>
      </c>
    </row>
    <row r="557" customFormat="false" ht="15" hidden="false" customHeight="true" outlineLevel="0" collapsed="false">
      <c r="A557" s="100" t="str">
        <f aca="false">Equipos!C555</f>
        <v>2-024353</v>
      </c>
      <c r="B557" s="101" t="str">
        <f aca="false">Equipos!D555</f>
        <v>Monitor Multiparámetros</v>
      </c>
      <c r="C557" s="101" t="str">
        <f aca="false">Equipos!E555</f>
        <v>Pabellón Quirúrgico</v>
      </c>
      <c r="D557" s="101" t="n">
        <f aca="false">Equipos!G555</f>
        <v>0</v>
      </c>
      <c r="E557" s="101" t="str">
        <f aca="false">Equipos!I555</f>
        <v>Drager </v>
      </c>
      <c r="F557" s="101" t="str">
        <f aca="false">Equipos!J555</f>
        <v>Infinity Kappa</v>
      </c>
      <c r="G557" s="100" t="str">
        <f aca="false">Equipos!K555</f>
        <v>5494305160</v>
      </c>
      <c r="H557" s="101"/>
      <c r="I557" s="102"/>
      <c r="J557" s="102"/>
      <c r="K557" s="102"/>
      <c r="L557" s="103" t="s">
        <v>328</v>
      </c>
      <c r="M557" s="102"/>
      <c r="N557" s="102"/>
      <c r="O557" s="102"/>
      <c r="P557" s="102"/>
      <c r="Q557" s="102"/>
      <c r="R557" s="102"/>
      <c r="S557" s="102"/>
      <c r="T557" s="102"/>
      <c r="U557" s="101" t="n">
        <f aca="false">V557+W557+X557+COUNTIF(I557:T557,"R")</f>
        <v>1</v>
      </c>
      <c r="V557" s="101" t="n">
        <f aca="false">COUNTIF(I557:T557,"E")</f>
        <v>1</v>
      </c>
      <c r="W557" s="101" t="n">
        <f aca="false">COUNTIF(I557:T557,"X")</f>
        <v>0</v>
      </c>
      <c r="X557" s="101" t="n">
        <f aca="false">COUNTIF(I557:T557,"C2")+COUNTIF(I557:T557,"C3")</f>
        <v>0</v>
      </c>
      <c r="Y557" s="101" t="n">
        <f aca="true">SUMPRODUCT((I557:INDEX(I557:T557,MONTH(TODAY()))="X")*1)</f>
        <v>0</v>
      </c>
      <c r="Z557" s="104" t="n">
        <f aca="false">IFERROR(V557/U557,"")</f>
        <v>1</v>
      </c>
    </row>
    <row r="558" customFormat="false" ht="15" hidden="false" customHeight="true" outlineLevel="0" collapsed="false">
      <c r="A558" s="100" t="str">
        <f aca="false">Equipos!C556</f>
        <v>2-119632</v>
      </c>
      <c r="B558" s="101" t="str">
        <f aca="false">Equipos!D556</f>
        <v>Monitor Multiparámetros</v>
      </c>
      <c r="C558" s="101" t="str">
        <f aca="false">Equipos!E556</f>
        <v>UPC 3er Piso</v>
      </c>
      <c r="D558" s="101" t="str">
        <f aca="false">Equipos!G556</f>
        <v>Sala de equipos</v>
      </c>
      <c r="E558" s="101" t="str">
        <f aca="false">Equipos!I556</f>
        <v>General Electric</v>
      </c>
      <c r="F558" s="101" t="str">
        <f aca="false">Equipos!J556</f>
        <v>B105</v>
      </c>
      <c r="G558" s="100" t="str">
        <f aca="false">Equipos!K556</f>
        <v>SQE19510004SA</v>
      </c>
      <c r="H558" s="101"/>
      <c r="I558" s="102"/>
      <c r="J558" s="102"/>
      <c r="K558" s="102"/>
      <c r="L558" s="102"/>
      <c r="M558" s="103" t="s">
        <v>329</v>
      </c>
      <c r="N558" s="102"/>
      <c r="O558" s="102"/>
      <c r="P558" s="102"/>
      <c r="Q558" s="102"/>
      <c r="R558" s="102"/>
      <c r="S558" s="102"/>
      <c r="T558" s="102"/>
      <c r="U558" s="101" t="n">
        <f aca="false">V558+W558+X558+COUNTIF(I558:T558,"R")</f>
        <v>1</v>
      </c>
      <c r="V558" s="101" t="n">
        <f aca="false">COUNTIF(I558:T558,"E")</f>
        <v>0</v>
      </c>
      <c r="W558" s="101" t="n">
        <f aca="false">COUNTIF(I558:T558,"X")</f>
        <v>1</v>
      </c>
      <c r="X558" s="101" t="n">
        <f aca="false">COUNTIF(I558:T558,"C2")+COUNTIF(I558:T558,"C3")</f>
        <v>0</v>
      </c>
      <c r="Y558" s="101" t="n">
        <f aca="true">SUMPRODUCT((I558:INDEX(I558:T558,MONTH(TODAY()))="X")*1)</f>
        <v>1</v>
      </c>
      <c r="Z558" s="104" t="n">
        <f aca="false">IFERROR(V558/U558,"")</f>
        <v>0</v>
      </c>
    </row>
    <row r="559" customFormat="false" ht="15" hidden="false" customHeight="true" outlineLevel="0" collapsed="false">
      <c r="A559" s="100" t="str">
        <f aca="false">Equipos!C557</f>
        <v>2-119633</v>
      </c>
      <c r="B559" s="101" t="str">
        <f aca="false">Equipos!D557</f>
        <v>Monitor Multiparámetros</v>
      </c>
      <c r="C559" s="101" t="str">
        <f aca="false">Equipos!E557</f>
        <v>UPC 3er Piso</v>
      </c>
      <c r="D559" s="101" t="str">
        <f aca="false">Equipos!G557</f>
        <v>Sala de equipos</v>
      </c>
      <c r="E559" s="101" t="str">
        <f aca="false">Equipos!I557</f>
        <v>General Electric</v>
      </c>
      <c r="F559" s="101" t="str">
        <f aca="false">Equipos!J557</f>
        <v>B105</v>
      </c>
      <c r="G559" s="100" t="str">
        <f aca="false">Equipos!K557</f>
        <v>SQE19510005SA</v>
      </c>
      <c r="H559" s="101"/>
      <c r="I559" s="102"/>
      <c r="J559" s="102"/>
      <c r="K559" s="102"/>
      <c r="L559" s="102"/>
      <c r="M559" s="103" t="s">
        <v>329</v>
      </c>
      <c r="N559" s="102"/>
      <c r="O559" s="102"/>
      <c r="P559" s="102"/>
      <c r="Q559" s="102"/>
      <c r="R559" s="102"/>
      <c r="S559" s="102"/>
      <c r="T559" s="102"/>
      <c r="U559" s="101" t="n">
        <f aca="false">V559+W559+X559+COUNTIF(I559:T559,"R")</f>
        <v>1</v>
      </c>
      <c r="V559" s="101" t="n">
        <f aca="false">COUNTIF(I559:T559,"E")</f>
        <v>0</v>
      </c>
      <c r="W559" s="101" t="n">
        <f aca="false">COUNTIF(I559:T559,"X")</f>
        <v>1</v>
      </c>
      <c r="X559" s="101" t="n">
        <f aca="false">COUNTIF(I559:T559,"C2")+COUNTIF(I559:T559,"C3")</f>
        <v>0</v>
      </c>
      <c r="Y559" s="101" t="n">
        <f aca="true">SUMPRODUCT((I559:INDEX(I559:T559,MONTH(TODAY()))="X")*1)</f>
        <v>1</v>
      </c>
      <c r="Z559" s="104" t="n">
        <f aca="false">IFERROR(V559/U559,"")</f>
        <v>0</v>
      </c>
    </row>
    <row r="560" customFormat="false" ht="15" hidden="false" customHeight="true" outlineLevel="0" collapsed="false">
      <c r="A560" s="100" t="str">
        <f aca="false">Equipos!C558</f>
        <v>2-135921</v>
      </c>
      <c r="B560" s="101" t="str">
        <f aca="false">Equipos!D558</f>
        <v>Monitor Multiparámetros</v>
      </c>
      <c r="C560" s="101" t="str">
        <f aca="false">Equipos!E558</f>
        <v>TROI</v>
      </c>
      <c r="D560" s="101" t="n">
        <f aca="false">Equipos!G558</f>
        <v>0</v>
      </c>
      <c r="E560" s="101" t="str">
        <f aca="false">Equipos!I558</f>
        <v>Drager</v>
      </c>
      <c r="F560" s="101" t="str">
        <f aca="false">Equipos!J558</f>
        <v>Vista 300</v>
      </c>
      <c r="G560" s="100" t="str">
        <f aca="false">Equipos!K558</f>
        <v>VSSUM0052</v>
      </c>
      <c r="H560" s="101"/>
      <c r="I560" s="102"/>
      <c r="J560" s="102"/>
      <c r="K560" s="102"/>
      <c r="L560" s="103" t="s">
        <v>328</v>
      </c>
      <c r="M560" s="102"/>
      <c r="N560" s="102"/>
      <c r="O560" s="102"/>
      <c r="P560" s="102"/>
      <c r="Q560" s="102"/>
      <c r="R560" s="102"/>
      <c r="S560" s="102"/>
      <c r="T560" s="102"/>
      <c r="U560" s="101" t="n">
        <f aca="false">V560+W560+X560+COUNTIF(I560:T560,"R")</f>
        <v>1</v>
      </c>
      <c r="V560" s="101" t="n">
        <f aca="false">COUNTIF(I560:T560,"E")</f>
        <v>1</v>
      </c>
      <c r="W560" s="101" t="n">
        <f aca="false">COUNTIF(I560:T560,"X")</f>
        <v>0</v>
      </c>
      <c r="X560" s="101" t="n">
        <f aca="false">COUNTIF(I560:T560,"C2")+COUNTIF(I560:T560,"C3")</f>
        <v>0</v>
      </c>
      <c r="Y560" s="101" t="n">
        <f aca="true">SUMPRODUCT((I560:INDEX(I560:T560,MONTH(TODAY()))="X")*1)</f>
        <v>0</v>
      </c>
      <c r="Z560" s="104" t="n">
        <f aca="false">IFERROR(V560/U560,"")</f>
        <v>1</v>
      </c>
    </row>
    <row r="561" customFormat="false" ht="15" hidden="false" customHeight="true" outlineLevel="0" collapsed="false">
      <c r="A561" s="100" t="str">
        <f aca="false">Equipos!C559</f>
        <v>2-135399</v>
      </c>
      <c r="B561" s="101" t="str">
        <f aca="false">Equipos!D559</f>
        <v>Monitor Multiparámetros</v>
      </c>
      <c r="C561" s="101" t="str">
        <f aca="false">Equipos!E559</f>
        <v>TROI</v>
      </c>
      <c r="D561" s="101" t="n">
        <f aca="false">Equipos!G559</f>
        <v>0</v>
      </c>
      <c r="E561" s="101" t="str">
        <f aca="false">Equipos!I559</f>
        <v>Drager</v>
      </c>
      <c r="F561" s="101" t="str">
        <f aca="false">Equipos!J559</f>
        <v>Vista 300</v>
      </c>
      <c r="G561" s="100" t="str">
        <f aca="false">Equipos!K559</f>
        <v>VSSTE0190</v>
      </c>
      <c r="H561" s="101"/>
      <c r="I561" s="102"/>
      <c r="J561" s="102"/>
      <c r="K561" s="102"/>
      <c r="L561" s="103" t="s">
        <v>328</v>
      </c>
      <c r="M561" s="102"/>
      <c r="N561" s="102"/>
      <c r="O561" s="102"/>
      <c r="P561" s="102"/>
      <c r="Q561" s="102"/>
      <c r="R561" s="102"/>
      <c r="S561" s="102"/>
      <c r="T561" s="102"/>
      <c r="U561" s="101" t="n">
        <f aca="false">V561+W561+X561+COUNTIF(I561:T561,"R")</f>
        <v>1</v>
      </c>
      <c r="V561" s="101" t="n">
        <f aca="false">COUNTIF(I561:T561,"E")</f>
        <v>1</v>
      </c>
      <c r="W561" s="101" t="n">
        <f aca="false">COUNTIF(I561:T561,"X")</f>
        <v>0</v>
      </c>
      <c r="X561" s="101" t="n">
        <f aca="false">COUNTIF(I561:T561,"C2")+COUNTIF(I561:T561,"C3")</f>
        <v>0</v>
      </c>
      <c r="Y561" s="101" t="n">
        <f aca="true">SUMPRODUCT((I561:INDEX(I561:T561,MONTH(TODAY()))="X")*1)</f>
        <v>0</v>
      </c>
      <c r="Z561" s="104" t="n">
        <f aca="false">IFERROR(V561/U561,"")</f>
        <v>1</v>
      </c>
    </row>
    <row r="562" customFormat="false" ht="15" hidden="false" customHeight="true" outlineLevel="0" collapsed="false">
      <c r="A562" s="100" t="n">
        <f aca="false">Equipos!C560</f>
        <v>0</v>
      </c>
      <c r="B562" s="101" t="n">
        <f aca="false">Equipos!D560</f>
        <v>0</v>
      </c>
      <c r="C562" s="101" t="n">
        <f aca="false">Equipos!E560</f>
        <v>0</v>
      </c>
      <c r="D562" s="101" t="n">
        <f aca="false">Equipos!G560</f>
        <v>0</v>
      </c>
      <c r="E562" s="101" t="n">
        <f aca="false">Equipos!I560</f>
        <v>0</v>
      </c>
      <c r="F562" s="101" t="n">
        <f aca="false">Equipos!J560</f>
        <v>0</v>
      </c>
      <c r="G562" s="100" t="n">
        <f aca="false">Equipos!K560</f>
        <v>0</v>
      </c>
      <c r="H562" s="101"/>
      <c r="I562" s="102"/>
      <c r="J562" s="102"/>
      <c r="K562" s="102"/>
      <c r="L562" s="102"/>
      <c r="M562" s="102"/>
      <c r="N562" s="102"/>
      <c r="O562" s="102"/>
      <c r="P562" s="102"/>
      <c r="Q562" s="102"/>
      <c r="R562" s="102"/>
      <c r="S562" s="102"/>
      <c r="T562" s="102"/>
      <c r="U562" s="101" t="n">
        <f aca="false">V562+W562+X562+COUNTIF(I562:T562,"R")</f>
        <v>0</v>
      </c>
      <c r="V562" s="101" t="n">
        <f aca="false">COUNTIF(I562:T562,"E")</f>
        <v>0</v>
      </c>
      <c r="W562" s="101" t="n">
        <f aca="false">COUNTIF(I562:T562,"X")</f>
        <v>0</v>
      </c>
      <c r="X562" s="101" t="n">
        <f aca="false">COUNTIF(I562:T562,"C2")+COUNTIF(I562:T562,"C3")</f>
        <v>0</v>
      </c>
      <c r="Y562" s="101" t="n">
        <f aca="true">SUMPRODUCT((I562:INDEX(I562:T562,MONTH(TODAY()))="X")*1)</f>
        <v>0</v>
      </c>
      <c r="Z562" s="104" t="str">
        <f aca="false">IFERROR(V562/U562,"")</f>
        <v/>
      </c>
    </row>
    <row r="563" customFormat="false" ht="15" hidden="false" customHeight="true" outlineLevel="0" collapsed="false">
      <c r="A563" s="100" t="str">
        <f aca="false">Equipos!C561</f>
        <v>2-112536</v>
      </c>
      <c r="B563" s="101" t="str">
        <f aca="false">Equipos!D561</f>
        <v>Monitor Multiparámetros</v>
      </c>
      <c r="C563" s="101" t="str">
        <f aca="false">Equipos!E561</f>
        <v>UPC Adulto</v>
      </c>
      <c r="D563" s="101" t="n">
        <f aca="false">Equipos!G561</f>
        <v>0</v>
      </c>
      <c r="E563" s="101" t="str">
        <f aca="false">Equipos!I561</f>
        <v>Drager </v>
      </c>
      <c r="F563" s="101" t="str">
        <f aca="false">Equipos!J561</f>
        <v>Infinity Delta</v>
      </c>
      <c r="G563" s="100" t="str">
        <f aca="false">Equipos!K561</f>
        <v>5395138358</v>
      </c>
      <c r="H563" s="101"/>
      <c r="I563" s="102"/>
      <c r="J563" s="102"/>
      <c r="K563" s="102"/>
      <c r="L563" s="102" t="s">
        <v>329</v>
      </c>
      <c r="M563" s="102"/>
      <c r="N563" s="102"/>
      <c r="O563" s="102"/>
      <c r="P563" s="102"/>
      <c r="Q563" s="102"/>
      <c r="R563" s="102"/>
      <c r="S563" s="102"/>
      <c r="T563" s="102"/>
      <c r="U563" s="101" t="n">
        <f aca="false">V563+W563+X563+COUNTIF(I563:T563,"R")</f>
        <v>1</v>
      </c>
      <c r="V563" s="101" t="n">
        <f aca="false">COUNTIF(I563:T563,"E")</f>
        <v>0</v>
      </c>
      <c r="W563" s="101" t="n">
        <f aca="false">COUNTIF(I563:T563,"X")</f>
        <v>1</v>
      </c>
      <c r="X563" s="101" t="n">
        <f aca="false">COUNTIF(I563:T563,"C2")+COUNTIF(I563:T563,"C3")</f>
        <v>0</v>
      </c>
      <c r="Y563" s="101" t="n">
        <f aca="true">SUMPRODUCT((I563:INDEX(I563:T563,MONTH(TODAY()))="X")*1)</f>
        <v>1</v>
      </c>
      <c r="Z563" s="104" t="n">
        <f aca="false">IFERROR(V563/U563,"")</f>
        <v>0</v>
      </c>
    </row>
    <row r="564" customFormat="false" ht="15" hidden="false" customHeight="true" outlineLevel="0" collapsed="false">
      <c r="A564" s="100" t="str">
        <f aca="false">Equipos!C562</f>
        <v>2-027413</v>
      </c>
      <c r="B564" s="101" t="str">
        <f aca="false">Equipos!D562</f>
        <v>Monitor Multiparámetros</v>
      </c>
      <c r="C564" s="101" t="str">
        <f aca="false">Equipos!E562</f>
        <v>Psiquiatría</v>
      </c>
      <c r="D564" s="101" t="str">
        <f aca="false">Equipos!G562</f>
        <v>TN-P2</v>
      </c>
      <c r="E564" s="101" t="str">
        <f aca="false">Equipos!I562</f>
        <v>Philips</v>
      </c>
      <c r="F564" s="101" t="str">
        <f aca="false">Equipos!J562</f>
        <v>VM6</v>
      </c>
      <c r="G564" s="100" t="str">
        <f aca="false">Equipos!K562</f>
        <v>US74915951</v>
      </c>
      <c r="H564" s="101"/>
      <c r="I564" s="102"/>
      <c r="J564" s="102"/>
      <c r="K564" s="103" t="s">
        <v>333</v>
      </c>
      <c r="L564" s="102"/>
      <c r="M564" s="102"/>
      <c r="N564" s="102"/>
      <c r="O564" s="102"/>
      <c r="P564" s="102"/>
      <c r="Q564" s="102"/>
      <c r="R564" s="102"/>
      <c r="S564" s="102"/>
      <c r="T564" s="102"/>
      <c r="U564" s="101" t="n">
        <f aca="false">V564+W564+X564+COUNTIF(I564:T564,"R")</f>
        <v>0</v>
      </c>
      <c r="V564" s="101" t="n">
        <f aca="false">COUNTIF(I564:T564,"E")</f>
        <v>0</v>
      </c>
      <c r="W564" s="101" t="n">
        <f aca="false">COUNTIF(I564:T564,"X")</f>
        <v>0</v>
      </c>
      <c r="X564" s="101" t="n">
        <f aca="false">COUNTIF(I564:T564,"C2")+COUNTIF(I564:T564,"C3")</f>
        <v>0</v>
      </c>
      <c r="Y564" s="101" t="n">
        <f aca="true">SUMPRODUCT((I564:INDEX(I564:T564,MONTH(TODAY()))="X")*1)</f>
        <v>0</v>
      </c>
      <c r="Z564" s="104" t="str">
        <f aca="false">IFERROR(V564/U564,"")</f>
        <v/>
      </c>
    </row>
    <row r="565" customFormat="false" ht="15" hidden="false" customHeight="true" outlineLevel="0" collapsed="false">
      <c r="A565" s="100" t="str">
        <f aca="false">Equipos!C563</f>
        <v>2-119629</v>
      </c>
      <c r="B565" s="101" t="str">
        <f aca="false">Equipos!D563</f>
        <v>Monitor Multiparámetros</v>
      </c>
      <c r="C565" s="101" t="str">
        <f aca="false">Equipos!E563</f>
        <v>UPC 3er Piso</v>
      </c>
      <c r="D565" s="101" t="str">
        <f aca="false">Equipos!G563</f>
        <v>Bodega</v>
      </c>
      <c r="E565" s="101" t="str">
        <f aca="false">Equipos!I563</f>
        <v>General Electric</v>
      </c>
      <c r="F565" s="101" t="str">
        <f aca="false">Equipos!J563</f>
        <v>B105</v>
      </c>
      <c r="G565" s="100" t="str">
        <f aca="false">Equipos!K563</f>
        <v>SQE19510008SA</v>
      </c>
      <c r="H565" s="101"/>
      <c r="I565" s="102"/>
      <c r="J565" s="102"/>
      <c r="K565" s="102"/>
      <c r="L565" s="102"/>
      <c r="M565" s="103" t="s">
        <v>329</v>
      </c>
      <c r="N565" s="102"/>
      <c r="O565" s="102"/>
      <c r="P565" s="102"/>
      <c r="Q565" s="102"/>
      <c r="R565" s="102"/>
      <c r="S565" s="102"/>
      <c r="T565" s="102"/>
      <c r="U565" s="101" t="n">
        <f aca="false">V565+W565+X565+COUNTIF(I565:T565,"R")</f>
        <v>1</v>
      </c>
      <c r="V565" s="101" t="n">
        <f aca="false">COUNTIF(I565:T565,"E")</f>
        <v>0</v>
      </c>
      <c r="W565" s="101" t="n">
        <f aca="false">COUNTIF(I565:T565,"X")</f>
        <v>1</v>
      </c>
      <c r="X565" s="101" t="n">
        <f aca="false">COUNTIF(I565:T565,"C2")+COUNTIF(I565:T565,"C3")</f>
        <v>0</v>
      </c>
      <c r="Y565" s="101" t="n">
        <f aca="true">SUMPRODUCT((I565:INDEX(I565:T565,MONTH(TODAY()))="X")*1)</f>
        <v>1</v>
      </c>
      <c r="Z565" s="104" t="n">
        <f aca="false">IFERROR(V565/U565,"")</f>
        <v>0</v>
      </c>
    </row>
    <row r="566" customFormat="false" ht="15" hidden="false" customHeight="true" outlineLevel="0" collapsed="false">
      <c r="A566" s="100" t="n">
        <f aca="false">Equipos!C564</f>
        <v>0</v>
      </c>
      <c r="B566" s="101" t="n">
        <f aca="false">Equipos!D564</f>
        <v>0</v>
      </c>
      <c r="C566" s="101" t="n">
        <f aca="false">Equipos!E564</f>
        <v>0</v>
      </c>
      <c r="D566" s="101" t="n">
        <f aca="false">Equipos!G564</f>
        <v>0</v>
      </c>
      <c r="E566" s="101" t="n">
        <f aca="false">Equipos!I564</f>
        <v>0</v>
      </c>
      <c r="F566" s="101" t="n">
        <f aca="false">Equipos!J564</f>
        <v>0</v>
      </c>
      <c r="G566" s="100" t="n">
        <f aca="false">Equipos!K564</f>
        <v>0</v>
      </c>
      <c r="H566" s="101"/>
      <c r="I566" s="102"/>
      <c r="J566" s="102"/>
      <c r="K566" s="102"/>
      <c r="L566" s="102"/>
      <c r="M566" s="102"/>
      <c r="N566" s="102"/>
      <c r="O566" s="102"/>
      <c r="P566" s="102"/>
      <c r="Q566" s="102"/>
      <c r="R566" s="102"/>
      <c r="S566" s="102"/>
      <c r="T566" s="102"/>
      <c r="U566" s="101" t="n">
        <f aca="false">V566+W566+X566+COUNTIF(I566:T566,"R")</f>
        <v>0</v>
      </c>
      <c r="V566" s="101" t="n">
        <f aca="false">COUNTIF(I566:T566,"E")</f>
        <v>0</v>
      </c>
      <c r="W566" s="101" t="n">
        <f aca="false">COUNTIF(I566:T566,"X")</f>
        <v>0</v>
      </c>
      <c r="X566" s="101" t="n">
        <f aca="false">COUNTIF(I566:T566,"C2")+COUNTIF(I566:T566,"C3")</f>
        <v>0</v>
      </c>
      <c r="Y566" s="101" t="n">
        <f aca="true">SUMPRODUCT((I566:INDEX(I566:T566,MONTH(TODAY()))="X")*1)</f>
        <v>0</v>
      </c>
      <c r="Z566" s="104" t="str">
        <f aca="false">IFERROR(V566/U566,"")</f>
        <v/>
      </c>
    </row>
    <row r="567" customFormat="false" ht="15" hidden="false" customHeight="true" outlineLevel="0" collapsed="false">
      <c r="A567" s="100" t="str">
        <f aca="false">Equipos!C565</f>
        <v>2-113428</v>
      </c>
      <c r="B567" s="101" t="str">
        <f aca="false">Equipos!D565</f>
        <v>Monitor Multiparámetros</v>
      </c>
      <c r="C567" s="101" t="str">
        <f aca="false">Equipos!E565</f>
        <v>Medicina</v>
      </c>
      <c r="D567" s="101" t="str">
        <f aca="false">Equipos!G565</f>
        <v>518-3</v>
      </c>
      <c r="E567" s="101" t="str">
        <f aca="false">Equipos!I565</f>
        <v>Nihon Kohden </v>
      </c>
      <c r="F567" s="101" t="str">
        <f aca="false">Equipos!J565</f>
        <v>BSM-2351K</v>
      </c>
      <c r="G567" s="100" t="str">
        <f aca="false">Equipos!K565</f>
        <v>03644.</v>
      </c>
      <c r="H567" s="101"/>
      <c r="I567" s="102"/>
      <c r="J567" s="103" t="s">
        <v>328</v>
      </c>
      <c r="K567" s="102"/>
      <c r="L567" s="102"/>
      <c r="M567" s="102"/>
      <c r="N567" s="102"/>
      <c r="O567" s="102"/>
      <c r="P567" s="102"/>
      <c r="Q567" s="102"/>
      <c r="R567" s="102"/>
      <c r="S567" s="102"/>
      <c r="T567" s="102"/>
      <c r="U567" s="101" t="n">
        <f aca="false">V567+W567+X567+COUNTIF(I567:T567,"R")</f>
        <v>1</v>
      </c>
      <c r="V567" s="101" t="n">
        <f aca="false">COUNTIF(I567:T567,"E")</f>
        <v>1</v>
      </c>
      <c r="W567" s="101" t="n">
        <f aca="false">COUNTIF(I567:T567,"X")</f>
        <v>0</v>
      </c>
      <c r="X567" s="101" t="n">
        <f aca="false">COUNTIF(I567:T567,"C2")+COUNTIF(I567:T567,"C3")</f>
        <v>0</v>
      </c>
      <c r="Y567" s="101" t="n">
        <f aca="true">SUMPRODUCT((I567:INDEX(I567:T567,MONTH(TODAY()))="X")*1)</f>
        <v>0</v>
      </c>
      <c r="Z567" s="104" t="n">
        <f aca="false">IFERROR(V567/U567,"")</f>
        <v>1</v>
      </c>
    </row>
    <row r="568" customFormat="false" ht="15" hidden="false" customHeight="true" outlineLevel="0" collapsed="false">
      <c r="A568" s="100" t="str">
        <f aca="false">Equipos!C566</f>
        <v>2-016153</v>
      </c>
      <c r="B568" s="101" t="str">
        <f aca="false">Equipos!D566</f>
        <v>Monitor Multiparámetros</v>
      </c>
      <c r="C568" s="101" t="str">
        <f aca="false">Equipos!E566</f>
        <v>Pabellón CMA</v>
      </c>
      <c r="D568" s="101" t="n">
        <f aca="false">Equipos!G566</f>
        <v>0</v>
      </c>
      <c r="E568" s="101" t="str">
        <f aca="false">Equipos!I566</f>
        <v>Nihon Kohden </v>
      </c>
      <c r="F568" s="101" t="str">
        <f aca="false">Equipos!J566</f>
        <v>PVM-2701K</v>
      </c>
      <c r="G568" s="100" t="str">
        <f aca="false">Equipos!K566</f>
        <v>100646</v>
      </c>
      <c r="H568" s="101"/>
      <c r="I568" s="102"/>
      <c r="J568" s="102"/>
      <c r="K568" s="102"/>
      <c r="L568" s="102"/>
      <c r="M568" s="103" t="s">
        <v>329</v>
      </c>
      <c r="N568" s="102"/>
      <c r="O568" s="102"/>
      <c r="P568" s="102"/>
      <c r="Q568" s="102"/>
      <c r="R568" s="102"/>
      <c r="S568" s="102"/>
      <c r="T568" s="102"/>
      <c r="U568" s="101" t="n">
        <f aca="false">V568+W568+X568+COUNTIF(I568:T568,"R")</f>
        <v>1</v>
      </c>
      <c r="V568" s="101" t="n">
        <f aca="false">COUNTIF(I568:T568,"E")</f>
        <v>0</v>
      </c>
      <c r="W568" s="101" t="n">
        <f aca="false">COUNTIF(I568:T568,"X")</f>
        <v>1</v>
      </c>
      <c r="X568" s="101" t="n">
        <f aca="false">COUNTIF(I568:T568,"C2")+COUNTIF(I568:T568,"C3")</f>
        <v>0</v>
      </c>
      <c r="Y568" s="101" t="n">
        <f aca="true">SUMPRODUCT((I568:INDEX(I568:T568,MONTH(TODAY()))="X")*1)</f>
        <v>1</v>
      </c>
      <c r="Z568" s="104" t="n">
        <f aca="false">IFERROR(V568/U568,"")</f>
        <v>0</v>
      </c>
    </row>
    <row r="569" customFormat="false" ht="15" hidden="false" customHeight="true" outlineLevel="0" collapsed="false">
      <c r="A569" s="100" t="str">
        <f aca="false">Equipos!C567</f>
        <v>2-023029</v>
      </c>
      <c r="B569" s="101" t="str">
        <f aca="false">Equipos!D567</f>
        <v>Monitor Multiparámetros</v>
      </c>
      <c r="C569" s="101" t="str">
        <f aca="false">Equipos!E567</f>
        <v>Pabellón CMA</v>
      </c>
      <c r="D569" s="101" t="n">
        <f aca="false">Equipos!G567</f>
        <v>0</v>
      </c>
      <c r="E569" s="101" t="str">
        <f aca="false">Equipos!I567</f>
        <v>Nihon Kohden </v>
      </c>
      <c r="F569" s="101" t="str">
        <f aca="false">Equipos!J567</f>
        <v>PVM-2701K</v>
      </c>
      <c r="G569" s="100" t="str">
        <f aca="false">Equipos!K567</f>
        <v>100642</v>
      </c>
      <c r="H569" s="101"/>
      <c r="I569" s="102"/>
      <c r="J569" s="102"/>
      <c r="K569" s="102"/>
      <c r="L569" s="102"/>
      <c r="M569" s="103" t="s">
        <v>329</v>
      </c>
      <c r="N569" s="102"/>
      <c r="O569" s="102"/>
      <c r="P569" s="102"/>
      <c r="Q569" s="102"/>
      <c r="R569" s="102"/>
      <c r="S569" s="102"/>
      <c r="T569" s="102"/>
      <c r="U569" s="101" t="n">
        <f aca="false">V569+W569+X569+COUNTIF(I569:T569,"R")</f>
        <v>1</v>
      </c>
      <c r="V569" s="101" t="n">
        <f aca="false">COUNTIF(I569:T569,"E")</f>
        <v>0</v>
      </c>
      <c r="W569" s="101" t="n">
        <f aca="false">COUNTIF(I569:T569,"X")</f>
        <v>1</v>
      </c>
      <c r="X569" s="101" t="n">
        <f aca="false">COUNTIF(I569:T569,"C2")+COUNTIF(I569:T569,"C3")</f>
        <v>0</v>
      </c>
      <c r="Y569" s="101" t="n">
        <f aca="true">SUMPRODUCT((I569:INDEX(I569:T569,MONTH(TODAY()))="X")*1)</f>
        <v>1</v>
      </c>
      <c r="Z569" s="104" t="n">
        <f aca="false">IFERROR(V569/U569,"")</f>
        <v>0</v>
      </c>
    </row>
    <row r="570" customFormat="false" ht="15" hidden="false" customHeight="true" outlineLevel="0" collapsed="false">
      <c r="A570" s="100" t="str">
        <f aca="false">Equipos!C568</f>
        <v>2-119650</v>
      </c>
      <c r="B570" s="101" t="str">
        <f aca="false">Equipos!D568</f>
        <v>Monitor Multiparámetros</v>
      </c>
      <c r="C570" s="101" t="str">
        <f aca="false">Equipos!E568</f>
        <v>UPC 3er Piso</v>
      </c>
      <c r="D570" s="101" t="str">
        <f aca="false">Equipos!G568</f>
        <v>Sala de equipos</v>
      </c>
      <c r="E570" s="101" t="str">
        <f aca="false">Equipos!I568</f>
        <v>General Electric</v>
      </c>
      <c r="F570" s="101" t="str">
        <f aca="false">Equipos!J568</f>
        <v>B105</v>
      </c>
      <c r="G570" s="100" t="str">
        <f aca="false">Equipos!K568</f>
        <v>SQE19510009SA</v>
      </c>
      <c r="H570" s="101"/>
      <c r="I570" s="102"/>
      <c r="J570" s="102"/>
      <c r="K570" s="102"/>
      <c r="L570" s="102"/>
      <c r="M570" s="103" t="s">
        <v>329</v>
      </c>
      <c r="N570" s="102"/>
      <c r="O570" s="102"/>
      <c r="P570" s="102"/>
      <c r="Q570" s="102"/>
      <c r="R570" s="102"/>
      <c r="S570" s="102"/>
      <c r="T570" s="102"/>
      <c r="U570" s="101" t="n">
        <f aca="false">V570+W570+X570+COUNTIF(I570:T570,"R")</f>
        <v>1</v>
      </c>
      <c r="V570" s="101" t="n">
        <f aca="false">COUNTIF(I570:T570,"E")</f>
        <v>0</v>
      </c>
      <c r="W570" s="101" t="n">
        <f aca="false">COUNTIF(I570:T570,"X")</f>
        <v>1</v>
      </c>
      <c r="X570" s="101" t="n">
        <f aca="false">COUNTIF(I570:T570,"C2")+COUNTIF(I570:T570,"C3")</f>
        <v>0</v>
      </c>
      <c r="Y570" s="101" t="n">
        <f aca="true">SUMPRODUCT((I570:INDEX(I570:T570,MONTH(TODAY()))="X")*1)</f>
        <v>1</v>
      </c>
      <c r="Z570" s="104" t="n">
        <f aca="false">IFERROR(V570/U570,"")</f>
        <v>0</v>
      </c>
    </row>
    <row r="571" customFormat="false" ht="15" hidden="false" customHeight="true" outlineLevel="0" collapsed="false">
      <c r="A571" s="100" t="str">
        <f aca="false">Equipos!C569</f>
        <v>2-023026</v>
      </c>
      <c r="B571" s="101" t="str">
        <f aca="false">Equipos!D569</f>
        <v>Monitor Multiparámetros</v>
      </c>
      <c r="C571" s="101" t="str">
        <f aca="false">Equipos!E569</f>
        <v>Pabellón CMA (prestado a UPC Adulto)</v>
      </c>
      <c r="D571" s="101" t="n">
        <f aca="false">Equipos!G569</f>
        <v>0</v>
      </c>
      <c r="E571" s="101" t="str">
        <f aca="false">Equipos!I569</f>
        <v>Nihon Kohden </v>
      </c>
      <c r="F571" s="101" t="str">
        <f aca="false">Equipos!J569</f>
        <v>PVM-2701K</v>
      </c>
      <c r="G571" s="100" t="str">
        <f aca="false">Equipos!K569</f>
        <v>100656</v>
      </c>
      <c r="H571" s="101"/>
      <c r="I571" s="102"/>
      <c r="J571" s="102"/>
      <c r="K571" s="102"/>
      <c r="L571" s="102"/>
      <c r="M571" s="102" t="s">
        <v>329</v>
      </c>
      <c r="N571" s="102"/>
      <c r="O571" s="102"/>
      <c r="P571" s="102"/>
      <c r="Q571" s="102"/>
      <c r="R571" s="102"/>
      <c r="S571" s="102"/>
      <c r="T571" s="102"/>
      <c r="U571" s="101" t="n">
        <f aca="false">V571+W571+X571+COUNTIF(I571:T571,"R")</f>
        <v>1</v>
      </c>
      <c r="V571" s="101" t="n">
        <f aca="false">COUNTIF(I571:T571,"E")</f>
        <v>0</v>
      </c>
      <c r="W571" s="101" t="n">
        <f aca="false">COUNTIF(I571:T571,"X")</f>
        <v>1</v>
      </c>
      <c r="X571" s="101" t="n">
        <f aca="false">COUNTIF(I571:T571,"C2")+COUNTIF(I571:T571,"C3")</f>
        <v>0</v>
      </c>
      <c r="Y571" s="101" t="n">
        <f aca="true">SUMPRODUCT((I571:INDEX(I571:T571,MONTH(TODAY()))="X")*1)</f>
        <v>1</v>
      </c>
      <c r="Z571" s="104" t="n">
        <f aca="false">IFERROR(V571/U571,"")</f>
        <v>0</v>
      </c>
    </row>
    <row r="572" customFormat="false" ht="15" hidden="false" customHeight="true" outlineLevel="0" collapsed="false">
      <c r="A572" s="100" t="str">
        <f aca="false">Equipos!C570</f>
        <v>2-118855</v>
      </c>
      <c r="B572" s="101" t="str">
        <f aca="false">Equipos!D570</f>
        <v>Monitor Multiparámetros</v>
      </c>
      <c r="C572" s="101" t="str">
        <f aca="false">Equipos!E570</f>
        <v>Pabellón Quirúrgico</v>
      </c>
      <c r="D572" s="101" t="str">
        <f aca="false">Equipos!G570</f>
        <v>Pabellón 10</v>
      </c>
      <c r="E572" s="101" t="str">
        <f aca="false">Equipos!I570</f>
        <v>Drager</v>
      </c>
      <c r="F572" s="101" t="str">
        <f aca="false">Equipos!J570</f>
        <v>M540</v>
      </c>
      <c r="G572" s="100" t="str">
        <f aca="false">Equipos!K570</f>
        <v>5613540865</v>
      </c>
      <c r="H572" s="101"/>
      <c r="I572" s="102"/>
      <c r="J572" s="102"/>
      <c r="K572" s="102"/>
      <c r="L572" s="103" t="s">
        <v>328</v>
      </c>
      <c r="M572" s="102"/>
      <c r="N572" s="102"/>
      <c r="O572" s="102"/>
      <c r="P572" s="102"/>
      <c r="Q572" s="102"/>
      <c r="R572" s="102"/>
      <c r="S572" s="102"/>
      <c r="T572" s="102"/>
      <c r="U572" s="101" t="n">
        <f aca="false">V572+W572+X572+COUNTIF(I572:T572,"R")</f>
        <v>1</v>
      </c>
      <c r="V572" s="101" t="n">
        <f aca="false">COUNTIF(I572:T572,"E")</f>
        <v>1</v>
      </c>
      <c r="W572" s="101" t="n">
        <f aca="false">COUNTIF(I572:T572,"X")</f>
        <v>0</v>
      </c>
      <c r="X572" s="101" t="n">
        <f aca="false">COUNTIF(I572:T572,"C2")+COUNTIF(I572:T572,"C3")</f>
        <v>0</v>
      </c>
      <c r="Y572" s="101" t="n">
        <f aca="true">SUMPRODUCT((I572:INDEX(I572:T572,MONTH(TODAY()))="X")*1)</f>
        <v>0</v>
      </c>
      <c r="Z572" s="104" t="n">
        <f aca="false">IFERROR(V572/U572,"")</f>
        <v>1</v>
      </c>
    </row>
    <row r="573" customFormat="false" ht="15" hidden="false" customHeight="true" outlineLevel="0" collapsed="false">
      <c r="A573" s="100" t="str">
        <f aca="false">Equipos!C571</f>
        <v>2-027447</v>
      </c>
      <c r="B573" s="101" t="str">
        <f aca="false">Equipos!D571</f>
        <v>Monitor Multiparámetros</v>
      </c>
      <c r="C573" s="101" t="str">
        <f aca="false">Equipos!E571</f>
        <v>Hospitalización Domiciliaria</v>
      </c>
      <c r="D573" s="101" t="str">
        <f aca="false">Equipos!G571</f>
        <v>Domicilio</v>
      </c>
      <c r="E573" s="101" t="str">
        <f aca="false">Equipos!I571</f>
        <v>Philips</v>
      </c>
      <c r="F573" s="101" t="str">
        <f aca="false">Equipos!J571</f>
        <v>VM6</v>
      </c>
      <c r="G573" s="100" t="str">
        <f aca="false">Equipos!K571</f>
        <v>US74915955</v>
      </c>
      <c r="H573" s="101"/>
      <c r="I573" s="102"/>
      <c r="J573" s="102"/>
      <c r="K573" s="102"/>
      <c r="L573" s="103" t="s">
        <v>328</v>
      </c>
      <c r="M573" s="102"/>
      <c r="N573" s="102"/>
      <c r="O573" s="102"/>
      <c r="P573" s="102"/>
      <c r="Q573" s="102"/>
      <c r="R573" s="102"/>
      <c r="S573" s="102"/>
      <c r="T573" s="102"/>
      <c r="U573" s="101" t="n">
        <f aca="false">V573+W573+X573+COUNTIF(I573:T573,"R")</f>
        <v>1</v>
      </c>
      <c r="V573" s="101" t="n">
        <f aca="false">COUNTIF(I573:T573,"E")</f>
        <v>1</v>
      </c>
      <c r="W573" s="101" t="n">
        <f aca="false">COUNTIF(I573:T573,"X")</f>
        <v>0</v>
      </c>
      <c r="X573" s="101" t="n">
        <f aca="false">COUNTIF(I573:T573,"C2")+COUNTIF(I573:T573,"C3")</f>
        <v>0</v>
      </c>
      <c r="Y573" s="101" t="n">
        <f aca="true">SUMPRODUCT((I573:INDEX(I573:T573,MONTH(TODAY()))="X")*1)</f>
        <v>0</v>
      </c>
      <c r="Z573" s="104" t="n">
        <f aca="false">IFERROR(V573/U573,"")</f>
        <v>1</v>
      </c>
    </row>
    <row r="574" customFormat="false" ht="15" hidden="false" customHeight="true" outlineLevel="0" collapsed="false">
      <c r="A574" s="100" t="str">
        <f aca="false">Equipos!C572</f>
        <v>2-003463</v>
      </c>
      <c r="B574" s="101" t="str">
        <f aca="false">Equipos!D572</f>
        <v>Monitor Multiparámetros</v>
      </c>
      <c r="C574" s="101" t="str">
        <f aca="false">Equipos!E572</f>
        <v>UPC Cardiovascular</v>
      </c>
      <c r="D574" s="101" t="str">
        <f aca="false">Equipos!G572</f>
        <v>UCI-CAMA 5</v>
      </c>
      <c r="E574" s="101" t="str">
        <f aca="false">Equipos!I572</f>
        <v>Drager</v>
      </c>
      <c r="F574" s="101" t="str">
        <f aca="false">Equipos!J572</f>
        <v>Infinity Kappa</v>
      </c>
      <c r="G574" s="100" t="str">
        <f aca="false">Equipos!K572</f>
        <v>5494308059</v>
      </c>
      <c r="H574" s="101"/>
      <c r="I574" s="103" t="s">
        <v>330</v>
      </c>
      <c r="J574" s="103" t="s">
        <v>328</v>
      </c>
      <c r="K574" s="102"/>
      <c r="L574" s="102"/>
      <c r="M574" s="102"/>
      <c r="N574" s="102"/>
      <c r="O574" s="102"/>
      <c r="P574" s="102"/>
      <c r="Q574" s="102"/>
      <c r="R574" s="102"/>
      <c r="S574" s="102"/>
      <c r="T574" s="102"/>
      <c r="U574" s="101" t="n">
        <f aca="false">V574+W574+X574+COUNTIF(I574:T574,"R")</f>
        <v>2</v>
      </c>
      <c r="V574" s="101" t="n">
        <f aca="false">COUNTIF(I574:T574,"E")</f>
        <v>1</v>
      </c>
      <c r="W574" s="101" t="n">
        <f aca="false">COUNTIF(I574:T574,"X")</f>
        <v>0</v>
      </c>
      <c r="X574" s="101" t="n">
        <f aca="false">COUNTIF(I574:T574,"C2")+COUNTIF(I574:T574,"C3")</f>
        <v>0</v>
      </c>
      <c r="Y574" s="101" t="n">
        <f aca="true">SUMPRODUCT((I574:INDEX(I574:T574,MONTH(TODAY()))="X")*1)</f>
        <v>0</v>
      </c>
      <c r="Z574" s="104" t="n">
        <f aca="false">IFERROR(V574/U574,"")</f>
        <v>0.5</v>
      </c>
    </row>
    <row r="575" customFormat="false" ht="15" hidden="false" customHeight="true" outlineLevel="0" collapsed="false">
      <c r="A575" s="100" t="str">
        <f aca="false">Equipos!C573</f>
        <v>2-113429</v>
      </c>
      <c r="B575" s="101" t="str">
        <f aca="false">Equipos!D573</f>
        <v>Monitor Multiparámetros</v>
      </c>
      <c r="C575" s="101" t="str">
        <f aca="false">Equipos!E573</f>
        <v>Hemodiálisis</v>
      </c>
      <c r="D575" s="101" t="str">
        <f aca="false">Equipos!G573</f>
        <v>EPB-P1</v>
      </c>
      <c r="E575" s="101" t="str">
        <f aca="false">Equipos!I573</f>
        <v>Nihon Kohden </v>
      </c>
      <c r="F575" s="101" t="str">
        <f aca="false">Equipos!J573</f>
        <v>BSM-2351K</v>
      </c>
      <c r="G575" s="100" t="str">
        <f aca="false">Equipos!K573</f>
        <v>3647</v>
      </c>
      <c r="H575" s="101"/>
      <c r="I575" s="102"/>
      <c r="J575" s="102"/>
      <c r="K575" s="102"/>
      <c r="L575" s="102"/>
      <c r="M575" s="103"/>
      <c r="N575" s="102"/>
      <c r="O575" s="102"/>
      <c r="P575" s="102"/>
      <c r="Q575" s="102"/>
      <c r="R575" s="102"/>
      <c r="S575" s="102"/>
      <c r="T575" s="102"/>
      <c r="U575" s="101" t="n">
        <f aca="false">V575+W575+X575+COUNTIF(I575:T575,"R")</f>
        <v>0</v>
      </c>
      <c r="V575" s="101" t="n">
        <f aca="false">COUNTIF(I575:T575,"E")</f>
        <v>0</v>
      </c>
      <c r="W575" s="101" t="n">
        <f aca="false">COUNTIF(I575:T575,"X")</f>
        <v>0</v>
      </c>
      <c r="X575" s="101" t="n">
        <f aca="false">COUNTIF(I575:T575,"C2")+COUNTIF(I575:T575,"C3")</f>
        <v>0</v>
      </c>
      <c r="Y575" s="101" t="n">
        <f aca="true">SUMPRODUCT((I575:INDEX(I575:T575,MONTH(TODAY()))="X")*1)</f>
        <v>0</v>
      </c>
      <c r="Z575" s="104" t="str">
        <f aca="false">IFERROR(V575/U575,"")</f>
        <v/>
      </c>
    </row>
    <row r="576" customFormat="false" ht="15" hidden="false" customHeight="true" outlineLevel="0" collapsed="false">
      <c r="A576" s="100" t="str">
        <f aca="false">Equipos!C574</f>
        <v>2-024297</v>
      </c>
      <c r="B576" s="101" t="str">
        <f aca="false">Equipos!D574</f>
        <v>Monitor Multiparámetros</v>
      </c>
      <c r="C576" s="101" t="str">
        <f aca="false">Equipos!E574</f>
        <v>Pabellón Quirúrgico</v>
      </c>
      <c r="D576" s="101" t="n">
        <f aca="false">Equipos!G574</f>
        <v>0</v>
      </c>
      <c r="E576" s="101" t="str">
        <f aca="false">Equipos!I574</f>
        <v>Drager</v>
      </c>
      <c r="F576" s="101" t="str">
        <f aca="false">Equipos!J574</f>
        <v>Infinity Kappa </v>
      </c>
      <c r="G576" s="100" t="str">
        <f aca="false">Equipos!K574</f>
        <v>5494528944</v>
      </c>
      <c r="H576" s="101"/>
      <c r="I576" s="102"/>
      <c r="J576" s="102"/>
      <c r="K576" s="102"/>
      <c r="L576" s="103" t="s">
        <v>330</v>
      </c>
      <c r="M576" s="103" t="s">
        <v>328</v>
      </c>
      <c r="N576" s="102"/>
      <c r="O576" s="102"/>
      <c r="P576" s="102"/>
      <c r="Q576" s="102"/>
      <c r="R576" s="102"/>
      <c r="S576" s="102"/>
      <c r="T576" s="102"/>
      <c r="U576" s="101" t="n">
        <f aca="false">V576+W576+X576+COUNTIF(I576:T576,"R")</f>
        <v>2</v>
      </c>
      <c r="V576" s="101" t="n">
        <f aca="false">COUNTIF(I576:T576,"E")</f>
        <v>1</v>
      </c>
      <c r="W576" s="101" t="n">
        <f aca="false">COUNTIF(I576:T576,"X")</f>
        <v>0</v>
      </c>
      <c r="X576" s="101" t="n">
        <f aca="false">COUNTIF(I576:T576,"C2")+COUNTIF(I576:T576,"C3")</f>
        <v>0</v>
      </c>
      <c r="Y576" s="101" t="n">
        <f aca="true">SUMPRODUCT((I576:INDEX(I576:T576,MONTH(TODAY()))="X")*1)</f>
        <v>0</v>
      </c>
      <c r="Z576" s="104" t="n">
        <f aca="false">IFERROR(V576/U576,"")</f>
        <v>0.5</v>
      </c>
    </row>
    <row r="577" customFormat="false" ht="15" hidden="false" customHeight="true" outlineLevel="0" collapsed="false">
      <c r="A577" s="100" t="str">
        <f aca="false">Equipos!C575</f>
        <v>2-118839</v>
      </c>
      <c r="B577" s="101" t="str">
        <f aca="false">Equipos!D575</f>
        <v>Monitor Multiparámetros</v>
      </c>
      <c r="C577" s="101" t="str">
        <f aca="false">Equipos!E575</f>
        <v>Pabellón Quirúrgico</v>
      </c>
      <c r="D577" s="101" t="str">
        <f aca="false">Equipos!G575</f>
        <v>Bodega</v>
      </c>
      <c r="E577" s="101" t="str">
        <f aca="false">Equipos!I575</f>
        <v>Drager</v>
      </c>
      <c r="F577" s="101" t="str">
        <f aca="false">Equipos!J575</f>
        <v>M540</v>
      </c>
      <c r="G577" s="100" t="str">
        <f aca="false">Equipos!K575</f>
        <v>5613542961</v>
      </c>
      <c r="H577" s="101"/>
      <c r="I577" s="102"/>
      <c r="J577" s="102"/>
      <c r="K577" s="102"/>
      <c r="L577" s="103" t="s">
        <v>328</v>
      </c>
      <c r="M577" s="102"/>
      <c r="N577" s="102"/>
      <c r="O577" s="102"/>
      <c r="P577" s="102"/>
      <c r="Q577" s="102"/>
      <c r="R577" s="102"/>
      <c r="S577" s="102"/>
      <c r="T577" s="102"/>
      <c r="U577" s="101" t="n">
        <f aca="false">V577+W577+X577+COUNTIF(I577:T577,"R")</f>
        <v>1</v>
      </c>
      <c r="V577" s="101" t="n">
        <f aca="false">COUNTIF(I577:T577,"E")</f>
        <v>1</v>
      </c>
      <c r="W577" s="101" t="n">
        <f aca="false">COUNTIF(I577:T577,"X")</f>
        <v>0</v>
      </c>
      <c r="X577" s="101" t="n">
        <f aca="false">COUNTIF(I577:T577,"C2")+COUNTIF(I577:T577,"C3")</f>
        <v>0</v>
      </c>
      <c r="Y577" s="101" t="n">
        <f aca="true">SUMPRODUCT((I577:INDEX(I577:T577,MONTH(TODAY()))="X")*1)</f>
        <v>0</v>
      </c>
      <c r="Z577" s="104" t="n">
        <f aca="false">IFERROR(V577/U577,"")</f>
        <v>1</v>
      </c>
    </row>
    <row r="578" customFormat="false" ht="15" hidden="false" customHeight="true" outlineLevel="0" collapsed="false">
      <c r="A578" s="100" t="str">
        <f aca="false">Equipos!C576</f>
        <v>2-119652</v>
      </c>
      <c r="B578" s="101" t="str">
        <f aca="false">Equipos!D576</f>
        <v>Monitor Multiparámetros</v>
      </c>
      <c r="C578" s="101" t="str">
        <f aca="false">Equipos!E576</f>
        <v>Medicina</v>
      </c>
      <c r="D578" s="101" t="str">
        <f aca="false">Equipos!G576</f>
        <v>595-1</v>
      </c>
      <c r="E578" s="101" t="str">
        <f aca="false">Equipos!I576</f>
        <v>General Electric</v>
      </c>
      <c r="F578" s="101" t="str">
        <f aca="false">Equipos!J576</f>
        <v>B105</v>
      </c>
      <c r="G578" s="100" t="str">
        <f aca="false">Equipos!K576</f>
        <v>SQE19510010SA</v>
      </c>
      <c r="H578" s="101"/>
      <c r="I578" s="102"/>
      <c r="J578" s="103" t="s">
        <v>330</v>
      </c>
      <c r="K578" s="103" t="s">
        <v>328</v>
      </c>
      <c r="L578" s="102"/>
      <c r="M578" s="102"/>
      <c r="N578" s="102"/>
      <c r="O578" s="102"/>
      <c r="P578" s="102"/>
      <c r="Q578" s="102"/>
      <c r="R578" s="102"/>
      <c r="S578" s="102"/>
      <c r="T578" s="102"/>
      <c r="U578" s="101" t="n">
        <f aca="false">V578+W578+X578+COUNTIF(I578:T578,"R")</f>
        <v>2</v>
      </c>
      <c r="V578" s="101" t="n">
        <f aca="false">COUNTIF(I578:T578,"E")</f>
        <v>1</v>
      </c>
      <c r="W578" s="101" t="n">
        <f aca="false">COUNTIF(I578:T578,"X")</f>
        <v>0</v>
      </c>
      <c r="X578" s="101" t="n">
        <f aca="false">COUNTIF(I578:T578,"C2")+COUNTIF(I578:T578,"C3")</f>
        <v>0</v>
      </c>
      <c r="Y578" s="101" t="n">
        <f aca="true">SUMPRODUCT((I578:INDEX(I578:T578,MONTH(TODAY()))="X")*1)</f>
        <v>0</v>
      </c>
      <c r="Z578" s="104" t="n">
        <f aca="false">IFERROR(V578/U578,"")</f>
        <v>0.5</v>
      </c>
    </row>
    <row r="579" customFormat="false" ht="15" hidden="false" customHeight="true" outlineLevel="0" collapsed="false">
      <c r="A579" s="100" t="str">
        <f aca="false">Equipos!C577</f>
        <v>2-007607</v>
      </c>
      <c r="B579" s="101" t="str">
        <f aca="false">Equipos!D577</f>
        <v>Monitor Multiparámetros</v>
      </c>
      <c r="C579" s="101" t="str">
        <f aca="false">Equipos!E577</f>
        <v>Cirugía Adulto</v>
      </c>
      <c r="D579" s="101" t="str">
        <f aca="false">Equipos!G577</f>
        <v>EPA</v>
      </c>
      <c r="E579" s="101" t="str">
        <f aca="false">Equipos!I577</f>
        <v>Nihon Kohden </v>
      </c>
      <c r="F579" s="101" t="str">
        <f aca="false">Equipos!J577</f>
        <v>BSM-6301K</v>
      </c>
      <c r="G579" s="100" t="str">
        <f aca="false">Equipos!K577</f>
        <v>01031.</v>
      </c>
      <c r="H579" s="101"/>
      <c r="I579" s="102"/>
      <c r="J579" s="102"/>
      <c r="K579" s="102"/>
      <c r="L579" s="102"/>
      <c r="M579" s="103" t="s">
        <v>329</v>
      </c>
      <c r="N579" s="102"/>
      <c r="O579" s="102"/>
      <c r="P579" s="102"/>
      <c r="Q579" s="102"/>
      <c r="R579" s="102"/>
      <c r="S579" s="102"/>
      <c r="T579" s="102"/>
      <c r="U579" s="101" t="n">
        <f aca="false">V579+W579+X579+COUNTIF(I579:T579,"R")</f>
        <v>1</v>
      </c>
      <c r="V579" s="101" t="n">
        <f aca="false">COUNTIF(I579:T579,"E")</f>
        <v>0</v>
      </c>
      <c r="W579" s="101" t="n">
        <f aca="false">COUNTIF(I579:T579,"X")</f>
        <v>1</v>
      </c>
      <c r="X579" s="101" t="n">
        <f aca="false">COUNTIF(I579:T579,"C2")+COUNTIF(I579:T579,"C3")</f>
        <v>0</v>
      </c>
      <c r="Y579" s="101" t="n">
        <f aca="true">SUMPRODUCT((I579:INDEX(I579:T579,MONTH(TODAY()))="X")*1)</f>
        <v>1</v>
      </c>
      <c r="Z579" s="104" t="n">
        <f aca="false">IFERROR(V579/U579,"")</f>
        <v>0</v>
      </c>
    </row>
    <row r="580" customFormat="false" ht="15" hidden="false" customHeight="true" outlineLevel="0" collapsed="false">
      <c r="A580" s="100" t="str">
        <f aca="false">Equipos!C578</f>
        <v>2-112658</v>
      </c>
      <c r="B580" s="101" t="str">
        <f aca="false">Equipos!D578</f>
        <v>Monitor Multiparámetros</v>
      </c>
      <c r="C580" s="101" t="str">
        <f aca="false">Equipos!E578</f>
        <v>Imagenología</v>
      </c>
      <c r="D580" s="101" t="str">
        <f aca="false">Equipos!G578</f>
        <v>Angiógrafo</v>
      </c>
      <c r="E580" s="101" t="str">
        <f aca="false">Equipos!I578</f>
        <v>Drager</v>
      </c>
      <c r="F580" s="101" t="str">
        <f aca="false">Equipos!J578</f>
        <v>Infinity Vista XL </v>
      </c>
      <c r="G580" s="100" t="str">
        <f aca="false">Equipos!K578</f>
        <v>5396140362</v>
      </c>
      <c r="H580" s="101"/>
      <c r="I580" s="102"/>
      <c r="J580" s="103" t="s">
        <v>330</v>
      </c>
      <c r="K580" s="103" t="s">
        <v>328</v>
      </c>
      <c r="L580" s="102"/>
      <c r="M580" s="102"/>
      <c r="N580" s="102"/>
      <c r="O580" s="102"/>
      <c r="P580" s="102"/>
      <c r="Q580" s="102"/>
      <c r="R580" s="102"/>
      <c r="S580" s="102"/>
      <c r="T580" s="102"/>
      <c r="U580" s="101" t="n">
        <f aca="false">V580+W580+X580+COUNTIF(I580:T580,"R")</f>
        <v>2</v>
      </c>
      <c r="V580" s="101" t="n">
        <f aca="false">COUNTIF(I580:T580,"E")</f>
        <v>1</v>
      </c>
      <c r="W580" s="101" t="n">
        <f aca="false">COUNTIF(I580:T580,"X")</f>
        <v>0</v>
      </c>
      <c r="X580" s="101" t="n">
        <f aca="false">COUNTIF(I580:T580,"C2")+COUNTIF(I580:T580,"C3")</f>
        <v>0</v>
      </c>
      <c r="Y580" s="101" t="n">
        <f aca="true">SUMPRODUCT((I580:INDEX(I580:T580,MONTH(TODAY()))="X")*1)</f>
        <v>0</v>
      </c>
      <c r="Z580" s="104" t="n">
        <f aca="false">IFERROR(V580/U580,"")</f>
        <v>0.5</v>
      </c>
    </row>
    <row r="581" customFormat="false" ht="15" hidden="false" customHeight="true" outlineLevel="0" collapsed="false">
      <c r="A581" s="100" t="str">
        <f aca="false">Equipos!C579</f>
        <v>2-027591</v>
      </c>
      <c r="B581" s="101" t="str">
        <f aca="false">Equipos!D579</f>
        <v>Monitor Multiparámetros</v>
      </c>
      <c r="C581" s="101" t="str">
        <f aca="false">Equipos!E579</f>
        <v>UPC Adulto</v>
      </c>
      <c r="D581" s="101" t="str">
        <f aca="false">Equipos!G579</f>
        <v>CAMA 1</v>
      </c>
      <c r="E581" s="101" t="str">
        <f aca="false">Equipos!I579</f>
        <v>Drager</v>
      </c>
      <c r="F581" s="101" t="str">
        <f aca="false">Equipos!J579</f>
        <v>Infinity Kappa</v>
      </c>
      <c r="G581" s="100" t="str">
        <f aca="false">Equipos!K579</f>
        <v>5495045456</v>
      </c>
      <c r="H581" s="101"/>
      <c r="I581" s="102"/>
      <c r="J581" s="102"/>
      <c r="K581" s="102"/>
      <c r="L581" s="102" t="s">
        <v>329</v>
      </c>
      <c r="M581" s="103"/>
      <c r="N581" s="102"/>
      <c r="O581" s="102"/>
      <c r="P581" s="102"/>
      <c r="Q581" s="102"/>
      <c r="R581" s="102"/>
      <c r="S581" s="102"/>
      <c r="T581" s="102"/>
      <c r="U581" s="101" t="n">
        <f aca="false">V581+W581+X581+COUNTIF(I581:T581,"R")</f>
        <v>1</v>
      </c>
      <c r="V581" s="101" t="n">
        <f aca="false">COUNTIF(I581:T581,"E")</f>
        <v>0</v>
      </c>
      <c r="W581" s="101" t="n">
        <f aca="false">COUNTIF(I581:T581,"X")</f>
        <v>1</v>
      </c>
      <c r="X581" s="101" t="n">
        <f aca="false">COUNTIF(I581:T581,"C2")+COUNTIF(I581:T581,"C3")</f>
        <v>0</v>
      </c>
      <c r="Y581" s="101" t="n">
        <f aca="true">SUMPRODUCT((I581:INDEX(I581:T581,MONTH(TODAY()))="X")*1)</f>
        <v>1</v>
      </c>
      <c r="Z581" s="104" t="n">
        <f aca="false">IFERROR(V581/U581,"")</f>
        <v>0</v>
      </c>
    </row>
    <row r="582" customFormat="false" ht="15" hidden="false" customHeight="true" outlineLevel="0" collapsed="false">
      <c r="A582" s="100" t="str">
        <f aca="false">Equipos!C580</f>
        <v>2-016363</v>
      </c>
      <c r="B582" s="101" t="str">
        <f aca="false">Equipos!D580</f>
        <v>Monitor Multiparámetros</v>
      </c>
      <c r="C582" s="101" t="str">
        <f aca="false">Equipos!E580</f>
        <v>UPC Adulto</v>
      </c>
      <c r="D582" s="101" t="str">
        <f aca="false">Equipos!G580</f>
        <v>CAMA 20</v>
      </c>
      <c r="E582" s="101" t="str">
        <f aca="false">Equipos!I580</f>
        <v>Drager</v>
      </c>
      <c r="F582" s="101" t="str">
        <f aca="false">Equipos!J580</f>
        <v>Infinity Kappa</v>
      </c>
      <c r="G582" s="100" t="str">
        <f aca="false">Equipos!K580</f>
        <v>5495022766</v>
      </c>
      <c r="H582" s="101"/>
      <c r="I582" s="102"/>
      <c r="J582" s="102"/>
      <c r="K582" s="102"/>
      <c r="L582" s="102" t="s">
        <v>329</v>
      </c>
      <c r="M582" s="102"/>
      <c r="N582" s="102"/>
      <c r="O582" s="102"/>
      <c r="P582" s="102"/>
      <c r="Q582" s="102"/>
      <c r="R582" s="102"/>
      <c r="S582" s="102"/>
      <c r="T582" s="102"/>
      <c r="U582" s="101" t="n">
        <f aca="false">V582+W582+X582+COUNTIF(I582:T582,"R")</f>
        <v>1</v>
      </c>
      <c r="V582" s="101" t="n">
        <f aca="false">COUNTIF(I582:T582,"E")</f>
        <v>0</v>
      </c>
      <c r="W582" s="101" t="n">
        <f aca="false">COUNTIF(I582:T582,"X")</f>
        <v>1</v>
      </c>
      <c r="X582" s="101" t="n">
        <f aca="false">COUNTIF(I582:T582,"C2")+COUNTIF(I582:T582,"C3")</f>
        <v>0</v>
      </c>
      <c r="Y582" s="101" t="n">
        <f aca="true">SUMPRODUCT((I582:INDEX(I582:T582,MONTH(TODAY()))="X")*1)</f>
        <v>1</v>
      </c>
      <c r="Z582" s="104" t="n">
        <f aca="false">IFERROR(V582/U582,"")</f>
        <v>0</v>
      </c>
    </row>
    <row r="583" customFormat="false" ht="15" hidden="false" customHeight="true" outlineLevel="0" collapsed="false">
      <c r="A583" s="100" t="str">
        <f aca="false">Equipos!C581</f>
        <v>2-027646</v>
      </c>
      <c r="B583" s="101" t="str">
        <f aca="false">Equipos!D581</f>
        <v>Monitor Multiparámetros</v>
      </c>
      <c r="C583" s="101" t="str">
        <f aca="false">Equipos!E581</f>
        <v>UPC Adulto</v>
      </c>
      <c r="D583" s="101" t="str">
        <f aca="false">Equipos!G581</f>
        <v>CAMA 21</v>
      </c>
      <c r="E583" s="101" t="str">
        <f aca="false">Equipos!I581</f>
        <v>Drager</v>
      </c>
      <c r="F583" s="101" t="str">
        <f aca="false">Equipos!J581</f>
        <v>Infinity Kappa</v>
      </c>
      <c r="G583" s="100" t="str">
        <f aca="false">Equipos!K581</f>
        <v>5495046856</v>
      </c>
      <c r="H583" s="101"/>
      <c r="I583" s="102"/>
      <c r="J583" s="102"/>
      <c r="K583" s="102"/>
      <c r="L583" s="102" t="s">
        <v>329</v>
      </c>
      <c r="M583" s="102"/>
      <c r="N583" s="102"/>
      <c r="O583" s="102"/>
      <c r="P583" s="102"/>
      <c r="Q583" s="102"/>
      <c r="R583" s="102"/>
      <c r="S583" s="102"/>
      <c r="T583" s="102"/>
      <c r="U583" s="101" t="n">
        <f aca="false">V583+W583+X583+COUNTIF(I583:T583,"R")</f>
        <v>1</v>
      </c>
      <c r="V583" s="101" t="n">
        <f aca="false">COUNTIF(I583:T583,"E")</f>
        <v>0</v>
      </c>
      <c r="W583" s="101" t="n">
        <f aca="false">COUNTIF(I583:T583,"X")</f>
        <v>1</v>
      </c>
      <c r="X583" s="101" t="n">
        <f aca="false">COUNTIF(I583:T583,"C2")+COUNTIF(I583:T583,"C3")</f>
        <v>0</v>
      </c>
      <c r="Y583" s="101" t="n">
        <f aca="true">SUMPRODUCT((I583:INDEX(I583:T583,MONTH(TODAY()))="X")*1)</f>
        <v>1</v>
      </c>
      <c r="Z583" s="104" t="n">
        <f aca="false">IFERROR(V583/U583,"")</f>
        <v>0</v>
      </c>
    </row>
    <row r="584" customFormat="false" ht="15" hidden="false" customHeight="true" outlineLevel="0" collapsed="false">
      <c r="A584" s="100" t="str">
        <f aca="false">Equipos!C582</f>
        <v>2-023232</v>
      </c>
      <c r="B584" s="101" t="str">
        <f aca="false">Equipos!D582</f>
        <v>Monitor Multiparámetros</v>
      </c>
      <c r="C584" s="101" t="str">
        <f aca="false">Equipos!E582</f>
        <v>UPC Adulto</v>
      </c>
      <c r="D584" s="101" t="str">
        <f aca="false">Equipos!G582</f>
        <v>CAMA 19</v>
      </c>
      <c r="E584" s="101" t="str">
        <f aca="false">Equipos!I582</f>
        <v>Drager</v>
      </c>
      <c r="F584" s="101" t="str">
        <f aca="false">Equipos!J582</f>
        <v>Infinity Kappa</v>
      </c>
      <c r="G584" s="100" t="str">
        <f aca="false">Equipos!K582</f>
        <v>5495038063</v>
      </c>
      <c r="H584" s="101"/>
      <c r="I584" s="102"/>
      <c r="J584" s="102"/>
      <c r="K584" s="102"/>
      <c r="L584" s="102" t="s">
        <v>329</v>
      </c>
      <c r="M584" s="102"/>
      <c r="N584" s="102"/>
      <c r="O584" s="102"/>
      <c r="P584" s="102"/>
      <c r="Q584" s="102"/>
      <c r="R584" s="102"/>
      <c r="S584" s="102"/>
      <c r="T584" s="102"/>
      <c r="U584" s="101" t="n">
        <f aca="false">V584+W584+X584+COUNTIF(I584:T584,"R")</f>
        <v>1</v>
      </c>
      <c r="V584" s="101" t="n">
        <f aca="false">COUNTIF(I584:T584,"E")</f>
        <v>0</v>
      </c>
      <c r="W584" s="101" t="n">
        <f aca="false">COUNTIF(I584:T584,"X")</f>
        <v>1</v>
      </c>
      <c r="X584" s="101" t="n">
        <f aca="false">COUNTIF(I584:T584,"C2")+COUNTIF(I584:T584,"C3")</f>
        <v>0</v>
      </c>
      <c r="Y584" s="101" t="n">
        <f aca="true">SUMPRODUCT((I584:INDEX(I584:T584,MONTH(TODAY()))="X")*1)</f>
        <v>1</v>
      </c>
      <c r="Z584" s="104" t="n">
        <f aca="false">IFERROR(V584/U584,"")</f>
        <v>0</v>
      </c>
    </row>
    <row r="585" customFormat="false" ht="15" hidden="false" customHeight="true" outlineLevel="0" collapsed="false">
      <c r="A585" s="100" t="str">
        <f aca="false">Equipos!C583</f>
        <v>2-027618</v>
      </c>
      <c r="B585" s="101" t="str">
        <f aca="false">Equipos!D583</f>
        <v>Monitor Multiparámetros</v>
      </c>
      <c r="C585" s="101" t="str">
        <f aca="false">Equipos!E583</f>
        <v>UPC Adulto</v>
      </c>
      <c r="D585" s="101" t="str">
        <f aca="false">Equipos!G583</f>
        <v>CAMA 23</v>
      </c>
      <c r="E585" s="101" t="str">
        <f aca="false">Equipos!I583</f>
        <v>Drager</v>
      </c>
      <c r="F585" s="101" t="str">
        <f aca="false">Equipos!J583</f>
        <v>Infinity Kappa</v>
      </c>
      <c r="G585" s="100" t="str">
        <f aca="false">Equipos!K583</f>
        <v>5495024960</v>
      </c>
      <c r="H585" s="101"/>
      <c r="I585" s="102"/>
      <c r="J585" s="102"/>
      <c r="K585" s="102"/>
      <c r="L585" s="102" t="s">
        <v>329</v>
      </c>
      <c r="M585" s="102"/>
      <c r="N585" s="102"/>
      <c r="O585" s="102"/>
      <c r="P585" s="102"/>
      <c r="Q585" s="102"/>
      <c r="R585" s="102"/>
      <c r="S585" s="102"/>
      <c r="T585" s="102"/>
      <c r="U585" s="101" t="n">
        <f aca="false">V585+W585+X585+COUNTIF(I585:T585,"R")</f>
        <v>1</v>
      </c>
      <c r="V585" s="101" t="n">
        <f aca="false">COUNTIF(I585:T585,"E")</f>
        <v>0</v>
      </c>
      <c r="W585" s="101" t="n">
        <f aca="false">COUNTIF(I585:T585,"X")</f>
        <v>1</v>
      </c>
      <c r="X585" s="101" t="n">
        <f aca="false">COUNTIF(I585:T585,"C2")+COUNTIF(I585:T585,"C3")</f>
        <v>0</v>
      </c>
      <c r="Y585" s="101" t="n">
        <f aca="true">SUMPRODUCT((I585:INDEX(I585:T585,MONTH(TODAY()))="X")*1)</f>
        <v>1</v>
      </c>
      <c r="Z585" s="104" t="n">
        <f aca="false">IFERROR(V585/U585,"")</f>
        <v>0</v>
      </c>
    </row>
    <row r="586" customFormat="false" ht="15" hidden="false" customHeight="true" outlineLevel="0" collapsed="false">
      <c r="A586" s="100" t="str">
        <f aca="false">Equipos!C584</f>
        <v>2-027647</v>
      </c>
      <c r="B586" s="101" t="str">
        <f aca="false">Equipos!D584</f>
        <v>Monitor Multiparámetros</v>
      </c>
      <c r="C586" s="101" t="str">
        <f aca="false">Equipos!E584</f>
        <v>UPC Adulto</v>
      </c>
      <c r="D586" s="101" t="str">
        <f aca="false">Equipos!G584</f>
        <v>CAMA 24</v>
      </c>
      <c r="E586" s="101" t="str">
        <f aca="false">Equipos!I584</f>
        <v>Drager</v>
      </c>
      <c r="F586" s="101" t="str">
        <f aca="false">Equipos!J584</f>
        <v>Infinity Kappa</v>
      </c>
      <c r="G586" s="100" t="str">
        <f aca="false">Equipos!K584</f>
        <v>5495046758</v>
      </c>
      <c r="H586" s="101"/>
      <c r="I586" s="102"/>
      <c r="J586" s="102"/>
      <c r="K586" s="102"/>
      <c r="L586" s="102" t="s">
        <v>329</v>
      </c>
      <c r="M586" s="102"/>
      <c r="N586" s="102"/>
      <c r="O586" s="102"/>
      <c r="P586" s="102"/>
      <c r="Q586" s="102"/>
      <c r="R586" s="102"/>
      <c r="S586" s="102"/>
      <c r="T586" s="102"/>
      <c r="U586" s="101" t="n">
        <f aca="false">V586+W586+X586+COUNTIF(I586:T586,"R")</f>
        <v>1</v>
      </c>
      <c r="V586" s="101" t="n">
        <f aca="false">COUNTIF(I586:T586,"E")</f>
        <v>0</v>
      </c>
      <c r="W586" s="101" t="n">
        <f aca="false">COUNTIF(I586:T586,"X")</f>
        <v>1</v>
      </c>
      <c r="X586" s="101" t="n">
        <f aca="false">COUNTIF(I586:T586,"C2")+COUNTIF(I586:T586,"C3")</f>
        <v>0</v>
      </c>
      <c r="Y586" s="101" t="n">
        <f aca="true">SUMPRODUCT((I586:INDEX(I586:T586,MONTH(TODAY()))="X")*1)</f>
        <v>1</v>
      </c>
      <c r="Z586" s="104" t="n">
        <f aca="false">IFERROR(V586/U586,"")</f>
        <v>0</v>
      </c>
    </row>
    <row r="587" customFormat="false" ht="15" hidden="false" customHeight="true" outlineLevel="0" collapsed="false">
      <c r="A587" s="100" t="str">
        <f aca="false">Equipos!C585</f>
        <v>2-023233</v>
      </c>
      <c r="B587" s="101" t="str">
        <f aca="false">Equipos!D585</f>
        <v>Monitor Multiparámetros</v>
      </c>
      <c r="C587" s="101" t="str">
        <f aca="false">Equipos!E585</f>
        <v>UPC Adulto</v>
      </c>
      <c r="D587" s="101" t="str">
        <f aca="false">Equipos!G585</f>
        <v>CAMA 16</v>
      </c>
      <c r="E587" s="101" t="str">
        <f aca="false">Equipos!I585</f>
        <v>Drager</v>
      </c>
      <c r="F587" s="101" t="str">
        <f aca="false">Equipos!J585</f>
        <v>Infinity Kappa</v>
      </c>
      <c r="G587" s="100" t="str">
        <f aca="false">Equipos!K585</f>
        <v>5495042762</v>
      </c>
      <c r="H587" s="101"/>
      <c r="I587" s="102"/>
      <c r="J587" s="102"/>
      <c r="K587" s="102"/>
      <c r="L587" s="103" t="s">
        <v>328</v>
      </c>
      <c r="M587" s="102"/>
      <c r="N587" s="102"/>
      <c r="O587" s="102"/>
      <c r="P587" s="102"/>
      <c r="Q587" s="102"/>
      <c r="R587" s="102"/>
      <c r="S587" s="102"/>
      <c r="T587" s="102"/>
      <c r="U587" s="101" t="n">
        <f aca="false">V587+W587+X587+COUNTIF(I587:T587,"R")</f>
        <v>1</v>
      </c>
      <c r="V587" s="101" t="n">
        <f aca="false">COUNTIF(I587:T587,"E")</f>
        <v>1</v>
      </c>
      <c r="W587" s="101" t="n">
        <f aca="false">COUNTIF(I587:T587,"X")</f>
        <v>0</v>
      </c>
      <c r="X587" s="101" t="n">
        <f aca="false">COUNTIF(I587:T587,"C2")+COUNTIF(I587:T587,"C3")</f>
        <v>0</v>
      </c>
      <c r="Y587" s="101" t="n">
        <f aca="true">SUMPRODUCT((I587:INDEX(I587:T587,MONTH(TODAY()))="X")*1)</f>
        <v>0</v>
      </c>
      <c r="Z587" s="104" t="n">
        <f aca="false">IFERROR(V587/U587,"")</f>
        <v>1</v>
      </c>
    </row>
    <row r="588" customFormat="false" ht="15" hidden="false" customHeight="true" outlineLevel="0" collapsed="false">
      <c r="A588" s="100" t="str">
        <f aca="false">Equipos!C586</f>
        <v>2-016364</v>
      </c>
      <c r="B588" s="101" t="str">
        <f aca="false">Equipos!D586</f>
        <v>Monitor Multiparámetros</v>
      </c>
      <c r="C588" s="101" t="str">
        <f aca="false">Equipos!E586</f>
        <v>UPC Adulto</v>
      </c>
      <c r="D588" s="101" t="str">
        <f aca="false">Equipos!G586</f>
        <v>CAMA 18</v>
      </c>
      <c r="E588" s="101" t="str">
        <f aca="false">Equipos!I586</f>
        <v>Drager</v>
      </c>
      <c r="F588" s="101" t="str">
        <f aca="false">Equipos!J586</f>
        <v>Infinity Kappa</v>
      </c>
      <c r="G588" s="100" t="str">
        <f aca="false">Equipos!K586</f>
        <v>5495036956</v>
      </c>
      <c r="H588" s="101"/>
      <c r="I588" s="102"/>
      <c r="J588" s="102"/>
      <c r="K588" s="102"/>
      <c r="L588" s="102" t="s">
        <v>329</v>
      </c>
      <c r="M588" s="102"/>
      <c r="N588" s="102"/>
      <c r="O588" s="102"/>
      <c r="P588" s="102"/>
      <c r="Q588" s="102"/>
      <c r="R588" s="102"/>
      <c r="S588" s="102"/>
      <c r="T588" s="102"/>
      <c r="U588" s="101" t="n">
        <f aca="false">V588+W588+X588+COUNTIF(I588:T588,"R")</f>
        <v>1</v>
      </c>
      <c r="V588" s="101" t="n">
        <f aca="false">COUNTIF(I588:T588,"E")</f>
        <v>0</v>
      </c>
      <c r="W588" s="101" t="n">
        <f aca="false">COUNTIF(I588:T588,"X")</f>
        <v>1</v>
      </c>
      <c r="X588" s="101" t="n">
        <f aca="false">COUNTIF(I588:T588,"C2")+COUNTIF(I588:T588,"C3")</f>
        <v>0</v>
      </c>
      <c r="Y588" s="101" t="n">
        <f aca="true">SUMPRODUCT((I588:INDEX(I588:T588,MONTH(TODAY()))="X")*1)</f>
        <v>1</v>
      </c>
      <c r="Z588" s="104" t="n">
        <f aca="false">IFERROR(V588/U588,"")</f>
        <v>0</v>
      </c>
    </row>
    <row r="589" customFormat="false" ht="15" hidden="false" customHeight="true" outlineLevel="0" collapsed="false">
      <c r="A589" s="100" t="str">
        <f aca="false">Equipos!C587</f>
        <v>2-027617</v>
      </c>
      <c r="B589" s="101" t="str">
        <f aca="false">Equipos!D587</f>
        <v>Monitor Multiparámetros</v>
      </c>
      <c r="C589" s="101" t="str">
        <f aca="false">Equipos!E587</f>
        <v>UPC Adulto</v>
      </c>
      <c r="D589" s="101" t="str">
        <f aca="false">Equipos!G587</f>
        <v>CAMA 13</v>
      </c>
      <c r="E589" s="101" t="str">
        <f aca="false">Equipos!I587</f>
        <v>Drager</v>
      </c>
      <c r="F589" s="101" t="str">
        <f aca="false">Equipos!J587</f>
        <v>Infinity Kappa</v>
      </c>
      <c r="G589" s="100" t="str">
        <f aca="false">Equipos!K587</f>
        <v>5495022864</v>
      </c>
      <c r="H589" s="101"/>
      <c r="I589" s="102"/>
      <c r="J589" s="102"/>
      <c r="K589" s="102"/>
      <c r="L589" s="102" t="s">
        <v>329</v>
      </c>
      <c r="M589" s="102"/>
      <c r="N589" s="102"/>
      <c r="O589" s="102"/>
      <c r="P589" s="102"/>
      <c r="Q589" s="102"/>
      <c r="R589" s="102"/>
      <c r="S589" s="102"/>
      <c r="T589" s="102"/>
      <c r="U589" s="101" t="n">
        <f aca="false">V589+W589+X589+COUNTIF(I589:T589,"R")</f>
        <v>1</v>
      </c>
      <c r="V589" s="101" t="n">
        <f aca="false">COUNTIF(I589:T589,"E")</f>
        <v>0</v>
      </c>
      <c r="W589" s="101" t="n">
        <f aca="false">COUNTIF(I589:T589,"X")</f>
        <v>1</v>
      </c>
      <c r="X589" s="101" t="n">
        <f aca="false">COUNTIF(I589:T589,"C2")+COUNTIF(I589:T589,"C3")</f>
        <v>0</v>
      </c>
      <c r="Y589" s="101" t="n">
        <f aca="true">SUMPRODUCT((I589:INDEX(I589:T589,MONTH(TODAY()))="X")*1)</f>
        <v>1</v>
      </c>
      <c r="Z589" s="104" t="n">
        <f aca="false">IFERROR(V589/U589,"")</f>
        <v>0</v>
      </c>
    </row>
    <row r="590" customFormat="false" ht="15" hidden="false" customHeight="true" outlineLevel="0" collapsed="false">
      <c r="A590" s="100" t="str">
        <f aca="false">Equipos!C588</f>
        <v>2-021531</v>
      </c>
      <c r="B590" s="101" t="str">
        <f aca="false">Equipos!D588</f>
        <v>Monitor Multiparámetros</v>
      </c>
      <c r="C590" s="101" t="str">
        <f aca="false">Equipos!E588</f>
        <v>Pabellón (Recuperación)</v>
      </c>
      <c r="D590" s="101" t="str">
        <f aca="false">Equipos!G588</f>
        <v>Unidad N° 01</v>
      </c>
      <c r="E590" s="101" t="str">
        <f aca="false">Equipos!I588</f>
        <v>Drager</v>
      </c>
      <c r="F590" s="101" t="str">
        <f aca="false">Equipos!J588</f>
        <v>Vista 120</v>
      </c>
      <c r="G590" s="100" t="str">
        <f aca="false">Equipos!K588</f>
        <v>V2SFH0017</v>
      </c>
      <c r="H590" s="101"/>
      <c r="I590" s="102"/>
      <c r="J590" s="103" t="s">
        <v>328</v>
      </c>
      <c r="K590" s="102"/>
      <c r="L590" s="102"/>
      <c r="M590" s="102"/>
      <c r="N590" s="102"/>
      <c r="O590" s="102"/>
      <c r="P590" s="102"/>
      <c r="Q590" s="102"/>
      <c r="R590" s="102"/>
      <c r="S590" s="102"/>
      <c r="T590" s="102"/>
      <c r="U590" s="101" t="n">
        <f aca="false">V590+W590+X590+COUNTIF(I590:T590,"R")</f>
        <v>1</v>
      </c>
      <c r="V590" s="101" t="n">
        <f aca="false">COUNTIF(I590:T590,"E")</f>
        <v>1</v>
      </c>
      <c r="W590" s="101" t="n">
        <f aca="false">COUNTIF(I590:T590,"X")</f>
        <v>0</v>
      </c>
      <c r="X590" s="101" t="n">
        <f aca="false">COUNTIF(I590:T590,"C2")+COUNTIF(I590:T590,"C3")</f>
        <v>0</v>
      </c>
      <c r="Y590" s="101" t="n">
        <f aca="true">SUMPRODUCT((I590:INDEX(I590:T590,MONTH(TODAY()))="X")*1)</f>
        <v>0</v>
      </c>
      <c r="Z590" s="104" t="n">
        <f aca="false">IFERROR(V590/U590,"")</f>
        <v>1</v>
      </c>
    </row>
    <row r="591" customFormat="false" ht="15" hidden="false" customHeight="true" outlineLevel="0" collapsed="false">
      <c r="A591" s="100" t="str">
        <f aca="false">Equipos!C589</f>
        <v>2-021532</v>
      </c>
      <c r="B591" s="101" t="str">
        <f aca="false">Equipos!D589</f>
        <v>Monitor Multiparámetros</v>
      </c>
      <c r="C591" s="101" t="str">
        <f aca="false">Equipos!E589</f>
        <v>Pabellón (Recuperación)</v>
      </c>
      <c r="D591" s="101" t="str">
        <f aca="false">Equipos!G589</f>
        <v>Unidad N° 07</v>
      </c>
      <c r="E591" s="101" t="str">
        <f aca="false">Equipos!I589</f>
        <v>Drager</v>
      </c>
      <c r="F591" s="101" t="str">
        <f aca="false">Equipos!J589</f>
        <v>Vista 120</v>
      </c>
      <c r="G591" s="100" t="str">
        <f aca="false">Equipos!K589</f>
        <v>V2SFH0032</v>
      </c>
      <c r="H591" s="101"/>
      <c r="I591" s="102"/>
      <c r="J591" s="103" t="s">
        <v>328</v>
      </c>
      <c r="K591" s="102"/>
      <c r="L591" s="102"/>
      <c r="M591" s="102"/>
      <c r="N591" s="102"/>
      <c r="O591" s="102"/>
      <c r="P591" s="102"/>
      <c r="Q591" s="102"/>
      <c r="R591" s="102"/>
      <c r="S591" s="102"/>
      <c r="T591" s="102"/>
      <c r="U591" s="101" t="n">
        <f aca="false">V591+W591+X591+COUNTIF(I591:T591,"R")</f>
        <v>1</v>
      </c>
      <c r="V591" s="101" t="n">
        <f aca="false">COUNTIF(I591:T591,"E")</f>
        <v>1</v>
      </c>
      <c r="W591" s="101" t="n">
        <f aca="false">COUNTIF(I591:T591,"X")</f>
        <v>0</v>
      </c>
      <c r="X591" s="101" t="n">
        <f aca="false">COUNTIF(I591:T591,"C2")+COUNTIF(I591:T591,"C3")</f>
        <v>0</v>
      </c>
      <c r="Y591" s="101" t="n">
        <f aca="true">SUMPRODUCT((I591:INDEX(I591:T591,MONTH(TODAY()))="X")*1)</f>
        <v>0</v>
      </c>
      <c r="Z591" s="104" t="n">
        <f aca="false">IFERROR(V591/U591,"")</f>
        <v>1</v>
      </c>
    </row>
    <row r="592" customFormat="false" ht="15" hidden="false" customHeight="true" outlineLevel="0" collapsed="false">
      <c r="A592" s="100" t="str">
        <f aca="false">Equipos!C590</f>
        <v>2-021540</v>
      </c>
      <c r="B592" s="101" t="str">
        <f aca="false">Equipos!D590</f>
        <v>Monitor Multiparámetros</v>
      </c>
      <c r="C592" s="101" t="str">
        <f aca="false">Equipos!E590</f>
        <v>Pabellón (Recuperación)</v>
      </c>
      <c r="D592" s="101" t="str">
        <f aca="false">Equipos!G590</f>
        <v>Cama N° 5</v>
      </c>
      <c r="E592" s="101" t="str">
        <f aca="false">Equipos!I590</f>
        <v>Drager</v>
      </c>
      <c r="F592" s="101" t="str">
        <f aca="false">Equipos!J590</f>
        <v>Vista 120</v>
      </c>
      <c r="G592" s="100" t="str">
        <f aca="false">Equipos!K590</f>
        <v>V2SFH0025</v>
      </c>
      <c r="H592" s="101"/>
      <c r="I592" s="102"/>
      <c r="J592" s="103" t="s">
        <v>328</v>
      </c>
      <c r="K592" s="102"/>
      <c r="L592" s="102"/>
      <c r="M592" s="102"/>
      <c r="N592" s="102"/>
      <c r="O592" s="102"/>
      <c r="P592" s="102"/>
      <c r="Q592" s="102"/>
      <c r="R592" s="102"/>
      <c r="S592" s="102"/>
      <c r="T592" s="102"/>
      <c r="U592" s="101" t="n">
        <f aca="false">V592+W592+X592+COUNTIF(I592:T592,"R")</f>
        <v>1</v>
      </c>
      <c r="V592" s="101" t="n">
        <f aca="false">COUNTIF(I592:T592,"E")</f>
        <v>1</v>
      </c>
      <c r="W592" s="101" t="n">
        <f aca="false">COUNTIF(I592:T592,"X")</f>
        <v>0</v>
      </c>
      <c r="X592" s="101" t="n">
        <f aca="false">COUNTIF(I592:T592,"C2")+COUNTIF(I592:T592,"C3")</f>
        <v>0</v>
      </c>
      <c r="Y592" s="101" t="n">
        <f aca="true">SUMPRODUCT((I592:INDEX(I592:T592,MONTH(TODAY()))="X")*1)</f>
        <v>0</v>
      </c>
      <c r="Z592" s="104" t="n">
        <f aca="false">IFERROR(V592/U592,"")</f>
        <v>1</v>
      </c>
    </row>
    <row r="593" customFormat="false" ht="15" hidden="false" customHeight="true" outlineLevel="0" collapsed="false">
      <c r="A593" s="100" t="str">
        <f aca="false">Equipos!C591</f>
        <v>2-021538</v>
      </c>
      <c r="B593" s="101" t="str">
        <f aca="false">Equipos!D591</f>
        <v>Monitor Multiparámetros</v>
      </c>
      <c r="C593" s="101" t="str">
        <f aca="false">Equipos!E591</f>
        <v>Pabellón (Recuperación)</v>
      </c>
      <c r="D593" s="101" t="str">
        <f aca="false">Equipos!G591</f>
        <v>Cama N° 18</v>
      </c>
      <c r="E593" s="101" t="str">
        <f aca="false">Equipos!I591</f>
        <v>Drager</v>
      </c>
      <c r="F593" s="101" t="str">
        <f aca="false">Equipos!J591</f>
        <v>Vista 120</v>
      </c>
      <c r="G593" s="100" t="str">
        <f aca="false">Equipos!K591</f>
        <v>V2SFH0016</v>
      </c>
      <c r="H593" s="101"/>
      <c r="I593" s="102"/>
      <c r="J593" s="103" t="s">
        <v>328</v>
      </c>
      <c r="K593" s="102"/>
      <c r="L593" s="102"/>
      <c r="M593" s="102"/>
      <c r="N593" s="102"/>
      <c r="O593" s="102"/>
      <c r="P593" s="102"/>
      <c r="Q593" s="102"/>
      <c r="R593" s="102"/>
      <c r="S593" s="102"/>
      <c r="T593" s="102"/>
      <c r="U593" s="101" t="n">
        <f aca="false">V593+W593+X593+COUNTIF(I593:T593,"R")</f>
        <v>1</v>
      </c>
      <c r="V593" s="101" t="n">
        <f aca="false">COUNTIF(I593:T593,"E")</f>
        <v>1</v>
      </c>
      <c r="W593" s="101" t="n">
        <f aca="false">COUNTIF(I593:T593,"X")</f>
        <v>0</v>
      </c>
      <c r="X593" s="101" t="n">
        <f aca="false">COUNTIF(I593:T593,"C2")+COUNTIF(I593:T593,"C3")</f>
        <v>0</v>
      </c>
      <c r="Y593" s="101" t="n">
        <f aca="true">SUMPRODUCT((I593:INDEX(I593:T593,MONTH(TODAY()))="X")*1)</f>
        <v>0</v>
      </c>
      <c r="Z593" s="104" t="n">
        <f aca="false">IFERROR(V593/U593,"")</f>
        <v>1</v>
      </c>
    </row>
    <row r="594" customFormat="false" ht="15" hidden="false" customHeight="true" outlineLevel="0" collapsed="false">
      <c r="A594" s="100" t="str">
        <f aca="false">Equipos!C592</f>
        <v>2-021537</v>
      </c>
      <c r="B594" s="101" t="str">
        <f aca="false">Equipos!D592</f>
        <v>Monitor Multiparámetros</v>
      </c>
      <c r="C594" s="101" t="str">
        <f aca="false">Equipos!E592</f>
        <v>Pabellón (Recuperación)</v>
      </c>
      <c r="D594" s="101" t="str">
        <f aca="false">Equipos!G592</f>
        <v>Cama N° 6</v>
      </c>
      <c r="E594" s="101" t="str">
        <f aca="false">Equipos!I592</f>
        <v>Drager</v>
      </c>
      <c r="F594" s="101" t="str">
        <f aca="false">Equipos!J592</f>
        <v>Vista 120</v>
      </c>
      <c r="G594" s="100" t="str">
        <f aca="false">Equipos!K592</f>
        <v>V2SFH0031</v>
      </c>
      <c r="H594" s="101"/>
      <c r="I594" s="102"/>
      <c r="J594" s="103" t="s">
        <v>328</v>
      </c>
      <c r="K594" s="102"/>
      <c r="L594" s="102"/>
      <c r="M594" s="102"/>
      <c r="N594" s="102"/>
      <c r="O594" s="102"/>
      <c r="P594" s="102"/>
      <c r="Q594" s="102"/>
      <c r="R594" s="102"/>
      <c r="S594" s="102"/>
      <c r="T594" s="102"/>
      <c r="U594" s="101" t="n">
        <f aca="false">V594+W594+X594+COUNTIF(I594:T594,"R")</f>
        <v>1</v>
      </c>
      <c r="V594" s="101" t="n">
        <f aca="false">COUNTIF(I594:T594,"E")</f>
        <v>1</v>
      </c>
      <c r="W594" s="101" t="n">
        <f aca="false">COUNTIF(I594:T594,"X")</f>
        <v>0</v>
      </c>
      <c r="X594" s="101" t="n">
        <f aca="false">COUNTIF(I594:T594,"C2")+COUNTIF(I594:T594,"C3")</f>
        <v>0</v>
      </c>
      <c r="Y594" s="101" t="n">
        <f aca="true">SUMPRODUCT((I594:INDEX(I594:T594,MONTH(TODAY()))="X")*1)</f>
        <v>0</v>
      </c>
      <c r="Z594" s="104" t="n">
        <f aca="false">IFERROR(V594/U594,"")</f>
        <v>1</v>
      </c>
    </row>
    <row r="595" customFormat="false" ht="15" hidden="false" customHeight="true" outlineLevel="0" collapsed="false">
      <c r="A595" s="100" t="str">
        <f aca="false">Equipos!C593</f>
        <v>2-021535</v>
      </c>
      <c r="B595" s="101" t="str">
        <f aca="false">Equipos!D593</f>
        <v>Monitor Multiparámetros</v>
      </c>
      <c r="C595" s="101" t="str">
        <f aca="false">Equipos!E593</f>
        <v>Pabellón (Recuperación)</v>
      </c>
      <c r="D595" s="101" t="str">
        <f aca="false">Equipos!G593</f>
        <v>Cama N° 8</v>
      </c>
      <c r="E595" s="101" t="str">
        <f aca="false">Equipos!I593</f>
        <v>Drager</v>
      </c>
      <c r="F595" s="101" t="str">
        <f aca="false">Equipos!J593</f>
        <v>Vista 120</v>
      </c>
      <c r="G595" s="100" t="str">
        <f aca="false">Equipos!K593</f>
        <v>V2SFH0035</v>
      </c>
      <c r="H595" s="101"/>
      <c r="I595" s="102"/>
      <c r="J595" s="103" t="s">
        <v>332</v>
      </c>
      <c r="K595" s="102"/>
      <c r="L595" s="103" t="s">
        <v>328</v>
      </c>
      <c r="M595" s="102"/>
      <c r="N595" s="102"/>
      <c r="O595" s="102"/>
      <c r="P595" s="102"/>
      <c r="Q595" s="102"/>
      <c r="R595" s="102"/>
      <c r="S595" s="102"/>
      <c r="T595" s="102"/>
      <c r="U595" s="101" t="n">
        <f aca="false">V595+W595+X595+COUNTIF(I595:T595,"R")</f>
        <v>2</v>
      </c>
      <c r="V595" s="101" t="n">
        <f aca="false">COUNTIF(I595:T595,"E")</f>
        <v>1</v>
      </c>
      <c r="W595" s="101" t="n">
        <f aca="false">COUNTIF(I595:T595,"X")</f>
        <v>0</v>
      </c>
      <c r="X595" s="101" t="n">
        <f aca="false">COUNTIF(I595:T595,"C2")+COUNTIF(I595:T595,"C3")</f>
        <v>1</v>
      </c>
      <c r="Y595" s="101" t="n">
        <f aca="true">SUMPRODUCT((I595:INDEX(I595:T595,MONTH(TODAY()))="X")*1)</f>
        <v>0</v>
      </c>
      <c r="Z595" s="104" t="n">
        <f aca="false">IFERROR(V595/U595,"")</f>
        <v>0.5</v>
      </c>
    </row>
    <row r="596" customFormat="false" ht="15" hidden="false" customHeight="true" outlineLevel="0" collapsed="false">
      <c r="A596" s="100" t="str">
        <f aca="false">Equipos!C594</f>
        <v>2-021534</v>
      </c>
      <c r="B596" s="101" t="str">
        <f aca="false">Equipos!D594</f>
        <v>Monitor Multiparámetros</v>
      </c>
      <c r="C596" s="101" t="str">
        <f aca="false">Equipos!E594</f>
        <v>Pabellón (Recuperación)</v>
      </c>
      <c r="D596" s="101" t="str">
        <f aca="false">Equipos!G594</f>
        <v>Oficina Supervisora</v>
      </c>
      <c r="E596" s="101" t="str">
        <f aca="false">Equipos!I594</f>
        <v>Drager</v>
      </c>
      <c r="F596" s="101" t="str">
        <f aca="false">Equipos!J594</f>
        <v>Vista 120</v>
      </c>
      <c r="G596" s="100" t="str">
        <f aca="false">Equipos!K594</f>
        <v>V2SFH0038</v>
      </c>
      <c r="H596" s="101"/>
      <c r="I596" s="102"/>
      <c r="J596" s="103" t="s">
        <v>328</v>
      </c>
      <c r="K596" s="102"/>
      <c r="L596" s="102"/>
      <c r="M596" s="102"/>
      <c r="N596" s="102"/>
      <c r="O596" s="102"/>
      <c r="P596" s="102"/>
      <c r="Q596" s="102"/>
      <c r="R596" s="102"/>
      <c r="S596" s="102"/>
      <c r="T596" s="102"/>
      <c r="U596" s="101" t="n">
        <f aca="false">V596+W596+X596+COUNTIF(I596:T596,"R")</f>
        <v>1</v>
      </c>
      <c r="V596" s="101" t="n">
        <f aca="false">COUNTIF(I596:T596,"E")</f>
        <v>1</v>
      </c>
      <c r="W596" s="101" t="n">
        <f aca="false">COUNTIF(I596:T596,"X")</f>
        <v>0</v>
      </c>
      <c r="X596" s="101" t="n">
        <f aca="false">COUNTIF(I596:T596,"C2")+COUNTIF(I596:T596,"C3")</f>
        <v>0</v>
      </c>
      <c r="Y596" s="101" t="n">
        <f aca="true">SUMPRODUCT((I596:INDEX(I596:T596,MONTH(TODAY()))="X")*1)</f>
        <v>0</v>
      </c>
      <c r="Z596" s="104" t="n">
        <f aca="false">IFERROR(V596/U596,"")</f>
        <v>1</v>
      </c>
    </row>
    <row r="597" customFormat="false" ht="15" hidden="false" customHeight="true" outlineLevel="0" collapsed="false">
      <c r="A597" s="100" t="str">
        <f aca="false">Equipos!C595</f>
        <v>2-021539</v>
      </c>
      <c r="B597" s="101" t="str">
        <f aca="false">Equipos!D595</f>
        <v>Monitor Multiparámetros</v>
      </c>
      <c r="C597" s="101" t="str">
        <f aca="false">Equipos!E595</f>
        <v>Pabellón Quirúrgico (Prestado a Traumatología)</v>
      </c>
      <c r="D597" s="101" t="str">
        <f aca="false">Equipos!G595</f>
        <v>1° Piso</v>
      </c>
      <c r="E597" s="101" t="str">
        <f aca="false">Equipos!I595</f>
        <v>Drager</v>
      </c>
      <c r="F597" s="101" t="str">
        <f aca="false">Equipos!J595</f>
        <v>Vista 120</v>
      </c>
      <c r="G597" s="100" t="str">
        <f aca="false">Equipos!K595</f>
        <v>V2SFH0033</v>
      </c>
      <c r="H597" s="101"/>
      <c r="I597" s="102"/>
      <c r="J597" s="102"/>
      <c r="K597" s="102"/>
      <c r="L597" s="102"/>
      <c r="M597" s="103"/>
      <c r="N597" s="102"/>
      <c r="O597" s="102"/>
      <c r="P597" s="102"/>
      <c r="Q597" s="102"/>
      <c r="R597" s="102"/>
      <c r="S597" s="102"/>
      <c r="T597" s="102"/>
      <c r="U597" s="101" t="n">
        <f aca="false">V597+W597+X597+COUNTIF(I597:T597,"R")</f>
        <v>0</v>
      </c>
      <c r="V597" s="101" t="n">
        <f aca="false">COUNTIF(I597:T597,"E")</f>
        <v>0</v>
      </c>
      <c r="W597" s="101" t="n">
        <f aca="false">COUNTIF(I597:T597,"X")</f>
        <v>0</v>
      </c>
      <c r="X597" s="101" t="n">
        <f aca="false">COUNTIF(I597:T597,"C2")+COUNTIF(I597:T597,"C3")</f>
        <v>0</v>
      </c>
      <c r="Y597" s="101" t="n">
        <f aca="true">SUMPRODUCT((I597:INDEX(I597:T597,MONTH(TODAY()))="X")*1)</f>
        <v>0</v>
      </c>
      <c r="Z597" s="104" t="str">
        <f aca="false">IFERROR(V597/U597,"")</f>
        <v/>
      </c>
    </row>
    <row r="598" customFormat="false" ht="15" hidden="false" customHeight="true" outlineLevel="0" collapsed="false">
      <c r="A598" s="100" t="str">
        <f aca="false">Equipos!C596</f>
        <v>2-021533</v>
      </c>
      <c r="B598" s="101" t="str">
        <f aca="false">Equipos!D596</f>
        <v>Monitor Multiparámetros</v>
      </c>
      <c r="C598" s="101" t="str">
        <f aca="false">Equipos!E596</f>
        <v>Pabellón (Recuperación)</v>
      </c>
      <c r="D598" s="101" t="str">
        <f aca="false">Equipos!G596</f>
        <v>Cama N° 4</v>
      </c>
      <c r="E598" s="101" t="str">
        <f aca="false">Equipos!I596</f>
        <v>Drager</v>
      </c>
      <c r="F598" s="101" t="str">
        <f aca="false">Equipos!J596</f>
        <v>Vista 120</v>
      </c>
      <c r="G598" s="100" t="str">
        <f aca="false">Equipos!K596</f>
        <v>V2SFH0019</v>
      </c>
      <c r="H598" s="101"/>
      <c r="I598" s="102"/>
      <c r="J598" s="103" t="s">
        <v>328</v>
      </c>
      <c r="K598" s="102"/>
      <c r="L598" s="102"/>
      <c r="M598" s="102"/>
      <c r="N598" s="102"/>
      <c r="O598" s="102"/>
      <c r="P598" s="102"/>
      <c r="Q598" s="102"/>
      <c r="R598" s="102"/>
      <c r="S598" s="102"/>
      <c r="T598" s="102"/>
      <c r="U598" s="101" t="n">
        <f aca="false">V598+W598+X598+COUNTIF(I598:T598,"R")</f>
        <v>1</v>
      </c>
      <c r="V598" s="101" t="n">
        <f aca="false">COUNTIF(I598:T598,"E")</f>
        <v>1</v>
      </c>
      <c r="W598" s="101" t="n">
        <f aca="false">COUNTIF(I598:T598,"X")</f>
        <v>0</v>
      </c>
      <c r="X598" s="101" t="n">
        <f aca="false">COUNTIF(I598:T598,"C2")+COUNTIF(I598:T598,"C3")</f>
        <v>0</v>
      </c>
      <c r="Y598" s="101" t="n">
        <f aca="true">SUMPRODUCT((I598:INDEX(I598:T598,MONTH(TODAY()))="X")*1)</f>
        <v>0</v>
      </c>
      <c r="Z598" s="104" t="n">
        <f aca="false">IFERROR(V598/U598,"")</f>
        <v>1</v>
      </c>
    </row>
    <row r="599" customFormat="false" ht="15" hidden="false" customHeight="true" outlineLevel="0" collapsed="false">
      <c r="A599" s="100" t="str">
        <f aca="false">Equipos!C597</f>
        <v>2-021536</v>
      </c>
      <c r="B599" s="101" t="str">
        <f aca="false">Equipos!D597</f>
        <v>Monitor Multiparámetros</v>
      </c>
      <c r="C599" s="101" t="str">
        <f aca="false">Equipos!E597</f>
        <v>Pabellón (Recuperación)</v>
      </c>
      <c r="D599" s="101" t="str">
        <f aca="false">Equipos!G597</f>
        <v>Unidad N° 09</v>
      </c>
      <c r="E599" s="101" t="str">
        <f aca="false">Equipos!I597</f>
        <v>Drager</v>
      </c>
      <c r="F599" s="101" t="str">
        <f aca="false">Equipos!J597</f>
        <v>Vista 120</v>
      </c>
      <c r="G599" s="100" t="str">
        <f aca="false">Equipos!K597</f>
        <v>V2SFH0026</v>
      </c>
      <c r="H599" s="101"/>
      <c r="I599" s="102"/>
      <c r="J599" s="103" t="s">
        <v>328</v>
      </c>
      <c r="K599" s="102"/>
      <c r="L599" s="102"/>
      <c r="M599" s="102"/>
      <c r="N599" s="102"/>
      <c r="O599" s="102"/>
      <c r="P599" s="102"/>
      <c r="Q599" s="102"/>
      <c r="R599" s="102"/>
      <c r="S599" s="102"/>
      <c r="T599" s="102"/>
      <c r="U599" s="101" t="n">
        <f aca="false">V599+W599+X599+COUNTIF(I599:T599,"R")</f>
        <v>1</v>
      </c>
      <c r="V599" s="101" t="n">
        <f aca="false">COUNTIF(I599:T599,"E")</f>
        <v>1</v>
      </c>
      <c r="W599" s="101" t="n">
        <f aca="false">COUNTIF(I599:T599,"X")</f>
        <v>0</v>
      </c>
      <c r="X599" s="101" t="n">
        <f aca="false">COUNTIF(I599:T599,"C2")+COUNTIF(I599:T599,"C3")</f>
        <v>0</v>
      </c>
      <c r="Y599" s="101" t="n">
        <f aca="true">SUMPRODUCT((I599:INDEX(I599:T599,MONTH(TODAY()))="X")*1)</f>
        <v>0</v>
      </c>
      <c r="Z599" s="104" t="n">
        <f aca="false">IFERROR(V599/U599,"")</f>
        <v>1</v>
      </c>
    </row>
    <row r="600" customFormat="false" ht="15" hidden="false" customHeight="true" outlineLevel="0" collapsed="false">
      <c r="A600" s="100" t="str">
        <f aca="false">Equipos!C598</f>
        <v>2-112548</v>
      </c>
      <c r="B600" s="101" t="str">
        <f aca="false">Equipos!D598</f>
        <v>Monitor Multiparámetros</v>
      </c>
      <c r="C600" s="101" t="str">
        <f aca="false">Equipos!E598</f>
        <v>UPC Adulto</v>
      </c>
      <c r="D600" s="101" t="str">
        <f aca="false">Equipos!G598</f>
        <v>BODEGA</v>
      </c>
      <c r="E600" s="101" t="str">
        <f aca="false">Equipos!I598</f>
        <v>Drager</v>
      </c>
      <c r="F600" s="101" t="str">
        <f aca="false">Equipos!J598</f>
        <v>Infinity Delta</v>
      </c>
      <c r="G600" s="100" t="str">
        <f aca="false">Equipos!K598</f>
        <v>6006239368</v>
      </c>
      <c r="H600" s="101"/>
      <c r="I600" s="102"/>
      <c r="J600" s="102"/>
      <c r="K600" s="102"/>
      <c r="L600" s="102" t="s">
        <v>329</v>
      </c>
      <c r="M600" s="102"/>
      <c r="N600" s="102"/>
      <c r="O600" s="102"/>
      <c r="P600" s="102"/>
      <c r="Q600" s="102"/>
      <c r="R600" s="102"/>
      <c r="S600" s="102"/>
      <c r="T600" s="102"/>
      <c r="U600" s="101" t="n">
        <f aca="false">V600+W600+X600+COUNTIF(I600:T600,"R")</f>
        <v>1</v>
      </c>
      <c r="V600" s="101" t="n">
        <f aca="false">COUNTIF(I600:T600,"E")</f>
        <v>0</v>
      </c>
      <c r="W600" s="101" t="n">
        <f aca="false">COUNTIF(I600:T600,"X")</f>
        <v>1</v>
      </c>
      <c r="X600" s="101" t="n">
        <f aca="false">COUNTIF(I600:T600,"C2")+COUNTIF(I600:T600,"C3")</f>
        <v>0</v>
      </c>
      <c r="Y600" s="101" t="n">
        <f aca="true">SUMPRODUCT((I600:INDEX(I600:T600,MONTH(TODAY()))="X")*1)</f>
        <v>1</v>
      </c>
      <c r="Z600" s="104" t="n">
        <f aca="false">IFERROR(V600/U600,"")</f>
        <v>0</v>
      </c>
    </row>
    <row r="601" customFormat="false" ht="15" hidden="false" customHeight="true" outlineLevel="0" collapsed="false">
      <c r="A601" s="100" t="n">
        <f aca="false">Equipos!C599</f>
        <v>0</v>
      </c>
      <c r="B601" s="101" t="n">
        <f aca="false">Equipos!D599</f>
        <v>0</v>
      </c>
      <c r="C601" s="101" t="n">
        <f aca="false">Equipos!E599</f>
        <v>0</v>
      </c>
      <c r="D601" s="101" t="n">
        <f aca="false">Equipos!G599</f>
        <v>0</v>
      </c>
      <c r="E601" s="101" t="n">
        <f aca="false">Equipos!I599</f>
        <v>0</v>
      </c>
      <c r="F601" s="101" t="n">
        <f aca="false">Equipos!J599</f>
        <v>0</v>
      </c>
      <c r="G601" s="100" t="n">
        <f aca="false">Equipos!K599</f>
        <v>0</v>
      </c>
      <c r="H601" s="101"/>
      <c r="I601" s="102"/>
      <c r="J601" s="102"/>
      <c r="K601" s="102"/>
      <c r="L601" s="102"/>
      <c r="M601" s="102"/>
      <c r="N601" s="102"/>
      <c r="O601" s="102"/>
      <c r="P601" s="102"/>
      <c r="Q601" s="102"/>
      <c r="R601" s="102"/>
      <c r="S601" s="102"/>
      <c r="T601" s="102"/>
      <c r="U601" s="101" t="n">
        <f aca="false">V601+W601+X601+COUNTIF(I601:T601,"R")</f>
        <v>0</v>
      </c>
      <c r="V601" s="101" t="n">
        <f aca="false">COUNTIF(I601:T601,"E")</f>
        <v>0</v>
      </c>
      <c r="W601" s="101" t="n">
        <f aca="false">COUNTIF(I601:T601,"X")</f>
        <v>0</v>
      </c>
      <c r="X601" s="101" t="n">
        <f aca="false">COUNTIF(I601:T601,"C2")+COUNTIF(I601:T601,"C3")</f>
        <v>0</v>
      </c>
      <c r="Y601" s="101" t="n">
        <f aca="true">SUMPRODUCT((I601:INDEX(I601:T601,MONTH(TODAY()))="X")*1)</f>
        <v>0</v>
      </c>
      <c r="Z601" s="104" t="str">
        <f aca="false">IFERROR(V601/U601,"")</f>
        <v/>
      </c>
    </row>
    <row r="602" customFormat="false" ht="15" hidden="false" customHeight="true" outlineLevel="0" collapsed="false">
      <c r="A602" s="100" t="n">
        <f aca="false">Equipos!C600</f>
        <v>0</v>
      </c>
      <c r="B602" s="101" t="n">
        <f aca="false">Equipos!D600</f>
        <v>0</v>
      </c>
      <c r="C602" s="101" t="n">
        <f aca="false">Equipos!E600</f>
        <v>0</v>
      </c>
      <c r="D602" s="101" t="n">
        <f aca="false">Equipos!G600</f>
        <v>0</v>
      </c>
      <c r="E602" s="101" t="n">
        <f aca="false">Equipos!I600</f>
        <v>0</v>
      </c>
      <c r="F602" s="101" t="n">
        <f aca="false">Equipos!J600</f>
        <v>0</v>
      </c>
      <c r="G602" s="100" t="n">
        <f aca="false">Equipos!K600</f>
        <v>0</v>
      </c>
      <c r="H602" s="101"/>
      <c r="I602" s="102"/>
      <c r="J602" s="102"/>
      <c r="K602" s="102"/>
      <c r="L602" s="102"/>
      <c r="M602" s="102"/>
      <c r="N602" s="102"/>
      <c r="O602" s="102"/>
      <c r="P602" s="102"/>
      <c r="Q602" s="102"/>
      <c r="R602" s="102"/>
      <c r="S602" s="102"/>
      <c r="T602" s="102"/>
      <c r="U602" s="101" t="n">
        <f aca="false">V602+W602+X602+COUNTIF(I602:T602,"R")</f>
        <v>0</v>
      </c>
      <c r="V602" s="101" t="n">
        <f aca="false">COUNTIF(I602:T602,"E")</f>
        <v>0</v>
      </c>
      <c r="W602" s="101" t="n">
        <f aca="false">COUNTIF(I602:T602,"X")</f>
        <v>0</v>
      </c>
      <c r="X602" s="101" t="n">
        <f aca="false">COUNTIF(I602:T602,"C2")+COUNTIF(I602:T602,"C3")</f>
        <v>0</v>
      </c>
      <c r="Y602" s="101" t="n">
        <f aca="true">SUMPRODUCT((I602:INDEX(I602:T602,MONTH(TODAY()))="X")*1)</f>
        <v>0</v>
      </c>
      <c r="Z602" s="104" t="str">
        <f aca="false">IFERROR(V602/U602,"")</f>
        <v/>
      </c>
    </row>
    <row r="603" customFormat="false" ht="15" hidden="false" customHeight="true" outlineLevel="0" collapsed="false">
      <c r="A603" s="100" t="str">
        <f aca="false">Equipos!C601</f>
        <v>2-007496</v>
      </c>
      <c r="B603" s="101" t="str">
        <f aca="false">Equipos!D601</f>
        <v>Monitor Multiparámetros</v>
      </c>
      <c r="C603" s="101" t="str">
        <f aca="false">Equipos!E601</f>
        <v>UPC Adulto</v>
      </c>
      <c r="D603" s="101" t="str">
        <f aca="false">Equipos!G601</f>
        <v>BODEGA</v>
      </c>
      <c r="E603" s="101" t="str">
        <f aca="false">Equipos!I601</f>
        <v>Drager</v>
      </c>
      <c r="F603" s="101" t="str">
        <f aca="false">Equipos!J601</f>
        <v>Infinity Delta</v>
      </c>
      <c r="G603" s="100" t="str">
        <f aca="false">Equipos!K601</f>
        <v>6006232874</v>
      </c>
      <c r="H603" s="101"/>
      <c r="I603" s="102"/>
      <c r="J603" s="102"/>
      <c r="K603" s="102"/>
      <c r="L603" s="102" t="s">
        <v>329</v>
      </c>
      <c r="M603" s="102"/>
      <c r="N603" s="102"/>
      <c r="O603" s="102"/>
      <c r="P603" s="102"/>
      <c r="Q603" s="102"/>
      <c r="R603" s="102"/>
      <c r="S603" s="102"/>
      <c r="T603" s="102"/>
      <c r="U603" s="101" t="n">
        <f aca="false">V603+W603+X603+COUNTIF(I603:T603,"R")</f>
        <v>1</v>
      </c>
      <c r="V603" s="101" t="n">
        <f aca="false">COUNTIF(I603:T603,"E")</f>
        <v>0</v>
      </c>
      <c r="W603" s="101" t="n">
        <f aca="false">COUNTIF(I603:T603,"X")</f>
        <v>1</v>
      </c>
      <c r="X603" s="101" t="n">
        <f aca="false">COUNTIF(I603:T603,"C2")+COUNTIF(I603:T603,"C3")</f>
        <v>0</v>
      </c>
      <c r="Y603" s="101" t="n">
        <f aca="true">SUMPRODUCT((I603:INDEX(I603:T603,MONTH(TODAY()))="X")*1)</f>
        <v>1</v>
      </c>
      <c r="Z603" s="104" t="n">
        <f aca="false">IFERROR(V603/U603,"")</f>
        <v>0</v>
      </c>
    </row>
    <row r="604" customFormat="false" ht="15" hidden="false" customHeight="true" outlineLevel="0" collapsed="false">
      <c r="A604" s="100" t="str">
        <f aca="false">Equipos!C602</f>
        <v>2-028015</v>
      </c>
      <c r="B604" s="101" t="str">
        <f aca="false">Equipos!D602</f>
        <v>Monitor Multiparámetros</v>
      </c>
      <c r="C604" s="101" t="str">
        <f aca="false">Equipos!E602</f>
        <v>Urgencia Infantil </v>
      </c>
      <c r="D604" s="101" t="n">
        <f aca="false">Equipos!G602</f>
        <v>0</v>
      </c>
      <c r="E604" s="101" t="str">
        <f aca="false">Equipos!I602</f>
        <v>Nihon Kohden </v>
      </c>
      <c r="F604" s="101" t="str">
        <f aca="false">Equipos!J602</f>
        <v>Vismo PVM-2703K</v>
      </c>
      <c r="G604" s="100" t="str">
        <f aca="false">Equipos!K602</f>
        <v>0105413.</v>
      </c>
      <c r="H604" s="101"/>
      <c r="I604" s="102"/>
      <c r="J604" s="102"/>
      <c r="K604" s="103" t="s">
        <v>328</v>
      </c>
      <c r="L604" s="102"/>
      <c r="M604" s="102"/>
      <c r="N604" s="102"/>
      <c r="O604" s="102"/>
      <c r="P604" s="102"/>
      <c r="Q604" s="102"/>
      <c r="R604" s="102"/>
      <c r="S604" s="102"/>
      <c r="T604" s="102"/>
      <c r="U604" s="101" t="n">
        <f aca="false">V604+W604+X604+COUNTIF(I604:T604,"R")</f>
        <v>1</v>
      </c>
      <c r="V604" s="101" t="n">
        <f aca="false">COUNTIF(I604:T604,"E")</f>
        <v>1</v>
      </c>
      <c r="W604" s="101" t="n">
        <f aca="false">COUNTIF(I604:T604,"X")</f>
        <v>0</v>
      </c>
      <c r="X604" s="101" t="n">
        <f aca="false">COUNTIF(I604:T604,"C2")+COUNTIF(I604:T604,"C3")</f>
        <v>0</v>
      </c>
      <c r="Y604" s="101" t="n">
        <f aca="true">SUMPRODUCT((I604:INDEX(I604:T604,MONTH(TODAY()))="X")*1)</f>
        <v>0</v>
      </c>
      <c r="Z604" s="104" t="n">
        <f aca="false">IFERROR(V604/U604,"")</f>
        <v>1</v>
      </c>
    </row>
    <row r="605" customFormat="false" ht="15" hidden="false" customHeight="true" outlineLevel="0" collapsed="false">
      <c r="A605" s="100" t="str">
        <f aca="false">Equipos!C603</f>
        <v>2-023575</v>
      </c>
      <c r="B605" s="101" t="str">
        <f aca="false">Equipos!D603</f>
        <v>Monitor Multiparámetros</v>
      </c>
      <c r="C605" s="101" t="str">
        <f aca="false">Equipos!E603</f>
        <v>Urgencia Adulto</v>
      </c>
      <c r="D605" s="101" t="str">
        <f aca="false">Equipos!G603</f>
        <v>OBS. 3</v>
      </c>
      <c r="E605" s="101" t="str">
        <f aca="false">Equipos!I603</f>
        <v>Nihon Kohden </v>
      </c>
      <c r="F605" s="101" t="str">
        <f aca="false">Equipos!J603</f>
        <v>Vismo PVM-2703K</v>
      </c>
      <c r="G605" s="100" t="str">
        <f aca="false">Equipos!K603</f>
        <v>105784</v>
      </c>
      <c r="H605" s="101"/>
      <c r="I605" s="102"/>
      <c r="J605" s="102"/>
      <c r="K605" s="103" t="s">
        <v>328</v>
      </c>
      <c r="L605" s="102"/>
      <c r="M605" s="102"/>
      <c r="N605" s="102"/>
      <c r="O605" s="102"/>
      <c r="P605" s="102"/>
      <c r="Q605" s="102"/>
      <c r="R605" s="102"/>
      <c r="S605" s="102"/>
      <c r="T605" s="102"/>
      <c r="U605" s="101" t="n">
        <f aca="false">V605+W605+X605+COUNTIF(I605:T605,"R")</f>
        <v>1</v>
      </c>
      <c r="V605" s="101" t="n">
        <f aca="false">COUNTIF(I605:T605,"E")</f>
        <v>1</v>
      </c>
      <c r="W605" s="101" t="n">
        <f aca="false">COUNTIF(I605:T605,"X")</f>
        <v>0</v>
      </c>
      <c r="X605" s="101" t="n">
        <f aca="false">COUNTIF(I605:T605,"C2")+COUNTIF(I605:T605,"C3")</f>
        <v>0</v>
      </c>
      <c r="Y605" s="101" t="n">
        <f aca="true">SUMPRODUCT((I605:INDEX(I605:T605,MONTH(TODAY()))="X")*1)</f>
        <v>0</v>
      </c>
      <c r="Z605" s="104" t="n">
        <f aca="false">IFERROR(V605/U605,"")</f>
        <v>1</v>
      </c>
    </row>
    <row r="606" customFormat="false" ht="15" hidden="false" customHeight="true" outlineLevel="0" collapsed="false">
      <c r="A606" s="100" t="str">
        <f aca="false">Equipos!C604</f>
        <v>2-112508</v>
      </c>
      <c r="B606" s="101" t="str">
        <f aca="false">Equipos!D604</f>
        <v>Monitor Multiparámetros</v>
      </c>
      <c r="C606" s="101" t="str">
        <f aca="false">Equipos!E604</f>
        <v>Urgencia Infantil</v>
      </c>
      <c r="D606" s="101" t="str">
        <f aca="false">Equipos!G604</f>
        <v>Reanimación SUI</v>
      </c>
      <c r="E606" s="101" t="str">
        <f aca="false">Equipos!I604</f>
        <v>Nihon Kohden </v>
      </c>
      <c r="F606" s="101" t="str">
        <f aca="false">Equipos!J604</f>
        <v>Vismo PVM-2703K</v>
      </c>
      <c r="G606" s="100" t="str">
        <f aca="false">Equipos!K604</f>
        <v>0105405.</v>
      </c>
      <c r="H606" s="101"/>
      <c r="I606" s="102"/>
      <c r="J606" s="102"/>
      <c r="K606" s="103" t="s">
        <v>328</v>
      </c>
      <c r="L606" s="102"/>
      <c r="M606" s="102"/>
      <c r="N606" s="102"/>
      <c r="O606" s="102"/>
      <c r="P606" s="102"/>
      <c r="Q606" s="102"/>
      <c r="R606" s="102"/>
      <c r="S606" s="102"/>
      <c r="T606" s="102"/>
      <c r="U606" s="101" t="n">
        <f aca="false">V606+W606+X606+COUNTIF(I606:T606,"R")</f>
        <v>1</v>
      </c>
      <c r="V606" s="101" t="n">
        <f aca="false">COUNTIF(I606:T606,"E")</f>
        <v>1</v>
      </c>
      <c r="W606" s="101" t="n">
        <f aca="false">COUNTIF(I606:T606,"X")</f>
        <v>0</v>
      </c>
      <c r="X606" s="101" t="n">
        <f aca="false">COUNTIF(I606:T606,"C2")+COUNTIF(I606:T606,"C3")</f>
        <v>0</v>
      </c>
      <c r="Y606" s="101" t="n">
        <f aca="true">SUMPRODUCT((I606:INDEX(I606:T606,MONTH(TODAY()))="X")*1)</f>
        <v>0</v>
      </c>
      <c r="Z606" s="104" t="n">
        <f aca="false">IFERROR(V606/U606,"")</f>
        <v>1</v>
      </c>
    </row>
    <row r="607" customFormat="false" ht="15" hidden="false" customHeight="true" outlineLevel="0" collapsed="false">
      <c r="A607" s="100" t="str">
        <f aca="false">Equipos!C605</f>
        <v>2-023536</v>
      </c>
      <c r="B607" s="101" t="str">
        <f aca="false">Equipos!D605</f>
        <v>Monitor Multiparámetros</v>
      </c>
      <c r="C607" s="101" t="str">
        <f aca="false">Equipos!E605</f>
        <v>Urgencia Infantil</v>
      </c>
      <c r="D607" s="101" t="str">
        <f aca="false">Equipos!G605</f>
        <v>Box 2 SAR</v>
      </c>
      <c r="E607" s="101" t="str">
        <f aca="false">Equipos!I605</f>
        <v>Nihon Kohden </v>
      </c>
      <c r="F607" s="101" t="str">
        <f aca="false">Equipos!J605</f>
        <v>Vismo PVM-2703K</v>
      </c>
      <c r="G607" s="100" t="str">
        <f aca="false">Equipos!K605</f>
        <v>0105409.</v>
      </c>
      <c r="H607" s="101"/>
      <c r="I607" s="102"/>
      <c r="J607" s="102"/>
      <c r="K607" s="103" t="s">
        <v>328</v>
      </c>
      <c r="L607" s="102"/>
      <c r="M607" s="102"/>
      <c r="N607" s="102"/>
      <c r="O607" s="102"/>
      <c r="P607" s="102"/>
      <c r="Q607" s="102"/>
      <c r="R607" s="102"/>
      <c r="S607" s="102"/>
      <c r="T607" s="102"/>
      <c r="U607" s="101" t="n">
        <f aca="false">V607+W607+X607+COUNTIF(I607:T607,"R")</f>
        <v>1</v>
      </c>
      <c r="V607" s="101" t="n">
        <f aca="false">COUNTIF(I607:T607,"E")</f>
        <v>1</v>
      </c>
      <c r="W607" s="101" t="n">
        <f aca="false">COUNTIF(I607:T607,"X")</f>
        <v>0</v>
      </c>
      <c r="X607" s="101" t="n">
        <f aca="false">COUNTIF(I607:T607,"C2")+COUNTIF(I607:T607,"C3")</f>
        <v>0</v>
      </c>
      <c r="Y607" s="101" t="n">
        <f aca="true">SUMPRODUCT((I607:INDEX(I607:T607,MONTH(TODAY()))="X")*1)</f>
        <v>0</v>
      </c>
      <c r="Z607" s="104" t="n">
        <f aca="false">IFERROR(V607/U607,"")</f>
        <v>1</v>
      </c>
    </row>
    <row r="608" customFormat="false" ht="15" hidden="false" customHeight="true" outlineLevel="0" collapsed="false">
      <c r="A608" s="100" t="str">
        <f aca="false">Equipos!C606</f>
        <v>2-112510</v>
      </c>
      <c r="B608" s="101" t="str">
        <f aca="false">Equipos!D606</f>
        <v>Monitor Multiparámetros</v>
      </c>
      <c r="C608" s="101" t="str">
        <f aca="false">Equipos!E606</f>
        <v>Urgencia Adulto</v>
      </c>
      <c r="D608" s="101" t="str">
        <f aca="false">Equipos!G606</f>
        <v>Neurocirug√≠a</v>
      </c>
      <c r="E608" s="101" t="str">
        <f aca="false">Equipos!I606</f>
        <v>Nihon Kohden </v>
      </c>
      <c r="F608" s="101" t="str">
        <f aca="false">Equipos!J606</f>
        <v>Vismo PVM-2703K</v>
      </c>
      <c r="G608" s="100" t="str">
        <f aca="false">Equipos!K606</f>
        <v>105804</v>
      </c>
      <c r="H608" s="101"/>
      <c r="I608" s="102"/>
      <c r="J608" s="102"/>
      <c r="K608" s="103" t="s">
        <v>328</v>
      </c>
      <c r="L608" s="102"/>
      <c r="M608" s="102"/>
      <c r="N608" s="102"/>
      <c r="O608" s="102"/>
      <c r="P608" s="102"/>
      <c r="Q608" s="102"/>
      <c r="R608" s="102"/>
      <c r="S608" s="102"/>
      <c r="T608" s="102"/>
      <c r="U608" s="101" t="n">
        <f aca="false">V608+W608+X608+COUNTIF(I608:T608,"R")</f>
        <v>1</v>
      </c>
      <c r="V608" s="101" t="n">
        <f aca="false">COUNTIF(I608:T608,"E")</f>
        <v>1</v>
      </c>
      <c r="W608" s="101" t="n">
        <f aca="false">COUNTIF(I608:T608,"X")</f>
        <v>0</v>
      </c>
      <c r="X608" s="101" t="n">
        <f aca="false">COUNTIF(I608:T608,"C2")+COUNTIF(I608:T608,"C3")</f>
        <v>0</v>
      </c>
      <c r="Y608" s="101" t="n">
        <f aca="true">SUMPRODUCT((I608:INDEX(I608:T608,MONTH(TODAY()))="X")*1)</f>
        <v>0</v>
      </c>
      <c r="Z608" s="104" t="n">
        <f aca="false">IFERROR(V608/U608,"")</f>
        <v>1</v>
      </c>
    </row>
    <row r="609" customFormat="false" ht="15" hidden="false" customHeight="true" outlineLevel="0" collapsed="false">
      <c r="A609" s="100" t="str">
        <f aca="false">Equipos!C607</f>
        <v>2-112511</v>
      </c>
      <c r="B609" s="101" t="str">
        <f aca="false">Equipos!D607</f>
        <v>Monitor Multiparámetros</v>
      </c>
      <c r="C609" s="101" t="str">
        <f aca="false">Equipos!E607</f>
        <v>Urgencia Adulto</v>
      </c>
      <c r="D609" s="101" t="str">
        <f aca="false">Equipos!G607</f>
        <v>Box A-5</v>
      </c>
      <c r="E609" s="101" t="str">
        <f aca="false">Equipos!I607</f>
        <v>Nihon Kohden </v>
      </c>
      <c r="F609" s="101" t="str">
        <f aca="false">Equipos!J607</f>
        <v>Vismo PVM-2703K</v>
      </c>
      <c r="G609" s="100" t="str">
        <f aca="false">Equipos!K607</f>
        <v>107080</v>
      </c>
      <c r="H609" s="101"/>
      <c r="I609" s="102"/>
      <c r="J609" s="102"/>
      <c r="K609" s="103" t="s">
        <v>328</v>
      </c>
      <c r="L609" s="102"/>
      <c r="M609" s="102"/>
      <c r="N609" s="102"/>
      <c r="O609" s="102"/>
      <c r="P609" s="102"/>
      <c r="Q609" s="102"/>
      <c r="R609" s="102"/>
      <c r="S609" s="102"/>
      <c r="T609" s="102"/>
      <c r="U609" s="101" t="n">
        <f aca="false">V609+W609+X609+COUNTIF(I609:T609,"R")</f>
        <v>1</v>
      </c>
      <c r="V609" s="101" t="n">
        <f aca="false">COUNTIF(I609:T609,"E")</f>
        <v>1</v>
      </c>
      <c r="W609" s="101" t="n">
        <f aca="false">COUNTIF(I609:T609,"X")</f>
        <v>0</v>
      </c>
      <c r="X609" s="101" t="n">
        <f aca="false">COUNTIF(I609:T609,"C2")+COUNTIF(I609:T609,"C3")</f>
        <v>0</v>
      </c>
      <c r="Y609" s="101" t="n">
        <f aca="true">SUMPRODUCT((I609:INDEX(I609:T609,MONTH(TODAY()))="X")*1)</f>
        <v>0</v>
      </c>
      <c r="Z609" s="104" t="n">
        <f aca="false">IFERROR(V609/U609,"")</f>
        <v>1</v>
      </c>
    </row>
    <row r="610" customFormat="false" ht="15" hidden="false" customHeight="true" outlineLevel="0" collapsed="false">
      <c r="A610" s="100" t="str">
        <f aca="false">Equipos!C608</f>
        <v>2-027994</v>
      </c>
      <c r="B610" s="101" t="str">
        <f aca="false">Equipos!D608</f>
        <v>Monitor Multiparámetros</v>
      </c>
      <c r="C610" s="101" t="str">
        <f aca="false">Equipos!E608</f>
        <v>Urgencia Adulto</v>
      </c>
      <c r="D610" s="101" t="str">
        <f aca="false">Equipos!G608</f>
        <v>Box A-3</v>
      </c>
      <c r="E610" s="101" t="str">
        <f aca="false">Equipos!I608</f>
        <v>Nihon Kohden </v>
      </c>
      <c r="F610" s="101" t="str">
        <f aca="false">Equipos!J608</f>
        <v>Vismo PVM-2703K</v>
      </c>
      <c r="G610" s="100" t="str">
        <f aca="false">Equipos!K608</f>
        <v>0107075.</v>
      </c>
      <c r="H610" s="101"/>
      <c r="I610" s="102"/>
      <c r="J610" s="102"/>
      <c r="K610" s="103" t="s">
        <v>328</v>
      </c>
      <c r="L610" s="102"/>
      <c r="M610" s="102"/>
      <c r="N610" s="102"/>
      <c r="O610" s="102"/>
      <c r="P610" s="102"/>
      <c r="Q610" s="102"/>
      <c r="R610" s="102"/>
      <c r="S610" s="102"/>
      <c r="T610" s="102"/>
      <c r="U610" s="101" t="n">
        <f aca="false">V610+W610+X610+COUNTIF(I610:T610,"R")</f>
        <v>1</v>
      </c>
      <c r="V610" s="101" t="n">
        <f aca="false">COUNTIF(I610:T610,"E")</f>
        <v>1</v>
      </c>
      <c r="W610" s="101" t="n">
        <f aca="false">COUNTIF(I610:T610,"X")</f>
        <v>0</v>
      </c>
      <c r="X610" s="101" t="n">
        <f aca="false">COUNTIF(I610:T610,"C2")+COUNTIF(I610:T610,"C3")</f>
        <v>0</v>
      </c>
      <c r="Y610" s="101" t="n">
        <f aca="true">SUMPRODUCT((I610:INDEX(I610:T610,MONTH(TODAY()))="X")*1)</f>
        <v>0</v>
      </c>
      <c r="Z610" s="104" t="n">
        <f aca="false">IFERROR(V610/U610,"")</f>
        <v>1</v>
      </c>
    </row>
    <row r="611" customFormat="false" ht="15" hidden="false" customHeight="true" outlineLevel="0" collapsed="false">
      <c r="A611" s="100" t="str">
        <f aca="false">Equipos!C609</f>
        <v>2-112512</v>
      </c>
      <c r="B611" s="101" t="str">
        <f aca="false">Equipos!D609</f>
        <v>Monitor Multiparámetros</v>
      </c>
      <c r="C611" s="101" t="str">
        <f aca="false">Equipos!E609</f>
        <v>Urgencia Infantil</v>
      </c>
      <c r="D611" s="101" t="str">
        <f aca="false">Equipos!G609</f>
        <v>SUI Observaci√≥n</v>
      </c>
      <c r="E611" s="101" t="str">
        <f aca="false">Equipos!I609</f>
        <v>Nihon Kohden </v>
      </c>
      <c r="F611" s="101" t="str">
        <f aca="false">Equipos!J609</f>
        <v>Vismo PVM-2703K</v>
      </c>
      <c r="G611" s="100" t="str">
        <f aca="false">Equipos!K609</f>
        <v>0107083.</v>
      </c>
      <c r="H611" s="101"/>
      <c r="I611" s="102"/>
      <c r="J611" s="102"/>
      <c r="K611" s="103" t="s">
        <v>328</v>
      </c>
      <c r="L611" s="102"/>
      <c r="M611" s="102"/>
      <c r="N611" s="102"/>
      <c r="O611" s="102"/>
      <c r="P611" s="102"/>
      <c r="Q611" s="102"/>
      <c r="R611" s="102"/>
      <c r="S611" s="102"/>
      <c r="T611" s="102"/>
      <c r="U611" s="101" t="n">
        <f aca="false">V611+W611+X611+COUNTIF(I611:T611,"R")</f>
        <v>1</v>
      </c>
      <c r="V611" s="101" t="n">
        <f aca="false">COUNTIF(I611:T611,"E")</f>
        <v>1</v>
      </c>
      <c r="W611" s="101" t="n">
        <f aca="false">COUNTIF(I611:T611,"X")</f>
        <v>0</v>
      </c>
      <c r="X611" s="101" t="n">
        <f aca="false">COUNTIF(I611:T611,"C2")+COUNTIF(I611:T611,"C3")</f>
        <v>0</v>
      </c>
      <c r="Y611" s="101" t="n">
        <f aca="true">SUMPRODUCT((I611:INDEX(I611:T611,MONTH(TODAY()))="X")*1)</f>
        <v>0</v>
      </c>
      <c r="Z611" s="104" t="n">
        <f aca="false">IFERROR(V611/U611,"")</f>
        <v>1</v>
      </c>
    </row>
    <row r="612" customFormat="false" ht="15" hidden="false" customHeight="true" outlineLevel="0" collapsed="false">
      <c r="A612" s="100" t="n">
        <f aca="false">Equipos!C610</f>
        <v>0</v>
      </c>
      <c r="B612" s="101" t="n">
        <f aca="false">Equipos!D610</f>
        <v>0</v>
      </c>
      <c r="C612" s="101" t="n">
        <f aca="false">Equipos!E610</f>
        <v>0</v>
      </c>
      <c r="D612" s="101" t="n">
        <f aca="false">Equipos!G610</f>
        <v>0</v>
      </c>
      <c r="E612" s="101" t="n">
        <f aca="false">Equipos!I610</f>
        <v>0</v>
      </c>
      <c r="F612" s="101" t="n">
        <f aca="false">Equipos!J610</f>
        <v>0</v>
      </c>
      <c r="G612" s="100" t="n">
        <f aca="false">Equipos!K610</f>
        <v>0</v>
      </c>
      <c r="H612" s="101"/>
      <c r="I612" s="102"/>
      <c r="J612" s="102"/>
      <c r="K612" s="102"/>
      <c r="L612" s="102"/>
      <c r="M612" s="102"/>
      <c r="N612" s="102"/>
      <c r="O612" s="102"/>
      <c r="P612" s="102"/>
      <c r="Q612" s="102"/>
      <c r="R612" s="102"/>
      <c r="S612" s="102"/>
      <c r="T612" s="102"/>
      <c r="U612" s="101" t="n">
        <f aca="false">V612+W612+X612+COUNTIF(I612:T612,"R")</f>
        <v>0</v>
      </c>
      <c r="V612" s="101" t="n">
        <f aca="false">COUNTIF(I612:T612,"E")</f>
        <v>0</v>
      </c>
      <c r="W612" s="101" t="n">
        <f aca="false">COUNTIF(I612:T612,"X")</f>
        <v>0</v>
      </c>
      <c r="X612" s="101" t="n">
        <f aca="false">COUNTIF(I612:T612,"C2")+COUNTIF(I612:T612,"C3")</f>
        <v>0</v>
      </c>
      <c r="Y612" s="101" t="n">
        <f aca="true">SUMPRODUCT((I612:INDEX(I612:T612,MONTH(TODAY()))="X")*1)</f>
        <v>0</v>
      </c>
      <c r="Z612" s="104" t="str">
        <f aca="false">IFERROR(V612/U612,"")</f>
        <v/>
      </c>
    </row>
    <row r="613" customFormat="false" ht="15" hidden="false" customHeight="true" outlineLevel="0" collapsed="false">
      <c r="A613" s="100" t="str">
        <f aca="false">Equipos!C611</f>
        <v>2-028043</v>
      </c>
      <c r="B613" s="101" t="str">
        <f aca="false">Equipos!D611</f>
        <v>Monitor Multiparámetros</v>
      </c>
      <c r="C613" s="101" t="str">
        <f aca="false">Equipos!E611</f>
        <v>Urgencia Infantil</v>
      </c>
      <c r="D613" s="101" t="str">
        <f aca="false">Equipos!G611</f>
        <v>SUI Sala IRA</v>
      </c>
      <c r="E613" s="101" t="str">
        <f aca="false">Equipos!I611</f>
        <v>Nihon Kohden </v>
      </c>
      <c r="F613" s="101" t="str">
        <f aca="false">Equipos!J611</f>
        <v>Vismo PVM-2703K</v>
      </c>
      <c r="G613" s="100" t="str">
        <f aca="false">Equipos!K611</f>
        <v>0107101.</v>
      </c>
      <c r="H613" s="101"/>
      <c r="I613" s="102"/>
      <c r="J613" s="102"/>
      <c r="K613" s="103" t="s">
        <v>328</v>
      </c>
      <c r="L613" s="102"/>
      <c r="M613" s="102"/>
      <c r="N613" s="102"/>
      <c r="O613" s="102"/>
      <c r="P613" s="102"/>
      <c r="Q613" s="102"/>
      <c r="R613" s="102"/>
      <c r="S613" s="102"/>
      <c r="T613" s="102"/>
      <c r="U613" s="101" t="n">
        <f aca="false">V613+W613+X613+COUNTIF(I613:T613,"R")</f>
        <v>1</v>
      </c>
      <c r="V613" s="101" t="n">
        <f aca="false">COUNTIF(I613:T613,"E")</f>
        <v>1</v>
      </c>
      <c r="W613" s="101" t="n">
        <f aca="false">COUNTIF(I613:T613,"X")</f>
        <v>0</v>
      </c>
      <c r="X613" s="101" t="n">
        <f aca="false">COUNTIF(I613:T613,"C2")+COUNTIF(I613:T613,"C3")</f>
        <v>0</v>
      </c>
      <c r="Y613" s="101" t="n">
        <f aca="true">SUMPRODUCT((I613:INDEX(I613:T613,MONTH(TODAY()))="X")*1)</f>
        <v>0</v>
      </c>
      <c r="Z613" s="104" t="n">
        <f aca="false">IFERROR(V613/U613,"")</f>
        <v>1</v>
      </c>
    </row>
    <row r="614" customFormat="false" ht="15" hidden="false" customHeight="true" outlineLevel="0" collapsed="false">
      <c r="A614" s="100" t="str">
        <f aca="false">Equipos!C612</f>
        <v>2-112514</v>
      </c>
      <c r="B614" s="101" t="str">
        <f aca="false">Equipos!D612</f>
        <v>Monitor Multiparámetros</v>
      </c>
      <c r="C614" s="101" t="str">
        <f aca="false">Equipos!E612</f>
        <v>Urgencia Infantil</v>
      </c>
      <c r="D614" s="101" t="str">
        <f aca="false">Equipos!G612</f>
        <v>Bodega Equipos SUI</v>
      </c>
      <c r="E614" s="101" t="str">
        <f aca="false">Equipos!I612</f>
        <v>Nihon Kohden </v>
      </c>
      <c r="F614" s="101" t="str">
        <f aca="false">Equipos!J612</f>
        <v>Vismo PVM-2703K</v>
      </c>
      <c r="G614" s="100" t="str">
        <f aca="false">Equipos!K612</f>
        <v>0107093.</v>
      </c>
      <c r="H614" s="101"/>
      <c r="I614" s="102"/>
      <c r="J614" s="102"/>
      <c r="K614" s="103" t="s">
        <v>328</v>
      </c>
      <c r="L614" s="102"/>
      <c r="M614" s="102"/>
      <c r="N614" s="102"/>
      <c r="O614" s="102"/>
      <c r="P614" s="102"/>
      <c r="Q614" s="102"/>
      <c r="R614" s="102"/>
      <c r="S614" s="102"/>
      <c r="T614" s="102"/>
      <c r="U614" s="101" t="n">
        <f aca="false">V614+W614+X614+COUNTIF(I614:T614,"R")</f>
        <v>1</v>
      </c>
      <c r="V614" s="101" t="n">
        <f aca="false">COUNTIF(I614:T614,"E")</f>
        <v>1</v>
      </c>
      <c r="W614" s="101" t="n">
        <f aca="false">COUNTIF(I614:T614,"X")</f>
        <v>0</v>
      </c>
      <c r="X614" s="101" t="n">
        <f aca="false">COUNTIF(I614:T614,"C2")+COUNTIF(I614:T614,"C3")</f>
        <v>0</v>
      </c>
      <c r="Y614" s="101" t="n">
        <f aca="true">SUMPRODUCT((I614:INDEX(I614:T614,MONTH(TODAY()))="X")*1)</f>
        <v>0</v>
      </c>
      <c r="Z614" s="104" t="n">
        <f aca="false">IFERROR(V614/U614,"")</f>
        <v>1</v>
      </c>
    </row>
    <row r="615" customFormat="false" ht="15" hidden="false" customHeight="true" outlineLevel="0" collapsed="false">
      <c r="A615" s="100" t="str">
        <f aca="false">Equipos!C613</f>
        <v>2-112515</v>
      </c>
      <c r="B615" s="101" t="str">
        <f aca="false">Equipos!D613</f>
        <v>Monitor Multiparámetros</v>
      </c>
      <c r="C615" s="101" t="str">
        <f aca="false">Equipos!E613</f>
        <v>Urgencia Infantil</v>
      </c>
      <c r="D615" s="101" t="str">
        <f aca="false">Equipos!G613</f>
        <v>Bodega Equipos SUI</v>
      </c>
      <c r="E615" s="101" t="str">
        <f aca="false">Equipos!I613</f>
        <v>Nihon Kohden </v>
      </c>
      <c r="F615" s="101" t="str">
        <f aca="false">Equipos!J613</f>
        <v>Vismo PVM-2703K</v>
      </c>
      <c r="G615" s="100" t="str">
        <f aca="false">Equipos!K613</f>
        <v>0107077.</v>
      </c>
      <c r="H615" s="101"/>
      <c r="I615" s="102"/>
      <c r="J615" s="102"/>
      <c r="K615" s="103" t="s">
        <v>328</v>
      </c>
      <c r="L615" s="102"/>
      <c r="M615" s="102"/>
      <c r="N615" s="102"/>
      <c r="O615" s="102"/>
      <c r="P615" s="102"/>
      <c r="Q615" s="102"/>
      <c r="R615" s="102"/>
      <c r="S615" s="102"/>
      <c r="T615" s="102"/>
      <c r="U615" s="101" t="n">
        <f aca="false">V615+W615+X615+COUNTIF(I615:T615,"R")</f>
        <v>1</v>
      </c>
      <c r="V615" s="101" t="n">
        <f aca="false">COUNTIF(I615:T615,"E")</f>
        <v>1</v>
      </c>
      <c r="W615" s="101" t="n">
        <f aca="false">COUNTIF(I615:T615,"X")</f>
        <v>0</v>
      </c>
      <c r="X615" s="101" t="n">
        <f aca="false">COUNTIF(I615:T615,"C2")+COUNTIF(I615:T615,"C3")</f>
        <v>0</v>
      </c>
      <c r="Y615" s="101" t="n">
        <f aca="true">SUMPRODUCT((I615:INDEX(I615:T615,MONTH(TODAY()))="X")*1)</f>
        <v>0</v>
      </c>
      <c r="Z615" s="104" t="n">
        <f aca="false">IFERROR(V615/U615,"")</f>
        <v>1</v>
      </c>
    </row>
    <row r="616" customFormat="false" ht="15" hidden="false" customHeight="true" outlineLevel="0" collapsed="false">
      <c r="A616" s="100" t="str">
        <f aca="false">Equipos!C614</f>
        <v>2-022372</v>
      </c>
      <c r="B616" s="101" t="str">
        <f aca="false">Equipos!D614</f>
        <v>Monitor Multiparámetros</v>
      </c>
      <c r="C616" s="101" t="str">
        <f aca="false">Equipos!E614</f>
        <v>Urgencias Gineco-Obstétricas</v>
      </c>
      <c r="D616" s="101" t="n">
        <f aca="false">Equipos!G614</f>
        <v>0</v>
      </c>
      <c r="E616" s="101" t="str">
        <f aca="false">Equipos!I614</f>
        <v>Nihon Kohden </v>
      </c>
      <c r="F616" s="101" t="str">
        <f aca="false">Equipos!J614</f>
        <v>Vismo PVM-2703K</v>
      </c>
      <c r="G616" s="100" t="str">
        <f aca="false">Equipos!K614</f>
        <v>107076</v>
      </c>
      <c r="H616" s="101"/>
      <c r="I616" s="102"/>
      <c r="J616" s="102"/>
      <c r="K616" s="102"/>
      <c r="L616" s="102"/>
      <c r="M616" s="102" t="s">
        <v>329</v>
      </c>
      <c r="N616" s="102"/>
      <c r="O616" s="102"/>
      <c r="P616" s="102"/>
      <c r="Q616" s="102"/>
      <c r="R616" s="102"/>
      <c r="S616" s="102"/>
      <c r="T616" s="102"/>
      <c r="U616" s="101" t="n">
        <f aca="false">V616+W616+X616+COUNTIF(I616:T616,"R")</f>
        <v>1</v>
      </c>
      <c r="V616" s="101" t="n">
        <f aca="false">COUNTIF(I616:T616,"E")</f>
        <v>0</v>
      </c>
      <c r="W616" s="101" t="n">
        <f aca="false">COUNTIF(I616:T616,"X")</f>
        <v>1</v>
      </c>
      <c r="X616" s="101" t="n">
        <f aca="false">COUNTIF(I616:T616,"C2")+COUNTIF(I616:T616,"C3")</f>
        <v>0</v>
      </c>
      <c r="Y616" s="101" t="n">
        <f aca="true">SUMPRODUCT((I616:INDEX(I616:T616,MONTH(TODAY()))="X")*1)</f>
        <v>1</v>
      </c>
      <c r="Z616" s="104" t="n">
        <f aca="false">IFERROR(V616/U616,"")</f>
        <v>0</v>
      </c>
    </row>
    <row r="617" customFormat="false" ht="15" hidden="false" customHeight="true" outlineLevel="0" collapsed="false">
      <c r="A617" s="100" t="str">
        <f aca="false">Equipos!C615</f>
        <v>2-015816</v>
      </c>
      <c r="B617" s="101" t="str">
        <f aca="false">Equipos!D615</f>
        <v>Monitor Multiparámetros</v>
      </c>
      <c r="C617" s="101" t="str">
        <f aca="false">Equipos!E615</f>
        <v>Urgencias Gineco-Obstétricas</v>
      </c>
      <c r="D617" s="101" t="str">
        <f aca="false">Equipos!G615</f>
        <v>Preparto</v>
      </c>
      <c r="E617" s="101" t="str">
        <f aca="false">Equipos!I615</f>
        <v>Nihon Kohden </v>
      </c>
      <c r="F617" s="101" t="str">
        <f aca="false">Equipos!J615</f>
        <v>Vismo PVM-2703K</v>
      </c>
      <c r="G617" s="100" t="str">
        <f aca="false">Equipos!K615</f>
        <v>107110</v>
      </c>
      <c r="H617" s="101"/>
      <c r="I617" s="102"/>
      <c r="J617" s="102"/>
      <c r="K617" s="102"/>
      <c r="L617" s="102"/>
      <c r="M617" s="102" t="s">
        <v>329</v>
      </c>
      <c r="N617" s="102"/>
      <c r="O617" s="102"/>
      <c r="P617" s="102"/>
      <c r="Q617" s="102"/>
      <c r="R617" s="102"/>
      <c r="S617" s="102"/>
      <c r="T617" s="102"/>
      <c r="U617" s="101" t="n">
        <f aca="false">V617+W617+X617+COUNTIF(I617:T617,"R")</f>
        <v>1</v>
      </c>
      <c r="V617" s="101" t="n">
        <f aca="false">COUNTIF(I617:T617,"E")</f>
        <v>0</v>
      </c>
      <c r="W617" s="101" t="n">
        <f aca="false">COUNTIF(I617:T617,"X")</f>
        <v>1</v>
      </c>
      <c r="X617" s="101" t="n">
        <f aca="false">COUNTIF(I617:T617,"C2")+COUNTIF(I617:T617,"C3")</f>
        <v>0</v>
      </c>
      <c r="Y617" s="101" t="n">
        <f aca="true">SUMPRODUCT((I617:INDEX(I617:T617,MONTH(TODAY()))="X")*1)</f>
        <v>1</v>
      </c>
      <c r="Z617" s="104" t="n">
        <f aca="false">IFERROR(V617/U617,"")</f>
        <v>0</v>
      </c>
    </row>
    <row r="618" customFormat="false" ht="15" hidden="false" customHeight="true" outlineLevel="0" collapsed="false">
      <c r="A618" s="100" t="str">
        <f aca="false">Equipos!C616</f>
        <v>2-112516</v>
      </c>
      <c r="B618" s="101" t="str">
        <f aca="false">Equipos!D616</f>
        <v>Monitor Multiparámetros</v>
      </c>
      <c r="C618" s="101" t="str">
        <f aca="false">Equipos!E616</f>
        <v>Peritoneodiálisis Adulto</v>
      </c>
      <c r="D618" s="101" t="str">
        <f aca="false">Equipos!G616</f>
        <v>Sala de equipos</v>
      </c>
      <c r="E618" s="101" t="str">
        <f aca="false">Equipos!I616</f>
        <v>Philips</v>
      </c>
      <c r="F618" s="101" t="str">
        <f aca="false">Equipos!J616</f>
        <v>G70</v>
      </c>
      <c r="G618" s="100" t="str">
        <f aca="false">Equipos!K616</f>
        <v>CN23200081</v>
      </c>
      <c r="H618" s="101"/>
      <c r="I618" s="102"/>
      <c r="J618" s="102"/>
      <c r="K618" s="103" t="s">
        <v>330</v>
      </c>
      <c r="L618" s="102"/>
      <c r="M618" s="102"/>
      <c r="N618" s="102"/>
      <c r="O618" s="102"/>
      <c r="P618" s="102"/>
      <c r="Q618" s="102"/>
      <c r="R618" s="102"/>
      <c r="S618" s="102"/>
      <c r="T618" s="102"/>
      <c r="U618" s="101" t="n">
        <f aca="false">V618+W618+X618+COUNTIF(I618:T618,"R")</f>
        <v>1</v>
      </c>
      <c r="V618" s="101" t="n">
        <f aca="false">COUNTIF(I618:T618,"E")</f>
        <v>0</v>
      </c>
      <c r="W618" s="101" t="n">
        <f aca="false">COUNTIF(I618:T618,"X")</f>
        <v>0</v>
      </c>
      <c r="X618" s="101" t="n">
        <f aca="false">COUNTIF(I618:T618,"C2")+COUNTIF(I618:T618,"C3")</f>
        <v>0</v>
      </c>
      <c r="Y618" s="101" t="n">
        <f aca="true">SUMPRODUCT((I618:INDEX(I618:T618,MONTH(TODAY()))="X")*1)</f>
        <v>0</v>
      </c>
      <c r="Z618" s="104" t="n">
        <f aca="false">IFERROR(V618/U618,"")</f>
        <v>0</v>
      </c>
    </row>
    <row r="619" customFormat="false" ht="15" hidden="false" customHeight="true" outlineLevel="0" collapsed="false">
      <c r="A619" s="100" t="str">
        <f aca="false">Equipos!C617</f>
        <v>2-112517</v>
      </c>
      <c r="B619" s="101" t="str">
        <f aca="false">Equipos!D617</f>
        <v>Monitor Multiparámetros</v>
      </c>
      <c r="C619" s="101" t="str">
        <f aca="false">Equipos!E617</f>
        <v>Urgencia Adulto</v>
      </c>
      <c r="D619" s="101" t="str">
        <f aca="false">Equipos!G617</f>
        <v>Box 0 </v>
      </c>
      <c r="E619" s="101" t="str">
        <f aca="false">Equipos!I617</f>
        <v>Philips</v>
      </c>
      <c r="F619" s="101" t="str">
        <f aca="false">Equipos!J617</f>
        <v>G70</v>
      </c>
      <c r="G619" s="100" t="str">
        <f aca="false">Equipos!K617</f>
        <v>CN23200082</v>
      </c>
      <c r="H619" s="101"/>
      <c r="I619" s="102"/>
      <c r="J619" s="102"/>
      <c r="K619" s="103" t="s">
        <v>328</v>
      </c>
      <c r="L619" s="102"/>
      <c r="M619" s="102"/>
      <c r="N619" s="102"/>
      <c r="O619" s="102"/>
      <c r="P619" s="102"/>
      <c r="Q619" s="102"/>
      <c r="R619" s="102"/>
      <c r="S619" s="102"/>
      <c r="T619" s="102"/>
      <c r="U619" s="101" t="n">
        <f aca="false">V619+W619+X619+COUNTIF(I619:T619,"R")</f>
        <v>1</v>
      </c>
      <c r="V619" s="101" t="n">
        <f aca="false">COUNTIF(I619:T619,"E")</f>
        <v>1</v>
      </c>
      <c r="W619" s="101" t="n">
        <f aca="false">COUNTIF(I619:T619,"X")</f>
        <v>0</v>
      </c>
      <c r="X619" s="101" t="n">
        <f aca="false">COUNTIF(I619:T619,"C2")+COUNTIF(I619:T619,"C3")</f>
        <v>0</v>
      </c>
      <c r="Y619" s="101" t="n">
        <f aca="true">SUMPRODUCT((I619:INDEX(I619:T619,MONTH(TODAY()))="X")*1)</f>
        <v>0</v>
      </c>
      <c r="Z619" s="104" t="n">
        <f aca="false">IFERROR(V619/U619,"")</f>
        <v>1</v>
      </c>
    </row>
    <row r="620" customFormat="false" ht="15" hidden="false" customHeight="true" outlineLevel="0" collapsed="false">
      <c r="A620" s="100" t="str">
        <f aca="false">Equipos!C618</f>
        <v>2-023482</v>
      </c>
      <c r="B620" s="101" t="str">
        <f aca="false">Equipos!D618</f>
        <v>Monitor Multiparámetros</v>
      </c>
      <c r="C620" s="101" t="str">
        <f aca="false">Equipos!E618</f>
        <v>Urgencia Adulto</v>
      </c>
      <c r="D620" s="101" t="str">
        <f aca="false">Equipos!G618</f>
        <v>Sala de equipos</v>
      </c>
      <c r="E620" s="101" t="str">
        <f aca="false">Equipos!I618</f>
        <v>Drager</v>
      </c>
      <c r="F620" s="101" t="str">
        <f aca="false">Equipos!J618</f>
        <v>Vista 120</v>
      </c>
      <c r="G620" s="100" t="str">
        <f aca="false">Equipos!K618</f>
        <v>VTSHD0109</v>
      </c>
      <c r="H620" s="101"/>
      <c r="I620" s="102"/>
      <c r="J620" s="102"/>
      <c r="K620" s="103" t="s">
        <v>328</v>
      </c>
      <c r="L620" s="102"/>
      <c r="M620" s="102"/>
      <c r="N620" s="102"/>
      <c r="O620" s="102"/>
      <c r="P620" s="102"/>
      <c r="Q620" s="102"/>
      <c r="R620" s="102"/>
      <c r="S620" s="102"/>
      <c r="T620" s="102"/>
      <c r="U620" s="101" t="n">
        <f aca="false">V620+W620+X620+COUNTIF(I620:T620,"R")</f>
        <v>1</v>
      </c>
      <c r="V620" s="101" t="n">
        <f aca="false">COUNTIF(I620:T620,"E")</f>
        <v>1</v>
      </c>
      <c r="W620" s="101" t="n">
        <f aca="false">COUNTIF(I620:T620,"X")</f>
        <v>0</v>
      </c>
      <c r="X620" s="101" t="n">
        <f aca="false">COUNTIF(I620:T620,"C2")+COUNTIF(I620:T620,"C3")</f>
        <v>0</v>
      </c>
      <c r="Y620" s="101" t="n">
        <f aca="true">SUMPRODUCT((I620:INDEX(I620:T620,MONTH(TODAY()))="X")*1)</f>
        <v>0</v>
      </c>
      <c r="Z620" s="104" t="n">
        <f aca="false">IFERROR(V620/U620,"")</f>
        <v>1</v>
      </c>
    </row>
    <row r="621" customFormat="false" ht="15" hidden="false" customHeight="true" outlineLevel="0" collapsed="false">
      <c r="A621" s="100" t="str">
        <f aca="false">Equipos!C619</f>
        <v>2-016543</v>
      </c>
      <c r="B621" s="101" t="str">
        <f aca="false">Equipos!D619</f>
        <v>Monitor Multiparámetros</v>
      </c>
      <c r="C621" s="101" t="str">
        <f aca="false">Equipos!E619</f>
        <v>Neurocirugía</v>
      </c>
      <c r="D621" s="101" t="str">
        <f aca="false">Equipos!G619</f>
        <v>Portatil</v>
      </c>
      <c r="E621" s="101" t="str">
        <f aca="false">Equipos!I619</f>
        <v>Drager</v>
      </c>
      <c r="F621" s="101" t="str">
        <f aca="false">Equipos!J619</f>
        <v>Vista 120</v>
      </c>
      <c r="G621" s="100" t="str">
        <f aca="false">Equipos!K619</f>
        <v>VTSHD0102</v>
      </c>
      <c r="H621" s="101"/>
      <c r="I621" s="102"/>
      <c r="J621" s="102"/>
      <c r="K621" s="103" t="s">
        <v>330</v>
      </c>
      <c r="L621" s="103" t="s">
        <v>328</v>
      </c>
      <c r="M621" s="102"/>
      <c r="N621" s="102"/>
      <c r="O621" s="102"/>
      <c r="P621" s="102"/>
      <c r="Q621" s="102"/>
      <c r="R621" s="102"/>
      <c r="S621" s="102"/>
      <c r="T621" s="102"/>
      <c r="U621" s="101" t="n">
        <f aca="false">V621+W621+X621+COUNTIF(I621:T621,"R")</f>
        <v>2</v>
      </c>
      <c r="V621" s="101" t="n">
        <f aca="false">COUNTIF(I621:T621,"E")</f>
        <v>1</v>
      </c>
      <c r="W621" s="101" t="n">
        <f aca="false">COUNTIF(I621:T621,"X")</f>
        <v>0</v>
      </c>
      <c r="X621" s="101" t="n">
        <f aca="false">COUNTIF(I621:T621,"C2")+COUNTIF(I621:T621,"C3")</f>
        <v>0</v>
      </c>
      <c r="Y621" s="101" t="n">
        <f aca="true">SUMPRODUCT((I621:INDEX(I621:T621,MONTH(TODAY()))="X")*1)</f>
        <v>0</v>
      </c>
      <c r="Z621" s="104" t="n">
        <f aca="false">IFERROR(V621/U621,"")</f>
        <v>0.5</v>
      </c>
    </row>
    <row r="622" customFormat="false" ht="15" hidden="false" customHeight="true" outlineLevel="0" collapsed="false">
      <c r="A622" s="100" t="str">
        <f aca="false">Equipos!C620</f>
        <v>2-027894</v>
      </c>
      <c r="B622" s="101" t="str">
        <f aca="false">Equipos!D620</f>
        <v>Monitor Multiparámetros</v>
      </c>
      <c r="C622" s="101" t="str">
        <f aca="false">Equipos!E620</f>
        <v>Cirugía Adulto</v>
      </c>
      <c r="D622" s="101" t="str">
        <f aca="false">Equipos!G620</f>
        <v>EPA</v>
      </c>
      <c r="E622" s="101" t="str">
        <f aca="false">Equipos!I620</f>
        <v>Drager</v>
      </c>
      <c r="F622" s="101" t="str">
        <f aca="false">Equipos!J620</f>
        <v>Vista 120</v>
      </c>
      <c r="G622" s="100" t="str">
        <f aca="false">Equipos!K620</f>
        <v>VTSHD0071</v>
      </c>
      <c r="H622" s="101"/>
      <c r="I622" s="102"/>
      <c r="J622" s="102"/>
      <c r="K622" s="102"/>
      <c r="L622" s="102"/>
      <c r="M622" s="102" t="s">
        <v>329</v>
      </c>
      <c r="N622" s="102"/>
      <c r="O622" s="102"/>
      <c r="P622" s="102"/>
      <c r="Q622" s="102"/>
      <c r="R622" s="102"/>
      <c r="S622" s="102"/>
      <c r="T622" s="102"/>
      <c r="U622" s="101" t="n">
        <f aca="false">V622+W622+X622+COUNTIF(I622:T622,"R")</f>
        <v>1</v>
      </c>
      <c r="V622" s="101" t="n">
        <f aca="false">COUNTIF(I622:T622,"E")</f>
        <v>0</v>
      </c>
      <c r="W622" s="101" t="n">
        <f aca="false">COUNTIF(I622:T622,"X")</f>
        <v>1</v>
      </c>
      <c r="X622" s="101" t="n">
        <f aca="false">COUNTIF(I622:T622,"C2")+COUNTIF(I622:T622,"C3")</f>
        <v>0</v>
      </c>
      <c r="Y622" s="101" t="n">
        <f aca="true">SUMPRODUCT((I622:INDEX(I622:T622,MONTH(TODAY()))="X")*1)</f>
        <v>1</v>
      </c>
      <c r="Z622" s="104" t="n">
        <f aca="false">IFERROR(V622/U622,"")</f>
        <v>0</v>
      </c>
    </row>
    <row r="623" customFormat="false" ht="15" hidden="false" customHeight="true" outlineLevel="0" collapsed="false">
      <c r="A623" s="100" t="str">
        <f aca="false">Equipos!C621</f>
        <v>2-023481</v>
      </c>
      <c r="B623" s="101" t="str">
        <f aca="false">Equipos!D621</f>
        <v>Monitor Multiparámetros</v>
      </c>
      <c r="C623" s="101" t="str">
        <f aca="false">Equipos!E621</f>
        <v>Pediatría</v>
      </c>
      <c r="D623" s="101" t="str">
        <f aca="false">Equipos!G621</f>
        <v>Segunda infancia</v>
      </c>
      <c r="E623" s="101" t="str">
        <f aca="false">Equipos!I621</f>
        <v>Drager</v>
      </c>
      <c r="F623" s="101" t="str">
        <f aca="false">Equipos!J621</f>
        <v>Vista 120</v>
      </c>
      <c r="G623" s="100" t="str">
        <f aca="false">Equipos!K621</f>
        <v>VTSHD0101</v>
      </c>
      <c r="H623" s="101"/>
      <c r="I623" s="103" t="s">
        <v>330</v>
      </c>
      <c r="J623" s="103" t="s">
        <v>328</v>
      </c>
      <c r="K623" s="102"/>
      <c r="L623" s="102"/>
      <c r="M623" s="102"/>
      <c r="N623" s="102"/>
      <c r="O623" s="102"/>
      <c r="P623" s="102"/>
      <c r="Q623" s="102"/>
      <c r="R623" s="102"/>
      <c r="S623" s="102"/>
      <c r="T623" s="102"/>
      <c r="U623" s="101" t="n">
        <f aca="false">V623+W623+X623+COUNTIF(I623:T623,"R")</f>
        <v>2</v>
      </c>
      <c r="V623" s="101" t="n">
        <f aca="false">COUNTIF(I623:T623,"E")</f>
        <v>1</v>
      </c>
      <c r="W623" s="101" t="n">
        <f aca="false">COUNTIF(I623:T623,"X")</f>
        <v>0</v>
      </c>
      <c r="X623" s="101" t="n">
        <f aca="false">COUNTIF(I623:T623,"C2")+COUNTIF(I623:T623,"C3")</f>
        <v>0</v>
      </c>
      <c r="Y623" s="101" t="n">
        <f aca="true">SUMPRODUCT((I623:INDEX(I623:T623,MONTH(TODAY()))="X")*1)</f>
        <v>0</v>
      </c>
      <c r="Z623" s="104" t="n">
        <f aca="false">IFERROR(V623/U623,"")</f>
        <v>0.5</v>
      </c>
    </row>
    <row r="624" customFormat="false" ht="15" hidden="false" customHeight="true" outlineLevel="0" collapsed="false">
      <c r="A624" s="100" t="str">
        <f aca="false">Equipos!C622</f>
        <v>2-016540</v>
      </c>
      <c r="B624" s="101" t="str">
        <f aca="false">Equipos!D622</f>
        <v>Monitor Multiparámetros</v>
      </c>
      <c r="C624" s="101" t="str">
        <f aca="false">Equipos!E622</f>
        <v>Neurocirugía</v>
      </c>
      <c r="D624" s="101" t="str">
        <f aca="false">Equipos!G622</f>
        <v>Cama 299-5</v>
      </c>
      <c r="E624" s="101" t="str">
        <f aca="false">Equipos!I622</f>
        <v>Drager</v>
      </c>
      <c r="F624" s="101" t="str">
        <f aca="false">Equipos!J622</f>
        <v>Vista 120</v>
      </c>
      <c r="G624" s="100" t="str">
        <f aca="false">Equipos!K622</f>
        <v>VTSHD0089</v>
      </c>
      <c r="H624" s="101"/>
      <c r="I624" s="102"/>
      <c r="J624" s="102"/>
      <c r="K624" s="103" t="s">
        <v>330</v>
      </c>
      <c r="L624" s="103" t="s">
        <v>328</v>
      </c>
      <c r="M624" s="102"/>
      <c r="N624" s="102"/>
      <c r="O624" s="102"/>
      <c r="P624" s="102"/>
      <c r="Q624" s="102"/>
      <c r="R624" s="102"/>
      <c r="S624" s="102"/>
      <c r="T624" s="102"/>
      <c r="U624" s="101" t="n">
        <f aca="false">V624+W624+X624+COUNTIF(I624:T624,"R")</f>
        <v>2</v>
      </c>
      <c r="V624" s="101" t="n">
        <f aca="false">COUNTIF(I624:T624,"E")</f>
        <v>1</v>
      </c>
      <c r="W624" s="101" t="n">
        <f aca="false">COUNTIF(I624:T624,"X")</f>
        <v>0</v>
      </c>
      <c r="X624" s="101" t="n">
        <f aca="false">COUNTIF(I624:T624,"C2")+COUNTIF(I624:T624,"C3")</f>
        <v>0</v>
      </c>
      <c r="Y624" s="101" t="n">
        <f aca="true">SUMPRODUCT((I624:INDEX(I624:T624,MONTH(TODAY()))="X")*1)</f>
        <v>0</v>
      </c>
      <c r="Z624" s="104" t="n">
        <f aca="false">IFERROR(V624/U624,"")</f>
        <v>0.5</v>
      </c>
    </row>
    <row r="625" customFormat="false" ht="15" hidden="false" customHeight="true" outlineLevel="0" collapsed="false">
      <c r="A625" s="100" t="str">
        <f aca="false">Equipos!C623</f>
        <v>2-027910</v>
      </c>
      <c r="B625" s="101" t="str">
        <f aca="false">Equipos!D623</f>
        <v>Monitor Multiparámetros</v>
      </c>
      <c r="C625" s="101" t="str">
        <f aca="false">Equipos!E623</f>
        <v>Pediatría</v>
      </c>
      <c r="D625" s="101" t="str">
        <f aca="false">Equipos!G623</f>
        <v>Lactantes</v>
      </c>
      <c r="E625" s="101" t="str">
        <f aca="false">Equipos!I623</f>
        <v>Drager</v>
      </c>
      <c r="F625" s="101" t="str">
        <f aca="false">Equipos!J623</f>
        <v>Vista 120</v>
      </c>
      <c r="G625" s="100" t="str">
        <f aca="false">Equipos!K623</f>
        <v>VTSHD0103</v>
      </c>
      <c r="H625" s="101"/>
      <c r="I625" s="103" t="s">
        <v>330</v>
      </c>
      <c r="J625" s="103" t="s">
        <v>328</v>
      </c>
      <c r="K625" s="102"/>
      <c r="L625" s="102"/>
      <c r="M625" s="102"/>
      <c r="N625" s="102"/>
      <c r="O625" s="102"/>
      <c r="P625" s="102"/>
      <c r="Q625" s="102"/>
      <c r="R625" s="102"/>
      <c r="S625" s="102"/>
      <c r="T625" s="102"/>
      <c r="U625" s="101" t="n">
        <f aca="false">V625+W625+X625+COUNTIF(I625:T625,"R")</f>
        <v>2</v>
      </c>
      <c r="V625" s="101" t="n">
        <f aca="false">COUNTIF(I625:T625,"E")</f>
        <v>1</v>
      </c>
      <c r="W625" s="101" t="n">
        <f aca="false">COUNTIF(I625:T625,"X")</f>
        <v>0</v>
      </c>
      <c r="X625" s="101" t="n">
        <f aca="false">COUNTIF(I625:T625,"C2")+COUNTIF(I625:T625,"C3")</f>
        <v>0</v>
      </c>
      <c r="Y625" s="101" t="n">
        <f aca="true">SUMPRODUCT((I625:INDEX(I625:T625,MONTH(TODAY()))="X")*1)</f>
        <v>0</v>
      </c>
      <c r="Z625" s="104" t="n">
        <f aca="false">IFERROR(V625/U625,"")</f>
        <v>0.5</v>
      </c>
    </row>
    <row r="626" customFormat="false" ht="15" hidden="false" customHeight="true" outlineLevel="0" collapsed="false">
      <c r="A626" s="100" t="str">
        <f aca="false">Equipos!C624</f>
        <v>2-023478</v>
      </c>
      <c r="B626" s="101" t="str">
        <f aca="false">Equipos!D624</f>
        <v>Monitor Multiparámetros</v>
      </c>
      <c r="C626" s="101" t="str">
        <f aca="false">Equipos!E624</f>
        <v>Urgencia Adulto (Prestado a Cirugía Adulto)</v>
      </c>
      <c r="D626" s="101" t="str">
        <f aca="false">Equipos!G624</f>
        <v>Sala 714</v>
      </c>
      <c r="E626" s="101" t="str">
        <f aca="false">Equipos!I624</f>
        <v>Drager</v>
      </c>
      <c r="F626" s="101" t="str">
        <f aca="false">Equipos!J624</f>
        <v>Vista 120</v>
      </c>
      <c r="G626" s="100" t="str">
        <f aca="false">Equipos!K624</f>
        <v>VTSHD0068</v>
      </c>
      <c r="H626" s="101"/>
      <c r="I626" s="102"/>
      <c r="J626" s="102"/>
      <c r="K626" s="102"/>
      <c r="L626" s="102"/>
      <c r="M626" s="103" t="s">
        <v>329</v>
      </c>
      <c r="N626" s="102"/>
      <c r="O626" s="102"/>
      <c r="P626" s="102"/>
      <c r="Q626" s="102"/>
      <c r="R626" s="102"/>
      <c r="S626" s="102"/>
      <c r="T626" s="102"/>
      <c r="U626" s="101" t="n">
        <f aca="false">V626+W626+X626+COUNTIF(I626:T626,"R")</f>
        <v>1</v>
      </c>
      <c r="V626" s="101" t="n">
        <f aca="false">COUNTIF(I626:T626,"E")</f>
        <v>0</v>
      </c>
      <c r="W626" s="101" t="n">
        <f aca="false">COUNTIF(I626:T626,"X")</f>
        <v>1</v>
      </c>
      <c r="X626" s="101" t="n">
        <f aca="false">COUNTIF(I626:T626,"C2")+COUNTIF(I626:T626,"C3")</f>
        <v>0</v>
      </c>
      <c r="Y626" s="101" t="n">
        <f aca="true">SUMPRODUCT((I626:INDEX(I626:T626,MONTH(TODAY()))="X")*1)</f>
        <v>1</v>
      </c>
      <c r="Z626" s="104" t="n">
        <f aca="false">IFERROR(V626/U626,"")</f>
        <v>0</v>
      </c>
    </row>
    <row r="627" customFormat="false" ht="15" hidden="false" customHeight="true" outlineLevel="0" collapsed="false">
      <c r="A627" s="100" t="str">
        <f aca="false">Equipos!C625</f>
        <v>2-016544</v>
      </c>
      <c r="B627" s="101" t="str">
        <f aca="false">Equipos!D625</f>
        <v>Monitor Multiparámetros</v>
      </c>
      <c r="C627" s="101" t="str">
        <f aca="false">Equipos!E625</f>
        <v>Cirugía Adulto</v>
      </c>
      <c r="D627" s="101" t="str">
        <f aca="false">Equipos!G625</f>
        <v>TNB 701</v>
      </c>
      <c r="E627" s="101" t="str">
        <f aca="false">Equipos!I625</f>
        <v>Drager</v>
      </c>
      <c r="F627" s="101" t="str">
        <f aca="false">Equipos!J625</f>
        <v>Vista 120</v>
      </c>
      <c r="G627" s="100" t="str">
        <f aca="false">Equipos!K625</f>
        <v>VTSHD0090</v>
      </c>
      <c r="H627" s="101"/>
      <c r="I627" s="102"/>
      <c r="J627" s="102"/>
      <c r="K627" s="102"/>
      <c r="L627" s="102"/>
      <c r="M627" s="103" t="s">
        <v>329</v>
      </c>
      <c r="N627" s="102"/>
      <c r="O627" s="102"/>
      <c r="P627" s="102"/>
      <c r="Q627" s="102"/>
      <c r="R627" s="102"/>
      <c r="S627" s="102"/>
      <c r="T627" s="102"/>
      <c r="U627" s="101" t="n">
        <f aca="false">V627+W627+X627+COUNTIF(I627:T627,"R")</f>
        <v>1</v>
      </c>
      <c r="V627" s="101" t="n">
        <f aca="false">COUNTIF(I627:T627,"E")</f>
        <v>0</v>
      </c>
      <c r="W627" s="101" t="n">
        <f aca="false">COUNTIF(I627:T627,"X")</f>
        <v>1</v>
      </c>
      <c r="X627" s="101" t="n">
        <f aca="false">COUNTIF(I627:T627,"C2")+COUNTIF(I627:T627,"C3")</f>
        <v>0</v>
      </c>
      <c r="Y627" s="101" t="n">
        <f aca="true">SUMPRODUCT((I627:INDEX(I627:T627,MONTH(TODAY()))="X")*1)</f>
        <v>1</v>
      </c>
      <c r="Z627" s="104" t="n">
        <f aca="false">IFERROR(V627/U627,"")</f>
        <v>0</v>
      </c>
    </row>
    <row r="628" customFormat="false" ht="15" hidden="false" customHeight="true" outlineLevel="0" collapsed="false">
      <c r="A628" s="100" t="str">
        <f aca="false">Equipos!C626</f>
        <v>2-023479</v>
      </c>
      <c r="B628" s="101" t="str">
        <f aca="false">Equipos!D626</f>
        <v>Monitor Multiparámetros</v>
      </c>
      <c r="C628" s="101" t="str">
        <f aca="false">Equipos!E626</f>
        <v>Medicina</v>
      </c>
      <c r="D628" s="101" t="str">
        <f aca="false">Equipos!G626</f>
        <v>595-4</v>
      </c>
      <c r="E628" s="101" t="str">
        <f aca="false">Equipos!I626</f>
        <v>Drager</v>
      </c>
      <c r="F628" s="101" t="str">
        <f aca="false">Equipos!J626</f>
        <v>Vista 120</v>
      </c>
      <c r="G628" s="100" t="str">
        <f aca="false">Equipos!K626</f>
        <v>VTSHD0065</v>
      </c>
      <c r="H628" s="101"/>
      <c r="I628" s="102"/>
      <c r="J628" s="103" t="s">
        <v>328</v>
      </c>
      <c r="K628" s="102"/>
      <c r="L628" s="102"/>
      <c r="M628" s="102"/>
      <c r="N628" s="102"/>
      <c r="O628" s="102"/>
      <c r="P628" s="102"/>
      <c r="Q628" s="102"/>
      <c r="R628" s="102"/>
      <c r="S628" s="102"/>
      <c r="T628" s="102"/>
      <c r="U628" s="101" t="n">
        <f aca="false">V628+W628+X628+COUNTIF(I628:T628,"R")</f>
        <v>1</v>
      </c>
      <c r="V628" s="101" t="n">
        <f aca="false">COUNTIF(I628:T628,"E")</f>
        <v>1</v>
      </c>
      <c r="W628" s="101" t="n">
        <f aca="false">COUNTIF(I628:T628,"X")</f>
        <v>0</v>
      </c>
      <c r="X628" s="101" t="n">
        <f aca="false">COUNTIF(I628:T628,"C2")+COUNTIF(I628:T628,"C3")</f>
        <v>0</v>
      </c>
      <c r="Y628" s="101" t="n">
        <f aca="true">SUMPRODUCT((I628:INDEX(I628:T628,MONTH(TODAY()))="X")*1)</f>
        <v>0</v>
      </c>
      <c r="Z628" s="104" t="n">
        <f aca="false">IFERROR(V628/U628,"")</f>
        <v>1</v>
      </c>
    </row>
    <row r="629" customFormat="false" ht="15" hidden="false" customHeight="true" outlineLevel="0" collapsed="false">
      <c r="A629" s="100" t="str">
        <f aca="false">Equipos!C627</f>
        <v>2-027909</v>
      </c>
      <c r="B629" s="101" t="str">
        <f aca="false">Equipos!D627</f>
        <v>Monitor Multiparámetros</v>
      </c>
      <c r="C629" s="101" t="str">
        <f aca="false">Equipos!E627</f>
        <v>Quimioterapia Ambulatoria Adulto</v>
      </c>
      <c r="D629" s="101" t="str">
        <f aca="false">Equipos!G627</f>
        <v>EPC-P2</v>
      </c>
      <c r="E629" s="101" t="str">
        <f aca="false">Equipos!I627</f>
        <v>Drager</v>
      </c>
      <c r="F629" s="101" t="str">
        <f aca="false">Equipos!J627</f>
        <v>Vista 120</v>
      </c>
      <c r="G629" s="100" t="str">
        <f aca="false">Equipos!K627</f>
        <v>VTSHD0051</v>
      </c>
      <c r="H629" s="101"/>
      <c r="I629" s="102"/>
      <c r="J629" s="102"/>
      <c r="K629" s="103" t="s">
        <v>328</v>
      </c>
      <c r="L629" s="102"/>
      <c r="M629" s="102"/>
      <c r="N629" s="102"/>
      <c r="O629" s="102"/>
      <c r="P629" s="102"/>
      <c r="Q629" s="102"/>
      <c r="R629" s="102"/>
      <c r="S629" s="102"/>
      <c r="T629" s="102"/>
      <c r="U629" s="101" t="n">
        <f aca="false">V629+W629+X629+COUNTIF(I629:T629,"R")</f>
        <v>1</v>
      </c>
      <c r="V629" s="101" t="n">
        <f aca="false">COUNTIF(I629:T629,"E")</f>
        <v>1</v>
      </c>
      <c r="W629" s="101" t="n">
        <f aca="false">COUNTIF(I629:T629,"X")</f>
        <v>0</v>
      </c>
      <c r="X629" s="101" t="n">
        <f aca="false">COUNTIF(I629:T629,"C2")+COUNTIF(I629:T629,"C3")</f>
        <v>0</v>
      </c>
      <c r="Y629" s="101" t="n">
        <f aca="true">SUMPRODUCT((I629:INDEX(I629:T629,MONTH(TODAY()))="X")*1)</f>
        <v>0</v>
      </c>
      <c r="Z629" s="104" t="n">
        <f aca="false">IFERROR(V629/U629,"")</f>
        <v>1</v>
      </c>
    </row>
    <row r="630" customFormat="false" ht="15" hidden="false" customHeight="true" outlineLevel="0" collapsed="false">
      <c r="A630" s="100" t="str">
        <f aca="false">Equipos!C628</f>
        <v>2-023477</v>
      </c>
      <c r="B630" s="101" t="str">
        <f aca="false">Equipos!D628</f>
        <v>Monitor Multiparámetros</v>
      </c>
      <c r="C630" s="101" t="str">
        <f aca="false">Equipos!E628</f>
        <v>Medicina</v>
      </c>
      <c r="D630" s="101" t="str">
        <f aca="false">Equipos!G628</f>
        <v>516-1</v>
      </c>
      <c r="E630" s="101" t="str">
        <f aca="false">Equipos!I628</f>
        <v>Drager</v>
      </c>
      <c r="F630" s="101" t="str">
        <f aca="false">Equipos!J628</f>
        <v>Vista 120</v>
      </c>
      <c r="G630" s="100" t="str">
        <f aca="false">Equipos!K628</f>
        <v>VTSHD0072</v>
      </c>
      <c r="H630" s="101"/>
      <c r="I630" s="102"/>
      <c r="J630" s="103" t="s">
        <v>328</v>
      </c>
      <c r="K630" s="102"/>
      <c r="L630" s="102"/>
      <c r="M630" s="102"/>
      <c r="N630" s="102"/>
      <c r="O630" s="102"/>
      <c r="P630" s="102"/>
      <c r="Q630" s="102"/>
      <c r="R630" s="102"/>
      <c r="S630" s="102"/>
      <c r="T630" s="102"/>
      <c r="U630" s="101" t="n">
        <f aca="false">V630+W630+X630+COUNTIF(I630:T630,"R")</f>
        <v>1</v>
      </c>
      <c r="V630" s="101" t="n">
        <f aca="false">COUNTIF(I630:T630,"E")</f>
        <v>1</v>
      </c>
      <c r="W630" s="101" t="n">
        <f aca="false">COUNTIF(I630:T630,"X")</f>
        <v>0</v>
      </c>
      <c r="X630" s="101" t="n">
        <f aca="false">COUNTIF(I630:T630,"C2")+COUNTIF(I630:T630,"C3")</f>
        <v>0</v>
      </c>
      <c r="Y630" s="101" t="n">
        <f aca="true">SUMPRODUCT((I630:INDEX(I630:T630,MONTH(TODAY()))="X")*1)</f>
        <v>0</v>
      </c>
      <c r="Z630" s="104" t="n">
        <f aca="false">IFERROR(V630/U630,"")</f>
        <v>1</v>
      </c>
    </row>
    <row r="631" customFormat="false" ht="15" hidden="false" customHeight="true" outlineLevel="0" collapsed="false">
      <c r="A631" s="100" t="str">
        <f aca="false">Equipos!C629</f>
        <v>2-016538</v>
      </c>
      <c r="B631" s="101" t="str">
        <f aca="false">Equipos!D629</f>
        <v>Monitor Multiparámetros</v>
      </c>
      <c r="C631" s="101" t="str">
        <f aca="false">Equipos!E629</f>
        <v>Medicina</v>
      </c>
      <c r="D631" s="101" t="str">
        <f aca="false">Equipos!G629</f>
        <v>509-1</v>
      </c>
      <c r="E631" s="101" t="str">
        <f aca="false">Equipos!I629</f>
        <v>Drager</v>
      </c>
      <c r="F631" s="101" t="str">
        <f aca="false">Equipos!J629</f>
        <v>Vista 120</v>
      </c>
      <c r="G631" s="100" t="str">
        <f aca="false">Equipos!K629</f>
        <v>VTSHD0070</v>
      </c>
      <c r="H631" s="101"/>
      <c r="I631" s="102"/>
      <c r="J631" s="103" t="s">
        <v>328</v>
      </c>
      <c r="K631" s="102"/>
      <c r="L631" s="102"/>
      <c r="M631" s="102"/>
      <c r="N631" s="102"/>
      <c r="O631" s="102"/>
      <c r="P631" s="102"/>
      <c r="Q631" s="102"/>
      <c r="R631" s="102"/>
      <c r="S631" s="102"/>
      <c r="T631" s="102"/>
      <c r="U631" s="101" t="n">
        <f aca="false">V631+W631+X631+COUNTIF(I631:T631,"R")</f>
        <v>1</v>
      </c>
      <c r="V631" s="101" t="n">
        <f aca="false">COUNTIF(I631:T631,"E")</f>
        <v>1</v>
      </c>
      <c r="W631" s="101" t="n">
        <f aca="false">COUNTIF(I631:T631,"X")</f>
        <v>0</v>
      </c>
      <c r="X631" s="101" t="n">
        <f aca="false">COUNTIF(I631:T631,"C2")+COUNTIF(I631:T631,"C3")</f>
        <v>0</v>
      </c>
      <c r="Y631" s="101" t="n">
        <f aca="true">SUMPRODUCT((I631:INDEX(I631:T631,MONTH(TODAY()))="X")*1)</f>
        <v>0</v>
      </c>
      <c r="Z631" s="104" t="n">
        <f aca="false">IFERROR(V631/U631,"")</f>
        <v>1</v>
      </c>
    </row>
    <row r="632" customFormat="false" ht="15" hidden="false" customHeight="true" outlineLevel="0" collapsed="false">
      <c r="A632" s="100" t="str">
        <f aca="false">Equipos!C630</f>
        <v>2-016539</v>
      </c>
      <c r="B632" s="101" t="str">
        <f aca="false">Equipos!D630</f>
        <v>Monitor Multiparámetros</v>
      </c>
      <c r="C632" s="101" t="str">
        <f aca="false">Equipos!E630</f>
        <v>Medicina</v>
      </c>
      <c r="D632" s="101" t="str">
        <f aca="false">Equipos!G630</f>
        <v>527-1</v>
      </c>
      <c r="E632" s="101" t="str">
        <f aca="false">Equipos!I630</f>
        <v>Drager</v>
      </c>
      <c r="F632" s="101" t="str">
        <f aca="false">Equipos!J630</f>
        <v>Vista 120</v>
      </c>
      <c r="G632" s="100" t="str">
        <f aca="false">Equipos!K630</f>
        <v>VTSHD0106</v>
      </c>
      <c r="H632" s="101"/>
      <c r="I632" s="102"/>
      <c r="J632" s="103" t="s">
        <v>328</v>
      </c>
      <c r="K632" s="102"/>
      <c r="L632" s="102"/>
      <c r="M632" s="102"/>
      <c r="N632" s="102"/>
      <c r="O632" s="102"/>
      <c r="P632" s="102"/>
      <c r="Q632" s="102"/>
      <c r="R632" s="102"/>
      <c r="S632" s="102"/>
      <c r="T632" s="102"/>
      <c r="U632" s="101" t="n">
        <f aca="false">V632+W632+X632+COUNTIF(I632:T632,"R")</f>
        <v>1</v>
      </c>
      <c r="V632" s="101" t="n">
        <f aca="false">COUNTIF(I632:T632,"E")</f>
        <v>1</v>
      </c>
      <c r="W632" s="101" t="n">
        <f aca="false">COUNTIF(I632:T632,"X")</f>
        <v>0</v>
      </c>
      <c r="X632" s="101" t="n">
        <f aca="false">COUNTIF(I632:T632,"C2")+COUNTIF(I632:T632,"C3")</f>
        <v>0</v>
      </c>
      <c r="Y632" s="101" t="n">
        <f aca="true">SUMPRODUCT((I632:INDEX(I632:T632,MONTH(TODAY()))="X")*1)</f>
        <v>0</v>
      </c>
      <c r="Z632" s="104" t="n">
        <f aca="false">IFERROR(V632/U632,"")</f>
        <v>1</v>
      </c>
    </row>
    <row r="633" customFormat="false" ht="15" hidden="false" customHeight="true" outlineLevel="0" collapsed="false">
      <c r="A633" s="100" t="str">
        <f aca="false">Equipos!C631</f>
        <v>2-016551</v>
      </c>
      <c r="B633" s="101" t="str">
        <f aca="false">Equipos!D631</f>
        <v>Monitor Multiparámetros</v>
      </c>
      <c r="C633" s="101" t="str">
        <f aca="false">Equipos!E631</f>
        <v>Neurocirugía</v>
      </c>
      <c r="D633" s="101" t="str">
        <f aca="false">Equipos!G631</f>
        <v>Portatil</v>
      </c>
      <c r="E633" s="101" t="str">
        <f aca="false">Equipos!I631</f>
        <v>Drager</v>
      </c>
      <c r="F633" s="101" t="str">
        <f aca="false">Equipos!J631</f>
        <v>Vista 120</v>
      </c>
      <c r="G633" s="100" t="str">
        <f aca="false">Equipos!K631</f>
        <v>VTSHD0107</v>
      </c>
      <c r="H633" s="101"/>
      <c r="I633" s="102"/>
      <c r="J633" s="102"/>
      <c r="K633" s="103" t="s">
        <v>330</v>
      </c>
      <c r="L633" s="103" t="s">
        <v>328</v>
      </c>
      <c r="M633" s="102"/>
      <c r="N633" s="102"/>
      <c r="O633" s="102"/>
      <c r="P633" s="102"/>
      <c r="Q633" s="102"/>
      <c r="R633" s="102"/>
      <c r="S633" s="102"/>
      <c r="T633" s="102"/>
      <c r="U633" s="101" t="n">
        <f aca="false">V633+W633+X633+COUNTIF(I633:T633,"R")</f>
        <v>2</v>
      </c>
      <c r="V633" s="101" t="n">
        <f aca="false">COUNTIF(I633:T633,"E")</f>
        <v>1</v>
      </c>
      <c r="W633" s="101" t="n">
        <f aca="false">COUNTIF(I633:T633,"X")</f>
        <v>0</v>
      </c>
      <c r="X633" s="101" t="n">
        <f aca="false">COUNTIF(I633:T633,"C2")+COUNTIF(I633:T633,"C3")</f>
        <v>0</v>
      </c>
      <c r="Y633" s="101" t="n">
        <f aca="true">SUMPRODUCT((I633:INDEX(I633:T633,MONTH(TODAY()))="X")*1)</f>
        <v>0</v>
      </c>
      <c r="Z633" s="104" t="n">
        <f aca="false">IFERROR(V633/U633,"")</f>
        <v>0.5</v>
      </c>
    </row>
    <row r="634" customFormat="false" ht="15" hidden="false" customHeight="true" outlineLevel="0" collapsed="false">
      <c r="A634" s="100" t="str">
        <f aca="false">Equipos!C632</f>
        <v>2-023480</v>
      </c>
      <c r="B634" s="101" t="str">
        <f aca="false">Equipos!D632</f>
        <v>Monitor Multiparámetros</v>
      </c>
      <c r="C634" s="101" t="str">
        <f aca="false">Equipos!E632</f>
        <v>Cirugía Adulto</v>
      </c>
      <c r="D634" s="101" t="str">
        <f aca="false">Equipos!G632</f>
        <v>EPB</v>
      </c>
      <c r="E634" s="101" t="str">
        <f aca="false">Equipos!I632</f>
        <v>Drager</v>
      </c>
      <c r="F634" s="101" t="str">
        <f aca="false">Equipos!J632</f>
        <v>Vista 120</v>
      </c>
      <c r="G634" s="100" t="str">
        <f aca="false">Equipos!K632</f>
        <v>VTSHD0096</v>
      </c>
      <c r="H634" s="101"/>
      <c r="I634" s="102"/>
      <c r="J634" s="102"/>
      <c r="K634" s="102"/>
      <c r="L634" s="102"/>
      <c r="M634" s="103" t="s">
        <v>329</v>
      </c>
      <c r="N634" s="102"/>
      <c r="O634" s="102"/>
      <c r="P634" s="102"/>
      <c r="Q634" s="102"/>
      <c r="R634" s="102"/>
      <c r="S634" s="102"/>
      <c r="T634" s="102"/>
      <c r="U634" s="101" t="n">
        <f aca="false">V634+W634+X634+COUNTIF(I634:T634,"R")</f>
        <v>1</v>
      </c>
      <c r="V634" s="101" t="n">
        <f aca="false">COUNTIF(I634:T634,"E")</f>
        <v>0</v>
      </c>
      <c r="W634" s="101" t="n">
        <f aca="false">COUNTIF(I634:T634,"X")</f>
        <v>1</v>
      </c>
      <c r="X634" s="101" t="n">
        <f aca="false">COUNTIF(I634:T634,"C2")+COUNTIF(I634:T634,"C3")</f>
        <v>0</v>
      </c>
      <c r="Y634" s="101" t="n">
        <f aca="true">SUMPRODUCT((I634:INDEX(I634:T634,MONTH(TODAY()))="X")*1)</f>
        <v>1</v>
      </c>
      <c r="Z634" s="104" t="n">
        <f aca="false">IFERROR(V634/U634,"")</f>
        <v>0</v>
      </c>
    </row>
    <row r="635" customFormat="false" ht="15" hidden="false" customHeight="true" outlineLevel="0" collapsed="false">
      <c r="A635" s="100" t="str">
        <f aca="false">Equipos!C633</f>
        <v>2-016541</v>
      </c>
      <c r="B635" s="101" t="str">
        <f aca="false">Equipos!D633</f>
        <v>Monitor Multiparámetros</v>
      </c>
      <c r="C635" s="101" t="str">
        <f aca="false">Equipos!E633</f>
        <v>Medicina</v>
      </c>
      <c r="D635" s="101" t="str">
        <f aca="false">Equipos!G633</f>
        <v>529-3</v>
      </c>
      <c r="E635" s="101" t="str">
        <f aca="false">Equipos!I633</f>
        <v>Drager</v>
      </c>
      <c r="F635" s="101" t="str">
        <f aca="false">Equipos!J633</f>
        <v>Vista 120</v>
      </c>
      <c r="G635" s="100" t="str">
        <f aca="false">Equipos!K633</f>
        <v>VTSHD0094</v>
      </c>
      <c r="H635" s="101"/>
      <c r="I635" s="102"/>
      <c r="J635" s="103" t="s">
        <v>328</v>
      </c>
      <c r="K635" s="102"/>
      <c r="L635" s="102"/>
      <c r="M635" s="102"/>
      <c r="N635" s="102"/>
      <c r="O635" s="102"/>
      <c r="P635" s="102"/>
      <c r="Q635" s="102"/>
      <c r="R635" s="102"/>
      <c r="S635" s="102"/>
      <c r="T635" s="102"/>
      <c r="U635" s="101" t="n">
        <f aca="false">V635+W635+X635+COUNTIF(I635:T635,"R")</f>
        <v>1</v>
      </c>
      <c r="V635" s="101" t="n">
        <f aca="false">COUNTIF(I635:T635,"E")</f>
        <v>1</v>
      </c>
      <c r="W635" s="101" t="n">
        <f aca="false">COUNTIF(I635:T635,"X")</f>
        <v>0</v>
      </c>
      <c r="X635" s="101" t="n">
        <f aca="false">COUNTIF(I635:T635,"C2")+COUNTIF(I635:T635,"C3")</f>
        <v>0</v>
      </c>
      <c r="Y635" s="101" t="n">
        <f aca="true">SUMPRODUCT((I635:INDEX(I635:T635,MONTH(TODAY()))="X")*1)</f>
        <v>0</v>
      </c>
      <c r="Z635" s="104" t="n">
        <f aca="false">IFERROR(V635/U635,"")</f>
        <v>1</v>
      </c>
    </row>
    <row r="636" customFormat="false" ht="15" hidden="false" customHeight="true" outlineLevel="0" collapsed="false">
      <c r="A636" s="100" t="str">
        <f aca="false">Equipos!C634</f>
        <v>2-016542</v>
      </c>
      <c r="B636" s="101" t="str">
        <f aca="false">Equipos!D634</f>
        <v>Monitor Multiparámetros</v>
      </c>
      <c r="C636" s="101" t="str">
        <f aca="false">Equipos!E634</f>
        <v>Neurocirugía</v>
      </c>
      <c r="D636" s="101" t="str">
        <f aca="false">Equipos!G634</f>
        <v>Cama 299-4</v>
      </c>
      <c r="E636" s="101" t="str">
        <f aca="false">Equipos!I634</f>
        <v>Drager</v>
      </c>
      <c r="F636" s="101" t="str">
        <f aca="false">Equipos!J634</f>
        <v>Vista 120</v>
      </c>
      <c r="G636" s="100" t="str">
        <f aca="false">Equipos!K634</f>
        <v>VTSHD0111</v>
      </c>
      <c r="H636" s="101"/>
      <c r="I636" s="102"/>
      <c r="J636" s="102"/>
      <c r="K636" s="103" t="s">
        <v>330</v>
      </c>
      <c r="L636" s="103" t="s">
        <v>328</v>
      </c>
      <c r="M636" s="102"/>
      <c r="N636" s="102"/>
      <c r="O636" s="102"/>
      <c r="P636" s="102"/>
      <c r="Q636" s="102"/>
      <c r="R636" s="102"/>
      <c r="S636" s="102"/>
      <c r="T636" s="102"/>
      <c r="U636" s="101" t="n">
        <f aca="false">V636+W636+X636+COUNTIF(I636:T636,"R")</f>
        <v>2</v>
      </c>
      <c r="V636" s="101" t="n">
        <f aca="false">COUNTIF(I636:T636,"E")</f>
        <v>1</v>
      </c>
      <c r="W636" s="101" t="n">
        <f aca="false">COUNTIF(I636:T636,"X")</f>
        <v>0</v>
      </c>
      <c r="X636" s="101" t="n">
        <f aca="false">COUNTIF(I636:T636,"C2")+COUNTIF(I636:T636,"C3")</f>
        <v>0</v>
      </c>
      <c r="Y636" s="101" t="n">
        <f aca="true">SUMPRODUCT((I636:INDEX(I636:T636,MONTH(TODAY()))="X")*1)</f>
        <v>0</v>
      </c>
      <c r="Z636" s="104" t="n">
        <f aca="false">IFERROR(V636/U636,"")</f>
        <v>0.5</v>
      </c>
    </row>
    <row r="637" customFormat="false" ht="15" hidden="false" customHeight="true" outlineLevel="0" collapsed="false">
      <c r="A637" s="100" t="str">
        <f aca="false">Equipos!C635</f>
        <v>2-117050</v>
      </c>
      <c r="B637" s="101" t="str">
        <f aca="false">Equipos!D635</f>
        <v>Monitor Multiparámetros</v>
      </c>
      <c r="C637" s="101" t="str">
        <f aca="false">Equipos!E635</f>
        <v>Pabellones Gineco-Obstétricos</v>
      </c>
      <c r="D637" s="101" t="n">
        <f aca="false">Equipos!G635</f>
        <v>0</v>
      </c>
      <c r="E637" s="101" t="str">
        <f aca="false">Equipos!I635</f>
        <v>Philips</v>
      </c>
      <c r="F637" s="101" t="str">
        <f aca="false">Equipos!J635</f>
        <v>MX450</v>
      </c>
      <c r="G637" s="100" t="str">
        <f aca="false">Equipos!K635</f>
        <v>DE351C1469</v>
      </c>
      <c r="H637" s="101"/>
      <c r="I637" s="102"/>
      <c r="J637" s="102"/>
      <c r="K637" s="102"/>
      <c r="L637" s="102"/>
      <c r="M637" s="103" t="s">
        <v>329</v>
      </c>
      <c r="N637" s="102"/>
      <c r="O637" s="102"/>
      <c r="P637" s="102"/>
      <c r="Q637" s="102"/>
      <c r="R637" s="102"/>
      <c r="S637" s="102"/>
      <c r="T637" s="102"/>
      <c r="U637" s="101" t="n">
        <f aca="false">V637+W637+X637+COUNTIF(I637:T637,"R")</f>
        <v>1</v>
      </c>
      <c r="V637" s="101" t="n">
        <f aca="false">COUNTIF(I637:T637,"E")</f>
        <v>0</v>
      </c>
      <c r="W637" s="101" t="n">
        <f aca="false">COUNTIF(I637:T637,"X")</f>
        <v>1</v>
      </c>
      <c r="X637" s="101" t="n">
        <f aca="false">COUNTIF(I637:T637,"C2")+COUNTIF(I637:T637,"C3")</f>
        <v>0</v>
      </c>
      <c r="Y637" s="101" t="n">
        <f aca="true">SUMPRODUCT((I637:INDEX(I637:T637,MONTH(TODAY()))="X")*1)</f>
        <v>1</v>
      </c>
      <c r="Z637" s="104" t="n">
        <f aca="false">IFERROR(V637/U637,"")</f>
        <v>0</v>
      </c>
    </row>
    <row r="638" customFormat="false" ht="15" hidden="false" customHeight="true" outlineLevel="0" collapsed="false">
      <c r="A638" s="100" t="str">
        <f aca="false">Equipos!C636</f>
        <v>2-013293</v>
      </c>
      <c r="B638" s="101" t="str">
        <f aca="false">Equipos!D636</f>
        <v>Monitor Multiparámetros</v>
      </c>
      <c r="C638" s="101" t="str">
        <f aca="false">Equipos!E636</f>
        <v>Neurocirugía</v>
      </c>
      <c r="D638" s="101" t="str">
        <f aca="false">Equipos!G636</f>
        <v>Cama 299-3</v>
      </c>
      <c r="E638" s="101" t="str">
        <f aca="false">Equipos!I636</f>
        <v>Drager</v>
      </c>
      <c r="F638" s="101" t="str">
        <f aca="false">Equipos!J636</f>
        <v>Vista 120</v>
      </c>
      <c r="G638" s="100" t="str">
        <f aca="false">Equipos!K636</f>
        <v>VTSHD0066</v>
      </c>
      <c r="H638" s="101"/>
      <c r="I638" s="102"/>
      <c r="J638" s="102"/>
      <c r="K638" s="103" t="s">
        <v>330</v>
      </c>
      <c r="L638" s="103" t="s">
        <v>328</v>
      </c>
      <c r="M638" s="102"/>
      <c r="N638" s="102"/>
      <c r="O638" s="102"/>
      <c r="P638" s="102"/>
      <c r="Q638" s="102"/>
      <c r="R638" s="102"/>
      <c r="S638" s="102"/>
      <c r="T638" s="102"/>
      <c r="U638" s="101" t="n">
        <f aca="false">V638+W638+X638+COUNTIF(I638:T638,"R")</f>
        <v>2</v>
      </c>
      <c r="V638" s="101" t="n">
        <f aca="false">COUNTIF(I638:T638,"E")</f>
        <v>1</v>
      </c>
      <c r="W638" s="101" t="n">
        <f aca="false">COUNTIF(I638:T638,"X")</f>
        <v>0</v>
      </c>
      <c r="X638" s="101" t="n">
        <f aca="false">COUNTIF(I638:T638,"C2")+COUNTIF(I638:T638,"C3")</f>
        <v>0</v>
      </c>
      <c r="Y638" s="101" t="n">
        <f aca="true">SUMPRODUCT((I638:INDEX(I638:T638,MONTH(TODAY()))="X")*1)</f>
        <v>0</v>
      </c>
      <c r="Z638" s="104" t="n">
        <f aca="false">IFERROR(V638/U638,"")</f>
        <v>0.5</v>
      </c>
    </row>
    <row r="639" customFormat="false" ht="15" hidden="false" customHeight="true" outlineLevel="0" collapsed="false">
      <c r="A639" s="100" t="str">
        <f aca="false">Equipos!C637</f>
        <v>2-004769</v>
      </c>
      <c r="B639" s="101" t="str">
        <f aca="false">Equipos!D637</f>
        <v>Monitor Multiparámetros</v>
      </c>
      <c r="C639" s="101" t="str">
        <f aca="false">Equipos!E637</f>
        <v>Pediatría</v>
      </c>
      <c r="D639" s="101" t="str">
        <f aca="false">Equipos!G637</f>
        <v>Oncología Pediátrica</v>
      </c>
      <c r="E639" s="101" t="str">
        <f aca="false">Equipos!I637</f>
        <v>Drager</v>
      </c>
      <c r="F639" s="101" t="str">
        <f aca="false">Equipos!J637</f>
        <v>Vista 120</v>
      </c>
      <c r="G639" s="100" t="str">
        <f aca="false">Equipos!K637</f>
        <v>VTSHD0099</v>
      </c>
      <c r="H639" s="101"/>
      <c r="I639" s="103" t="s">
        <v>330</v>
      </c>
      <c r="J639" s="103" t="s">
        <v>328</v>
      </c>
      <c r="K639" s="102"/>
      <c r="L639" s="102"/>
      <c r="M639" s="102"/>
      <c r="N639" s="102"/>
      <c r="O639" s="102"/>
      <c r="P639" s="102"/>
      <c r="Q639" s="102"/>
      <c r="R639" s="102"/>
      <c r="S639" s="102"/>
      <c r="T639" s="102"/>
      <c r="U639" s="101" t="n">
        <f aca="false">V639+W639+X639+COUNTIF(I639:T639,"R")</f>
        <v>2</v>
      </c>
      <c r="V639" s="101" t="n">
        <f aca="false">COUNTIF(I639:T639,"E")</f>
        <v>1</v>
      </c>
      <c r="W639" s="101" t="n">
        <f aca="false">COUNTIF(I639:T639,"X")</f>
        <v>0</v>
      </c>
      <c r="X639" s="101" t="n">
        <f aca="false">COUNTIF(I639:T639,"C2")+COUNTIF(I639:T639,"C3")</f>
        <v>0</v>
      </c>
      <c r="Y639" s="101" t="n">
        <f aca="true">SUMPRODUCT((I639:INDEX(I639:T639,MONTH(TODAY()))="X")*1)</f>
        <v>0</v>
      </c>
      <c r="Z639" s="104" t="n">
        <f aca="false">IFERROR(V639/U639,"")</f>
        <v>0.5</v>
      </c>
    </row>
    <row r="640" customFormat="false" ht="15" hidden="false" customHeight="true" outlineLevel="0" collapsed="false">
      <c r="A640" s="100" t="str">
        <f aca="false">Equipos!C638</f>
        <v>2-110948</v>
      </c>
      <c r="B640" s="101" t="str">
        <f aca="false">Equipos!D638</f>
        <v>Monitor Multiparámetros</v>
      </c>
      <c r="C640" s="101" t="str">
        <f aca="false">Equipos!E638</f>
        <v>Neonatología</v>
      </c>
      <c r="D640" s="101" t="n">
        <f aca="false">Equipos!G638</f>
        <v>0</v>
      </c>
      <c r="E640" s="101" t="str">
        <f aca="false">Equipos!I638</f>
        <v>Drager</v>
      </c>
      <c r="F640" s="101" t="str">
        <f aca="false">Equipos!J638</f>
        <v>Vista 120</v>
      </c>
      <c r="G640" s="100" t="str">
        <f aca="false">Equipos!K638</f>
        <v>VQSHD0069</v>
      </c>
      <c r="H640" s="101"/>
      <c r="I640" s="103" t="s">
        <v>330</v>
      </c>
      <c r="J640" s="103" t="s">
        <v>328</v>
      </c>
      <c r="K640" s="102"/>
      <c r="L640" s="102"/>
      <c r="M640" s="102"/>
      <c r="N640" s="102"/>
      <c r="O640" s="102"/>
      <c r="P640" s="102"/>
      <c r="Q640" s="102"/>
      <c r="R640" s="102"/>
      <c r="S640" s="102"/>
      <c r="T640" s="102"/>
      <c r="U640" s="101" t="n">
        <f aca="false">V640+W640+X640+COUNTIF(I640:T640,"R")</f>
        <v>2</v>
      </c>
      <c r="V640" s="101" t="n">
        <f aca="false">COUNTIF(I640:T640,"E")</f>
        <v>1</v>
      </c>
      <c r="W640" s="101" t="n">
        <f aca="false">COUNTIF(I640:T640,"X")</f>
        <v>0</v>
      </c>
      <c r="X640" s="101" t="n">
        <f aca="false">COUNTIF(I640:T640,"C2")+COUNTIF(I640:T640,"C3")</f>
        <v>0</v>
      </c>
      <c r="Y640" s="101" t="n">
        <f aca="true">SUMPRODUCT((I640:INDEX(I640:T640,MONTH(TODAY()))="X")*1)</f>
        <v>0</v>
      </c>
      <c r="Z640" s="104" t="n">
        <f aca="false">IFERROR(V640/U640,"")</f>
        <v>0.5</v>
      </c>
    </row>
    <row r="641" customFormat="false" ht="15" hidden="false" customHeight="true" outlineLevel="0" collapsed="false">
      <c r="A641" s="100" t="str">
        <f aca="false">Equipos!C639</f>
        <v>2-110843</v>
      </c>
      <c r="B641" s="101" t="str">
        <f aca="false">Equipos!D639</f>
        <v>Monitor Multiparámetros</v>
      </c>
      <c r="C641" s="101" t="str">
        <f aca="false">Equipos!E639</f>
        <v>Neonatología</v>
      </c>
      <c r="D641" s="101" t="n">
        <f aca="false">Equipos!G639</f>
        <v>0</v>
      </c>
      <c r="E641" s="101" t="str">
        <f aca="false">Equipos!I639</f>
        <v>Drager</v>
      </c>
      <c r="F641" s="101" t="str">
        <f aca="false">Equipos!J639</f>
        <v>Vista 120</v>
      </c>
      <c r="G641" s="100" t="str">
        <f aca="false">Equipos!K639</f>
        <v>VQSHD0088</v>
      </c>
      <c r="H641" s="101"/>
      <c r="I641" s="103" t="s">
        <v>330</v>
      </c>
      <c r="J641" s="103" t="s">
        <v>328</v>
      </c>
      <c r="K641" s="102"/>
      <c r="L641" s="102"/>
      <c r="M641" s="102"/>
      <c r="N641" s="102"/>
      <c r="O641" s="102"/>
      <c r="P641" s="102"/>
      <c r="Q641" s="102"/>
      <c r="R641" s="102"/>
      <c r="S641" s="102"/>
      <c r="T641" s="102"/>
      <c r="U641" s="101" t="n">
        <f aca="false">V641+W641+X641+COUNTIF(I641:T641,"R")</f>
        <v>2</v>
      </c>
      <c r="V641" s="101" t="n">
        <f aca="false">COUNTIF(I641:T641,"E")</f>
        <v>1</v>
      </c>
      <c r="W641" s="101" t="n">
        <f aca="false">COUNTIF(I641:T641,"X")</f>
        <v>0</v>
      </c>
      <c r="X641" s="101" t="n">
        <f aca="false">COUNTIF(I641:T641,"C2")+COUNTIF(I641:T641,"C3")</f>
        <v>0</v>
      </c>
      <c r="Y641" s="101" t="n">
        <f aca="true">SUMPRODUCT((I641:INDEX(I641:T641,MONTH(TODAY()))="X")*1)</f>
        <v>0</v>
      </c>
      <c r="Z641" s="104" t="n">
        <f aca="false">IFERROR(V641/U641,"")</f>
        <v>0.5</v>
      </c>
    </row>
    <row r="642" customFormat="false" ht="15" hidden="false" customHeight="true" outlineLevel="0" collapsed="false">
      <c r="A642" s="100" t="str">
        <f aca="false">Equipos!C640</f>
        <v>2-110831</v>
      </c>
      <c r="B642" s="101" t="str">
        <f aca="false">Equipos!D640</f>
        <v>Monitor Multiparámetros</v>
      </c>
      <c r="C642" s="101" t="str">
        <f aca="false">Equipos!E640</f>
        <v>Neonatología</v>
      </c>
      <c r="D642" s="101" t="n">
        <f aca="false">Equipos!G640</f>
        <v>0</v>
      </c>
      <c r="E642" s="101" t="str">
        <f aca="false">Equipos!I640</f>
        <v>Drager</v>
      </c>
      <c r="F642" s="101" t="str">
        <f aca="false">Equipos!J640</f>
        <v>Vista 120</v>
      </c>
      <c r="G642" s="100" t="str">
        <f aca="false">Equipos!K640</f>
        <v>VQSHD0103</v>
      </c>
      <c r="H642" s="101"/>
      <c r="I642" s="103" t="s">
        <v>330</v>
      </c>
      <c r="J642" s="103" t="s">
        <v>328</v>
      </c>
      <c r="K642" s="102"/>
      <c r="L642" s="102"/>
      <c r="M642" s="102"/>
      <c r="N642" s="102"/>
      <c r="O642" s="102"/>
      <c r="P642" s="102"/>
      <c r="Q642" s="102"/>
      <c r="R642" s="102"/>
      <c r="S642" s="102"/>
      <c r="T642" s="102"/>
      <c r="U642" s="101" t="n">
        <f aca="false">V642+W642+X642+COUNTIF(I642:T642,"R")</f>
        <v>2</v>
      </c>
      <c r="V642" s="101" t="n">
        <f aca="false">COUNTIF(I642:T642,"E")</f>
        <v>1</v>
      </c>
      <c r="W642" s="101" t="n">
        <f aca="false">COUNTIF(I642:T642,"X")</f>
        <v>0</v>
      </c>
      <c r="X642" s="101" t="n">
        <f aca="false">COUNTIF(I642:T642,"C2")+COUNTIF(I642:T642,"C3")</f>
        <v>0</v>
      </c>
      <c r="Y642" s="101" t="n">
        <f aca="true">SUMPRODUCT((I642:INDEX(I642:T642,MONTH(TODAY()))="X")*1)</f>
        <v>0</v>
      </c>
      <c r="Z642" s="104" t="n">
        <f aca="false">IFERROR(V642/U642,"")</f>
        <v>0.5</v>
      </c>
    </row>
    <row r="643" customFormat="false" ht="15" hidden="false" customHeight="true" outlineLevel="0" collapsed="false">
      <c r="A643" s="100" t="str">
        <f aca="false">Equipos!C641</f>
        <v>2-110838</v>
      </c>
      <c r="B643" s="101" t="str">
        <f aca="false">Equipos!D641</f>
        <v>Monitor Multiparámetros</v>
      </c>
      <c r="C643" s="101" t="str">
        <f aca="false">Equipos!E641</f>
        <v>Neonatología</v>
      </c>
      <c r="D643" s="101" t="n">
        <f aca="false">Equipos!G641</f>
        <v>0</v>
      </c>
      <c r="E643" s="101" t="str">
        <f aca="false">Equipos!I641</f>
        <v>Drager</v>
      </c>
      <c r="F643" s="101" t="str">
        <f aca="false">Equipos!J641</f>
        <v>Vista 120</v>
      </c>
      <c r="G643" s="100" t="str">
        <f aca="false">Equipos!K641</f>
        <v>VQSHD0120</v>
      </c>
      <c r="H643" s="101"/>
      <c r="I643" s="103" t="s">
        <v>330</v>
      </c>
      <c r="J643" s="103" t="s">
        <v>328</v>
      </c>
      <c r="K643" s="102"/>
      <c r="L643" s="102"/>
      <c r="M643" s="102"/>
      <c r="N643" s="102"/>
      <c r="O643" s="102"/>
      <c r="P643" s="102"/>
      <c r="Q643" s="102"/>
      <c r="R643" s="102"/>
      <c r="S643" s="102"/>
      <c r="T643" s="102"/>
      <c r="U643" s="101" t="n">
        <f aca="false">V643+W643+X643+COUNTIF(I643:T643,"R")</f>
        <v>2</v>
      </c>
      <c r="V643" s="101" t="n">
        <f aca="false">COUNTIF(I643:T643,"E")</f>
        <v>1</v>
      </c>
      <c r="W643" s="101" t="n">
        <f aca="false">COUNTIF(I643:T643,"X")</f>
        <v>0</v>
      </c>
      <c r="X643" s="101" t="n">
        <f aca="false">COUNTIF(I643:T643,"C2")+COUNTIF(I643:T643,"C3")</f>
        <v>0</v>
      </c>
      <c r="Y643" s="101" t="n">
        <f aca="true">SUMPRODUCT((I643:INDEX(I643:T643,MONTH(TODAY()))="X")*1)</f>
        <v>0</v>
      </c>
      <c r="Z643" s="104" t="n">
        <f aca="false">IFERROR(V643/U643,"")</f>
        <v>0.5</v>
      </c>
    </row>
    <row r="644" customFormat="false" ht="15" hidden="false" customHeight="true" outlineLevel="0" collapsed="false">
      <c r="A644" s="100" t="str">
        <f aca="false">Equipos!C642</f>
        <v>2-110834</v>
      </c>
      <c r="B644" s="101" t="str">
        <f aca="false">Equipos!D642</f>
        <v>Monitor Multiparámetros</v>
      </c>
      <c r="C644" s="101" t="str">
        <f aca="false">Equipos!E642</f>
        <v>Neonatología</v>
      </c>
      <c r="D644" s="101" t="n">
        <f aca="false">Equipos!G642</f>
        <v>0</v>
      </c>
      <c r="E644" s="101" t="str">
        <f aca="false">Equipos!I642</f>
        <v>Drager</v>
      </c>
      <c r="F644" s="101" t="str">
        <f aca="false">Equipos!J642</f>
        <v>Vista 120</v>
      </c>
      <c r="G644" s="100" t="str">
        <f aca="false">Equipos!K642</f>
        <v>VQSHD0122</v>
      </c>
      <c r="H644" s="101"/>
      <c r="I644" s="103" t="s">
        <v>330</v>
      </c>
      <c r="J644" s="103" t="s">
        <v>328</v>
      </c>
      <c r="K644" s="102"/>
      <c r="L644" s="102"/>
      <c r="M644" s="102"/>
      <c r="N644" s="102"/>
      <c r="O644" s="102"/>
      <c r="P644" s="102"/>
      <c r="Q644" s="102"/>
      <c r="R644" s="102"/>
      <c r="S644" s="102"/>
      <c r="T644" s="102"/>
      <c r="U644" s="101" t="n">
        <f aca="false">V644+W644+X644+COUNTIF(I644:T644,"R")</f>
        <v>2</v>
      </c>
      <c r="V644" s="101" t="n">
        <f aca="false">COUNTIF(I644:T644,"E")</f>
        <v>1</v>
      </c>
      <c r="W644" s="101" t="n">
        <f aca="false">COUNTIF(I644:T644,"X")</f>
        <v>0</v>
      </c>
      <c r="X644" s="101" t="n">
        <f aca="false">COUNTIF(I644:T644,"C2")+COUNTIF(I644:T644,"C3")</f>
        <v>0</v>
      </c>
      <c r="Y644" s="101" t="n">
        <f aca="true">SUMPRODUCT((I644:INDEX(I644:T644,MONTH(TODAY()))="X")*1)</f>
        <v>0</v>
      </c>
      <c r="Z644" s="104" t="n">
        <f aca="false">IFERROR(V644/U644,"")</f>
        <v>0.5</v>
      </c>
    </row>
    <row r="645" customFormat="false" ht="15" hidden="false" customHeight="true" outlineLevel="0" collapsed="false">
      <c r="A645" s="100" t="str">
        <f aca="false">Equipos!C643</f>
        <v>2-110828</v>
      </c>
      <c r="B645" s="101" t="str">
        <f aca="false">Equipos!D643</f>
        <v>Monitor Multiparámetros</v>
      </c>
      <c r="C645" s="101" t="str">
        <f aca="false">Equipos!E643</f>
        <v>Neonatología</v>
      </c>
      <c r="D645" s="101" t="n">
        <f aca="false">Equipos!G643</f>
        <v>0</v>
      </c>
      <c r="E645" s="101" t="str">
        <f aca="false">Equipos!I643</f>
        <v>Drager</v>
      </c>
      <c r="F645" s="101" t="str">
        <f aca="false">Equipos!J643</f>
        <v>Vista 120</v>
      </c>
      <c r="G645" s="100" t="str">
        <f aca="false">Equipos!K643</f>
        <v>VQSHD0124</v>
      </c>
      <c r="H645" s="101"/>
      <c r="I645" s="103" t="s">
        <v>330</v>
      </c>
      <c r="J645" s="103" t="s">
        <v>328</v>
      </c>
      <c r="K645" s="102"/>
      <c r="L645" s="102"/>
      <c r="M645" s="102"/>
      <c r="N645" s="102"/>
      <c r="O645" s="102"/>
      <c r="P645" s="102"/>
      <c r="Q645" s="102"/>
      <c r="R645" s="102"/>
      <c r="S645" s="102"/>
      <c r="T645" s="102"/>
      <c r="U645" s="101" t="n">
        <f aca="false">V645+W645+X645+COUNTIF(I645:T645,"R")</f>
        <v>2</v>
      </c>
      <c r="V645" s="101" t="n">
        <f aca="false">COUNTIF(I645:T645,"E")</f>
        <v>1</v>
      </c>
      <c r="W645" s="101" t="n">
        <f aca="false">COUNTIF(I645:T645,"X")</f>
        <v>0</v>
      </c>
      <c r="X645" s="101" t="n">
        <f aca="false">COUNTIF(I645:T645,"C2")+COUNTIF(I645:T645,"C3")</f>
        <v>0</v>
      </c>
      <c r="Y645" s="101" t="n">
        <f aca="true">SUMPRODUCT((I645:INDEX(I645:T645,MONTH(TODAY()))="X")*1)</f>
        <v>0</v>
      </c>
      <c r="Z645" s="104" t="n">
        <f aca="false">IFERROR(V645/U645,"")</f>
        <v>0.5</v>
      </c>
    </row>
    <row r="646" customFormat="false" ht="15" hidden="false" customHeight="true" outlineLevel="0" collapsed="false">
      <c r="A646" s="100" t="str">
        <f aca="false">Equipos!C644</f>
        <v>2-110842</v>
      </c>
      <c r="B646" s="101" t="str">
        <f aca="false">Equipos!D644</f>
        <v>Monitor Multiparámetros</v>
      </c>
      <c r="C646" s="101" t="str">
        <f aca="false">Equipos!E644</f>
        <v>Neonatología</v>
      </c>
      <c r="D646" s="101" t="n">
        <f aca="false">Equipos!G644</f>
        <v>0</v>
      </c>
      <c r="E646" s="101" t="str">
        <f aca="false">Equipos!I644</f>
        <v>Drager</v>
      </c>
      <c r="F646" s="101" t="str">
        <f aca="false">Equipos!J644</f>
        <v>Vista 120</v>
      </c>
      <c r="G646" s="100" t="str">
        <f aca="false">Equipos!K644</f>
        <v>VQSHD0127</v>
      </c>
      <c r="H646" s="101"/>
      <c r="I646" s="103" t="s">
        <v>330</v>
      </c>
      <c r="J646" s="103" t="s">
        <v>328</v>
      </c>
      <c r="K646" s="102"/>
      <c r="L646" s="102"/>
      <c r="M646" s="102"/>
      <c r="N646" s="102"/>
      <c r="O646" s="102"/>
      <c r="P646" s="102"/>
      <c r="Q646" s="102"/>
      <c r="R646" s="102"/>
      <c r="S646" s="102"/>
      <c r="T646" s="102"/>
      <c r="U646" s="101" t="n">
        <f aca="false">V646+W646+X646+COUNTIF(I646:T646,"R")</f>
        <v>2</v>
      </c>
      <c r="V646" s="101" t="n">
        <f aca="false">COUNTIF(I646:T646,"E")</f>
        <v>1</v>
      </c>
      <c r="W646" s="101" t="n">
        <f aca="false">COUNTIF(I646:T646,"X")</f>
        <v>0</v>
      </c>
      <c r="X646" s="101" t="n">
        <f aca="false">COUNTIF(I646:T646,"C2")+COUNTIF(I646:T646,"C3")</f>
        <v>0</v>
      </c>
      <c r="Y646" s="101" t="n">
        <f aca="true">SUMPRODUCT((I646:INDEX(I646:T646,MONTH(TODAY()))="X")*1)</f>
        <v>0</v>
      </c>
      <c r="Z646" s="104" t="n">
        <f aca="false">IFERROR(V646/U646,"")</f>
        <v>0.5</v>
      </c>
    </row>
    <row r="647" customFormat="false" ht="15" hidden="false" customHeight="true" outlineLevel="0" collapsed="false">
      <c r="A647" s="100" t="str">
        <f aca="false">Equipos!C645</f>
        <v>2-110945</v>
      </c>
      <c r="B647" s="101" t="str">
        <f aca="false">Equipos!D645</f>
        <v>Monitor Multiparámetros</v>
      </c>
      <c r="C647" s="101" t="str">
        <f aca="false">Equipos!E645</f>
        <v>Neonatología</v>
      </c>
      <c r="D647" s="101" t="n">
        <f aca="false">Equipos!G645</f>
        <v>0</v>
      </c>
      <c r="E647" s="101" t="str">
        <f aca="false">Equipos!I645</f>
        <v>Drager</v>
      </c>
      <c r="F647" s="101" t="str">
        <f aca="false">Equipos!J645</f>
        <v>Vista 120</v>
      </c>
      <c r="G647" s="100" t="str">
        <f aca="false">Equipos!K645</f>
        <v>VQSHD0130</v>
      </c>
      <c r="H647" s="101"/>
      <c r="I647" s="103" t="s">
        <v>330</v>
      </c>
      <c r="J647" s="103" t="s">
        <v>328</v>
      </c>
      <c r="K647" s="102"/>
      <c r="L647" s="102"/>
      <c r="M647" s="102"/>
      <c r="N647" s="102"/>
      <c r="O647" s="102"/>
      <c r="P647" s="102"/>
      <c r="Q647" s="102"/>
      <c r="R647" s="102"/>
      <c r="S647" s="102"/>
      <c r="T647" s="102"/>
      <c r="U647" s="101" t="n">
        <f aca="false">V647+W647+X647+COUNTIF(I647:T647,"R")</f>
        <v>2</v>
      </c>
      <c r="V647" s="101" t="n">
        <f aca="false">COUNTIF(I647:T647,"E")</f>
        <v>1</v>
      </c>
      <c r="W647" s="101" t="n">
        <f aca="false">COUNTIF(I647:T647,"X")</f>
        <v>0</v>
      </c>
      <c r="X647" s="101" t="n">
        <f aca="false">COUNTIF(I647:T647,"C2")+COUNTIF(I647:T647,"C3")</f>
        <v>0</v>
      </c>
      <c r="Y647" s="101" t="n">
        <f aca="true">SUMPRODUCT((I647:INDEX(I647:T647,MONTH(TODAY()))="X")*1)</f>
        <v>0</v>
      </c>
      <c r="Z647" s="104" t="n">
        <f aca="false">IFERROR(V647/U647,"")</f>
        <v>0.5</v>
      </c>
    </row>
    <row r="648" customFormat="false" ht="15" hidden="false" customHeight="true" outlineLevel="0" collapsed="false">
      <c r="A648" s="100" t="str">
        <f aca="false">Equipos!C646</f>
        <v>2-110829</v>
      </c>
      <c r="B648" s="101" t="str">
        <f aca="false">Equipos!D646</f>
        <v>Monitor Multiparámetros</v>
      </c>
      <c r="C648" s="101" t="str">
        <f aca="false">Equipos!E646</f>
        <v>Neonatología</v>
      </c>
      <c r="D648" s="101" t="n">
        <f aca="false">Equipos!G646</f>
        <v>0</v>
      </c>
      <c r="E648" s="101" t="str">
        <f aca="false">Equipos!I646</f>
        <v>Drager</v>
      </c>
      <c r="F648" s="101" t="str">
        <f aca="false">Equipos!J646</f>
        <v>Vista 120</v>
      </c>
      <c r="G648" s="100" t="str">
        <f aca="false">Equipos!K646</f>
        <v>VQSHD0133</v>
      </c>
      <c r="H648" s="101"/>
      <c r="I648" s="103" t="s">
        <v>330</v>
      </c>
      <c r="J648" s="103" t="s">
        <v>328</v>
      </c>
      <c r="K648" s="102"/>
      <c r="L648" s="102"/>
      <c r="M648" s="102"/>
      <c r="N648" s="102"/>
      <c r="O648" s="102"/>
      <c r="P648" s="102"/>
      <c r="Q648" s="102"/>
      <c r="R648" s="102"/>
      <c r="S648" s="102"/>
      <c r="T648" s="102"/>
      <c r="U648" s="101" t="n">
        <f aca="false">V648+W648+X648+COUNTIF(I648:T648,"R")</f>
        <v>2</v>
      </c>
      <c r="V648" s="101" t="n">
        <f aca="false">COUNTIF(I648:T648,"E")</f>
        <v>1</v>
      </c>
      <c r="W648" s="101" t="n">
        <f aca="false">COUNTIF(I648:T648,"X")</f>
        <v>0</v>
      </c>
      <c r="X648" s="101" t="n">
        <f aca="false">COUNTIF(I648:T648,"C2")+COUNTIF(I648:T648,"C3")</f>
        <v>0</v>
      </c>
      <c r="Y648" s="101" t="n">
        <f aca="true">SUMPRODUCT((I648:INDEX(I648:T648,MONTH(TODAY()))="X")*1)</f>
        <v>0</v>
      </c>
      <c r="Z648" s="104" t="n">
        <f aca="false">IFERROR(V648/U648,"")</f>
        <v>0.5</v>
      </c>
    </row>
    <row r="649" customFormat="false" ht="15" hidden="false" customHeight="true" outlineLevel="0" collapsed="false">
      <c r="A649" s="100" t="str">
        <f aca="false">Equipos!C647</f>
        <v>2-110836</v>
      </c>
      <c r="B649" s="101" t="str">
        <f aca="false">Equipos!D647</f>
        <v>Monitor Multiparámetros</v>
      </c>
      <c r="C649" s="101" t="str">
        <f aca="false">Equipos!E647</f>
        <v>Neonatología</v>
      </c>
      <c r="D649" s="101" t="n">
        <f aca="false">Equipos!G647</f>
        <v>0</v>
      </c>
      <c r="E649" s="101" t="str">
        <f aca="false">Equipos!I647</f>
        <v>Drager</v>
      </c>
      <c r="F649" s="101" t="str">
        <f aca="false">Equipos!J647</f>
        <v>Vista 120</v>
      </c>
      <c r="G649" s="100" t="str">
        <f aca="false">Equipos!K647</f>
        <v>VQSHD0146</v>
      </c>
      <c r="H649" s="101"/>
      <c r="I649" s="103" t="s">
        <v>330</v>
      </c>
      <c r="J649" s="103" t="s">
        <v>328</v>
      </c>
      <c r="K649" s="102"/>
      <c r="L649" s="102"/>
      <c r="M649" s="102"/>
      <c r="N649" s="102"/>
      <c r="O649" s="102"/>
      <c r="P649" s="102"/>
      <c r="Q649" s="102"/>
      <c r="R649" s="102"/>
      <c r="S649" s="102"/>
      <c r="T649" s="102"/>
      <c r="U649" s="101" t="n">
        <f aca="false">V649+W649+X649+COUNTIF(I649:T649,"R")</f>
        <v>2</v>
      </c>
      <c r="V649" s="101" t="n">
        <f aca="false">COUNTIF(I649:T649,"E")</f>
        <v>1</v>
      </c>
      <c r="W649" s="101" t="n">
        <f aca="false">COUNTIF(I649:T649,"X")</f>
        <v>0</v>
      </c>
      <c r="X649" s="101" t="n">
        <f aca="false">COUNTIF(I649:T649,"C2")+COUNTIF(I649:T649,"C3")</f>
        <v>0</v>
      </c>
      <c r="Y649" s="101" t="n">
        <f aca="true">SUMPRODUCT((I649:INDEX(I649:T649,MONTH(TODAY()))="X")*1)</f>
        <v>0</v>
      </c>
      <c r="Z649" s="104" t="n">
        <f aca="false">IFERROR(V649/U649,"")</f>
        <v>0.5</v>
      </c>
    </row>
    <row r="650" customFormat="false" ht="15" hidden="false" customHeight="true" outlineLevel="0" collapsed="false">
      <c r="A650" s="100" t="str">
        <f aca="false">Equipos!C648</f>
        <v>2-110942</v>
      </c>
      <c r="B650" s="101" t="str">
        <f aca="false">Equipos!D648</f>
        <v>Monitor Multiparámetros</v>
      </c>
      <c r="C650" s="101" t="str">
        <f aca="false">Equipos!E648</f>
        <v>Neonatología</v>
      </c>
      <c r="D650" s="101" t="n">
        <f aca="false">Equipos!G648</f>
        <v>0</v>
      </c>
      <c r="E650" s="101" t="str">
        <f aca="false">Equipos!I648</f>
        <v>Drager</v>
      </c>
      <c r="F650" s="101" t="str">
        <f aca="false">Equipos!J648</f>
        <v>Vista 120</v>
      </c>
      <c r="G650" s="100" t="str">
        <f aca="false">Equipos!K648</f>
        <v>VQSHD0152</v>
      </c>
      <c r="H650" s="101"/>
      <c r="I650" s="103" t="s">
        <v>330</v>
      </c>
      <c r="J650" s="103" t="s">
        <v>328</v>
      </c>
      <c r="K650" s="102"/>
      <c r="L650" s="102"/>
      <c r="M650" s="102"/>
      <c r="N650" s="102"/>
      <c r="O650" s="102"/>
      <c r="P650" s="102"/>
      <c r="Q650" s="102"/>
      <c r="R650" s="102"/>
      <c r="S650" s="102"/>
      <c r="T650" s="102"/>
      <c r="U650" s="101" t="n">
        <f aca="false">V650+W650+X650+COUNTIF(I650:T650,"R")</f>
        <v>2</v>
      </c>
      <c r="V650" s="101" t="n">
        <f aca="false">COUNTIF(I650:T650,"E")</f>
        <v>1</v>
      </c>
      <c r="W650" s="101" t="n">
        <f aca="false">COUNTIF(I650:T650,"X")</f>
        <v>0</v>
      </c>
      <c r="X650" s="101" t="n">
        <f aca="false">COUNTIF(I650:T650,"C2")+COUNTIF(I650:T650,"C3")</f>
        <v>0</v>
      </c>
      <c r="Y650" s="101" t="n">
        <f aca="true">SUMPRODUCT((I650:INDEX(I650:T650,MONTH(TODAY()))="X")*1)</f>
        <v>0</v>
      </c>
      <c r="Z650" s="104" t="n">
        <f aca="false">IFERROR(V650/U650,"")</f>
        <v>0.5</v>
      </c>
    </row>
    <row r="651" customFormat="false" ht="15" hidden="false" customHeight="true" outlineLevel="0" collapsed="false">
      <c r="A651" s="100" t="str">
        <f aca="false">Equipos!C649</f>
        <v>2-110943</v>
      </c>
      <c r="B651" s="101" t="str">
        <f aca="false">Equipos!D649</f>
        <v>Monitor Multiparámetros</v>
      </c>
      <c r="C651" s="101" t="str">
        <f aca="false">Equipos!E649</f>
        <v>Neonatología</v>
      </c>
      <c r="D651" s="101" t="n">
        <f aca="false">Equipos!G649</f>
        <v>0</v>
      </c>
      <c r="E651" s="101" t="str">
        <f aca="false">Equipos!I649</f>
        <v>Drager</v>
      </c>
      <c r="F651" s="101" t="str">
        <f aca="false">Equipos!J649</f>
        <v>Vista 120</v>
      </c>
      <c r="G651" s="100" t="str">
        <f aca="false">Equipos!K649</f>
        <v>VQSHD0154</v>
      </c>
      <c r="H651" s="101"/>
      <c r="I651" s="103" t="s">
        <v>330</v>
      </c>
      <c r="J651" s="103" t="s">
        <v>328</v>
      </c>
      <c r="K651" s="102"/>
      <c r="L651" s="102"/>
      <c r="M651" s="102"/>
      <c r="N651" s="102"/>
      <c r="O651" s="102"/>
      <c r="P651" s="102"/>
      <c r="Q651" s="102"/>
      <c r="R651" s="102"/>
      <c r="S651" s="102"/>
      <c r="T651" s="102"/>
      <c r="U651" s="101" t="n">
        <f aca="false">V651+W651+X651+COUNTIF(I651:T651,"R")</f>
        <v>2</v>
      </c>
      <c r="V651" s="101" t="n">
        <f aca="false">COUNTIF(I651:T651,"E")</f>
        <v>1</v>
      </c>
      <c r="W651" s="101" t="n">
        <f aca="false">COUNTIF(I651:T651,"X")</f>
        <v>0</v>
      </c>
      <c r="X651" s="101" t="n">
        <f aca="false">COUNTIF(I651:T651,"C2")+COUNTIF(I651:T651,"C3")</f>
        <v>0</v>
      </c>
      <c r="Y651" s="101" t="n">
        <f aca="true">SUMPRODUCT((I651:INDEX(I651:T651,MONTH(TODAY()))="X")*1)</f>
        <v>0</v>
      </c>
      <c r="Z651" s="104" t="n">
        <f aca="false">IFERROR(V651/U651,"")</f>
        <v>0.5</v>
      </c>
    </row>
    <row r="652" customFormat="false" ht="15" hidden="false" customHeight="true" outlineLevel="0" collapsed="false">
      <c r="A652" s="100" t="str">
        <f aca="false">Equipos!C650</f>
        <v>2-110947</v>
      </c>
      <c r="B652" s="101" t="str">
        <f aca="false">Equipos!D650</f>
        <v>Monitor Multiparámetros</v>
      </c>
      <c r="C652" s="101" t="str">
        <f aca="false">Equipos!E650</f>
        <v>Neonatología</v>
      </c>
      <c r="D652" s="101" t="n">
        <f aca="false">Equipos!G650</f>
        <v>0</v>
      </c>
      <c r="E652" s="101" t="str">
        <f aca="false">Equipos!I650</f>
        <v>Drager</v>
      </c>
      <c r="F652" s="101" t="str">
        <f aca="false">Equipos!J650</f>
        <v>Vista 120</v>
      </c>
      <c r="G652" s="100" t="str">
        <f aca="false">Equipos!K650</f>
        <v>VQSHD0158</v>
      </c>
      <c r="H652" s="101"/>
      <c r="I652" s="103" t="s">
        <v>330</v>
      </c>
      <c r="J652" s="103" t="s">
        <v>328</v>
      </c>
      <c r="K652" s="102"/>
      <c r="L652" s="102"/>
      <c r="M652" s="102"/>
      <c r="N652" s="102"/>
      <c r="O652" s="102"/>
      <c r="P652" s="102"/>
      <c r="Q652" s="102"/>
      <c r="R652" s="102"/>
      <c r="S652" s="102"/>
      <c r="T652" s="102"/>
      <c r="U652" s="101" t="n">
        <f aca="false">V652+W652+X652+COUNTIF(I652:T652,"R")</f>
        <v>2</v>
      </c>
      <c r="V652" s="101" t="n">
        <f aca="false">COUNTIF(I652:T652,"E")</f>
        <v>1</v>
      </c>
      <c r="W652" s="101" t="n">
        <f aca="false">COUNTIF(I652:T652,"X")</f>
        <v>0</v>
      </c>
      <c r="X652" s="101" t="n">
        <f aca="false">COUNTIF(I652:T652,"C2")+COUNTIF(I652:T652,"C3")</f>
        <v>0</v>
      </c>
      <c r="Y652" s="101" t="n">
        <f aca="true">SUMPRODUCT((I652:INDEX(I652:T652,MONTH(TODAY()))="X")*1)</f>
        <v>0</v>
      </c>
      <c r="Z652" s="104" t="n">
        <f aca="false">IFERROR(V652/U652,"")</f>
        <v>0.5</v>
      </c>
    </row>
    <row r="653" customFormat="false" ht="15" hidden="false" customHeight="true" outlineLevel="0" collapsed="false">
      <c r="A653" s="100" t="str">
        <f aca="false">Equipos!C651</f>
        <v>2-110837</v>
      </c>
      <c r="B653" s="101" t="str">
        <f aca="false">Equipos!D651</f>
        <v>Monitor Multiparámetros</v>
      </c>
      <c r="C653" s="101" t="str">
        <f aca="false">Equipos!E651</f>
        <v>Neonatología</v>
      </c>
      <c r="D653" s="101" t="n">
        <f aca="false">Equipos!G651</f>
        <v>0</v>
      </c>
      <c r="E653" s="101" t="str">
        <f aca="false">Equipos!I651</f>
        <v>Drager</v>
      </c>
      <c r="F653" s="101" t="str">
        <f aca="false">Equipos!J651</f>
        <v>Vista 120</v>
      </c>
      <c r="G653" s="100" t="str">
        <f aca="false">Equipos!K651</f>
        <v>VQSHD0160</v>
      </c>
      <c r="H653" s="101"/>
      <c r="I653" s="103" t="s">
        <v>330</v>
      </c>
      <c r="J653" s="103" t="s">
        <v>328</v>
      </c>
      <c r="K653" s="102"/>
      <c r="L653" s="102"/>
      <c r="M653" s="102"/>
      <c r="N653" s="102"/>
      <c r="O653" s="102"/>
      <c r="P653" s="102"/>
      <c r="Q653" s="102"/>
      <c r="R653" s="102"/>
      <c r="S653" s="102"/>
      <c r="T653" s="102"/>
      <c r="U653" s="101" t="n">
        <f aca="false">V653+W653+X653+COUNTIF(I653:T653,"R")</f>
        <v>2</v>
      </c>
      <c r="V653" s="101" t="n">
        <f aca="false">COUNTIF(I653:T653,"E")</f>
        <v>1</v>
      </c>
      <c r="W653" s="101" t="n">
        <f aca="false">COUNTIF(I653:T653,"X")</f>
        <v>0</v>
      </c>
      <c r="X653" s="101" t="n">
        <f aca="false">COUNTIF(I653:T653,"C2")+COUNTIF(I653:T653,"C3")</f>
        <v>0</v>
      </c>
      <c r="Y653" s="101" t="n">
        <f aca="true">SUMPRODUCT((I653:INDEX(I653:T653,MONTH(TODAY()))="X")*1)</f>
        <v>0</v>
      </c>
      <c r="Z653" s="104" t="n">
        <f aca="false">IFERROR(V653/U653,"")</f>
        <v>0.5</v>
      </c>
    </row>
    <row r="654" customFormat="false" ht="15" hidden="false" customHeight="true" outlineLevel="0" collapsed="false">
      <c r="A654" s="100" t="str">
        <f aca="false">Equipos!C652</f>
        <v>2-110832</v>
      </c>
      <c r="B654" s="101" t="str">
        <f aca="false">Equipos!D652</f>
        <v>Monitor Multiparámetros</v>
      </c>
      <c r="C654" s="101" t="str">
        <f aca="false">Equipos!E652</f>
        <v>Neonatología</v>
      </c>
      <c r="D654" s="101" t="n">
        <f aca="false">Equipos!G652</f>
        <v>0</v>
      </c>
      <c r="E654" s="101" t="str">
        <f aca="false">Equipos!I652</f>
        <v>Drager</v>
      </c>
      <c r="F654" s="101" t="str">
        <f aca="false">Equipos!J652</f>
        <v>Vista 120</v>
      </c>
      <c r="G654" s="100" t="str">
        <f aca="false">Equipos!K652</f>
        <v>VQSHD0166</v>
      </c>
      <c r="H654" s="101"/>
      <c r="I654" s="103" t="s">
        <v>330</v>
      </c>
      <c r="J654" s="103" t="s">
        <v>328</v>
      </c>
      <c r="K654" s="102"/>
      <c r="L654" s="102"/>
      <c r="M654" s="102"/>
      <c r="N654" s="102"/>
      <c r="O654" s="102"/>
      <c r="P654" s="102"/>
      <c r="Q654" s="102"/>
      <c r="R654" s="102"/>
      <c r="S654" s="102"/>
      <c r="T654" s="102"/>
      <c r="U654" s="101" t="n">
        <f aca="false">V654+W654+X654+COUNTIF(I654:T654,"R")</f>
        <v>2</v>
      </c>
      <c r="V654" s="101" t="n">
        <f aca="false">COUNTIF(I654:T654,"E")</f>
        <v>1</v>
      </c>
      <c r="W654" s="101" t="n">
        <f aca="false">COUNTIF(I654:T654,"X")</f>
        <v>0</v>
      </c>
      <c r="X654" s="101" t="n">
        <f aca="false">COUNTIF(I654:T654,"C2")+COUNTIF(I654:T654,"C3")</f>
        <v>0</v>
      </c>
      <c r="Y654" s="101" t="n">
        <f aca="true">SUMPRODUCT((I654:INDEX(I654:T654,MONTH(TODAY()))="X")*1)</f>
        <v>0</v>
      </c>
      <c r="Z654" s="104" t="n">
        <f aca="false">IFERROR(V654/U654,"")</f>
        <v>0.5</v>
      </c>
    </row>
    <row r="655" customFormat="false" ht="15" hidden="false" customHeight="true" outlineLevel="0" collapsed="false">
      <c r="A655" s="100" t="str">
        <f aca="false">Equipos!C653</f>
        <v>2-110840</v>
      </c>
      <c r="B655" s="101" t="str">
        <f aca="false">Equipos!D653</f>
        <v>Monitor Multiparámetros</v>
      </c>
      <c r="C655" s="101" t="str">
        <f aca="false">Equipos!E653</f>
        <v>Neonatología</v>
      </c>
      <c r="D655" s="101" t="n">
        <f aca="false">Equipos!G653</f>
        <v>0</v>
      </c>
      <c r="E655" s="101" t="str">
        <f aca="false">Equipos!I653</f>
        <v>Drager</v>
      </c>
      <c r="F655" s="101" t="str">
        <f aca="false">Equipos!J653</f>
        <v>Vista 120</v>
      </c>
      <c r="G655" s="100" t="str">
        <f aca="false">Equipos!K653</f>
        <v>VQSHD0169</v>
      </c>
      <c r="H655" s="101"/>
      <c r="I655" s="103" t="s">
        <v>330</v>
      </c>
      <c r="J655" s="103" t="s">
        <v>328</v>
      </c>
      <c r="K655" s="102"/>
      <c r="L655" s="102"/>
      <c r="M655" s="102"/>
      <c r="N655" s="102"/>
      <c r="O655" s="102"/>
      <c r="P655" s="102"/>
      <c r="Q655" s="102"/>
      <c r="R655" s="102"/>
      <c r="S655" s="102"/>
      <c r="T655" s="102"/>
      <c r="U655" s="101" t="n">
        <f aca="false">V655+W655+X655+COUNTIF(I655:T655,"R")</f>
        <v>2</v>
      </c>
      <c r="V655" s="101" t="n">
        <f aca="false">COUNTIF(I655:T655,"E")</f>
        <v>1</v>
      </c>
      <c r="W655" s="101" t="n">
        <f aca="false">COUNTIF(I655:T655,"X")</f>
        <v>0</v>
      </c>
      <c r="X655" s="101" t="n">
        <f aca="false">COUNTIF(I655:T655,"C2")+COUNTIF(I655:T655,"C3")</f>
        <v>0</v>
      </c>
      <c r="Y655" s="101" t="n">
        <f aca="true">SUMPRODUCT((I655:INDEX(I655:T655,MONTH(TODAY()))="X")*1)</f>
        <v>0</v>
      </c>
      <c r="Z655" s="104" t="n">
        <f aca="false">IFERROR(V655/U655,"")</f>
        <v>0.5</v>
      </c>
    </row>
    <row r="656" customFormat="false" ht="15" hidden="false" customHeight="true" outlineLevel="0" collapsed="false">
      <c r="A656" s="100" t="str">
        <f aca="false">Equipos!C654</f>
        <v>2-110833</v>
      </c>
      <c r="B656" s="101" t="str">
        <f aca="false">Equipos!D654</f>
        <v>Monitor Multiparámetros</v>
      </c>
      <c r="C656" s="101" t="str">
        <f aca="false">Equipos!E654</f>
        <v>Neonatología</v>
      </c>
      <c r="D656" s="101" t="n">
        <f aca="false">Equipos!G654</f>
        <v>0</v>
      </c>
      <c r="E656" s="101" t="str">
        <f aca="false">Equipos!I654</f>
        <v>Drager</v>
      </c>
      <c r="F656" s="101" t="str">
        <f aca="false">Equipos!J654</f>
        <v>Vista 120</v>
      </c>
      <c r="G656" s="100" t="str">
        <f aca="false">Equipos!K654</f>
        <v>VQSHD0170</v>
      </c>
      <c r="H656" s="101"/>
      <c r="I656" s="103" t="s">
        <v>330</v>
      </c>
      <c r="J656" s="103" t="s">
        <v>328</v>
      </c>
      <c r="K656" s="102"/>
      <c r="L656" s="102"/>
      <c r="M656" s="102"/>
      <c r="N656" s="102"/>
      <c r="O656" s="102"/>
      <c r="P656" s="102"/>
      <c r="Q656" s="102"/>
      <c r="R656" s="102"/>
      <c r="S656" s="102"/>
      <c r="T656" s="102"/>
      <c r="U656" s="101" t="n">
        <f aca="false">V656+W656+X656+COUNTIF(I656:T656,"R")</f>
        <v>2</v>
      </c>
      <c r="V656" s="101" t="n">
        <f aca="false">COUNTIF(I656:T656,"E")</f>
        <v>1</v>
      </c>
      <c r="W656" s="101" t="n">
        <f aca="false">COUNTIF(I656:T656,"X")</f>
        <v>0</v>
      </c>
      <c r="X656" s="101" t="n">
        <f aca="false">COUNTIF(I656:T656,"C2")+COUNTIF(I656:T656,"C3")</f>
        <v>0</v>
      </c>
      <c r="Y656" s="101" t="n">
        <f aca="true">SUMPRODUCT((I656:INDEX(I656:T656,MONTH(TODAY()))="X")*1)</f>
        <v>0</v>
      </c>
      <c r="Z656" s="104" t="n">
        <f aca="false">IFERROR(V656/U656,"")</f>
        <v>0.5</v>
      </c>
    </row>
    <row r="657" customFormat="false" ht="15" hidden="false" customHeight="true" outlineLevel="0" collapsed="false">
      <c r="A657" s="100" t="str">
        <f aca="false">Equipos!C655</f>
        <v>2-110839</v>
      </c>
      <c r="B657" s="101" t="str">
        <f aca="false">Equipos!D655</f>
        <v>Monitor Multiparámetros</v>
      </c>
      <c r="C657" s="101" t="str">
        <f aca="false">Equipos!E655</f>
        <v>Neonatología</v>
      </c>
      <c r="D657" s="101" t="n">
        <f aca="false">Equipos!G655</f>
        <v>0</v>
      </c>
      <c r="E657" s="101" t="str">
        <f aca="false">Equipos!I655</f>
        <v>Drager</v>
      </c>
      <c r="F657" s="101" t="str">
        <f aca="false">Equipos!J655</f>
        <v>Vista 120</v>
      </c>
      <c r="G657" s="100" t="str">
        <f aca="false">Equipos!K655</f>
        <v>VQSHD0171</v>
      </c>
      <c r="H657" s="101"/>
      <c r="I657" s="103" t="s">
        <v>330</v>
      </c>
      <c r="J657" s="103" t="s">
        <v>328</v>
      </c>
      <c r="K657" s="102"/>
      <c r="L657" s="102"/>
      <c r="M657" s="102"/>
      <c r="N657" s="102"/>
      <c r="O657" s="102"/>
      <c r="P657" s="102"/>
      <c r="Q657" s="102"/>
      <c r="R657" s="102"/>
      <c r="S657" s="102"/>
      <c r="T657" s="102"/>
      <c r="U657" s="101" t="n">
        <f aca="false">V657+W657+X657+COUNTIF(I657:T657,"R")</f>
        <v>2</v>
      </c>
      <c r="V657" s="101" t="n">
        <f aca="false">COUNTIF(I657:T657,"E")</f>
        <v>1</v>
      </c>
      <c r="W657" s="101" t="n">
        <f aca="false">COUNTIF(I657:T657,"X")</f>
        <v>0</v>
      </c>
      <c r="X657" s="101" t="n">
        <f aca="false">COUNTIF(I657:T657,"C2")+COUNTIF(I657:T657,"C3")</f>
        <v>0</v>
      </c>
      <c r="Y657" s="101" t="n">
        <f aca="true">SUMPRODUCT((I657:INDEX(I657:T657,MONTH(TODAY()))="X")*1)</f>
        <v>0</v>
      </c>
      <c r="Z657" s="104" t="n">
        <f aca="false">IFERROR(V657/U657,"")</f>
        <v>0.5</v>
      </c>
    </row>
    <row r="658" customFormat="false" ht="15" hidden="false" customHeight="true" outlineLevel="0" collapsed="false">
      <c r="A658" s="100" t="str">
        <f aca="false">Equipos!C656</f>
        <v>2-110841</v>
      </c>
      <c r="B658" s="101" t="str">
        <f aca="false">Equipos!D656</f>
        <v>Monitor Multiparámetros</v>
      </c>
      <c r="C658" s="101" t="str">
        <f aca="false">Equipos!E656</f>
        <v>Neonatología</v>
      </c>
      <c r="D658" s="101" t="n">
        <f aca="false">Equipos!G656</f>
        <v>0</v>
      </c>
      <c r="E658" s="101" t="str">
        <f aca="false">Equipos!I656</f>
        <v>Drager</v>
      </c>
      <c r="F658" s="101" t="str">
        <f aca="false">Equipos!J656</f>
        <v>Vista 120</v>
      </c>
      <c r="G658" s="100" t="str">
        <f aca="false">Equipos!K656</f>
        <v>VQSHD0173</v>
      </c>
      <c r="H658" s="101"/>
      <c r="I658" s="103" t="s">
        <v>330</v>
      </c>
      <c r="J658" s="103" t="s">
        <v>328</v>
      </c>
      <c r="K658" s="102"/>
      <c r="L658" s="102"/>
      <c r="M658" s="102"/>
      <c r="N658" s="102"/>
      <c r="O658" s="102"/>
      <c r="P658" s="102"/>
      <c r="Q658" s="102"/>
      <c r="R658" s="102"/>
      <c r="S658" s="102"/>
      <c r="T658" s="102"/>
      <c r="U658" s="101" t="n">
        <f aca="false">V658+W658+X658+COUNTIF(I658:T658,"R")</f>
        <v>2</v>
      </c>
      <c r="V658" s="101" t="n">
        <f aca="false">COUNTIF(I658:T658,"E")</f>
        <v>1</v>
      </c>
      <c r="W658" s="101" t="n">
        <f aca="false">COUNTIF(I658:T658,"X")</f>
        <v>0</v>
      </c>
      <c r="X658" s="101" t="n">
        <f aca="false">COUNTIF(I658:T658,"C2")+COUNTIF(I658:T658,"C3")</f>
        <v>0</v>
      </c>
      <c r="Y658" s="101" t="n">
        <f aca="true">SUMPRODUCT((I658:INDEX(I658:T658,MONTH(TODAY()))="X")*1)</f>
        <v>0</v>
      </c>
      <c r="Z658" s="104" t="n">
        <f aca="false">IFERROR(V658/U658,"")</f>
        <v>0.5</v>
      </c>
    </row>
    <row r="659" customFormat="false" ht="15" hidden="false" customHeight="true" outlineLevel="0" collapsed="false">
      <c r="A659" s="100" t="str">
        <f aca="false">Equipos!C657</f>
        <v>2-110835</v>
      </c>
      <c r="B659" s="101" t="str">
        <f aca="false">Equipos!D657</f>
        <v>Monitor Multiparámetros</v>
      </c>
      <c r="C659" s="101" t="str">
        <f aca="false">Equipos!E657</f>
        <v>Neonatología</v>
      </c>
      <c r="D659" s="101" t="n">
        <f aca="false">Equipos!G657</f>
        <v>0</v>
      </c>
      <c r="E659" s="101" t="str">
        <f aca="false">Equipos!I657</f>
        <v>Drager</v>
      </c>
      <c r="F659" s="101" t="str">
        <f aca="false">Equipos!J657</f>
        <v>Vista 120</v>
      </c>
      <c r="G659" s="100" t="str">
        <f aca="false">Equipos!K657</f>
        <v>VQSHD0174</v>
      </c>
      <c r="H659" s="101"/>
      <c r="I659" s="103" t="s">
        <v>330</v>
      </c>
      <c r="J659" s="103" t="s">
        <v>328</v>
      </c>
      <c r="K659" s="102"/>
      <c r="L659" s="102"/>
      <c r="M659" s="102"/>
      <c r="N659" s="102"/>
      <c r="O659" s="102"/>
      <c r="P659" s="102"/>
      <c r="Q659" s="102"/>
      <c r="R659" s="102"/>
      <c r="S659" s="102"/>
      <c r="T659" s="102"/>
      <c r="U659" s="101" t="n">
        <f aca="false">V659+W659+X659+COUNTIF(I659:T659,"R")</f>
        <v>2</v>
      </c>
      <c r="V659" s="101" t="n">
        <f aca="false">COUNTIF(I659:T659,"E")</f>
        <v>1</v>
      </c>
      <c r="W659" s="101" t="n">
        <f aca="false">COUNTIF(I659:T659,"X")</f>
        <v>0</v>
      </c>
      <c r="X659" s="101" t="n">
        <f aca="false">COUNTIF(I659:T659,"C2")+COUNTIF(I659:T659,"C3")</f>
        <v>0</v>
      </c>
      <c r="Y659" s="101" t="n">
        <f aca="true">SUMPRODUCT((I659:INDEX(I659:T659,MONTH(TODAY()))="X")*1)</f>
        <v>0</v>
      </c>
      <c r="Z659" s="104" t="n">
        <f aca="false">IFERROR(V659/U659,"")</f>
        <v>0.5</v>
      </c>
    </row>
    <row r="660" customFormat="false" ht="15" hidden="false" customHeight="true" outlineLevel="0" collapsed="false">
      <c r="A660" s="100" t="str">
        <f aca="false">Equipos!C658</f>
        <v>2-110944</v>
      </c>
      <c r="B660" s="101" t="str">
        <f aca="false">Equipos!D658</f>
        <v>Monitor Multiparámetros</v>
      </c>
      <c r="C660" s="101" t="str">
        <f aca="false">Equipos!E658</f>
        <v>Neonatología</v>
      </c>
      <c r="D660" s="101" t="n">
        <f aca="false">Equipos!G658</f>
        <v>0</v>
      </c>
      <c r="E660" s="101" t="str">
        <f aca="false">Equipos!I658</f>
        <v>Drager</v>
      </c>
      <c r="F660" s="101" t="str">
        <f aca="false">Equipos!J658</f>
        <v>Vista 120</v>
      </c>
      <c r="G660" s="100" t="str">
        <f aca="false">Equipos!K658</f>
        <v>VQSHD0194</v>
      </c>
      <c r="H660" s="101"/>
      <c r="I660" s="103" t="s">
        <v>330</v>
      </c>
      <c r="J660" s="103" t="s">
        <v>328</v>
      </c>
      <c r="K660" s="102"/>
      <c r="L660" s="102"/>
      <c r="M660" s="102"/>
      <c r="N660" s="102"/>
      <c r="O660" s="102"/>
      <c r="P660" s="102"/>
      <c r="Q660" s="102"/>
      <c r="R660" s="102"/>
      <c r="S660" s="102"/>
      <c r="T660" s="102"/>
      <c r="U660" s="101" t="n">
        <f aca="false">V660+W660+X660+COUNTIF(I660:T660,"R")</f>
        <v>2</v>
      </c>
      <c r="V660" s="101" t="n">
        <f aca="false">COUNTIF(I660:T660,"E")</f>
        <v>1</v>
      </c>
      <c r="W660" s="101" t="n">
        <f aca="false">COUNTIF(I660:T660,"X")</f>
        <v>0</v>
      </c>
      <c r="X660" s="101" t="n">
        <f aca="false">COUNTIF(I660:T660,"C2")+COUNTIF(I660:T660,"C3")</f>
        <v>0</v>
      </c>
      <c r="Y660" s="101" t="n">
        <f aca="true">SUMPRODUCT((I660:INDEX(I660:T660,MONTH(TODAY()))="X")*1)</f>
        <v>0</v>
      </c>
      <c r="Z660" s="104" t="n">
        <f aca="false">IFERROR(V660/U660,"")</f>
        <v>0.5</v>
      </c>
    </row>
    <row r="661" customFormat="false" ht="15" hidden="false" customHeight="true" outlineLevel="0" collapsed="false">
      <c r="A661" s="100" t="str">
        <f aca="false">Equipos!C659</f>
        <v>2-110844</v>
      </c>
      <c r="B661" s="101" t="str">
        <f aca="false">Equipos!D659</f>
        <v>Monitor Multiparámetros</v>
      </c>
      <c r="C661" s="101" t="str">
        <f aca="false">Equipos!E659</f>
        <v>Neonatología</v>
      </c>
      <c r="D661" s="101" t="n">
        <f aca="false">Equipos!G659</f>
        <v>0</v>
      </c>
      <c r="E661" s="101" t="str">
        <f aca="false">Equipos!I659</f>
        <v>Drager</v>
      </c>
      <c r="F661" s="101" t="str">
        <f aca="false">Equipos!J659</f>
        <v>Vista 120</v>
      </c>
      <c r="G661" s="100" t="str">
        <f aca="false">Equipos!K659</f>
        <v>VQSHD0197</v>
      </c>
      <c r="H661" s="101"/>
      <c r="I661" s="103" t="s">
        <v>330</v>
      </c>
      <c r="J661" s="103" t="s">
        <v>328</v>
      </c>
      <c r="K661" s="102"/>
      <c r="L661" s="102"/>
      <c r="M661" s="102"/>
      <c r="N661" s="102"/>
      <c r="O661" s="102"/>
      <c r="P661" s="102"/>
      <c r="Q661" s="102"/>
      <c r="R661" s="102"/>
      <c r="S661" s="102"/>
      <c r="T661" s="102"/>
      <c r="U661" s="101" t="n">
        <f aca="false">V661+W661+X661+COUNTIF(I661:T661,"R")</f>
        <v>2</v>
      </c>
      <c r="V661" s="101" t="n">
        <f aca="false">COUNTIF(I661:T661,"E")</f>
        <v>1</v>
      </c>
      <c r="W661" s="101" t="n">
        <f aca="false">COUNTIF(I661:T661,"X")</f>
        <v>0</v>
      </c>
      <c r="X661" s="101" t="n">
        <f aca="false">COUNTIF(I661:T661,"C2")+COUNTIF(I661:T661,"C3")</f>
        <v>0</v>
      </c>
      <c r="Y661" s="101" t="n">
        <f aca="true">SUMPRODUCT((I661:INDEX(I661:T661,MONTH(TODAY()))="X")*1)</f>
        <v>0</v>
      </c>
      <c r="Z661" s="104" t="n">
        <f aca="false">IFERROR(V661/U661,"")</f>
        <v>0.5</v>
      </c>
    </row>
    <row r="662" customFormat="false" ht="15" hidden="false" customHeight="true" outlineLevel="0" collapsed="false">
      <c r="A662" s="100" t="str">
        <f aca="false">Equipos!C660</f>
        <v>2-110830</v>
      </c>
      <c r="B662" s="101" t="str">
        <f aca="false">Equipos!D660</f>
        <v>Monitor Multiparámetros</v>
      </c>
      <c r="C662" s="101" t="str">
        <f aca="false">Equipos!E660</f>
        <v>Neonatología</v>
      </c>
      <c r="D662" s="101" t="n">
        <f aca="false">Equipos!G660</f>
        <v>0</v>
      </c>
      <c r="E662" s="101" t="str">
        <f aca="false">Equipos!I660</f>
        <v>Drager</v>
      </c>
      <c r="F662" s="101" t="str">
        <f aca="false">Equipos!J660</f>
        <v>Vista 120</v>
      </c>
      <c r="G662" s="100" t="str">
        <f aca="false">Equipos!K660</f>
        <v>VQSHD0226</v>
      </c>
      <c r="H662" s="101"/>
      <c r="I662" s="103" t="s">
        <v>330</v>
      </c>
      <c r="J662" s="103" t="s">
        <v>328</v>
      </c>
      <c r="K662" s="102"/>
      <c r="L662" s="102"/>
      <c r="M662" s="102"/>
      <c r="N662" s="102"/>
      <c r="O662" s="102"/>
      <c r="P662" s="102"/>
      <c r="Q662" s="102"/>
      <c r="R662" s="102"/>
      <c r="S662" s="102"/>
      <c r="T662" s="102"/>
      <c r="U662" s="101" t="n">
        <f aca="false">V662+W662+X662+COUNTIF(I662:T662,"R")</f>
        <v>2</v>
      </c>
      <c r="V662" s="101" t="n">
        <f aca="false">COUNTIF(I662:T662,"E")</f>
        <v>1</v>
      </c>
      <c r="W662" s="101" t="n">
        <f aca="false">COUNTIF(I662:T662,"X")</f>
        <v>0</v>
      </c>
      <c r="X662" s="101" t="n">
        <f aca="false">COUNTIF(I662:T662,"C2")+COUNTIF(I662:T662,"C3")</f>
        <v>0</v>
      </c>
      <c r="Y662" s="101" t="n">
        <f aca="true">SUMPRODUCT((I662:INDEX(I662:T662,MONTH(TODAY()))="X")*1)</f>
        <v>0</v>
      </c>
      <c r="Z662" s="104" t="n">
        <f aca="false">IFERROR(V662/U662,"")</f>
        <v>0.5</v>
      </c>
    </row>
    <row r="663" customFormat="false" ht="15" hidden="false" customHeight="true" outlineLevel="0" collapsed="false">
      <c r="A663" s="100" t="str">
        <f aca="false">Equipos!C661</f>
        <v>2-110946</v>
      </c>
      <c r="B663" s="101" t="str">
        <f aca="false">Equipos!D661</f>
        <v>Monitor Multiparámetros</v>
      </c>
      <c r="C663" s="101" t="str">
        <f aca="false">Equipos!E661</f>
        <v>Neonatología</v>
      </c>
      <c r="D663" s="101" t="n">
        <f aca="false">Equipos!G661</f>
        <v>0</v>
      </c>
      <c r="E663" s="101" t="str">
        <f aca="false">Equipos!I661</f>
        <v>Drager</v>
      </c>
      <c r="F663" s="101" t="str">
        <f aca="false">Equipos!J661</f>
        <v>Vista 120</v>
      </c>
      <c r="G663" s="100" t="str">
        <f aca="false">Equipos!K661</f>
        <v>VQSHD0233</v>
      </c>
      <c r="H663" s="101"/>
      <c r="I663" s="103" t="s">
        <v>330</v>
      </c>
      <c r="J663" s="103" t="s">
        <v>328</v>
      </c>
      <c r="K663" s="102"/>
      <c r="L663" s="102"/>
      <c r="M663" s="102"/>
      <c r="N663" s="102"/>
      <c r="O663" s="102"/>
      <c r="P663" s="102"/>
      <c r="Q663" s="102"/>
      <c r="R663" s="102"/>
      <c r="S663" s="102"/>
      <c r="T663" s="102"/>
      <c r="U663" s="101" t="n">
        <f aca="false">V663+W663+X663+COUNTIF(I663:T663,"R")</f>
        <v>2</v>
      </c>
      <c r="V663" s="101" t="n">
        <f aca="false">COUNTIF(I663:T663,"E")</f>
        <v>1</v>
      </c>
      <c r="W663" s="101" t="n">
        <f aca="false">COUNTIF(I663:T663,"X")</f>
        <v>0</v>
      </c>
      <c r="X663" s="101" t="n">
        <f aca="false">COUNTIF(I663:T663,"C2")+COUNTIF(I663:T663,"C3")</f>
        <v>0</v>
      </c>
      <c r="Y663" s="101" t="n">
        <f aca="true">SUMPRODUCT((I663:INDEX(I663:T663,MONTH(TODAY()))="X")*1)</f>
        <v>0</v>
      </c>
      <c r="Z663" s="104" t="n">
        <f aca="false">IFERROR(V663/U663,"")</f>
        <v>0.5</v>
      </c>
    </row>
    <row r="664" customFormat="false" ht="15" hidden="false" customHeight="true" outlineLevel="0" collapsed="false">
      <c r="A664" s="100" t="str">
        <f aca="false">Equipos!C662</f>
        <v>2-110941</v>
      </c>
      <c r="B664" s="101" t="str">
        <f aca="false">Equipos!D662</f>
        <v>Monitor Multiparámetros</v>
      </c>
      <c r="C664" s="101" t="str">
        <f aca="false">Equipos!E662</f>
        <v>Neonatología</v>
      </c>
      <c r="D664" s="101" t="n">
        <f aca="false">Equipos!G662</f>
        <v>0</v>
      </c>
      <c r="E664" s="101" t="str">
        <f aca="false">Equipos!I662</f>
        <v>Drager</v>
      </c>
      <c r="F664" s="101" t="str">
        <f aca="false">Equipos!J662</f>
        <v>Vista 120</v>
      </c>
      <c r="G664" s="100" t="str">
        <f aca="false">Equipos!K662</f>
        <v>VQSHD0234</v>
      </c>
      <c r="H664" s="101"/>
      <c r="I664" s="103" t="s">
        <v>330</v>
      </c>
      <c r="J664" s="103" t="s">
        <v>328</v>
      </c>
      <c r="K664" s="102"/>
      <c r="L664" s="102"/>
      <c r="M664" s="102"/>
      <c r="N664" s="102"/>
      <c r="O664" s="102"/>
      <c r="P664" s="102"/>
      <c r="Q664" s="102"/>
      <c r="R664" s="102"/>
      <c r="S664" s="102"/>
      <c r="T664" s="102"/>
      <c r="U664" s="101" t="n">
        <f aca="false">V664+W664+X664+COUNTIF(I664:T664,"R")</f>
        <v>2</v>
      </c>
      <c r="V664" s="101" t="n">
        <f aca="false">COUNTIF(I664:T664,"E")</f>
        <v>1</v>
      </c>
      <c r="W664" s="101" t="n">
        <f aca="false">COUNTIF(I664:T664,"X")</f>
        <v>0</v>
      </c>
      <c r="X664" s="101" t="n">
        <f aca="false">COUNTIF(I664:T664,"C2")+COUNTIF(I664:T664,"C3")</f>
        <v>0</v>
      </c>
      <c r="Y664" s="101" t="n">
        <f aca="true">SUMPRODUCT((I664:INDEX(I664:T664,MONTH(TODAY()))="X")*1)</f>
        <v>0</v>
      </c>
      <c r="Z664" s="104" t="n">
        <f aca="false">IFERROR(V664/U664,"")</f>
        <v>0.5</v>
      </c>
    </row>
    <row r="665" customFormat="false" ht="15" hidden="false" customHeight="true" outlineLevel="0" collapsed="false">
      <c r="A665" s="100" t="str">
        <f aca="false">Equipos!C663</f>
        <v>2-013520</v>
      </c>
      <c r="B665" s="101" t="str">
        <f aca="false">Equipos!D663</f>
        <v>Monitor Multiparámetros</v>
      </c>
      <c r="C665" s="101" t="str">
        <f aca="false">Equipos!E663</f>
        <v>UPC Cardiovascular (Prestado a Medicina)</v>
      </c>
      <c r="D665" s="101" t="n">
        <f aca="false">Equipos!G663</f>
        <v>0</v>
      </c>
      <c r="E665" s="101" t="str">
        <f aca="false">Equipos!I663</f>
        <v>Drager</v>
      </c>
      <c r="F665" s="101" t="str">
        <f aca="false">Equipos!J663</f>
        <v>Vista 120</v>
      </c>
      <c r="G665" s="100" t="str">
        <f aca="false">Equipos!K663</f>
        <v>VTSHD0021</v>
      </c>
      <c r="H665" s="101"/>
      <c r="I665" s="102"/>
      <c r="J665" s="103" t="s">
        <v>328</v>
      </c>
      <c r="K665" s="102"/>
      <c r="L665" s="102"/>
      <c r="M665" s="102"/>
      <c r="N665" s="102"/>
      <c r="O665" s="102"/>
      <c r="P665" s="102"/>
      <c r="Q665" s="102"/>
      <c r="R665" s="102"/>
      <c r="S665" s="102"/>
      <c r="T665" s="102"/>
      <c r="U665" s="101" t="n">
        <f aca="false">V665+W665+X665+COUNTIF(I665:T665,"R")</f>
        <v>1</v>
      </c>
      <c r="V665" s="101" t="n">
        <f aca="false">COUNTIF(I665:T665,"E")</f>
        <v>1</v>
      </c>
      <c r="W665" s="101" t="n">
        <f aca="false">COUNTIF(I665:T665,"X")</f>
        <v>0</v>
      </c>
      <c r="X665" s="101" t="n">
        <f aca="false">COUNTIF(I665:T665,"C2")+COUNTIF(I665:T665,"C3")</f>
        <v>0</v>
      </c>
      <c r="Y665" s="101" t="n">
        <f aca="true">SUMPRODUCT((I665:INDEX(I665:T665,MONTH(TODAY()))="X")*1)</f>
        <v>0</v>
      </c>
      <c r="Z665" s="104" t="n">
        <f aca="false">IFERROR(V665/U665,"")</f>
        <v>1</v>
      </c>
    </row>
    <row r="666" customFormat="false" ht="15" hidden="false" customHeight="true" outlineLevel="0" collapsed="false">
      <c r="A666" s="100" t="str">
        <f aca="false">Equipos!C664</f>
        <v>2-110957</v>
      </c>
      <c r="B666" s="101" t="str">
        <f aca="false">Equipos!D664</f>
        <v>Monitor Multiparámetros</v>
      </c>
      <c r="C666" s="101" t="str">
        <f aca="false">Equipos!E664</f>
        <v>Pabellones Gineco-Obstétricos</v>
      </c>
      <c r="D666" s="101" t="str">
        <f aca="false">Equipos!G664</f>
        <v>Cama 8</v>
      </c>
      <c r="E666" s="101" t="str">
        <f aca="false">Equipos!I664</f>
        <v>Drager</v>
      </c>
      <c r="F666" s="101" t="str">
        <f aca="false">Equipos!J664</f>
        <v>Vista 120</v>
      </c>
      <c r="G666" s="100" t="str">
        <f aca="false">Equipos!K664</f>
        <v>VTSHN0089</v>
      </c>
      <c r="H666" s="101"/>
      <c r="I666" s="102"/>
      <c r="J666" s="102"/>
      <c r="K666" s="102"/>
      <c r="L666" s="102"/>
      <c r="M666" s="103" t="s">
        <v>328</v>
      </c>
      <c r="N666" s="102"/>
      <c r="O666" s="102"/>
      <c r="P666" s="102"/>
      <c r="Q666" s="102"/>
      <c r="R666" s="102"/>
      <c r="S666" s="102"/>
      <c r="T666" s="102"/>
      <c r="U666" s="101" t="n">
        <f aca="false">V666+W666+X666+COUNTIF(I666:T666,"R")</f>
        <v>1</v>
      </c>
      <c r="V666" s="101" t="n">
        <f aca="false">COUNTIF(I666:T666,"E")</f>
        <v>1</v>
      </c>
      <c r="W666" s="101" t="n">
        <f aca="false">COUNTIF(I666:T666,"X")</f>
        <v>0</v>
      </c>
      <c r="X666" s="101" t="n">
        <f aca="false">COUNTIF(I666:T666,"C2")+COUNTIF(I666:T666,"C3")</f>
        <v>0</v>
      </c>
      <c r="Y666" s="101" t="n">
        <f aca="true">SUMPRODUCT((I666:INDEX(I666:T666,MONTH(TODAY()))="X")*1)</f>
        <v>0</v>
      </c>
      <c r="Z666" s="104" t="n">
        <f aca="false">IFERROR(V666/U666,"")</f>
        <v>1</v>
      </c>
    </row>
    <row r="667" customFormat="false" ht="15" hidden="false" customHeight="true" outlineLevel="0" collapsed="false">
      <c r="A667" s="100" t="str">
        <f aca="false">Equipos!C665</f>
        <v>2-022659</v>
      </c>
      <c r="B667" s="101" t="str">
        <f aca="false">Equipos!D665</f>
        <v>Monitor Multiparámetros</v>
      </c>
      <c r="C667" s="101" t="str">
        <f aca="false">Equipos!E665</f>
        <v>Pabellones Gineco-Obstétricos</v>
      </c>
      <c r="D667" s="101" t="str">
        <f aca="false">Equipos!G665</f>
        <v>Pabellón 1</v>
      </c>
      <c r="E667" s="101" t="str">
        <f aca="false">Equipos!I665</f>
        <v>Drager</v>
      </c>
      <c r="F667" s="101" t="str">
        <f aca="false">Equipos!J665</f>
        <v>Infinity Kappa</v>
      </c>
      <c r="G667" s="100" t="str">
        <f aca="false">Equipos!K665</f>
        <v>5495188658</v>
      </c>
      <c r="H667" s="101"/>
      <c r="I667" s="102"/>
      <c r="J667" s="102"/>
      <c r="K667" s="102"/>
      <c r="L667" s="102"/>
      <c r="M667" s="103" t="s">
        <v>328</v>
      </c>
      <c r="N667" s="102"/>
      <c r="O667" s="102"/>
      <c r="P667" s="102"/>
      <c r="Q667" s="102"/>
      <c r="R667" s="102"/>
      <c r="S667" s="102"/>
      <c r="T667" s="102"/>
      <c r="U667" s="101" t="n">
        <f aca="false">V667+W667+X667+COUNTIF(I667:T667,"R")</f>
        <v>1</v>
      </c>
      <c r="V667" s="101" t="n">
        <f aca="false">COUNTIF(I667:T667,"E")</f>
        <v>1</v>
      </c>
      <c r="W667" s="101" t="n">
        <f aca="false">COUNTIF(I667:T667,"X")</f>
        <v>0</v>
      </c>
      <c r="X667" s="101" t="n">
        <f aca="false">COUNTIF(I667:T667,"C2")+COUNTIF(I667:T667,"C3")</f>
        <v>0</v>
      </c>
      <c r="Y667" s="101" t="n">
        <f aca="true">SUMPRODUCT((I667:INDEX(I667:T667,MONTH(TODAY()))="X")*1)</f>
        <v>0</v>
      </c>
      <c r="Z667" s="104" t="n">
        <f aca="false">IFERROR(V667/U667,"")</f>
        <v>1</v>
      </c>
    </row>
    <row r="668" customFormat="false" ht="15" hidden="false" customHeight="true" outlineLevel="0" collapsed="false">
      <c r="A668" s="100" t="str">
        <f aca="false">Equipos!C666</f>
        <v>2-024122</v>
      </c>
      <c r="B668" s="101" t="str">
        <f aca="false">Equipos!D666</f>
        <v>Monitor Multiparámetros</v>
      </c>
      <c r="C668" s="101" t="str">
        <f aca="false">Equipos!E666</f>
        <v>SAMU</v>
      </c>
      <c r="D668" s="101" t="str">
        <f aca="false">Equipos!G666</f>
        <v>Movil 1301</v>
      </c>
      <c r="E668" s="101" t="str">
        <f aca="false">Equipos!I666</f>
        <v>Nihon Kohden </v>
      </c>
      <c r="F668" s="101" t="str">
        <f aca="false">Equipos!J666</f>
        <v>BSM-6301K</v>
      </c>
      <c r="G668" s="100" t="str">
        <f aca="false">Equipos!K666</f>
        <v>01117.</v>
      </c>
      <c r="H668" s="101"/>
      <c r="I668" s="102"/>
      <c r="J668" s="102"/>
      <c r="K668" s="102"/>
      <c r="L668" s="103" t="s">
        <v>330</v>
      </c>
      <c r="M668" s="103" t="s">
        <v>328</v>
      </c>
      <c r="N668" s="102"/>
      <c r="O668" s="102"/>
      <c r="P668" s="102"/>
      <c r="Q668" s="102"/>
      <c r="R668" s="102"/>
      <c r="S668" s="102"/>
      <c r="T668" s="102"/>
      <c r="U668" s="101" t="n">
        <f aca="false">V668+W668+X668+COUNTIF(I668:T668,"R")</f>
        <v>2</v>
      </c>
      <c r="V668" s="101" t="n">
        <f aca="false">COUNTIF(I668:T668,"E")</f>
        <v>1</v>
      </c>
      <c r="W668" s="101" t="n">
        <f aca="false">COUNTIF(I668:T668,"X")</f>
        <v>0</v>
      </c>
      <c r="X668" s="101" t="n">
        <f aca="false">COUNTIF(I668:T668,"C2")+COUNTIF(I668:T668,"C3")</f>
        <v>0</v>
      </c>
      <c r="Y668" s="101" t="n">
        <f aca="true">SUMPRODUCT((I668:INDEX(I668:T668,MONTH(TODAY()))="X")*1)</f>
        <v>0</v>
      </c>
      <c r="Z668" s="104" t="n">
        <f aca="false">IFERROR(V668/U668,"")</f>
        <v>0.5</v>
      </c>
    </row>
    <row r="669" customFormat="false" ht="15" hidden="false" customHeight="true" outlineLevel="0" collapsed="false">
      <c r="A669" s="100" t="str">
        <f aca="false">Equipos!C667</f>
        <v>2-111142</v>
      </c>
      <c r="B669" s="101" t="str">
        <f aca="false">Equipos!D667</f>
        <v>Monitor Multiparámetros</v>
      </c>
      <c r="C669" s="101" t="str">
        <f aca="false">Equipos!E667</f>
        <v>UPC Cardiovascular</v>
      </c>
      <c r="D669" s="101" t="str">
        <f aca="false">Equipos!G667</f>
        <v>Bodega</v>
      </c>
      <c r="E669" s="101" t="str">
        <f aca="false">Equipos!I667</f>
        <v>Drager</v>
      </c>
      <c r="F669" s="101" t="str">
        <f aca="false">Equipos!J667</f>
        <v>Infinity Delta</v>
      </c>
      <c r="G669" s="100" t="str">
        <f aca="false">Equipos!K667</f>
        <v>6007939163</v>
      </c>
      <c r="H669" s="101"/>
      <c r="I669" s="103" t="s">
        <v>330</v>
      </c>
      <c r="J669" s="103" t="s">
        <v>328</v>
      </c>
      <c r="K669" s="102"/>
      <c r="L669" s="102"/>
      <c r="M669" s="102"/>
      <c r="N669" s="102"/>
      <c r="O669" s="102"/>
      <c r="P669" s="102"/>
      <c r="Q669" s="102"/>
      <c r="R669" s="102"/>
      <c r="S669" s="102"/>
      <c r="T669" s="102"/>
      <c r="U669" s="101" t="n">
        <f aca="false">V669+W669+X669+COUNTIF(I669:T669,"R")</f>
        <v>2</v>
      </c>
      <c r="V669" s="101" t="n">
        <f aca="false">COUNTIF(I669:T669,"E")</f>
        <v>1</v>
      </c>
      <c r="W669" s="101" t="n">
        <f aca="false">COUNTIF(I669:T669,"X")</f>
        <v>0</v>
      </c>
      <c r="X669" s="101" t="n">
        <f aca="false">COUNTIF(I669:T669,"C2")+COUNTIF(I669:T669,"C3")</f>
        <v>0</v>
      </c>
      <c r="Y669" s="101" t="n">
        <f aca="true">SUMPRODUCT((I669:INDEX(I669:T669,MONTH(TODAY()))="X")*1)</f>
        <v>0</v>
      </c>
      <c r="Z669" s="104" t="n">
        <f aca="false">IFERROR(V669/U669,"")</f>
        <v>0.5</v>
      </c>
    </row>
    <row r="670" customFormat="false" ht="15" hidden="false" customHeight="true" outlineLevel="0" collapsed="false">
      <c r="A670" s="100" t="str">
        <f aca="false">Equipos!C668</f>
        <v>2-111140</v>
      </c>
      <c r="B670" s="101" t="str">
        <f aca="false">Equipos!D668</f>
        <v>Monitor Multiparámetros</v>
      </c>
      <c r="C670" s="101" t="str">
        <f aca="false">Equipos!E668</f>
        <v>UPC Cardiovascular</v>
      </c>
      <c r="D670" s="101" t="str">
        <f aca="false">Equipos!G668</f>
        <v>CAMA 7</v>
      </c>
      <c r="E670" s="101" t="str">
        <f aca="false">Equipos!I668</f>
        <v>Drager</v>
      </c>
      <c r="F670" s="101" t="str">
        <f aca="false">Equipos!J668</f>
        <v>Infinity Kappa</v>
      </c>
      <c r="G670" s="100" t="str">
        <f aca="false">Equipos!K668</f>
        <v>5495339950</v>
      </c>
      <c r="H670" s="101"/>
      <c r="I670" s="103" t="s">
        <v>330</v>
      </c>
      <c r="J670" s="103" t="s">
        <v>328</v>
      </c>
      <c r="K670" s="102"/>
      <c r="L670" s="102"/>
      <c r="M670" s="102"/>
      <c r="N670" s="102"/>
      <c r="O670" s="102"/>
      <c r="P670" s="102"/>
      <c r="Q670" s="102"/>
      <c r="R670" s="102"/>
      <c r="S670" s="102"/>
      <c r="T670" s="102"/>
      <c r="U670" s="101" t="n">
        <f aca="false">V670+W670+X670+COUNTIF(I670:T670,"R")</f>
        <v>2</v>
      </c>
      <c r="V670" s="101" t="n">
        <f aca="false">COUNTIF(I670:T670,"E")</f>
        <v>1</v>
      </c>
      <c r="W670" s="101" t="n">
        <f aca="false">COUNTIF(I670:T670,"X")</f>
        <v>0</v>
      </c>
      <c r="X670" s="101" t="n">
        <f aca="false">COUNTIF(I670:T670,"C2")+COUNTIF(I670:T670,"C3")</f>
        <v>0</v>
      </c>
      <c r="Y670" s="101" t="n">
        <f aca="true">SUMPRODUCT((I670:INDEX(I670:T670,MONTH(TODAY()))="X")*1)</f>
        <v>0</v>
      </c>
      <c r="Z670" s="104" t="n">
        <f aca="false">IFERROR(V670/U670,"")</f>
        <v>0.5</v>
      </c>
    </row>
    <row r="671" customFormat="false" ht="15" hidden="false" customHeight="true" outlineLevel="0" collapsed="false">
      <c r="A671" s="100" t="str">
        <f aca="false">Equipos!C669</f>
        <v>2-111902</v>
      </c>
      <c r="B671" s="101" t="str">
        <f aca="false">Equipos!D669</f>
        <v>Monitor Multiparámetros</v>
      </c>
      <c r="C671" s="101" t="str">
        <f aca="false">Equipos!E669</f>
        <v>Pabellón CMA</v>
      </c>
      <c r="D671" s="101" t="n">
        <f aca="false">Equipos!G669</f>
        <v>0</v>
      </c>
      <c r="E671" s="101" t="str">
        <f aca="false">Equipos!I669</f>
        <v>Nihon Kohden </v>
      </c>
      <c r="F671" s="101" t="str">
        <f aca="false">Equipos!J669</f>
        <v>PVM-2701</v>
      </c>
      <c r="G671" s="100" t="str">
        <f aca="false">Equipos!K669</f>
        <v>111450</v>
      </c>
      <c r="H671" s="101"/>
      <c r="I671" s="102"/>
      <c r="J671" s="102"/>
      <c r="K671" s="102"/>
      <c r="L671" s="102"/>
      <c r="M671" s="103" t="s">
        <v>329</v>
      </c>
      <c r="N671" s="102"/>
      <c r="O671" s="102"/>
      <c r="P671" s="102"/>
      <c r="Q671" s="102"/>
      <c r="R671" s="102"/>
      <c r="S671" s="102"/>
      <c r="T671" s="102"/>
      <c r="U671" s="101" t="n">
        <f aca="false">V671+W671+X671+COUNTIF(I671:T671,"R")</f>
        <v>1</v>
      </c>
      <c r="V671" s="101" t="n">
        <f aca="false">COUNTIF(I671:T671,"E")</f>
        <v>0</v>
      </c>
      <c r="W671" s="101" t="n">
        <f aca="false">COUNTIF(I671:T671,"X")</f>
        <v>1</v>
      </c>
      <c r="X671" s="101" t="n">
        <f aca="false">COUNTIF(I671:T671,"C2")+COUNTIF(I671:T671,"C3")</f>
        <v>0</v>
      </c>
      <c r="Y671" s="101" t="n">
        <f aca="true">SUMPRODUCT((I671:INDEX(I671:T671,MONTH(TODAY()))="X")*1)</f>
        <v>1</v>
      </c>
      <c r="Z671" s="104" t="n">
        <f aca="false">IFERROR(V671/U671,"")</f>
        <v>0</v>
      </c>
    </row>
    <row r="672" customFormat="false" ht="15" hidden="false" customHeight="true" outlineLevel="0" collapsed="false">
      <c r="A672" s="100" t="str">
        <f aca="false">Equipos!C670</f>
        <v>2-111901</v>
      </c>
      <c r="B672" s="101" t="str">
        <f aca="false">Equipos!D670</f>
        <v>Monitor Multiparámetros</v>
      </c>
      <c r="C672" s="101" t="str">
        <f aca="false">Equipos!E670</f>
        <v>Pabellón CMA</v>
      </c>
      <c r="D672" s="101" t="n">
        <f aca="false">Equipos!G670</f>
        <v>0</v>
      </c>
      <c r="E672" s="101" t="str">
        <f aca="false">Equipos!I670</f>
        <v>Nihon Kohden </v>
      </c>
      <c r="F672" s="101" t="str">
        <f aca="false">Equipos!J670</f>
        <v>PVM-2701</v>
      </c>
      <c r="G672" s="100" t="str">
        <f aca="false">Equipos!K670</f>
        <v>111456</v>
      </c>
      <c r="H672" s="101"/>
      <c r="I672" s="102"/>
      <c r="J672" s="102"/>
      <c r="K672" s="102"/>
      <c r="L672" s="102"/>
      <c r="M672" s="103" t="s">
        <v>329</v>
      </c>
      <c r="N672" s="102"/>
      <c r="O672" s="102"/>
      <c r="P672" s="102"/>
      <c r="Q672" s="102"/>
      <c r="R672" s="102"/>
      <c r="S672" s="102"/>
      <c r="T672" s="102"/>
      <c r="U672" s="101" t="n">
        <f aca="false">V672+W672+X672+COUNTIF(I672:T672,"R")</f>
        <v>1</v>
      </c>
      <c r="V672" s="101" t="n">
        <f aca="false">COUNTIF(I672:T672,"E")</f>
        <v>0</v>
      </c>
      <c r="W672" s="101" t="n">
        <f aca="false">COUNTIF(I672:T672,"X")</f>
        <v>1</v>
      </c>
      <c r="X672" s="101" t="n">
        <f aca="false">COUNTIF(I672:T672,"C2")+COUNTIF(I672:T672,"C3")</f>
        <v>0</v>
      </c>
      <c r="Y672" s="101" t="n">
        <f aca="true">SUMPRODUCT((I672:INDEX(I672:T672,MONTH(TODAY()))="X")*1)</f>
        <v>1</v>
      </c>
      <c r="Z672" s="104" t="n">
        <f aca="false">IFERROR(V672/U672,"")</f>
        <v>0</v>
      </c>
    </row>
    <row r="673" customFormat="false" ht="15" hidden="false" customHeight="true" outlineLevel="0" collapsed="false">
      <c r="A673" s="100" t="str">
        <f aca="false">Equipos!C671</f>
        <v>2-016338</v>
      </c>
      <c r="B673" s="101" t="str">
        <f aca="false">Equipos!D671</f>
        <v>Monitor Multiparámetros</v>
      </c>
      <c r="C673" s="101" t="str">
        <f aca="false">Equipos!E671</f>
        <v>UPC Adulto</v>
      </c>
      <c r="D673" s="101" t="str">
        <f aca="false">Equipos!G671</f>
        <v>BODEGA</v>
      </c>
      <c r="E673" s="101" t="str">
        <f aca="false">Equipos!I671</f>
        <v>Drager</v>
      </c>
      <c r="F673" s="101" t="str">
        <f aca="false">Equipos!J671</f>
        <v>Infinity Delta</v>
      </c>
      <c r="G673" s="100" t="str">
        <f aca="false">Equipos!K671</f>
        <v>6006242079</v>
      </c>
      <c r="H673" s="101"/>
      <c r="I673" s="102"/>
      <c r="J673" s="102"/>
      <c r="K673" s="102"/>
      <c r="L673" s="102" t="s">
        <v>329</v>
      </c>
      <c r="M673" s="102"/>
      <c r="N673" s="102"/>
      <c r="O673" s="102"/>
      <c r="P673" s="102"/>
      <c r="Q673" s="102"/>
      <c r="R673" s="102"/>
      <c r="S673" s="102"/>
      <c r="T673" s="102"/>
      <c r="U673" s="101" t="n">
        <f aca="false">V673+W673+X673+COUNTIF(I673:T673,"R")</f>
        <v>1</v>
      </c>
      <c r="V673" s="101" t="n">
        <f aca="false">COUNTIF(I673:T673,"E")</f>
        <v>0</v>
      </c>
      <c r="W673" s="101" t="n">
        <f aca="false">COUNTIF(I673:T673,"X")</f>
        <v>1</v>
      </c>
      <c r="X673" s="101" t="n">
        <f aca="false">COUNTIF(I673:T673,"C2")+COUNTIF(I673:T673,"C3")</f>
        <v>0</v>
      </c>
      <c r="Y673" s="101" t="n">
        <f aca="true">SUMPRODUCT((I673:INDEX(I673:T673,MONTH(TODAY()))="X")*1)</f>
        <v>1</v>
      </c>
      <c r="Z673" s="104" t="n">
        <f aca="false">IFERROR(V673/U673,"")</f>
        <v>0</v>
      </c>
    </row>
    <row r="674" customFormat="false" ht="15" hidden="false" customHeight="true" outlineLevel="0" collapsed="false">
      <c r="A674" s="100" t="str">
        <f aca="false">Equipos!C672</f>
        <v>2-112541</v>
      </c>
      <c r="B674" s="101" t="str">
        <f aca="false">Equipos!D672</f>
        <v>Monitor Multiparámetros</v>
      </c>
      <c r="C674" s="101" t="str">
        <f aca="false">Equipos!E672</f>
        <v>UPC Adulto (Prestado a UPC 3er piso)</v>
      </c>
      <c r="D674" s="101" t="str">
        <f aca="false">Equipos!G672</f>
        <v>UPC 3er piso</v>
      </c>
      <c r="E674" s="101" t="str">
        <f aca="false">Equipos!I672</f>
        <v>Drager</v>
      </c>
      <c r="F674" s="101" t="str">
        <f aca="false">Equipos!J672</f>
        <v>Infinity Kappa</v>
      </c>
      <c r="G674" s="100" t="str">
        <f aca="false">Equipos!K672</f>
        <v>5495318955</v>
      </c>
      <c r="H674" s="101"/>
      <c r="I674" s="102"/>
      <c r="J674" s="102"/>
      <c r="K674" s="102"/>
      <c r="L674" s="102"/>
      <c r="M674" s="103" t="s">
        <v>328</v>
      </c>
      <c r="N674" s="102"/>
      <c r="O674" s="102"/>
      <c r="P674" s="102"/>
      <c r="Q674" s="102"/>
      <c r="R674" s="102"/>
      <c r="S674" s="102"/>
      <c r="T674" s="102"/>
      <c r="U674" s="101" t="n">
        <f aca="false">V674+W674+X674+COUNTIF(I674:T674,"R")</f>
        <v>1</v>
      </c>
      <c r="V674" s="101" t="n">
        <f aca="false">COUNTIF(I674:T674,"E")</f>
        <v>1</v>
      </c>
      <c r="W674" s="101" t="n">
        <f aca="false">COUNTIF(I674:T674,"X")</f>
        <v>0</v>
      </c>
      <c r="X674" s="101" t="n">
        <f aca="false">COUNTIF(I674:T674,"C2")+COUNTIF(I674:T674,"C3")</f>
        <v>0</v>
      </c>
      <c r="Y674" s="101" t="n">
        <f aca="true">SUMPRODUCT((I674:INDEX(I674:T674,MONTH(TODAY()))="X")*1)</f>
        <v>0</v>
      </c>
      <c r="Z674" s="104" t="n">
        <f aca="false">IFERROR(V674/U674,"")</f>
        <v>1</v>
      </c>
    </row>
    <row r="675" customFormat="false" ht="15" hidden="false" customHeight="true" outlineLevel="0" collapsed="false">
      <c r="A675" s="100" t="str">
        <f aca="false">Equipos!C673</f>
        <v>2-112601</v>
      </c>
      <c r="B675" s="101" t="str">
        <f aca="false">Equipos!D673</f>
        <v>Monitor Multiparámetros</v>
      </c>
      <c r="C675" s="101" t="str">
        <f aca="false">Equipos!E673</f>
        <v>Cardiología</v>
      </c>
      <c r="D675" s="101" t="str">
        <f aca="false">Equipos!G673</f>
        <v>Pabellon Hemodinamia 2do piso</v>
      </c>
      <c r="E675" s="101" t="str">
        <f aca="false">Equipos!I673</f>
        <v>Drager</v>
      </c>
      <c r="F675" s="101" t="str">
        <f aca="false">Equipos!J673</f>
        <v>Infinity Kappa</v>
      </c>
      <c r="G675" s="100" t="str">
        <f aca="false">Equipos!K673</f>
        <v>5493736846</v>
      </c>
      <c r="H675" s="101"/>
      <c r="I675" s="102"/>
      <c r="J675" s="103" t="s">
        <v>330</v>
      </c>
      <c r="K675" s="103" t="s">
        <v>328</v>
      </c>
      <c r="L675" s="102"/>
      <c r="M675" s="102"/>
      <c r="N675" s="102"/>
      <c r="O675" s="102"/>
      <c r="P675" s="102"/>
      <c r="Q675" s="102"/>
      <c r="R675" s="102"/>
      <c r="S675" s="102"/>
      <c r="T675" s="102"/>
      <c r="U675" s="101" t="n">
        <f aca="false">V675+W675+X675+COUNTIF(I675:T675,"R")</f>
        <v>2</v>
      </c>
      <c r="V675" s="101" t="n">
        <f aca="false">COUNTIF(I675:T675,"E")</f>
        <v>1</v>
      </c>
      <c r="W675" s="101" t="n">
        <f aca="false">COUNTIF(I675:T675,"X")</f>
        <v>0</v>
      </c>
      <c r="X675" s="101" t="n">
        <f aca="false">COUNTIF(I675:T675,"C2")+COUNTIF(I675:T675,"C3")</f>
        <v>0</v>
      </c>
      <c r="Y675" s="101" t="n">
        <f aca="true">SUMPRODUCT((I675:INDEX(I675:T675,MONTH(TODAY()))="X")*1)</f>
        <v>0</v>
      </c>
      <c r="Z675" s="104" t="n">
        <f aca="false">IFERROR(V675/U675,"")</f>
        <v>0.5</v>
      </c>
    </row>
    <row r="676" customFormat="false" ht="15" hidden="false" customHeight="true" outlineLevel="0" collapsed="false">
      <c r="A676" s="100" t="n">
        <f aca="false">Equipos!C674</f>
        <v>0</v>
      </c>
      <c r="B676" s="101" t="n">
        <f aca="false">Equipos!D674</f>
        <v>0</v>
      </c>
      <c r="C676" s="101" t="n">
        <f aca="false">Equipos!E674</f>
        <v>0</v>
      </c>
      <c r="D676" s="101" t="n">
        <f aca="false">Equipos!G674</f>
        <v>0</v>
      </c>
      <c r="E676" s="101" t="n">
        <f aca="false">Equipos!I674</f>
        <v>0</v>
      </c>
      <c r="F676" s="101" t="n">
        <f aca="false">Equipos!J674</f>
        <v>0</v>
      </c>
      <c r="G676" s="100" t="n">
        <f aca="false">Equipos!K674</f>
        <v>0</v>
      </c>
      <c r="H676" s="101"/>
      <c r="I676" s="102"/>
      <c r="J676" s="102"/>
      <c r="K676" s="102"/>
      <c r="L676" s="102"/>
      <c r="M676" s="102"/>
      <c r="N676" s="102"/>
      <c r="O676" s="102"/>
      <c r="P676" s="102"/>
      <c r="Q676" s="102"/>
      <c r="R676" s="102"/>
      <c r="S676" s="102"/>
      <c r="T676" s="102"/>
      <c r="U676" s="101" t="n">
        <f aca="false">V676+W676+X676+COUNTIF(I676:T676,"R")</f>
        <v>0</v>
      </c>
      <c r="V676" s="101" t="n">
        <f aca="false">COUNTIF(I676:T676,"E")</f>
        <v>0</v>
      </c>
      <c r="W676" s="101" t="n">
        <f aca="false">COUNTIF(I676:T676,"X")</f>
        <v>0</v>
      </c>
      <c r="X676" s="101" t="n">
        <f aca="false">COUNTIF(I676:T676,"C2")+COUNTIF(I676:T676,"C3")</f>
        <v>0</v>
      </c>
      <c r="Y676" s="101" t="n">
        <f aca="true">SUMPRODUCT((I676:INDEX(I676:T676,MONTH(TODAY()))="X")*1)</f>
        <v>0</v>
      </c>
      <c r="Z676" s="104" t="str">
        <f aca="false">IFERROR(V676/U676,"")</f>
        <v/>
      </c>
    </row>
    <row r="677" customFormat="false" ht="15" hidden="false" customHeight="true" outlineLevel="0" collapsed="false">
      <c r="A677" s="100" t="str">
        <f aca="false">Equipos!C675</f>
        <v>2-117051</v>
      </c>
      <c r="B677" s="101" t="str">
        <f aca="false">Equipos!D675</f>
        <v>Monitor Multiparámetros</v>
      </c>
      <c r="C677" s="101" t="str">
        <f aca="false">Equipos!E675</f>
        <v>Pabellones Gineco-Obstétricos</v>
      </c>
      <c r="D677" s="101" t="str">
        <f aca="false">Equipos!G675</f>
        <v>Cama 10</v>
      </c>
      <c r="E677" s="101" t="str">
        <f aca="false">Equipos!I675</f>
        <v>Philips</v>
      </c>
      <c r="F677" s="101" t="str">
        <f aca="false">Equipos!J675</f>
        <v>MX450</v>
      </c>
      <c r="G677" s="100" t="str">
        <f aca="false">Equipos!K675</f>
        <v>DE351C1465</v>
      </c>
      <c r="H677" s="101"/>
      <c r="I677" s="102"/>
      <c r="J677" s="102"/>
      <c r="K677" s="102"/>
      <c r="L677" s="102"/>
      <c r="M677" s="103" t="s">
        <v>328</v>
      </c>
      <c r="N677" s="102"/>
      <c r="O677" s="102"/>
      <c r="P677" s="102"/>
      <c r="Q677" s="102"/>
      <c r="R677" s="102"/>
      <c r="S677" s="102"/>
      <c r="T677" s="102"/>
      <c r="U677" s="101" t="n">
        <f aca="false">V677+W677+X677+COUNTIF(I677:T677,"R")</f>
        <v>1</v>
      </c>
      <c r="V677" s="101" t="n">
        <f aca="false">COUNTIF(I677:T677,"E")</f>
        <v>1</v>
      </c>
      <c r="W677" s="101" t="n">
        <f aca="false">COUNTIF(I677:T677,"X")</f>
        <v>0</v>
      </c>
      <c r="X677" s="101" t="n">
        <f aca="false">COUNTIF(I677:T677,"C2")+COUNTIF(I677:T677,"C3")</f>
        <v>0</v>
      </c>
      <c r="Y677" s="101" t="n">
        <f aca="true">SUMPRODUCT((I677:INDEX(I677:T677,MONTH(TODAY()))="X")*1)</f>
        <v>0</v>
      </c>
      <c r="Z677" s="104" t="n">
        <f aca="false">IFERROR(V677/U677,"")</f>
        <v>1</v>
      </c>
    </row>
    <row r="678" customFormat="false" ht="15" hidden="false" customHeight="true" outlineLevel="0" collapsed="false">
      <c r="A678" s="100" t="str">
        <f aca="false">Equipos!C676</f>
        <v>2-110795</v>
      </c>
      <c r="B678" s="101" t="str">
        <f aca="false">Equipos!D676</f>
        <v>Oxímetro de Pulso</v>
      </c>
      <c r="C678" s="101" t="str">
        <f aca="false">Equipos!E676</f>
        <v>Neonatología</v>
      </c>
      <c r="D678" s="101" t="n">
        <f aca="false">Equipos!G676</f>
        <v>0</v>
      </c>
      <c r="E678" s="101" t="str">
        <f aca="false">Equipos!I676</f>
        <v>Masimo</v>
      </c>
      <c r="F678" s="101" t="str">
        <f aca="false">Equipos!J676</f>
        <v>R7</v>
      </c>
      <c r="G678" s="100" t="str">
        <f aca="false">Equipos!K676</f>
        <v>225548</v>
      </c>
      <c r="H678" s="101"/>
      <c r="I678" s="103" t="s">
        <v>328</v>
      </c>
      <c r="J678" s="102"/>
      <c r="K678" s="102"/>
      <c r="L678" s="102"/>
      <c r="M678" s="102"/>
      <c r="N678" s="102"/>
      <c r="O678" s="102"/>
      <c r="P678" s="102"/>
      <c r="Q678" s="102"/>
      <c r="R678" s="102"/>
      <c r="S678" s="102"/>
      <c r="T678" s="102"/>
      <c r="U678" s="101" t="n">
        <f aca="false">V678+W678+X678+COUNTIF(I678:T678,"R")</f>
        <v>1</v>
      </c>
      <c r="V678" s="101" t="n">
        <f aca="false">COUNTIF(I678:T678,"E")</f>
        <v>1</v>
      </c>
      <c r="W678" s="101" t="n">
        <f aca="false">COUNTIF(I678:T678,"X")</f>
        <v>0</v>
      </c>
      <c r="X678" s="101" t="n">
        <f aca="false">COUNTIF(I678:T678,"C2")+COUNTIF(I678:T678,"C3")</f>
        <v>0</v>
      </c>
      <c r="Y678" s="101" t="n">
        <f aca="true">SUMPRODUCT((I678:INDEX(I678:T678,MONTH(TODAY()))="X")*1)</f>
        <v>0</v>
      </c>
      <c r="Z678" s="104" t="n">
        <f aca="false">IFERROR(V678/U678,"")</f>
        <v>1</v>
      </c>
    </row>
    <row r="679" customFormat="false" ht="15" hidden="false" customHeight="true" outlineLevel="0" collapsed="false">
      <c r="A679" s="100" t="str">
        <f aca="false">Equipos!C677</f>
        <v>2-110796</v>
      </c>
      <c r="B679" s="101" t="str">
        <f aca="false">Equipos!D677</f>
        <v>Oxímetro de Pulso</v>
      </c>
      <c r="C679" s="101" t="str">
        <f aca="false">Equipos!E677</f>
        <v>Neonatología</v>
      </c>
      <c r="D679" s="101" t="n">
        <f aca="false">Equipos!G677</f>
        <v>0</v>
      </c>
      <c r="E679" s="101" t="str">
        <f aca="false">Equipos!I677</f>
        <v>Masimo</v>
      </c>
      <c r="F679" s="101" t="str">
        <f aca="false">Equipos!J677</f>
        <v>R7</v>
      </c>
      <c r="G679" s="100" t="str">
        <f aca="false">Equipos!K677</f>
        <v>225507</v>
      </c>
      <c r="H679" s="101"/>
      <c r="I679" s="103" t="s">
        <v>328</v>
      </c>
      <c r="J679" s="102"/>
      <c r="K679" s="102"/>
      <c r="L679" s="102"/>
      <c r="M679" s="102"/>
      <c r="N679" s="102"/>
      <c r="O679" s="102"/>
      <c r="P679" s="102"/>
      <c r="Q679" s="102"/>
      <c r="R679" s="102"/>
      <c r="S679" s="102"/>
      <c r="T679" s="102"/>
      <c r="U679" s="101" t="n">
        <f aca="false">V679+W679+X679+COUNTIF(I679:T679,"R")</f>
        <v>1</v>
      </c>
      <c r="V679" s="101" t="n">
        <f aca="false">COUNTIF(I679:T679,"E")</f>
        <v>1</v>
      </c>
      <c r="W679" s="101" t="n">
        <f aca="false">COUNTIF(I679:T679,"X")</f>
        <v>0</v>
      </c>
      <c r="X679" s="101" t="n">
        <f aca="false">COUNTIF(I679:T679,"C2")+COUNTIF(I679:T679,"C3")</f>
        <v>0</v>
      </c>
      <c r="Y679" s="101" t="n">
        <f aca="true">SUMPRODUCT((I679:INDEX(I679:T679,MONTH(TODAY()))="X")*1)</f>
        <v>0</v>
      </c>
      <c r="Z679" s="104" t="n">
        <f aca="false">IFERROR(V679/U679,"")</f>
        <v>1</v>
      </c>
    </row>
    <row r="680" customFormat="false" ht="15" hidden="false" customHeight="true" outlineLevel="0" collapsed="false">
      <c r="A680" s="100" t="str">
        <f aca="false">Equipos!C678</f>
        <v>2-112800</v>
      </c>
      <c r="B680" s="101" t="str">
        <f aca="false">Equipos!D678</f>
        <v>Monitor Multiparámetros</v>
      </c>
      <c r="C680" s="101" t="str">
        <f aca="false">Equipos!E678</f>
        <v>UPC Adulto</v>
      </c>
      <c r="D680" s="101" t="str">
        <f aca="false">Equipos!G678</f>
        <v>CAMA 4</v>
      </c>
      <c r="E680" s="101" t="str">
        <f aca="false">Equipos!I678</f>
        <v>Drager</v>
      </c>
      <c r="F680" s="101" t="str">
        <f aca="false">Equipos!J678</f>
        <v>Infinity Kappa </v>
      </c>
      <c r="G680" s="100" t="str">
        <f aca="false">Equipos!K678</f>
        <v>5495286953</v>
      </c>
      <c r="H680" s="101"/>
      <c r="I680" s="103"/>
      <c r="J680" s="102"/>
      <c r="K680" s="102"/>
      <c r="L680" s="103" t="s">
        <v>329</v>
      </c>
      <c r="M680" s="102"/>
      <c r="N680" s="102"/>
      <c r="O680" s="102"/>
      <c r="P680" s="102"/>
      <c r="Q680" s="102"/>
      <c r="R680" s="102"/>
      <c r="S680" s="102"/>
      <c r="T680" s="102"/>
      <c r="U680" s="101" t="n">
        <f aca="false">V680+W680+X680+COUNTIF(I680:T680,"R")</f>
        <v>1</v>
      </c>
      <c r="V680" s="101" t="n">
        <f aca="false">COUNTIF(I680:T680,"E")</f>
        <v>0</v>
      </c>
      <c r="W680" s="101" t="n">
        <f aca="false">COUNTIF(I680:T680,"X")</f>
        <v>1</v>
      </c>
      <c r="X680" s="101" t="n">
        <f aca="false">COUNTIF(I680:T680,"C2")+COUNTIF(I680:T680,"C3")</f>
        <v>0</v>
      </c>
      <c r="Y680" s="101" t="n">
        <f aca="true">SUMPRODUCT((I680:INDEX(I680:T680,MONTH(TODAY()))="X")*1)</f>
        <v>1</v>
      </c>
      <c r="Z680" s="104" t="n">
        <f aca="false">IFERROR(V680/U680,"")</f>
        <v>0</v>
      </c>
    </row>
    <row r="681" customFormat="false" ht="15" hidden="false" customHeight="true" outlineLevel="0" collapsed="false">
      <c r="A681" s="100" t="str">
        <f aca="false">Equipos!C679</f>
        <v>2-112838</v>
      </c>
      <c r="B681" s="101" t="str">
        <f aca="false">Equipos!D679</f>
        <v>Monitor Multiparámetros</v>
      </c>
      <c r="C681" s="101" t="str">
        <f aca="false">Equipos!E679</f>
        <v>UPC Adulto</v>
      </c>
      <c r="D681" s="101" t="str">
        <f aca="false">Equipos!G679</f>
        <v>CAMA 14</v>
      </c>
      <c r="E681" s="101" t="str">
        <f aca="false">Equipos!I679</f>
        <v>Drager</v>
      </c>
      <c r="F681" s="101" t="str">
        <f aca="false">Equipos!J679</f>
        <v>Infinity Kappa </v>
      </c>
      <c r="G681" s="100" t="str">
        <f aca="false">Equipos!K679</f>
        <v>5495289950</v>
      </c>
      <c r="H681" s="101"/>
      <c r="I681" s="102"/>
      <c r="J681" s="102"/>
      <c r="K681" s="102"/>
      <c r="L681" s="102" t="s">
        <v>329</v>
      </c>
      <c r="M681" s="102"/>
      <c r="N681" s="102"/>
      <c r="O681" s="102"/>
      <c r="P681" s="102"/>
      <c r="Q681" s="102"/>
      <c r="R681" s="102"/>
      <c r="S681" s="102"/>
      <c r="T681" s="102"/>
      <c r="U681" s="101" t="n">
        <f aca="false">V681+W681+X681+COUNTIF(I681:T681,"R")</f>
        <v>1</v>
      </c>
      <c r="V681" s="101" t="n">
        <f aca="false">COUNTIF(I681:T681,"E")</f>
        <v>0</v>
      </c>
      <c r="W681" s="101" t="n">
        <f aca="false">COUNTIF(I681:T681,"X")</f>
        <v>1</v>
      </c>
      <c r="X681" s="101" t="n">
        <f aca="false">COUNTIF(I681:T681,"C2")+COUNTIF(I681:T681,"C3")</f>
        <v>0</v>
      </c>
      <c r="Y681" s="101" t="n">
        <f aca="true">SUMPRODUCT((I681:INDEX(I681:T681,MONTH(TODAY()))="X")*1)</f>
        <v>1</v>
      </c>
      <c r="Z681" s="104" t="n">
        <f aca="false">IFERROR(V681/U681,"")</f>
        <v>0</v>
      </c>
    </row>
    <row r="682" customFormat="false" ht="15" hidden="false" customHeight="true" outlineLevel="0" collapsed="false">
      <c r="A682" s="100" t="str">
        <f aca="false">Equipos!C680</f>
        <v>2-112836</v>
      </c>
      <c r="B682" s="101" t="str">
        <f aca="false">Equipos!D680</f>
        <v>Monitor Multiparámetros</v>
      </c>
      <c r="C682" s="101" t="str">
        <f aca="false">Equipos!E680</f>
        <v>UPC Adulto</v>
      </c>
      <c r="D682" s="101" t="str">
        <f aca="false">Equipos!G680</f>
        <v>CAMA 11</v>
      </c>
      <c r="E682" s="101" t="str">
        <f aca="false">Equipos!I680</f>
        <v>Drager</v>
      </c>
      <c r="F682" s="101" t="str">
        <f aca="false">Equipos!J680</f>
        <v>Infinity Kappa </v>
      </c>
      <c r="G682" s="100" t="str">
        <f aca="false">Equipos!K680</f>
        <v>5495290066</v>
      </c>
      <c r="H682" s="101"/>
      <c r="I682" s="102"/>
      <c r="J682" s="102"/>
      <c r="K682" s="102"/>
      <c r="L682" s="103" t="s">
        <v>329</v>
      </c>
      <c r="M682" s="103"/>
      <c r="N682" s="102"/>
      <c r="O682" s="102"/>
      <c r="P682" s="102"/>
      <c r="Q682" s="102"/>
      <c r="R682" s="102"/>
      <c r="S682" s="102"/>
      <c r="T682" s="102"/>
      <c r="U682" s="101" t="n">
        <f aca="false">V682+W682+X682+COUNTIF(I682:T682,"R")</f>
        <v>1</v>
      </c>
      <c r="V682" s="101" t="n">
        <f aca="false">COUNTIF(I682:T682,"E")</f>
        <v>0</v>
      </c>
      <c r="W682" s="101" t="n">
        <f aca="false">COUNTIF(I682:T682,"X")</f>
        <v>1</v>
      </c>
      <c r="X682" s="101" t="n">
        <f aca="false">COUNTIF(I682:T682,"C2")+COUNTIF(I682:T682,"C3")</f>
        <v>0</v>
      </c>
      <c r="Y682" s="101" t="n">
        <f aca="true">SUMPRODUCT((I682:INDEX(I682:T682,MONTH(TODAY()))="X")*1)</f>
        <v>1</v>
      </c>
      <c r="Z682" s="104" t="n">
        <f aca="false">IFERROR(V682/U682,"")</f>
        <v>0</v>
      </c>
    </row>
    <row r="683" customFormat="false" ht="15" hidden="false" customHeight="true" outlineLevel="0" collapsed="false">
      <c r="A683" s="100" t="str">
        <f aca="false">Equipos!C681</f>
        <v>2-112833</v>
      </c>
      <c r="B683" s="101" t="str">
        <f aca="false">Equipos!D681</f>
        <v>Monitor Multiparámetros</v>
      </c>
      <c r="C683" s="101" t="str">
        <f aca="false">Equipos!E681</f>
        <v>UPC Adulto</v>
      </c>
      <c r="D683" s="101" t="str">
        <f aca="false">Equipos!G681</f>
        <v>CAMA 22</v>
      </c>
      <c r="E683" s="101" t="str">
        <f aca="false">Equipos!I681</f>
        <v>Drager</v>
      </c>
      <c r="F683" s="101" t="str">
        <f aca="false">Equipos!J681</f>
        <v>Infinity Kappa </v>
      </c>
      <c r="G683" s="100" t="str">
        <f aca="false">Equipos!K681</f>
        <v>5495302268</v>
      </c>
      <c r="H683" s="101"/>
      <c r="I683" s="103"/>
      <c r="J683" s="102"/>
      <c r="K683" s="102"/>
      <c r="L683" s="103" t="s">
        <v>329</v>
      </c>
      <c r="M683" s="102"/>
      <c r="N683" s="102"/>
      <c r="O683" s="102"/>
      <c r="P683" s="102"/>
      <c r="Q683" s="102"/>
      <c r="R683" s="102"/>
      <c r="S683" s="102"/>
      <c r="T683" s="102"/>
      <c r="U683" s="101" t="n">
        <f aca="false">V683+W683+X683+COUNTIF(I683:T683,"R")</f>
        <v>1</v>
      </c>
      <c r="V683" s="101" t="n">
        <f aca="false">COUNTIF(I683:T683,"E")</f>
        <v>0</v>
      </c>
      <c r="W683" s="101" t="n">
        <f aca="false">COUNTIF(I683:T683,"X")</f>
        <v>1</v>
      </c>
      <c r="X683" s="101" t="n">
        <f aca="false">COUNTIF(I683:T683,"C2")+COUNTIF(I683:T683,"C3")</f>
        <v>0</v>
      </c>
      <c r="Y683" s="101" t="n">
        <f aca="true">SUMPRODUCT((I683:INDEX(I683:T683,MONTH(TODAY()))="X")*1)</f>
        <v>1</v>
      </c>
      <c r="Z683" s="104" t="n">
        <f aca="false">IFERROR(V683/U683,"")</f>
        <v>0</v>
      </c>
    </row>
    <row r="684" customFormat="false" ht="15" hidden="false" customHeight="true" outlineLevel="0" collapsed="false">
      <c r="A684" s="100" t="str">
        <f aca="false">Equipos!C682</f>
        <v>2-112839</v>
      </c>
      <c r="B684" s="101" t="str">
        <f aca="false">Equipos!D682</f>
        <v>Monitor Multiparámetros</v>
      </c>
      <c r="C684" s="101" t="str">
        <f aca="false">Equipos!E682</f>
        <v>UPC Adulto</v>
      </c>
      <c r="D684" s="101" t="str">
        <f aca="false">Equipos!G682</f>
        <v>CAMA 16</v>
      </c>
      <c r="E684" s="101" t="str">
        <f aca="false">Equipos!I682</f>
        <v>Drager</v>
      </c>
      <c r="F684" s="101" t="str">
        <f aca="false">Equipos!J682</f>
        <v>Infinity Kappa </v>
      </c>
      <c r="G684" s="100" t="str">
        <f aca="false">Equipos!K682</f>
        <v>5495303668</v>
      </c>
      <c r="H684" s="101"/>
      <c r="I684" s="102"/>
      <c r="J684" s="102"/>
      <c r="K684" s="102"/>
      <c r="L684" s="102" t="s">
        <v>329</v>
      </c>
      <c r="M684" s="102"/>
      <c r="N684" s="102"/>
      <c r="O684" s="102"/>
      <c r="P684" s="102"/>
      <c r="Q684" s="102"/>
      <c r="R684" s="102"/>
      <c r="S684" s="102"/>
      <c r="T684" s="102"/>
      <c r="U684" s="101" t="n">
        <f aca="false">V684+W684+X684+COUNTIF(I684:T684,"R")</f>
        <v>1</v>
      </c>
      <c r="V684" s="101" t="n">
        <f aca="false">COUNTIF(I684:T684,"E")</f>
        <v>0</v>
      </c>
      <c r="W684" s="101" t="n">
        <f aca="false">COUNTIF(I684:T684,"X")</f>
        <v>1</v>
      </c>
      <c r="X684" s="101" t="n">
        <f aca="false">COUNTIF(I684:T684,"C2")+COUNTIF(I684:T684,"C3")</f>
        <v>0</v>
      </c>
      <c r="Y684" s="101" t="n">
        <f aca="true">SUMPRODUCT((I684:INDEX(I684:T684,MONTH(TODAY()))="X")*1)</f>
        <v>1</v>
      </c>
      <c r="Z684" s="104" t="n">
        <f aca="false">IFERROR(V684/U684,"")</f>
        <v>0</v>
      </c>
    </row>
    <row r="685" customFormat="false" ht="15" hidden="false" customHeight="true" outlineLevel="0" collapsed="false">
      <c r="A685" s="100" t="str">
        <f aca="false">Equipos!C683</f>
        <v>2-112812</v>
      </c>
      <c r="B685" s="101" t="str">
        <f aca="false">Equipos!D683</f>
        <v>Monitor Multiparámetros</v>
      </c>
      <c r="C685" s="101" t="str">
        <f aca="false">Equipos!E683</f>
        <v>UPC Adulto</v>
      </c>
      <c r="D685" s="101" t="str">
        <f aca="false">Equipos!G683</f>
        <v>CAMA 10</v>
      </c>
      <c r="E685" s="101" t="str">
        <f aca="false">Equipos!I683</f>
        <v>Drager</v>
      </c>
      <c r="F685" s="101" t="str">
        <f aca="false">Equipos!J683</f>
        <v>Infinity Kappa </v>
      </c>
      <c r="G685" s="100" t="str">
        <f aca="false">Equipos!K683</f>
        <v>5495305167</v>
      </c>
      <c r="H685" s="101"/>
      <c r="I685" s="102"/>
      <c r="J685" s="102"/>
      <c r="K685" s="102"/>
      <c r="L685" s="103" t="s">
        <v>328</v>
      </c>
      <c r="M685" s="102"/>
      <c r="N685" s="102"/>
      <c r="O685" s="102"/>
      <c r="P685" s="102"/>
      <c r="Q685" s="102"/>
      <c r="R685" s="102"/>
      <c r="S685" s="102"/>
      <c r="T685" s="102"/>
      <c r="U685" s="101" t="n">
        <f aca="false">V685+W685+X685+COUNTIF(I685:T685,"R")</f>
        <v>1</v>
      </c>
      <c r="V685" s="101" t="n">
        <f aca="false">COUNTIF(I685:T685,"E")</f>
        <v>1</v>
      </c>
      <c r="W685" s="101" t="n">
        <f aca="false">COUNTIF(I685:T685,"X")</f>
        <v>0</v>
      </c>
      <c r="X685" s="101" t="n">
        <f aca="false">COUNTIF(I685:T685,"C2")+COUNTIF(I685:T685,"C3")</f>
        <v>0</v>
      </c>
      <c r="Y685" s="101" t="n">
        <f aca="true">SUMPRODUCT((I685:INDEX(I685:T685,MONTH(TODAY()))="X")*1)</f>
        <v>0</v>
      </c>
      <c r="Z685" s="104" t="n">
        <f aca="false">IFERROR(V685/U685,"")</f>
        <v>1</v>
      </c>
    </row>
    <row r="686" customFormat="false" ht="15" hidden="false" customHeight="true" outlineLevel="0" collapsed="false">
      <c r="A686" s="100" t="str">
        <f aca="false">Equipos!C684</f>
        <v>2-112813</v>
      </c>
      <c r="B686" s="101" t="str">
        <f aca="false">Equipos!D684</f>
        <v>Monitor Multiparámetros</v>
      </c>
      <c r="C686" s="101" t="str">
        <f aca="false">Equipos!E684</f>
        <v>UPC Adulto</v>
      </c>
      <c r="D686" s="101" t="str">
        <f aca="false">Equipos!G684</f>
        <v>CAMA 9</v>
      </c>
      <c r="E686" s="101" t="str">
        <f aca="false">Equipos!I684</f>
        <v>Drager</v>
      </c>
      <c r="F686" s="101" t="str">
        <f aca="false">Equipos!J684</f>
        <v>Infinity Kappa </v>
      </c>
      <c r="G686" s="100" t="str">
        <f aca="false">Equipos!K684</f>
        <v>5495307067</v>
      </c>
      <c r="H686" s="101"/>
      <c r="I686" s="102"/>
      <c r="J686" s="102"/>
      <c r="K686" s="102"/>
      <c r="L686" s="103" t="s">
        <v>329</v>
      </c>
      <c r="M686" s="103"/>
      <c r="N686" s="102"/>
      <c r="O686" s="102"/>
      <c r="P686" s="102"/>
      <c r="Q686" s="102"/>
      <c r="R686" s="102"/>
      <c r="S686" s="102"/>
      <c r="T686" s="102"/>
      <c r="U686" s="101" t="n">
        <f aca="false">V686+W686+X686+COUNTIF(I686:T686,"R")</f>
        <v>1</v>
      </c>
      <c r="V686" s="101" t="n">
        <f aca="false">COUNTIF(I686:T686,"E")</f>
        <v>0</v>
      </c>
      <c r="W686" s="101" t="n">
        <f aca="false">COUNTIF(I686:T686,"X")</f>
        <v>1</v>
      </c>
      <c r="X686" s="101" t="n">
        <f aca="false">COUNTIF(I686:T686,"C2")+COUNTIF(I686:T686,"C3")</f>
        <v>0</v>
      </c>
      <c r="Y686" s="101" t="n">
        <f aca="true">SUMPRODUCT((I686:INDEX(I686:T686,MONTH(TODAY()))="X")*1)</f>
        <v>1</v>
      </c>
      <c r="Z686" s="104" t="n">
        <f aca="false">IFERROR(V686/U686,"")</f>
        <v>0</v>
      </c>
    </row>
    <row r="687" customFormat="false" ht="15" hidden="false" customHeight="true" outlineLevel="0" collapsed="false">
      <c r="A687" s="100" t="str">
        <f aca="false">Equipos!C685</f>
        <v>2-112801</v>
      </c>
      <c r="B687" s="101" t="str">
        <f aca="false">Equipos!D685</f>
        <v>Monitor Multiparámetros</v>
      </c>
      <c r="C687" s="101" t="str">
        <f aca="false">Equipos!E685</f>
        <v>UPC Adulto</v>
      </c>
      <c r="D687" s="101" t="str">
        <f aca="false">Equipos!G685</f>
        <v>CAMA 3</v>
      </c>
      <c r="E687" s="101" t="str">
        <f aca="false">Equipos!I685</f>
        <v>Drager</v>
      </c>
      <c r="F687" s="101" t="str">
        <f aca="false">Equipos!J685</f>
        <v>Infinity Kappa </v>
      </c>
      <c r="G687" s="100" t="str">
        <f aca="false">Equipos!K685</f>
        <v>5495307263</v>
      </c>
      <c r="H687" s="101"/>
      <c r="I687" s="102"/>
      <c r="J687" s="102"/>
      <c r="K687" s="102"/>
      <c r="L687" s="103" t="s">
        <v>328</v>
      </c>
      <c r="M687" s="102"/>
      <c r="N687" s="102"/>
      <c r="O687" s="102"/>
      <c r="P687" s="102"/>
      <c r="Q687" s="102"/>
      <c r="R687" s="102"/>
      <c r="S687" s="102"/>
      <c r="T687" s="102"/>
      <c r="U687" s="101" t="n">
        <f aca="false">V687+W687+X687+COUNTIF(I687:T687,"R")</f>
        <v>1</v>
      </c>
      <c r="V687" s="101" t="n">
        <f aca="false">COUNTIF(I687:T687,"E")</f>
        <v>1</v>
      </c>
      <c r="W687" s="101" t="n">
        <f aca="false">COUNTIF(I687:T687,"X")</f>
        <v>0</v>
      </c>
      <c r="X687" s="101" t="n">
        <f aca="false">COUNTIF(I687:T687,"C2")+COUNTIF(I687:T687,"C3")</f>
        <v>0</v>
      </c>
      <c r="Y687" s="101" t="n">
        <f aca="true">SUMPRODUCT((I687:INDEX(I687:T687,MONTH(TODAY()))="X")*1)</f>
        <v>0</v>
      </c>
      <c r="Z687" s="104" t="n">
        <f aca="false">IFERROR(V687/U687,"")</f>
        <v>1</v>
      </c>
    </row>
    <row r="688" customFormat="false" ht="15" hidden="false" customHeight="true" outlineLevel="0" collapsed="false">
      <c r="A688" s="100" t="str">
        <f aca="false">Equipos!C686</f>
        <v>2-112834</v>
      </c>
      <c r="B688" s="101" t="str">
        <f aca="false">Equipos!D686</f>
        <v>Monitor Multiparámetros</v>
      </c>
      <c r="C688" s="101" t="str">
        <f aca="false">Equipos!E686</f>
        <v>UPC Adulto</v>
      </c>
      <c r="D688" s="101" t="str">
        <f aca="false">Equipos!G686</f>
        <v>CAMA 21</v>
      </c>
      <c r="E688" s="101" t="str">
        <f aca="false">Equipos!I686</f>
        <v>Drager</v>
      </c>
      <c r="F688" s="101" t="str">
        <f aca="false">Equipos!J686</f>
        <v>Infinity Kappa </v>
      </c>
      <c r="G688" s="100" t="str">
        <f aca="false">Equipos!K686</f>
        <v>5495307762</v>
      </c>
      <c r="H688" s="101"/>
      <c r="I688" s="102"/>
      <c r="J688" s="102"/>
      <c r="K688" s="102"/>
      <c r="L688" s="103" t="s">
        <v>328</v>
      </c>
      <c r="M688" s="102"/>
      <c r="N688" s="102"/>
      <c r="O688" s="102"/>
      <c r="P688" s="102"/>
      <c r="Q688" s="102"/>
      <c r="R688" s="102"/>
      <c r="S688" s="102"/>
      <c r="T688" s="102"/>
      <c r="U688" s="101" t="n">
        <f aca="false">V688+W688+X688+COUNTIF(I688:T688,"R")</f>
        <v>1</v>
      </c>
      <c r="V688" s="101" t="n">
        <f aca="false">COUNTIF(I688:T688,"E")</f>
        <v>1</v>
      </c>
      <c r="W688" s="101" t="n">
        <f aca="false">COUNTIF(I688:T688,"X")</f>
        <v>0</v>
      </c>
      <c r="X688" s="101" t="n">
        <f aca="false">COUNTIF(I688:T688,"C2")+COUNTIF(I688:T688,"C3")</f>
        <v>0</v>
      </c>
      <c r="Y688" s="101" t="n">
        <f aca="true">SUMPRODUCT((I688:INDEX(I688:T688,MONTH(TODAY()))="X")*1)</f>
        <v>0</v>
      </c>
      <c r="Z688" s="104" t="n">
        <f aca="false">IFERROR(V688/U688,"")</f>
        <v>1</v>
      </c>
    </row>
    <row r="689" customFormat="false" ht="15" hidden="false" customHeight="true" outlineLevel="0" collapsed="false">
      <c r="A689" s="100" t="str">
        <f aca="false">Equipos!C687</f>
        <v>2-112840</v>
      </c>
      <c r="B689" s="101" t="str">
        <f aca="false">Equipos!D687</f>
        <v>Monitor Multiparámetros</v>
      </c>
      <c r="C689" s="101" t="str">
        <f aca="false">Equipos!E687</f>
        <v>UPC Adulto</v>
      </c>
      <c r="D689" s="101" t="str">
        <f aca="false">Equipos!G687</f>
        <v>CAMA 15</v>
      </c>
      <c r="E689" s="101" t="str">
        <f aca="false">Equipos!I687</f>
        <v>Drager</v>
      </c>
      <c r="F689" s="101" t="str">
        <f aca="false">Equipos!J687</f>
        <v>Infinity Kappa </v>
      </c>
      <c r="G689" s="100" t="str">
        <f aca="false">Equipos!K687</f>
        <v>5495310268</v>
      </c>
      <c r="H689" s="101"/>
      <c r="I689" s="102"/>
      <c r="J689" s="102"/>
      <c r="K689" s="102"/>
      <c r="L689" s="102" t="s">
        <v>329</v>
      </c>
      <c r="M689" s="102"/>
      <c r="N689" s="102"/>
      <c r="O689" s="102"/>
      <c r="P689" s="102"/>
      <c r="Q689" s="102"/>
      <c r="R689" s="102"/>
      <c r="S689" s="102"/>
      <c r="T689" s="102"/>
      <c r="U689" s="101" t="n">
        <f aca="false">V689+W689+X689+COUNTIF(I689:T689,"R")</f>
        <v>1</v>
      </c>
      <c r="V689" s="101" t="n">
        <f aca="false">COUNTIF(I689:T689,"E")</f>
        <v>0</v>
      </c>
      <c r="W689" s="101" t="n">
        <f aca="false">COUNTIF(I689:T689,"X")</f>
        <v>1</v>
      </c>
      <c r="X689" s="101" t="n">
        <f aca="false">COUNTIF(I689:T689,"C2")+COUNTIF(I689:T689,"C3")</f>
        <v>0</v>
      </c>
      <c r="Y689" s="101" t="n">
        <f aca="true">SUMPRODUCT((I689:INDEX(I689:T689,MONTH(TODAY()))="X")*1)</f>
        <v>1</v>
      </c>
      <c r="Z689" s="104" t="n">
        <f aca="false">IFERROR(V689/U689,"")</f>
        <v>0</v>
      </c>
    </row>
    <row r="690" customFormat="false" ht="15" hidden="false" customHeight="true" outlineLevel="0" collapsed="false">
      <c r="A690" s="100" t="str">
        <f aca="false">Equipos!C688</f>
        <v>2-112830</v>
      </c>
      <c r="B690" s="101" t="str">
        <f aca="false">Equipos!D688</f>
        <v>Monitor Multiparámetros</v>
      </c>
      <c r="C690" s="101" t="str">
        <f aca="false">Equipos!E688</f>
        <v>UPC Adulto</v>
      </c>
      <c r="D690" s="101" t="str">
        <f aca="false">Equipos!G688</f>
        <v>CAMA 13</v>
      </c>
      <c r="E690" s="101" t="str">
        <f aca="false">Equipos!I688</f>
        <v>Drager</v>
      </c>
      <c r="F690" s="101" t="str">
        <f aca="false">Equipos!J688</f>
        <v>Infinity Kappa </v>
      </c>
      <c r="G690" s="100" t="str">
        <f aca="false">Equipos!K688</f>
        <v>5495310865</v>
      </c>
      <c r="H690" s="101"/>
      <c r="I690" s="102"/>
      <c r="J690" s="102"/>
      <c r="K690" s="102"/>
      <c r="L690" s="103" t="s">
        <v>328</v>
      </c>
      <c r="M690" s="102"/>
      <c r="N690" s="102"/>
      <c r="O690" s="102"/>
      <c r="P690" s="102"/>
      <c r="Q690" s="102"/>
      <c r="R690" s="102"/>
      <c r="S690" s="102"/>
      <c r="T690" s="102"/>
      <c r="U690" s="101" t="n">
        <f aca="false">V690+W690+X690+COUNTIF(I690:T690,"R")</f>
        <v>1</v>
      </c>
      <c r="V690" s="101" t="n">
        <f aca="false">COUNTIF(I690:T690,"E")</f>
        <v>1</v>
      </c>
      <c r="W690" s="101" t="n">
        <f aca="false">COUNTIF(I690:T690,"X")</f>
        <v>0</v>
      </c>
      <c r="X690" s="101" t="n">
        <f aca="false">COUNTIF(I690:T690,"C2")+COUNTIF(I690:T690,"C3")</f>
        <v>0</v>
      </c>
      <c r="Y690" s="101" t="n">
        <f aca="true">SUMPRODUCT((I690:INDEX(I690:T690,MONTH(TODAY()))="X")*1)</f>
        <v>0</v>
      </c>
      <c r="Z690" s="104" t="n">
        <f aca="false">IFERROR(V690/U690,"")</f>
        <v>1</v>
      </c>
    </row>
    <row r="691" customFormat="false" ht="15" hidden="false" customHeight="true" outlineLevel="0" collapsed="false">
      <c r="A691" s="100" t="str">
        <f aca="false">Equipos!C689</f>
        <v>2-112827</v>
      </c>
      <c r="B691" s="101" t="str">
        <f aca="false">Equipos!D689</f>
        <v>Monitor Multiparámetros</v>
      </c>
      <c r="C691" s="101" t="str">
        <f aca="false">Equipos!E689</f>
        <v>UPC Adulto</v>
      </c>
      <c r="D691" s="101" t="str">
        <f aca="false">Equipos!G689</f>
        <v>CAMA 19</v>
      </c>
      <c r="E691" s="101" t="str">
        <f aca="false">Equipos!I689</f>
        <v>Drager</v>
      </c>
      <c r="F691" s="101" t="str">
        <f aca="false">Equipos!J689</f>
        <v>Infinity Kappa </v>
      </c>
      <c r="G691" s="100" t="str">
        <f aca="false">Equipos!K689</f>
        <v>5495311962</v>
      </c>
      <c r="H691" s="101"/>
      <c r="I691" s="102"/>
      <c r="J691" s="102"/>
      <c r="K691" s="102"/>
      <c r="L691" s="103" t="s">
        <v>328</v>
      </c>
      <c r="M691" s="102"/>
      <c r="N691" s="102"/>
      <c r="O691" s="102"/>
      <c r="P691" s="102"/>
      <c r="Q691" s="102"/>
      <c r="R691" s="102"/>
      <c r="S691" s="102"/>
      <c r="T691" s="102"/>
      <c r="U691" s="101" t="n">
        <f aca="false">V691+W691+X691+COUNTIF(I691:T691,"R")</f>
        <v>1</v>
      </c>
      <c r="V691" s="101" t="n">
        <f aca="false">COUNTIF(I691:T691,"E")</f>
        <v>1</v>
      </c>
      <c r="W691" s="101" t="n">
        <f aca="false">COUNTIF(I691:T691,"X")</f>
        <v>0</v>
      </c>
      <c r="X691" s="101" t="n">
        <f aca="false">COUNTIF(I691:T691,"C2")+COUNTIF(I691:T691,"C3")</f>
        <v>0</v>
      </c>
      <c r="Y691" s="101" t="n">
        <f aca="true">SUMPRODUCT((I691:INDEX(I691:T691,MONTH(TODAY()))="X")*1)</f>
        <v>0</v>
      </c>
      <c r="Z691" s="104" t="n">
        <f aca="false">IFERROR(V691/U691,"")</f>
        <v>1</v>
      </c>
    </row>
    <row r="692" customFormat="false" ht="15" hidden="false" customHeight="true" outlineLevel="0" collapsed="false">
      <c r="A692" s="100" t="str">
        <f aca="false">Equipos!C690</f>
        <v>2-112831</v>
      </c>
      <c r="B692" s="101" t="str">
        <f aca="false">Equipos!D690</f>
        <v>Monitor Multiparámetros</v>
      </c>
      <c r="C692" s="101" t="str">
        <f aca="false">Equipos!E690</f>
        <v>UPC Adulto</v>
      </c>
      <c r="D692" s="101" t="str">
        <f aca="false">Equipos!G690</f>
        <v>CAMA 14</v>
      </c>
      <c r="E692" s="101" t="str">
        <f aca="false">Equipos!I690</f>
        <v>Drager</v>
      </c>
      <c r="F692" s="101" t="str">
        <f aca="false">Equipos!J690</f>
        <v>Infinity Kappa </v>
      </c>
      <c r="G692" s="100" t="str">
        <f aca="false">Equipos!K690</f>
        <v>5495313461</v>
      </c>
      <c r="H692" s="101"/>
      <c r="I692" s="102"/>
      <c r="J692" s="102"/>
      <c r="K692" s="102"/>
      <c r="L692" s="103" t="s">
        <v>329</v>
      </c>
      <c r="M692" s="103"/>
      <c r="N692" s="102"/>
      <c r="O692" s="102"/>
      <c r="P692" s="102"/>
      <c r="Q692" s="102"/>
      <c r="R692" s="102"/>
      <c r="S692" s="102"/>
      <c r="T692" s="102"/>
      <c r="U692" s="101" t="n">
        <f aca="false">V692+W692+X692+COUNTIF(I692:T692,"R")</f>
        <v>1</v>
      </c>
      <c r="V692" s="101" t="n">
        <f aca="false">COUNTIF(I692:T692,"E")</f>
        <v>0</v>
      </c>
      <c r="W692" s="101" t="n">
        <f aca="false">COUNTIF(I692:T692,"X")</f>
        <v>1</v>
      </c>
      <c r="X692" s="101" t="n">
        <f aca="false">COUNTIF(I692:T692,"C2")+COUNTIF(I692:T692,"C3")</f>
        <v>0</v>
      </c>
      <c r="Y692" s="101" t="n">
        <f aca="true">SUMPRODUCT((I692:INDEX(I692:T692,MONTH(TODAY()))="X")*1)</f>
        <v>1</v>
      </c>
      <c r="Z692" s="104" t="n">
        <f aca="false">IFERROR(V692/U692,"")</f>
        <v>0</v>
      </c>
    </row>
    <row r="693" customFormat="false" ht="15" hidden="false" customHeight="true" outlineLevel="0" collapsed="false">
      <c r="A693" s="100" t="str">
        <f aca="false">Equipos!C691</f>
        <v>2-112802</v>
      </c>
      <c r="B693" s="101" t="str">
        <f aca="false">Equipos!D691</f>
        <v>Monitor Multiparámetros</v>
      </c>
      <c r="C693" s="101" t="str">
        <f aca="false">Equipos!E691</f>
        <v>UPC Adulto</v>
      </c>
      <c r="D693" s="101" t="str">
        <f aca="false">Equipos!G691</f>
        <v>CAMA 6</v>
      </c>
      <c r="E693" s="101" t="str">
        <f aca="false">Equipos!I691</f>
        <v>Drager</v>
      </c>
      <c r="F693" s="101" t="str">
        <f aca="false">Equipos!J691</f>
        <v>Infinity Kappa </v>
      </c>
      <c r="G693" s="100" t="str">
        <f aca="false">Equipos!K691</f>
        <v>5495313764</v>
      </c>
      <c r="H693" s="101"/>
      <c r="I693" s="102"/>
      <c r="J693" s="102"/>
      <c r="K693" s="102"/>
      <c r="L693" s="103" t="s">
        <v>328</v>
      </c>
      <c r="M693" s="102"/>
      <c r="N693" s="102"/>
      <c r="O693" s="102"/>
      <c r="P693" s="102"/>
      <c r="Q693" s="102"/>
      <c r="R693" s="102"/>
      <c r="S693" s="102"/>
      <c r="T693" s="102"/>
      <c r="U693" s="101" t="n">
        <f aca="false">V693+W693+X693+COUNTIF(I693:T693,"R")</f>
        <v>1</v>
      </c>
      <c r="V693" s="101" t="n">
        <f aca="false">COUNTIF(I693:T693,"E")</f>
        <v>1</v>
      </c>
      <c r="W693" s="101" t="n">
        <f aca="false">COUNTIF(I693:T693,"X")</f>
        <v>0</v>
      </c>
      <c r="X693" s="101" t="n">
        <f aca="false">COUNTIF(I693:T693,"C2")+COUNTIF(I693:T693,"C3")</f>
        <v>0</v>
      </c>
      <c r="Y693" s="101" t="n">
        <f aca="true">SUMPRODUCT((I693:INDEX(I693:T693,MONTH(TODAY()))="X")*1)</f>
        <v>0</v>
      </c>
      <c r="Z693" s="104" t="n">
        <f aca="false">IFERROR(V693/U693,"")</f>
        <v>1</v>
      </c>
    </row>
    <row r="694" customFormat="false" ht="15" hidden="false" customHeight="true" outlineLevel="0" collapsed="false">
      <c r="A694" s="100" t="str">
        <f aca="false">Equipos!C692</f>
        <v>2-110634</v>
      </c>
      <c r="B694" s="101" t="str">
        <f aca="false">Equipos!D692</f>
        <v>Monitor Multiparámetros</v>
      </c>
      <c r="C694" s="101" t="str">
        <f aca="false">Equipos!E692</f>
        <v>Imagenología</v>
      </c>
      <c r="D694" s="101" t="str">
        <f aca="false">Equipos!G692</f>
        <v>Resonancia</v>
      </c>
      <c r="E694" s="101" t="str">
        <f aca="false">Equipos!I692</f>
        <v>Tesla</v>
      </c>
      <c r="F694" s="101" t="str">
        <f aca="false">Equipos!J692</f>
        <v>M3</v>
      </c>
      <c r="G694" s="100" t="str">
        <f aca="false">Equipos!K692</f>
        <v>TM3M0264</v>
      </c>
      <c r="H694" s="101"/>
      <c r="I694" s="102"/>
      <c r="J694" s="103" t="s">
        <v>331</v>
      </c>
      <c r="K694" s="103" t="s">
        <v>328</v>
      </c>
      <c r="L694" s="102"/>
      <c r="M694" s="102"/>
      <c r="N694" s="102"/>
      <c r="O694" s="102"/>
      <c r="P694" s="102"/>
      <c r="Q694" s="102"/>
      <c r="R694" s="102"/>
      <c r="S694" s="102"/>
      <c r="T694" s="102"/>
      <c r="U694" s="101" t="n">
        <f aca="false">V694+W694+X694+COUNTIF(I694:T694,"R")</f>
        <v>2</v>
      </c>
      <c r="V694" s="101" t="n">
        <f aca="false">COUNTIF(I694:T694,"E")</f>
        <v>1</v>
      </c>
      <c r="W694" s="101" t="n">
        <f aca="false">COUNTIF(I694:T694,"X")</f>
        <v>0</v>
      </c>
      <c r="X694" s="101" t="n">
        <f aca="false">COUNTIF(I694:T694,"C2")+COUNTIF(I694:T694,"C3")</f>
        <v>1</v>
      </c>
      <c r="Y694" s="101" t="n">
        <f aca="true">SUMPRODUCT((I694:INDEX(I694:T694,MONTH(TODAY()))="X")*1)</f>
        <v>0</v>
      </c>
      <c r="Z694" s="104" t="n">
        <f aca="false">IFERROR(V694/U694,"")</f>
        <v>0.5</v>
      </c>
    </row>
    <row r="695" customFormat="false" ht="15" hidden="false" customHeight="true" outlineLevel="0" collapsed="false">
      <c r="A695" s="100" t="str">
        <f aca="false">Equipos!C693</f>
        <v>2-112795</v>
      </c>
      <c r="B695" s="101" t="str">
        <f aca="false">Equipos!D693</f>
        <v>Monitor Multiparámetros</v>
      </c>
      <c r="C695" s="101" t="str">
        <f aca="false">Equipos!E693</f>
        <v>UPC Adulto</v>
      </c>
      <c r="D695" s="101" t="str">
        <f aca="false">Equipos!G693</f>
        <v>CAMA 2</v>
      </c>
      <c r="E695" s="101" t="str">
        <f aca="false">Equipos!I693</f>
        <v>Drager</v>
      </c>
      <c r="F695" s="101" t="str">
        <f aca="false">Equipos!J693</f>
        <v>Infinity Kappa </v>
      </c>
      <c r="G695" s="100" t="str">
        <f aca="false">Equipos!K693</f>
        <v>5495319063</v>
      </c>
      <c r="H695" s="101"/>
      <c r="I695" s="102"/>
      <c r="J695" s="102"/>
      <c r="K695" s="102"/>
      <c r="L695" s="103" t="s">
        <v>328</v>
      </c>
      <c r="M695" s="102"/>
      <c r="N695" s="102"/>
      <c r="O695" s="102"/>
      <c r="P695" s="102"/>
      <c r="Q695" s="102"/>
      <c r="R695" s="102"/>
      <c r="S695" s="102"/>
      <c r="T695" s="102"/>
      <c r="U695" s="101" t="n">
        <f aca="false">V695+W695+X695+COUNTIF(I695:T695,"R")</f>
        <v>1</v>
      </c>
      <c r="V695" s="101" t="n">
        <f aca="false">COUNTIF(I695:T695,"E")</f>
        <v>1</v>
      </c>
      <c r="W695" s="101" t="n">
        <f aca="false">COUNTIF(I695:T695,"X")</f>
        <v>0</v>
      </c>
      <c r="X695" s="101" t="n">
        <f aca="false">COUNTIF(I695:T695,"C2")+COUNTIF(I695:T695,"C3")</f>
        <v>0</v>
      </c>
      <c r="Y695" s="101" t="n">
        <f aca="true">SUMPRODUCT((I695:INDEX(I695:T695,MONTH(TODAY()))="X")*1)</f>
        <v>0</v>
      </c>
      <c r="Z695" s="104" t="n">
        <f aca="false">IFERROR(V695/U695,"")</f>
        <v>1</v>
      </c>
    </row>
    <row r="696" customFormat="false" ht="15" hidden="false" customHeight="true" outlineLevel="0" collapsed="false">
      <c r="A696" s="100" t="n">
        <f aca="false">Equipos!C694</f>
        <v>0</v>
      </c>
      <c r="B696" s="101" t="n">
        <f aca="false">Equipos!D694</f>
        <v>0</v>
      </c>
      <c r="C696" s="101" t="n">
        <f aca="false">Equipos!E694</f>
        <v>0</v>
      </c>
      <c r="D696" s="101" t="n">
        <f aca="false">Equipos!G694</f>
        <v>0</v>
      </c>
      <c r="E696" s="101" t="n">
        <f aca="false">Equipos!I694</f>
        <v>0</v>
      </c>
      <c r="F696" s="101" t="n">
        <f aca="false">Equipos!J694</f>
        <v>0</v>
      </c>
      <c r="G696" s="100" t="n">
        <f aca="false">Equipos!K694</f>
        <v>0</v>
      </c>
      <c r="H696" s="101"/>
      <c r="I696" s="102"/>
      <c r="J696" s="102"/>
      <c r="K696" s="102"/>
      <c r="L696" s="102"/>
      <c r="M696" s="102"/>
      <c r="N696" s="102"/>
      <c r="O696" s="102"/>
      <c r="P696" s="102"/>
      <c r="Q696" s="102"/>
      <c r="R696" s="102"/>
      <c r="S696" s="102"/>
      <c r="T696" s="102"/>
      <c r="U696" s="101" t="n">
        <f aca="false">V696+W696+X696+COUNTIF(I696:T696,"R")</f>
        <v>0</v>
      </c>
      <c r="V696" s="101" t="n">
        <f aca="false">COUNTIF(I696:T696,"E")</f>
        <v>0</v>
      </c>
      <c r="W696" s="101" t="n">
        <f aca="false">COUNTIF(I696:T696,"X")</f>
        <v>0</v>
      </c>
      <c r="X696" s="101" t="n">
        <f aca="false">COUNTIF(I696:T696,"C2")+COUNTIF(I696:T696,"C3")</f>
        <v>0</v>
      </c>
      <c r="Y696" s="101" t="n">
        <f aca="true">SUMPRODUCT((I696:INDEX(I696:T696,MONTH(TODAY()))="X")*1)</f>
        <v>0</v>
      </c>
      <c r="Z696" s="104" t="str">
        <f aca="false">IFERROR(V696/U696,"")</f>
        <v/>
      </c>
    </row>
    <row r="697" customFormat="false" ht="15" hidden="false" customHeight="true" outlineLevel="0" collapsed="false">
      <c r="A697" s="100" t="str">
        <f aca="false">Equipos!C695</f>
        <v>2-112814</v>
      </c>
      <c r="B697" s="101" t="str">
        <f aca="false">Equipos!D695</f>
        <v>Monitor Multiparámetros</v>
      </c>
      <c r="C697" s="101" t="str">
        <f aca="false">Equipos!E695</f>
        <v>UPC Adulto</v>
      </c>
      <c r="D697" s="101" t="str">
        <f aca="false">Equipos!G695</f>
        <v>CAMA 8</v>
      </c>
      <c r="E697" s="101" t="str">
        <f aca="false">Equipos!I695</f>
        <v>Drager</v>
      </c>
      <c r="F697" s="101" t="str">
        <f aca="false">Equipos!J695</f>
        <v>Infinity Kappa </v>
      </c>
      <c r="G697" s="100" t="str">
        <f aca="false">Equipos!K695</f>
        <v>5495320364</v>
      </c>
      <c r="H697" s="101"/>
      <c r="I697" s="102"/>
      <c r="J697" s="102"/>
      <c r="K697" s="102"/>
      <c r="L697" s="103" t="s">
        <v>328</v>
      </c>
      <c r="M697" s="102"/>
      <c r="N697" s="102"/>
      <c r="O697" s="102"/>
      <c r="P697" s="102"/>
      <c r="Q697" s="102"/>
      <c r="R697" s="102"/>
      <c r="S697" s="102"/>
      <c r="T697" s="102"/>
      <c r="U697" s="101" t="n">
        <f aca="false">V697+W697+X697+COUNTIF(I697:T697,"R")</f>
        <v>1</v>
      </c>
      <c r="V697" s="101" t="n">
        <f aca="false">COUNTIF(I697:T697,"E")</f>
        <v>1</v>
      </c>
      <c r="W697" s="101" t="n">
        <f aca="false">COUNTIF(I697:T697,"X")</f>
        <v>0</v>
      </c>
      <c r="X697" s="101" t="n">
        <f aca="false">COUNTIF(I697:T697,"C2")+COUNTIF(I697:T697,"C3")</f>
        <v>0</v>
      </c>
      <c r="Y697" s="101" t="n">
        <f aca="true">SUMPRODUCT((I697:INDEX(I697:T697,MONTH(TODAY()))="X")*1)</f>
        <v>0</v>
      </c>
      <c r="Z697" s="104" t="n">
        <f aca="false">IFERROR(V697/U697,"")</f>
        <v>1</v>
      </c>
    </row>
    <row r="698" customFormat="false" ht="15" hidden="false" customHeight="true" outlineLevel="0" collapsed="false">
      <c r="A698" s="100" t="str">
        <f aca="false">Equipos!C696</f>
        <v>2-112828</v>
      </c>
      <c r="B698" s="101" t="str">
        <f aca="false">Equipos!D696</f>
        <v>Monitor Multiparámetros</v>
      </c>
      <c r="C698" s="101" t="str">
        <f aca="false">Equipos!E696</f>
        <v>UPC Adulto</v>
      </c>
      <c r="D698" s="101" t="str">
        <f aca="false">Equipos!G696</f>
        <v>CAMA 22</v>
      </c>
      <c r="E698" s="101" t="str">
        <f aca="false">Equipos!I696</f>
        <v>Drager</v>
      </c>
      <c r="F698" s="101" t="str">
        <f aca="false">Equipos!J696</f>
        <v>Infinity Kappa </v>
      </c>
      <c r="G698" s="100" t="str">
        <f aca="false">Equipos!K696</f>
        <v>5495320569</v>
      </c>
      <c r="H698" s="101"/>
      <c r="I698" s="102"/>
      <c r="J698" s="102"/>
      <c r="K698" s="102"/>
      <c r="L698" s="102" t="s">
        <v>329</v>
      </c>
      <c r="M698" s="102"/>
      <c r="N698" s="102"/>
      <c r="O698" s="102"/>
      <c r="P698" s="102"/>
      <c r="Q698" s="102"/>
      <c r="R698" s="102"/>
      <c r="S698" s="102"/>
      <c r="T698" s="102"/>
      <c r="U698" s="101" t="n">
        <f aca="false">V698+W698+X698+COUNTIF(I698:T698,"R")</f>
        <v>1</v>
      </c>
      <c r="V698" s="101" t="n">
        <f aca="false">COUNTIF(I698:T698,"E")</f>
        <v>0</v>
      </c>
      <c r="W698" s="101" t="n">
        <f aca="false">COUNTIF(I698:T698,"X")</f>
        <v>1</v>
      </c>
      <c r="X698" s="101" t="n">
        <f aca="false">COUNTIF(I698:T698,"C2")+COUNTIF(I698:T698,"C3")</f>
        <v>0</v>
      </c>
      <c r="Y698" s="101" t="n">
        <f aca="true">SUMPRODUCT((I698:INDEX(I698:T698,MONTH(TODAY()))="X")*1)</f>
        <v>1</v>
      </c>
      <c r="Z698" s="104" t="n">
        <f aca="false">IFERROR(V698/U698,"")</f>
        <v>0</v>
      </c>
    </row>
    <row r="699" customFormat="false" ht="15" hidden="false" customHeight="true" outlineLevel="0" collapsed="false">
      <c r="A699" s="100" t="str">
        <f aca="false">Equipos!C697</f>
        <v>2-112829</v>
      </c>
      <c r="B699" s="101" t="str">
        <f aca="false">Equipos!D697</f>
        <v>Monitor Multiparámetros</v>
      </c>
      <c r="C699" s="101" t="str">
        <f aca="false">Equipos!E697</f>
        <v>UPC Adulto (Prestado a UPC 3er piso)</v>
      </c>
      <c r="D699" s="101" t="str">
        <f aca="false">Equipos!G697</f>
        <v>CAMA 6</v>
      </c>
      <c r="E699" s="101" t="str">
        <f aca="false">Equipos!I697</f>
        <v>Drager</v>
      </c>
      <c r="F699" s="101" t="str">
        <f aca="false">Equipos!J697</f>
        <v>Infinity Kappa </v>
      </c>
      <c r="G699" s="100" t="str">
        <f aca="false">Equipos!K697</f>
        <v>5495321363</v>
      </c>
      <c r="H699" s="101"/>
      <c r="I699" s="102"/>
      <c r="J699" s="102"/>
      <c r="K699" s="102"/>
      <c r="L699" s="102"/>
      <c r="M699" s="103" t="s">
        <v>329</v>
      </c>
      <c r="N699" s="102"/>
      <c r="O699" s="102"/>
      <c r="P699" s="102"/>
      <c r="Q699" s="102"/>
      <c r="R699" s="102"/>
      <c r="S699" s="102"/>
      <c r="T699" s="102"/>
      <c r="U699" s="101" t="n">
        <f aca="false">V699+W699+X699+COUNTIF(I699:T699,"R")</f>
        <v>1</v>
      </c>
      <c r="V699" s="101" t="n">
        <f aca="false">COUNTIF(I699:T699,"E")</f>
        <v>0</v>
      </c>
      <c r="W699" s="101" t="n">
        <f aca="false">COUNTIF(I699:T699,"X")</f>
        <v>1</v>
      </c>
      <c r="X699" s="101" t="n">
        <f aca="false">COUNTIF(I699:T699,"C2")+COUNTIF(I699:T699,"C3")</f>
        <v>0</v>
      </c>
      <c r="Y699" s="101" t="n">
        <f aca="true">SUMPRODUCT((I699:INDEX(I699:T699,MONTH(TODAY()))="X")*1)</f>
        <v>1</v>
      </c>
      <c r="Z699" s="104" t="n">
        <f aca="false">IFERROR(V699/U699,"")</f>
        <v>0</v>
      </c>
    </row>
    <row r="700" customFormat="false" ht="15" hidden="false" customHeight="true" outlineLevel="0" collapsed="false">
      <c r="A700" s="100" t="str">
        <f aca="false">Equipos!C698</f>
        <v>2-112822</v>
      </c>
      <c r="B700" s="101" t="str">
        <f aca="false">Equipos!D698</f>
        <v>Monitor Multiparámetros</v>
      </c>
      <c r="C700" s="101" t="str">
        <f aca="false">Equipos!E698</f>
        <v>UPC Adulto</v>
      </c>
      <c r="D700" s="101" t="str">
        <f aca="false">Equipos!G698</f>
        <v>CAMA 18</v>
      </c>
      <c r="E700" s="101" t="str">
        <f aca="false">Equipos!I698</f>
        <v>Drager</v>
      </c>
      <c r="F700" s="101" t="str">
        <f aca="false">Equipos!J698</f>
        <v>Infinity Kappa </v>
      </c>
      <c r="G700" s="100" t="str">
        <f aca="false">Equipos!K698</f>
        <v>5495322460</v>
      </c>
      <c r="H700" s="101"/>
      <c r="I700" s="102"/>
      <c r="J700" s="102"/>
      <c r="K700" s="102"/>
      <c r="L700" s="103" t="s">
        <v>328</v>
      </c>
      <c r="M700" s="102"/>
      <c r="N700" s="102"/>
      <c r="O700" s="102"/>
      <c r="P700" s="102"/>
      <c r="Q700" s="102"/>
      <c r="R700" s="102"/>
      <c r="S700" s="102"/>
      <c r="T700" s="102"/>
      <c r="U700" s="101" t="n">
        <f aca="false">V700+W700+X700+COUNTIF(I700:T700,"R")</f>
        <v>1</v>
      </c>
      <c r="V700" s="101" t="n">
        <f aca="false">COUNTIF(I700:T700,"E")</f>
        <v>1</v>
      </c>
      <c r="W700" s="101" t="n">
        <f aca="false">COUNTIF(I700:T700,"X")</f>
        <v>0</v>
      </c>
      <c r="X700" s="101" t="n">
        <f aca="false">COUNTIF(I700:T700,"C2")+COUNTIF(I700:T700,"C3")</f>
        <v>0</v>
      </c>
      <c r="Y700" s="101" t="n">
        <f aca="true">SUMPRODUCT((I700:INDEX(I700:T700,MONTH(TODAY()))="X")*1)</f>
        <v>0</v>
      </c>
      <c r="Z700" s="104" t="n">
        <f aca="false">IFERROR(V700/U700,"")</f>
        <v>1</v>
      </c>
    </row>
    <row r="701" customFormat="false" ht="15" hidden="false" customHeight="true" outlineLevel="0" collapsed="false">
      <c r="A701" s="100" t="str">
        <f aca="false">Equipos!C699</f>
        <v>2-112815</v>
      </c>
      <c r="B701" s="101" t="str">
        <f aca="false">Equipos!D699</f>
        <v>Monitor Multiparámetros</v>
      </c>
      <c r="C701" s="101" t="str">
        <f aca="false">Equipos!E699</f>
        <v>UPC Adulto</v>
      </c>
      <c r="D701" s="101" t="str">
        <f aca="false">Equipos!G699</f>
        <v>CAMA 7</v>
      </c>
      <c r="E701" s="101" t="str">
        <f aca="false">Equipos!I699</f>
        <v>Drager</v>
      </c>
      <c r="F701" s="101" t="str">
        <f aca="false">Equipos!J699</f>
        <v>Infinity Kappa </v>
      </c>
      <c r="G701" s="100" t="str">
        <f aca="false">Equipos!K699</f>
        <v>5495323165</v>
      </c>
      <c r="H701" s="101"/>
      <c r="I701" s="102"/>
      <c r="J701" s="102"/>
      <c r="K701" s="102"/>
      <c r="L701" s="103" t="s">
        <v>328</v>
      </c>
      <c r="M701" s="102"/>
      <c r="N701" s="102"/>
      <c r="O701" s="102"/>
      <c r="P701" s="102"/>
      <c r="Q701" s="102"/>
      <c r="R701" s="102"/>
      <c r="S701" s="102"/>
      <c r="T701" s="102"/>
      <c r="U701" s="101" t="n">
        <f aca="false">V701+W701+X701+COUNTIF(I701:T701,"R")</f>
        <v>1</v>
      </c>
      <c r="V701" s="101" t="n">
        <f aca="false">COUNTIF(I701:T701,"E")</f>
        <v>1</v>
      </c>
      <c r="W701" s="101" t="n">
        <f aca="false">COUNTIF(I701:T701,"X")</f>
        <v>0</v>
      </c>
      <c r="X701" s="101" t="n">
        <f aca="false">COUNTIF(I701:T701,"C2")+COUNTIF(I701:T701,"C3")</f>
        <v>0</v>
      </c>
      <c r="Y701" s="101" t="n">
        <f aca="true">SUMPRODUCT((I701:INDEX(I701:T701,MONTH(TODAY()))="X")*1)</f>
        <v>0</v>
      </c>
      <c r="Z701" s="104" t="n">
        <f aca="false">IFERROR(V701/U701,"")</f>
        <v>1</v>
      </c>
    </row>
    <row r="702" customFormat="false" ht="15" hidden="false" customHeight="true" outlineLevel="0" collapsed="false">
      <c r="A702" s="100" t="str">
        <f aca="false">Equipos!C700</f>
        <v>2-112796</v>
      </c>
      <c r="B702" s="101" t="str">
        <f aca="false">Equipos!D700</f>
        <v>Monitor Multiparámetros</v>
      </c>
      <c r="C702" s="101" t="str">
        <f aca="false">Equipos!E700</f>
        <v>UPC Adulto</v>
      </c>
      <c r="D702" s="101" t="str">
        <f aca="false">Equipos!G700</f>
        <v>CAMA 1</v>
      </c>
      <c r="E702" s="101" t="str">
        <f aca="false">Equipos!I700</f>
        <v>Drager</v>
      </c>
      <c r="F702" s="101" t="str">
        <f aca="false">Equipos!J700</f>
        <v>Infinity Kappa </v>
      </c>
      <c r="G702" s="100" t="str">
        <f aca="false">Equipos!K700</f>
        <v>5495324164</v>
      </c>
      <c r="H702" s="101"/>
      <c r="I702" s="102"/>
      <c r="J702" s="102"/>
      <c r="K702" s="102"/>
      <c r="L702" s="103" t="s">
        <v>328</v>
      </c>
      <c r="M702" s="102"/>
      <c r="N702" s="102"/>
      <c r="O702" s="102"/>
      <c r="P702" s="102"/>
      <c r="Q702" s="102"/>
      <c r="R702" s="102"/>
      <c r="S702" s="102"/>
      <c r="T702" s="102"/>
      <c r="U702" s="101" t="n">
        <f aca="false">V702+W702+X702+COUNTIF(I702:T702,"R")</f>
        <v>1</v>
      </c>
      <c r="V702" s="101" t="n">
        <f aca="false">COUNTIF(I702:T702,"E")</f>
        <v>1</v>
      </c>
      <c r="W702" s="101" t="n">
        <f aca="false">COUNTIF(I702:T702,"X")</f>
        <v>0</v>
      </c>
      <c r="X702" s="101" t="n">
        <f aca="false">COUNTIF(I702:T702,"C2")+COUNTIF(I702:T702,"C3")</f>
        <v>0</v>
      </c>
      <c r="Y702" s="101" t="n">
        <f aca="true">SUMPRODUCT((I702:INDEX(I702:T702,MONTH(TODAY()))="X")*1)</f>
        <v>0</v>
      </c>
      <c r="Z702" s="104" t="n">
        <f aca="false">IFERROR(V702/U702,"")</f>
        <v>1</v>
      </c>
    </row>
    <row r="703" customFormat="false" ht="15" hidden="false" customHeight="true" outlineLevel="0" collapsed="false">
      <c r="A703" s="100" t="str">
        <f aca="false">Equipos!C701</f>
        <v>2-112835</v>
      </c>
      <c r="B703" s="101" t="str">
        <f aca="false">Equipos!D701</f>
        <v>Monitor Multiparámetros</v>
      </c>
      <c r="C703" s="101" t="str">
        <f aca="false">Equipos!E701</f>
        <v>UPC Adulto</v>
      </c>
      <c r="D703" s="101" t="str">
        <f aca="false">Equipos!G701</f>
        <v>CAMA 20</v>
      </c>
      <c r="E703" s="101" t="str">
        <f aca="false">Equipos!I701</f>
        <v>Drager</v>
      </c>
      <c r="F703" s="101" t="str">
        <f aca="false">Equipos!J701</f>
        <v>Infinity Kappa </v>
      </c>
      <c r="G703" s="100" t="str">
        <f aca="false">Equipos!K701</f>
        <v>5495324458</v>
      </c>
      <c r="H703" s="101"/>
      <c r="I703" s="102"/>
      <c r="J703" s="102"/>
      <c r="K703" s="102"/>
      <c r="L703" s="103" t="s">
        <v>328</v>
      </c>
      <c r="M703" s="102"/>
      <c r="N703" s="102"/>
      <c r="O703" s="102"/>
      <c r="P703" s="102"/>
      <c r="Q703" s="102"/>
      <c r="R703" s="102"/>
      <c r="S703" s="102"/>
      <c r="T703" s="102"/>
      <c r="U703" s="101" t="n">
        <f aca="false">V703+W703+X703+COUNTIF(I703:T703,"R")</f>
        <v>1</v>
      </c>
      <c r="V703" s="101" t="n">
        <f aca="false">COUNTIF(I703:T703,"E")</f>
        <v>1</v>
      </c>
      <c r="W703" s="101" t="n">
        <f aca="false">COUNTIF(I703:T703,"X")</f>
        <v>0</v>
      </c>
      <c r="X703" s="101" t="n">
        <f aca="false">COUNTIF(I703:T703,"C2")+COUNTIF(I703:T703,"C3")</f>
        <v>0</v>
      </c>
      <c r="Y703" s="101" t="n">
        <f aca="true">SUMPRODUCT((I703:INDEX(I703:T703,MONTH(TODAY()))="X")*1)</f>
        <v>0</v>
      </c>
      <c r="Z703" s="104" t="n">
        <f aca="false">IFERROR(V703/U703,"")</f>
        <v>1</v>
      </c>
    </row>
    <row r="704" customFormat="false" ht="15" hidden="false" customHeight="true" outlineLevel="0" collapsed="false">
      <c r="A704" s="100" t="str">
        <f aca="false">Equipos!C702</f>
        <v>2-112837</v>
      </c>
      <c r="B704" s="101" t="str">
        <f aca="false">Equipos!D702</f>
        <v>Monitor Multiparámetros</v>
      </c>
      <c r="C704" s="101" t="str">
        <f aca="false">Equipos!E702</f>
        <v>UPC Adulto</v>
      </c>
      <c r="D704" s="101" t="str">
        <f aca="false">Equipos!G702</f>
        <v>CAMA 12</v>
      </c>
      <c r="E704" s="101" t="str">
        <f aca="false">Equipos!I702</f>
        <v>Drager</v>
      </c>
      <c r="F704" s="101" t="str">
        <f aca="false">Equipos!J702</f>
        <v>Infinity Kappa </v>
      </c>
      <c r="G704" s="100" t="str">
        <f aca="false">Equipos!K702</f>
        <v>5495324565</v>
      </c>
      <c r="H704" s="101"/>
      <c r="I704" s="102"/>
      <c r="J704" s="102"/>
      <c r="K704" s="102"/>
      <c r="L704" s="103" t="s">
        <v>328</v>
      </c>
      <c r="M704" s="102"/>
      <c r="N704" s="102"/>
      <c r="O704" s="102"/>
      <c r="P704" s="102"/>
      <c r="Q704" s="102"/>
      <c r="R704" s="102"/>
      <c r="S704" s="102"/>
      <c r="T704" s="102"/>
      <c r="U704" s="101" t="n">
        <f aca="false">V704+W704+X704+COUNTIF(I704:T704,"R")</f>
        <v>1</v>
      </c>
      <c r="V704" s="101" t="n">
        <f aca="false">COUNTIF(I704:T704,"E")</f>
        <v>1</v>
      </c>
      <c r="W704" s="101" t="n">
        <f aca="false">COUNTIF(I704:T704,"X")</f>
        <v>0</v>
      </c>
      <c r="X704" s="101" t="n">
        <f aca="false">COUNTIF(I704:T704,"C2")+COUNTIF(I704:T704,"C3")</f>
        <v>0</v>
      </c>
      <c r="Y704" s="101" t="n">
        <f aca="true">SUMPRODUCT((I704:INDEX(I704:T704,MONTH(TODAY()))="X")*1)</f>
        <v>0</v>
      </c>
      <c r="Z704" s="104" t="n">
        <f aca="false">IFERROR(V704/U704,"")</f>
        <v>1</v>
      </c>
    </row>
    <row r="705" customFormat="false" ht="15" hidden="false" customHeight="true" outlineLevel="0" collapsed="false">
      <c r="A705" s="100" t="str">
        <f aca="false">Equipos!C703</f>
        <v>2-112832</v>
      </c>
      <c r="B705" s="101" t="str">
        <f aca="false">Equipos!D703</f>
        <v>Monitor Multiparámetros</v>
      </c>
      <c r="C705" s="101" t="str">
        <f aca="false">Equipos!E703</f>
        <v>UPC Adulto</v>
      </c>
      <c r="D705" s="101" t="str">
        <f aca="false">Equipos!G703</f>
        <v>CAMA 15</v>
      </c>
      <c r="E705" s="101" t="str">
        <f aca="false">Equipos!I703</f>
        <v>Drager</v>
      </c>
      <c r="F705" s="101" t="str">
        <f aca="false">Equipos!J703</f>
        <v>Infinity Kappa </v>
      </c>
      <c r="G705" s="100" t="str">
        <f aca="false">Equipos!K703</f>
        <v>5495325858</v>
      </c>
      <c r="H705" s="101"/>
      <c r="I705" s="102"/>
      <c r="J705" s="102"/>
      <c r="K705" s="102"/>
      <c r="L705" s="102" t="s">
        <v>329</v>
      </c>
      <c r="M705" s="102"/>
      <c r="N705" s="102"/>
      <c r="O705" s="102"/>
      <c r="P705" s="102"/>
      <c r="Q705" s="102"/>
      <c r="R705" s="102"/>
      <c r="S705" s="102"/>
      <c r="T705" s="102"/>
      <c r="U705" s="101" t="n">
        <f aca="false">V705+W705+X705+COUNTIF(I705:T705,"R")</f>
        <v>1</v>
      </c>
      <c r="V705" s="101" t="n">
        <f aca="false">COUNTIF(I705:T705,"E")</f>
        <v>0</v>
      </c>
      <c r="W705" s="101" t="n">
        <f aca="false">COUNTIF(I705:T705,"X")</f>
        <v>1</v>
      </c>
      <c r="X705" s="101" t="n">
        <f aca="false">COUNTIF(I705:T705,"C2")+COUNTIF(I705:T705,"C3")</f>
        <v>0</v>
      </c>
      <c r="Y705" s="101" t="n">
        <f aca="true">SUMPRODUCT((I705:INDEX(I705:T705,MONTH(TODAY()))="X")*1)</f>
        <v>1</v>
      </c>
      <c r="Z705" s="104" t="n">
        <f aca="false">IFERROR(V705/U705,"")</f>
        <v>0</v>
      </c>
    </row>
    <row r="706" customFormat="false" ht="15" hidden="false" customHeight="true" outlineLevel="0" collapsed="false">
      <c r="A706" s="100" t="str">
        <f aca="false">Equipos!C704</f>
        <v>2-112824</v>
      </c>
      <c r="B706" s="101" t="str">
        <f aca="false">Equipos!D704</f>
        <v>Monitor Multiparámetros</v>
      </c>
      <c r="C706" s="101" t="str">
        <f aca="false">Equipos!E704</f>
        <v>UPC Adulto</v>
      </c>
      <c r="D706" s="101" t="str">
        <f aca="false">Equipos!G704</f>
        <v>CAMA 17</v>
      </c>
      <c r="E706" s="101" t="str">
        <f aca="false">Equipos!I704</f>
        <v>Drager</v>
      </c>
      <c r="F706" s="101" t="str">
        <f aca="false">Equipos!J704</f>
        <v>Infinity Kappa </v>
      </c>
      <c r="G706" s="100" t="str">
        <f aca="false">Equipos!K704</f>
        <v>5495326064</v>
      </c>
      <c r="H706" s="101"/>
      <c r="I706" s="102"/>
      <c r="J706" s="102"/>
      <c r="K706" s="102"/>
      <c r="L706" s="102" t="s">
        <v>329</v>
      </c>
      <c r="M706" s="102"/>
      <c r="N706" s="102"/>
      <c r="O706" s="102"/>
      <c r="P706" s="102"/>
      <c r="Q706" s="102"/>
      <c r="R706" s="102"/>
      <c r="S706" s="102"/>
      <c r="T706" s="102"/>
      <c r="U706" s="101" t="n">
        <f aca="false">V706+W706+X706+COUNTIF(I706:T706,"R")</f>
        <v>1</v>
      </c>
      <c r="V706" s="101" t="n">
        <f aca="false">COUNTIF(I706:T706,"E")</f>
        <v>0</v>
      </c>
      <c r="W706" s="101" t="n">
        <f aca="false">COUNTIF(I706:T706,"X")</f>
        <v>1</v>
      </c>
      <c r="X706" s="101" t="n">
        <f aca="false">COUNTIF(I706:T706,"C2")+COUNTIF(I706:T706,"C3")</f>
        <v>0</v>
      </c>
      <c r="Y706" s="101" t="n">
        <f aca="true">SUMPRODUCT((I706:INDEX(I706:T706,MONTH(TODAY()))="X")*1)</f>
        <v>1</v>
      </c>
      <c r="Z706" s="104" t="n">
        <f aca="false">IFERROR(V706/U706,"")</f>
        <v>0</v>
      </c>
    </row>
    <row r="707" customFormat="false" ht="15" hidden="false" customHeight="true" outlineLevel="0" collapsed="false">
      <c r="A707" s="100" t="str">
        <f aca="false">Equipos!C705</f>
        <v>2-112803</v>
      </c>
      <c r="B707" s="101" t="str">
        <f aca="false">Equipos!D705</f>
        <v>Monitor Multiparámetros</v>
      </c>
      <c r="C707" s="101" t="str">
        <f aca="false">Equipos!E705</f>
        <v>UPC Adulto</v>
      </c>
      <c r="D707" s="101" t="str">
        <f aca="false">Equipos!G705</f>
        <v>CAMA 5</v>
      </c>
      <c r="E707" s="101" t="str">
        <f aca="false">Equipos!I705</f>
        <v>Drager</v>
      </c>
      <c r="F707" s="101" t="str">
        <f aca="false">Equipos!J705</f>
        <v>Infinity Kappa </v>
      </c>
      <c r="G707" s="100" t="str">
        <f aca="false">Equipos!K705</f>
        <v>5495326456</v>
      </c>
      <c r="H707" s="101"/>
      <c r="I707" s="102"/>
      <c r="J707" s="102"/>
      <c r="K707" s="102"/>
      <c r="L707" s="103" t="s">
        <v>328</v>
      </c>
      <c r="M707" s="102"/>
      <c r="N707" s="102"/>
      <c r="O707" s="102"/>
      <c r="P707" s="102"/>
      <c r="Q707" s="102"/>
      <c r="R707" s="102"/>
      <c r="S707" s="102"/>
      <c r="T707" s="102"/>
      <c r="U707" s="101" t="n">
        <f aca="false">V707+W707+X707+COUNTIF(I707:T707,"R")</f>
        <v>1</v>
      </c>
      <c r="V707" s="101" t="n">
        <f aca="false">COUNTIF(I707:T707,"E")</f>
        <v>1</v>
      </c>
      <c r="W707" s="101" t="n">
        <f aca="false">COUNTIF(I707:T707,"X")</f>
        <v>0</v>
      </c>
      <c r="X707" s="101" t="n">
        <f aca="false">COUNTIF(I707:T707,"C2")+COUNTIF(I707:T707,"C3")</f>
        <v>0</v>
      </c>
      <c r="Y707" s="101" t="n">
        <f aca="true">SUMPRODUCT((I707:INDEX(I707:T707,MONTH(TODAY()))="X")*1)</f>
        <v>0</v>
      </c>
      <c r="Z707" s="104" t="n">
        <f aca="false">IFERROR(V707/U707,"")</f>
        <v>1</v>
      </c>
    </row>
    <row r="708" customFormat="false" ht="15" hidden="false" customHeight="true" outlineLevel="0" collapsed="false">
      <c r="A708" s="100" t="str">
        <f aca="false">Equipos!C706</f>
        <v>2-112841</v>
      </c>
      <c r="B708" s="101" t="str">
        <f aca="false">Equipos!D706</f>
        <v>Monitor Multiparámetros</v>
      </c>
      <c r="C708" s="101" t="str">
        <f aca="false">Equipos!E706</f>
        <v>UPC Adulto</v>
      </c>
      <c r="D708" s="101" t="str">
        <f aca="false">Equipos!G706</f>
        <v>CAMA 22</v>
      </c>
      <c r="E708" s="101" t="str">
        <f aca="false">Equipos!I706</f>
        <v>Drager</v>
      </c>
      <c r="F708" s="101" t="str">
        <f aca="false">Equipos!J706</f>
        <v>Infinity Kappa </v>
      </c>
      <c r="G708" s="100" t="str">
        <f aca="false">Equipos!K706</f>
        <v>5495326955</v>
      </c>
      <c r="H708" s="101"/>
      <c r="I708" s="102"/>
      <c r="J708" s="102"/>
      <c r="K708" s="102"/>
      <c r="L708" s="102" t="s">
        <v>329</v>
      </c>
      <c r="M708" s="102"/>
      <c r="N708" s="102"/>
      <c r="O708" s="102"/>
      <c r="P708" s="102"/>
      <c r="Q708" s="102"/>
      <c r="R708" s="102"/>
      <c r="S708" s="102"/>
      <c r="T708" s="102"/>
      <c r="U708" s="101" t="n">
        <f aca="false">V708+W708+X708+COUNTIF(I708:T708,"R")</f>
        <v>1</v>
      </c>
      <c r="V708" s="101" t="n">
        <f aca="false">COUNTIF(I708:T708,"E")</f>
        <v>0</v>
      </c>
      <c r="W708" s="101" t="n">
        <f aca="false">COUNTIF(I708:T708,"X")</f>
        <v>1</v>
      </c>
      <c r="X708" s="101" t="n">
        <f aca="false">COUNTIF(I708:T708,"C2")+COUNTIF(I708:T708,"C3")</f>
        <v>0</v>
      </c>
      <c r="Y708" s="101" t="n">
        <f aca="true">SUMPRODUCT((I708:INDEX(I708:T708,MONTH(TODAY()))="X")*1)</f>
        <v>1</v>
      </c>
      <c r="Z708" s="104" t="n">
        <f aca="false">IFERROR(V708/U708,"")</f>
        <v>0</v>
      </c>
    </row>
    <row r="709" customFormat="false" ht="15" hidden="false" customHeight="true" outlineLevel="0" collapsed="false">
      <c r="A709" s="100" t="str">
        <f aca="false">Equipos!C707</f>
        <v>2-112943</v>
      </c>
      <c r="B709" s="101" t="str">
        <f aca="false">Equipos!D707</f>
        <v>Monitor Multiparámetros</v>
      </c>
      <c r="C709" s="101" t="str">
        <f aca="false">Equipos!E707</f>
        <v>Pabellón Quirúrgico</v>
      </c>
      <c r="D709" s="101" t="str">
        <f aca="false">Equipos!G707</f>
        <v>CDT-P2-QF03</v>
      </c>
      <c r="E709" s="101" t="str">
        <f aca="false">Equipos!I707</f>
        <v>Drager</v>
      </c>
      <c r="F709" s="101" t="str">
        <f aca="false">Equipos!J707</f>
        <v>Infinity Kappa</v>
      </c>
      <c r="G709" s="100" t="str">
        <f aca="false">Equipos!K707</f>
        <v>5495192163</v>
      </c>
      <c r="H709" s="101"/>
      <c r="I709" s="102"/>
      <c r="J709" s="102"/>
      <c r="K709" s="102"/>
      <c r="L709" s="103" t="s">
        <v>328</v>
      </c>
      <c r="M709" s="102"/>
      <c r="N709" s="102"/>
      <c r="O709" s="102"/>
      <c r="P709" s="102"/>
      <c r="Q709" s="102"/>
      <c r="R709" s="102"/>
      <c r="S709" s="102"/>
      <c r="T709" s="102"/>
      <c r="U709" s="101" t="n">
        <f aca="false">V709+W709+X709+COUNTIF(I709:T709,"R")</f>
        <v>1</v>
      </c>
      <c r="V709" s="101" t="n">
        <f aca="false">COUNTIF(I709:T709,"E")</f>
        <v>1</v>
      </c>
      <c r="W709" s="101" t="n">
        <f aca="false">COUNTIF(I709:T709,"X")</f>
        <v>0</v>
      </c>
      <c r="X709" s="101" t="n">
        <f aca="false">COUNTIF(I709:T709,"C2")+COUNTIF(I709:T709,"C3")</f>
        <v>0</v>
      </c>
      <c r="Y709" s="101" t="n">
        <f aca="true">SUMPRODUCT((I709:INDEX(I709:T709,MONTH(TODAY()))="X")*1)</f>
        <v>0</v>
      </c>
      <c r="Z709" s="104" t="n">
        <f aca="false">IFERROR(V709/U709,"")</f>
        <v>1</v>
      </c>
    </row>
    <row r="710" customFormat="false" ht="15" hidden="false" customHeight="true" outlineLevel="0" collapsed="false">
      <c r="A710" s="100" t="str">
        <f aca="false">Equipos!C708</f>
        <v>2-024371</v>
      </c>
      <c r="B710" s="101" t="str">
        <f aca="false">Equipos!D708</f>
        <v>Monitor Multiparámetros</v>
      </c>
      <c r="C710" s="101" t="str">
        <f aca="false">Equipos!E708</f>
        <v>Pabellón Quirúrgico (Prestado a Imagenología)</v>
      </c>
      <c r="D710" s="101" t="str">
        <f aca="false">Equipos!G708</f>
        <v>Scanner Siemens</v>
      </c>
      <c r="E710" s="101" t="str">
        <f aca="false">Equipos!I708</f>
        <v>Drager</v>
      </c>
      <c r="F710" s="101" t="str">
        <f aca="false">Equipos!J708</f>
        <v>Infinity Kappa</v>
      </c>
      <c r="G710" s="100" t="str">
        <f aca="false">Equipos!K708</f>
        <v>5495196658</v>
      </c>
      <c r="H710" s="101"/>
      <c r="I710" s="102"/>
      <c r="J710" s="102"/>
      <c r="K710" s="102"/>
      <c r="L710" s="103" t="s">
        <v>328</v>
      </c>
      <c r="M710" s="102"/>
      <c r="N710" s="102"/>
      <c r="O710" s="102"/>
      <c r="P710" s="102"/>
      <c r="Q710" s="102"/>
      <c r="R710" s="102"/>
      <c r="S710" s="102"/>
      <c r="T710" s="102"/>
      <c r="U710" s="101" t="n">
        <f aca="false">V710+W710+X710+COUNTIF(I710:T710,"R")</f>
        <v>1</v>
      </c>
      <c r="V710" s="101" t="n">
        <f aca="false">COUNTIF(I710:T710,"E")</f>
        <v>1</v>
      </c>
      <c r="W710" s="101" t="n">
        <f aca="false">COUNTIF(I710:T710,"X")</f>
        <v>0</v>
      </c>
      <c r="X710" s="101" t="n">
        <f aca="false">COUNTIF(I710:T710,"C2")+COUNTIF(I710:T710,"C3")</f>
        <v>0</v>
      </c>
      <c r="Y710" s="101" t="n">
        <f aca="true">SUMPRODUCT((I710:INDEX(I710:T710,MONTH(TODAY()))="X")*1)</f>
        <v>0</v>
      </c>
      <c r="Z710" s="104" t="n">
        <f aca="false">IFERROR(V710/U710,"")</f>
        <v>1</v>
      </c>
    </row>
    <row r="711" customFormat="false" ht="15" hidden="false" customHeight="true" outlineLevel="0" collapsed="false">
      <c r="A711" s="100" t="str">
        <f aca="false">Equipos!C709</f>
        <v>2-113299</v>
      </c>
      <c r="B711" s="101" t="str">
        <f aca="false">Equipos!D709</f>
        <v>Monitor Multiparámetros</v>
      </c>
      <c r="C711" s="101" t="str">
        <f aca="false">Equipos!E709</f>
        <v>Pediatría</v>
      </c>
      <c r="D711" s="101" t="str">
        <f aca="false">Equipos!G709</f>
        <v>Oncología Pediátrica</v>
      </c>
      <c r="E711" s="101" t="str">
        <f aca="false">Equipos!I709</f>
        <v>EDAN</v>
      </c>
      <c r="F711" s="101" t="str">
        <f aca="false">Equipos!J709</f>
        <v>IM50</v>
      </c>
      <c r="G711" s="100" t="str">
        <f aca="false">Equipos!K709</f>
        <v>260123-M15803660005</v>
      </c>
      <c r="H711" s="101"/>
      <c r="I711" s="103" t="s">
        <v>330</v>
      </c>
      <c r="J711" s="103" t="s">
        <v>328</v>
      </c>
      <c r="K711" s="102"/>
      <c r="L711" s="102"/>
      <c r="M711" s="102"/>
      <c r="N711" s="102"/>
      <c r="O711" s="102"/>
      <c r="P711" s="102"/>
      <c r="Q711" s="102"/>
      <c r="R711" s="102"/>
      <c r="S711" s="102"/>
      <c r="T711" s="102"/>
      <c r="U711" s="101" t="n">
        <f aca="false">V711+W711+X711+COUNTIF(I711:T711,"R")</f>
        <v>2</v>
      </c>
      <c r="V711" s="101" t="n">
        <f aca="false">COUNTIF(I711:T711,"E")</f>
        <v>1</v>
      </c>
      <c r="W711" s="101" t="n">
        <f aca="false">COUNTIF(I711:T711,"X")</f>
        <v>0</v>
      </c>
      <c r="X711" s="101" t="n">
        <f aca="false">COUNTIF(I711:T711,"C2")+COUNTIF(I711:T711,"C3")</f>
        <v>0</v>
      </c>
      <c r="Y711" s="101" t="n">
        <f aca="true">SUMPRODUCT((I711:INDEX(I711:T711,MONTH(TODAY()))="X")*1)</f>
        <v>0</v>
      </c>
      <c r="Z711" s="104" t="n">
        <f aca="false">IFERROR(V711/U711,"")</f>
        <v>0.5</v>
      </c>
    </row>
    <row r="712" customFormat="false" ht="15" hidden="false" customHeight="true" outlineLevel="0" collapsed="false">
      <c r="A712" s="100" t="str">
        <f aca="false">Equipos!C710</f>
        <v>2-113430</v>
      </c>
      <c r="B712" s="101" t="str">
        <f aca="false">Equipos!D710</f>
        <v>Monitor Multiparámetros</v>
      </c>
      <c r="C712" s="101" t="str">
        <f aca="false">Equipos!E710</f>
        <v>Quimioterapia Ambulatoria Adulto</v>
      </c>
      <c r="D712" s="101" t="str">
        <f aca="false">Equipos!G710</f>
        <v>EPC-P2</v>
      </c>
      <c r="E712" s="101" t="str">
        <f aca="false">Equipos!I710</f>
        <v>Nihon Kohden </v>
      </c>
      <c r="F712" s="101" t="str">
        <f aca="false">Equipos!J710</f>
        <v>BSM-2351K</v>
      </c>
      <c r="G712" s="100" t="str">
        <f aca="false">Equipos!K710</f>
        <v>3648</v>
      </c>
      <c r="H712" s="101"/>
      <c r="I712" s="102"/>
      <c r="J712" s="102"/>
      <c r="K712" s="103" t="s">
        <v>330</v>
      </c>
      <c r="L712" s="103" t="s">
        <v>328</v>
      </c>
      <c r="M712" s="102"/>
      <c r="N712" s="102"/>
      <c r="O712" s="102"/>
      <c r="P712" s="102"/>
      <c r="Q712" s="102"/>
      <c r="R712" s="102"/>
      <c r="S712" s="102"/>
      <c r="T712" s="102"/>
      <c r="U712" s="101" t="n">
        <f aca="false">V712+W712+X712+COUNTIF(I712:T712,"R")</f>
        <v>2</v>
      </c>
      <c r="V712" s="101" t="n">
        <f aca="false">COUNTIF(I712:T712,"E")</f>
        <v>1</v>
      </c>
      <c r="W712" s="101" t="n">
        <f aca="false">COUNTIF(I712:T712,"X")</f>
        <v>0</v>
      </c>
      <c r="X712" s="101" t="n">
        <f aca="false">COUNTIF(I712:T712,"C2")+COUNTIF(I712:T712,"C3")</f>
        <v>0</v>
      </c>
      <c r="Y712" s="101" t="n">
        <f aca="true">SUMPRODUCT((I712:INDEX(I712:T712,MONTH(TODAY()))="X")*1)</f>
        <v>0</v>
      </c>
      <c r="Z712" s="104" t="n">
        <f aca="false">IFERROR(V712/U712,"")</f>
        <v>0.5</v>
      </c>
    </row>
    <row r="713" customFormat="false" ht="15" hidden="false" customHeight="true" outlineLevel="0" collapsed="false">
      <c r="A713" s="100" t="str">
        <f aca="false">Equipos!C711</f>
        <v>2-112353</v>
      </c>
      <c r="B713" s="101" t="str">
        <f aca="false">Equipos!D711</f>
        <v>Monitor Multiparámetros</v>
      </c>
      <c r="C713" s="101" t="str">
        <f aca="false">Equipos!E711</f>
        <v>Cardiología (Prestado a Medicina cardiovascular)</v>
      </c>
      <c r="D713" s="101" t="str">
        <f aca="false">Equipos!G711</f>
        <v>Zócalo</v>
      </c>
      <c r="E713" s="101" t="str">
        <f aca="false">Equipos!I711</f>
        <v>Drager</v>
      </c>
      <c r="F713" s="101" t="str">
        <f aca="false">Equipos!J711</f>
        <v>Vista 120</v>
      </c>
      <c r="G713" s="100" t="str">
        <f aca="false">Equipos!K711</f>
        <v>V2SFF0044</v>
      </c>
      <c r="H713" s="101"/>
      <c r="I713" s="102"/>
      <c r="J713" s="103" t="s">
        <v>330</v>
      </c>
      <c r="K713" s="103" t="s">
        <v>328</v>
      </c>
      <c r="L713" s="102"/>
      <c r="M713" s="102"/>
      <c r="N713" s="102"/>
      <c r="O713" s="102"/>
      <c r="P713" s="102"/>
      <c r="Q713" s="102"/>
      <c r="R713" s="102"/>
      <c r="S713" s="102"/>
      <c r="T713" s="102"/>
      <c r="U713" s="101" t="n">
        <f aca="false">V713+W713+X713+COUNTIF(I713:T713,"R")</f>
        <v>2</v>
      </c>
      <c r="V713" s="101" t="n">
        <f aca="false">COUNTIF(I713:T713,"E")</f>
        <v>1</v>
      </c>
      <c r="W713" s="101" t="n">
        <f aca="false">COUNTIF(I713:T713,"X")</f>
        <v>0</v>
      </c>
      <c r="X713" s="101" t="n">
        <f aca="false">COUNTIF(I713:T713,"C2")+COUNTIF(I713:T713,"C3")</f>
        <v>0</v>
      </c>
      <c r="Y713" s="101" t="n">
        <f aca="true">SUMPRODUCT((I713:INDEX(I713:T713,MONTH(TODAY()))="X")*1)</f>
        <v>0</v>
      </c>
      <c r="Z713" s="104" t="n">
        <f aca="false">IFERROR(V713/U713,"")</f>
        <v>0.5</v>
      </c>
    </row>
    <row r="714" customFormat="false" ht="15" hidden="false" customHeight="true" outlineLevel="0" collapsed="false">
      <c r="A714" s="100" t="str">
        <f aca="false">Equipos!C712</f>
        <v>2-113189</v>
      </c>
      <c r="B714" s="101" t="str">
        <f aca="false">Equipos!D712</f>
        <v>Monitor Multiparámetros</v>
      </c>
      <c r="C714" s="101" t="str">
        <f aca="false">Equipos!E712</f>
        <v>Cardiología (Prestado a Medicina cardiovascular)</v>
      </c>
      <c r="D714" s="101" t="str">
        <f aca="false">Equipos!G712</f>
        <v>Zócalo</v>
      </c>
      <c r="E714" s="101" t="str">
        <f aca="false">Equipos!I712</f>
        <v>Drager</v>
      </c>
      <c r="F714" s="101" t="str">
        <f aca="false">Equipos!J712</f>
        <v>Vista 120</v>
      </c>
      <c r="G714" s="100" t="str">
        <f aca="false">Equipos!K712</f>
        <v>V1SHL0116</v>
      </c>
      <c r="H714" s="101"/>
      <c r="I714" s="102"/>
      <c r="J714" s="103" t="s">
        <v>330</v>
      </c>
      <c r="K714" s="103" t="s">
        <v>328</v>
      </c>
      <c r="L714" s="102"/>
      <c r="M714" s="102"/>
      <c r="N714" s="102"/>
      <c r="O714" s="102"/>
      <c r="P714" s="102"/>
      <c r="Q714" s="102"/>
      <c r="R714" s="102"/>
      <c r="S714" s="102"/>
      <c r="T714" s="102"/>
      <c r="U714" s="101" t="n">
        <f aca="false">V714+W714+X714+COUNTIF(I714:T714,"R")</f>
        <v>2</v>
      </c>
      <c r="V714" s="101" t="n">
        <f aca="false">COUNTIF(I714:T714,"E")</f>
        <v>1</v>
      </c>
      <c r="W714" s="101" t="n">
        <f aca="false">COUNTIF(I714:T714,"X")</f>
        <v>0</v>
      </c>
      <c r="X714" s="101" t="n">
        <f aca="false">COUNTIF(I714:T714,"C2")+COUNTIF(I714:T714,"C3")</f>
        <v>0</v>
      </c>
      <c r="Y714" s="101" t="n">
        <f aca="true">SUMPRODUCT((I714:INDEX(I714:T714,MONTH(TODAY()))="X")*1)</f>
        <v>0</v>
      </c>
      <c r="Z714" s="104" t="n">
        <f aca="false">IFERROR(V714/U714,"")</f>
        <v>0.5</v>
      </c>
    </row>
    <row r="715" customFormat="false" ht="15" hidden="false" customHeight="true" outlineLevel="0" collapsed="false">
      <c r="A715" s="100" t="str">
        <f aca="false">Equipos!C713</f>
        <v>2-113188</v>
      </c>
      <c r="B715" s="101" t="str">
        <f aca="false">Equipos!D713</f>
        <v>Monitor Multiparámetros</v>
      </c>
      <c r="C715" s="101" t="str">
        <f aca="false">Equipos!E713</f>
        <v>Electrofisiología</v>
      </c>
      <c r="D715" s="101" t="str">
        <f aca="false">Equipos!G713</f>
        <v>EPC 5to Piso</v>
      </c>
      <c r="E715" s="101" t="str">
        <f aca="false">Equipos!I713</f>
        <v>Drager</v>
      </c>
      <c r="F715" s="101" t="str">
        <f aca="false">Equipos!J713</f>
        <v>Vista 120</v>
      </c>
      <c r="G715" s="100" t="str">
        <f aca="false">Equipos!K713</f>
        <v>VQSHF0100</v>
      </c>
      <c r="H715" s="101"/>
      <c r="I715" s="102"/>
      <c r="J715" s="102"/>
      <c r="K715" s="103" t="s">
        <v>330</v>
      </c>
      <c r="L715" s="103" t="s">
        <v>328</v>
      </c>
      <c r="M715" s="102"/>
      <c r="N715" s="102"/>
      <c r="O715" s="102"/>
      <c r="P715" s="102"/>
      <c r="Q715" s="102"/>
      <c r="R715" s="102"/>
      <c r="S715" s="102"/>
      <c r="T715" s="102"/>
      <c r="U715" s="101" t="n">
        <f aca="false">V715+W715+X715+COUNTIF(I715:T715,"R")</f>
        <v>2</v>
      </c>
      <c r="V715" s="101" t="n">
        <f aca="false">COUNTIF(I715:T715,"E")</f>
        <v>1</v>
      </c>
      <c r="W715" s="101" t="n">
        <f aca="false">COUNTIF(I715:T715,"X")</f>
        <v>0</v>
      </c>
      <c r="X715" s="101" t="n">
        <f aca="false">COUNTIF(I715:T715,"C2")+COUNTIF(I715:T715,"C3")</f>
        <v>0</v>
      </c>
      <c r="Y715" s="101" t="n">
        <f aca="true">SUMPRODUCT((I715:INDEX(I715:T715,MONTH(TODAY()))="X")*1)</f>
        <v>0</v>
      </c>
      <c r="Z715" s="104" t="n">
        <f aca="false">IFERROR(V715/U715,"")</f>
        <v>0.5</v>
      </c>
    </row>
    <row r="716" customFormat="false" ht="15" hidden="false" customHeight="true" outlineLevel="0" collapsed="false">
      <c r="A716" s="100" t="str">
        <f aca="false">Equipos!C714</f>
        <v>2-110576</v>
      </c>
      <c r="B716" s="101" t="str">
        <f aca="false">Equipos!D714</f>
        <v>Monitor Multiparámetros</v>
      </c>
      <c r="C716" s="101" t="str">
        <f aca="false">Equipos!E714</f>
        <v>Neonatología</v>
      </c>
      <c r="D716" s="101" t="n">
        <f aca="false">Equipos!G714</f>
        <v>0</v>
      </c>
      <c r="E716" s="101" t="str">
        <f aca="false">Equipos!I714</f>
        <v>Philips</v>
      </c>
      <c r="F716" s="101" t="str">
        <f aca="false">Equipos!J714</f>
        <v>MX500</v>
      </c>
      <c r="G716" s="100" t="str">
        <f aca="false">Equipos!K714</f>
        <v>DE35137548</v>
      </c>
      <c r="H716" s="101"/>
      <c r="I716" s="103" t="s">
        <v>328</v>
      </c>
      <c r="J716" s="102"/>
      <c r="K716" s="102"/>
      <c r="L716" s="102"/>
      <c r="M716" s="102"/>
      <c r="N716" s="102"/>
      <c r="O716" s="102"/>
      <c r="P716" s="102"/>
      <c r="Q716" s="102"/>
      <c r="R716" s="102"/>
      <c r="S716" s="102"/>
      <c r="T716" s="102"/>
      <c r="U716" s="101" t="n">
        <f aca="false">V716+W716+X716+COUNTIF(I716:T716,"R")</f>
        <v>1</v>
      </c>
      <c r="V716" s="101" t="n">
        <f aca="false">COUNTIF(I716:T716,"E")</f>
        <v>1</v>
      </c>
      <c r="W716" s="101" t="n">
        <f aca="false">COUNTIF(I716:T716,"X")</f>
        <v>0</v>
      </c>
      <c r="X716" s="101" t="n">
        <f aca="false">COUNTIF(I716:T716,"C2")+COUNTIF(I716:T716,"C3")</f>
        <v>0</v>
      </c>
      <c r="Y716" s="101" t="n">
        <f aca="true">SUMPRODUCT((I716:INDEX(I716:T716,MONTH(TODAY()))="X")*1)</f>
        <v>0</v>
      </c>
      <c r="Z716" s="104" t="n">
        <f aca="false">IFERROR(V716/U716,"")</f>
        <v>1</v>
      </c>
    </row>
    <row r="717" customFormat="false" ht="15" hidden="false" customHeight="true" outlineLevel="0" collapsed="false">
      <c r="A717" s="100" t="str">
        <f aca="false">Equipos!C715</f>
        <v>2-116713</v>
      </c>
      <c r="B717" s="101" t="str">
        <f aca="false">Equipos!D715</f>
        <v>Monitor Multiparámetros</v>
      </c>
      <c r="C717" s="101" t="str">
        <f aca="false">Equipos!E715</f>
        <v>UPC Adulto</v>
      </c>
      <c r="D717" s="101" t="str">
        <f aca="false">Equipos!G715</f>
        <v>Bodega </v>
      </c>
      <c r="E717" s="101" t="str">
        <f aca="false">Equipos!I715</f>
        <v>Drager</v>
      </c>
      <c r="F717" s="101" t="str">
        <f aca="false">Equipos!J715</f>
        <v>Infinity Delta</v>
      </c>
      <c r="G717" s="100" t="str">
        <f aca="false">Equipos!K715</f>
        <v>6009179462</v>
      </c>
      <c r="H717" s="101"/>
      <c r="I717" s="102"/>
      <c r="J717" s="102"/>
      <c r="K717" s="102"/>
      <c r="L717" s="102" t="s">
        <v>329</v>
      </c>
      <c r="M717" s="102"/>
      <c r="N717" s="102"/>
      <c r="O717" s="102"/>
      <c r="P717" s="102"/>
      <c r="Q717" s="102"/>
      <c r="R717" s="102"/>
      <c r="S717" s="102"/>
      <c r="T717" s="102"/>
      <c r="U717" s="101" t="n">
        <f aca="false">V717+W717+X717+COUNTIF(I717:T717,"R")</f>
        <v>1</v>
      </c>
      <c r="V717" s="101" t="n">
        <f aca="false">COUNTIF(I717:T717,"E")</f>
        <v>0</v>
      </c>
      <c r="W717" s="101" t="n">
        <f aca="false">COUNTIF(I717:T717,"X")</f>
        <v>1</v>
      </c>
      <c r="X717" s="101" t="n">
        <f aca="false">COUNTIF(I717:T717,"C2")+COUNTIF(I717:T717,"C3")</f>
        <v>0</v>
      </c>
      <c r="Y717" s="101" t="n">
        <f aca="true">SUMPRODUCT((I717:INDEX(I717:T717,MONTH(TODAY()))="X")*1)</f>
        <v>1</v>
      </c>
      <c r="Z717" s="104" t="n">
        <f aca="false">IFERROR(V717/U717,"")</f>
        <v>0</v>
      </c>
    </row>
    <row r="718" customFormat="false" ht="15" hidden="false" customHeight="true" outlineLevel="0" collapsed="false">
      <c r="A718" s="100" t="str">
        <f aca="false">Equipos!C716</f>
        <v>2-117052</v>
      </c>
      <c r="B718" s="101" t="str">
        <f aca="false">Equipos!D716</f>
        <v>Monitor Multiparámetros</v>
      </c>
      <c r="C718" s="101" t="str">
        <f aca="false">Equipos!E716</f>
        <v>Pabellones Gineco-Obstétricos</v>
      </c>
      <c r="D718" s="101" t="str">
        <f aca="false">Equipos!G716</f>
        <v>Cama 3</v>
      </c>
      <c r="E718" s="101" t="str">
        <f aca="false">Equipos!I716</f>
        <v>Philips</v>
      </c>
      <c r="F718" s="101" t="str">
        <f aca="false">Equipos!J716</f>
        <v>MX450</v>
      </c>
      <c r="G718" s="100" t="str">
        <f aca="false">Equipos!K716</f>
        <v>DE351C1289</v>
      </c>
      <c r="H718" s="101"/>
      <c r="I718" s="102"/>
      <c r="J718" s="102"/>
      <c r="K718" s="102"/>
      <c r="L718" s="102"/>
      <c r="M718" s="103" t="s">
        <v>329</v>
      </c>
      <c r="N718" s="102"/>
      <c r="O718" s="102"/>
      <c r="P718" s="102"/>
      <c r="Q718" s="102"/>
      <c r="R718" s="102"/>
      <c r="S718" s="102"/>
      <c r="T718" s="102"/>
      <c r="U718" s="101" t="n">
        <f aca="false">V718+W718+X718+COUNTIF(I718:T718,"R")</f>
        <v>1</v>
      </c>
      <c r="V718" s="101" t="n">
        <f aca="false">COUNTIF(I718:T718,"E")</f>
        <v>0</v>
      </c>
      <c r="W718" s="101" t="n">
        <f aca="false">COUNTIF(I718:T718,"X")</f>
        <v>1</v>
      </c>
      <c r="X718" s="101" t="n">
        <f aca="false">COUNTIF(I718:T718,"C2")+COUNTIF(I718:T718,"C3")</f>
        <v>0</v>
      </c>
      <c r="Y718" s="101" t="n">
        <f aca="true">SUMPRODUCT((I718:INDEX(I718:T718,MONTH(TODAY()))="X")*1)</f>
        <v>1</v>
      </c>
      <c r="Z718" s="104" t="n">
        <f aca="false">IFERROR(V718/U718,"")</f>
        <v>0</v>
      </c>
    </row>
    <row r="719" customFormat="false" ht="15" hidden="false" customHeight="true" outlineLevel="0" collapsed="false">
      <c r="A719" s="100" t="str">
        <f aca="false">Equipos!C717</f>
        <v>2-117053</v>
      </c>
      <c r="B719" s="101" t="str">
        <f aca="false">Equipos!D717</f>
        <v>Monitor Multiparámetros</v>
      </c>
      <c r="C719" s="101" t="str">
        <f aca="false">Equipos!E717</f>
        <v>Pabellones Gineco-Obstétricos</v>
      </c>
      <c r="D719" s="101" t="str">
        <f aca="false">Equipos!G717</f>
        <v>Cama 6</v>
      </c>
      <c r="E719" s="101" t="str">
        <f aca="false">Equipos!I717</f>
        <v>Philips</v>
      </c>
      <c r="F719" s="101" t="str">
        <f aca="false">Equipos!J717</f>
        <v>MX450</v>
      </c>
      <c r="G719" s="100" t="str">
        <f aca="false">Equipos!K717</f>
        <v>DE351C1464</v>
      </c>
      <c r="H719" s="101"/>
      <c r="I719" s="102"/>
      <c r="J719" s="102"/>
      <c r="K719" s="102"/>
      <c r="L719" s="102"/>
      <c r="M719" s="103" t="s">
        <v>328</v>
      </c>
      <c r="N719" s="102"/>
      <c r="O719" s="102"/>
      <c r="P719" s="102"/>
      <c r="Q719" s="102"/>
      <c r="R719" s="102"/>
      <c r="S719" s="102"/>
      <c r="T719" s="102"/>
      <c r="U719" s="101" t="n">
        <f aca="false">V719+W719+X719+COUNTIF(I719:T719,"R")</f>
        <v>1</v>
      </c>
      <c r="V719" s="101" t="n">
        <f aca="false">COUNTIF(I719:T719,"E")</f>
        <v>1</v>
      </c>
      <c r="W719" s="101" t="n">
        <f aca="false">COUNTIF(I719:T719,"X")</f>
        <v>0</v>
      </c>
      <c r="X719" s="101" t="n">
        <f aca="false">COUNTIF(I719:T719,"C2")+COUNTIF(I719:T719,"C3")</f>
        <v>0</v>
      </c>
      <c r="Y719" s="101" t="n">
        <f aca="true">SUMPRODUCT((I719:INDEX(I719:T719,MONTH(TODAY()))="X")*1)</f>
        <v>0</v>
      </c>
      <c r="Z719" s="104" t="n">
        <f aca="false">IFERROR(V719/U719,"")</f>
        <v>1</v>
      </c>
    </row>
    <row r="720" customFormat="false" ht="15" hidden="false" customHeight="true" outlineLevel="0" collapsed="false">
      <c r="A720" s="100" t="str">
        <f aca="false">Equipos!C718</f>
        <v>2-117054</v>
      </c>
      <c r="B720" s="101" t="str">
        <f aca="false">Equipos!D718</f>
        <v>Monitor Multiparámetros</v>
      </c>
      <c r="C720" s="101" t="str">
        <f aca="false">Equipos!E718</f>
        <v>Pabellones Gineco-Obstétricos</v>
      </c>
      <c r="D720" s="101" t="str">
        <f aca="false">Equipos!G718</f>
        <v>CAMA 4</v>
      </c>
      <c r="E720" s="101" t="str">
        <f aca="false">Equipos!I718</f>
        <v>Philips</v>
      </c>
      <c r="F720" s="101" t="str">
        <f aca="false">Equipos!J718</f>
        <v>MX450</v>
      </c>
      <c r="G720" s="100" t="str">
        <f aca="false">Equipos!K718</f>
        <v>DE351C1468</v>
      </c>
      <c r="H720" s="101"/>
      <c r="I720" s="102"/>
      <c r="J720" s="102"/>
      <c r="K720" s="102"/>
      <c r="L720" s="102"/>
      <c r="M720" s="103" t="s">
        <v>328</v>
      </c>
      <c r="N720" s="102"/>
      <c r="O720" s="102"/>
      <c r="P720" s="102"/>
      <c r="Q720" s="102"/>
      <c r="R720" s="102"/>
      <c r="S720" s="102"/>
      <c r="T720" s="102"/>
      <c r="U720" s="101" t="n">
        <f aca="false">V720+W720+X720+COUNTIF(I720:T720,"R")</f>
        <v>1</v>
      </c>
      <c r="V720" s="101" t="n">
        <f aca="false">COUNTIF(I720:T720,"E")</f>
        <v>1</v>
      </c>
      <c r="W720" s="101" t="n">
        <f aca="false">COUNTIF(I720:T720,"X")</f>
        <v>0</v>
      </c>
      <c r="X720" s="101" t="n">
        <f aca="false">COUNTIF(I720:T720,"C2")+COUNTIF(I720:T720,"C3")</f>
        <v>0</v>
      </c>
      <c r="Y720" s="101" t="n">
        <f aca="true">SUMPRODUCT((I720:INDEX(I720:T720,MONTH(TODAY()))="X")*1)</f>
        <v>0</v>
      </c>
      <c r="Z720" s="104" t="n">
        <f aca="false">IFERROR(V720/U720,"")</f>
        <v>1</v>
      </c>
    </row>
    <row r="721" customFormat="false" ht="15" hidden="false" customHeight="true" outlineLevel="0" collapsed="false">
      <c r="A721" s="100" t="str">
        <f aca="false">Equipos!C719</f>
        <v>2-117055</v>
      </c>
      <c r="B721" s="101" t="str">
        <f aca="false">Equipos!D719</f>
        <v>Monitor Multiparámetros</v>
      </c>
      <c r="C721" s="101" t="str">
        <f aca="false">Equipos!E719</f>
        <v>Pabellones Gineco-Obstétricos</v>
      </c>
      <c r="D721" s="101" t="str">
        <f aca="false">Equipos!G719</f>
        <v>Cama 7</v>
      </c>
      <c r="E721" s="101" t="str">
        <f aca="false">Equipos!I719</f>
        <v>Philips</v>
      </c>
      <c r="F721" s="101" t="str">
        <f aca="false">Equipos!J719</f>
        <v>MX450</v>
      </c>
      <c r="G721" s="100" t="str">
        <f aca="false">Equipos!K719</f>
        <v>DE351C1471</v>
      </c>
      <c r="H721" s="101"/>
      <c r="I721" s="102"/>
      <c r="J721" s="102"/>
      <c r="K721" s="102"/>
      <c r="L721" s="102"/>
      <c r="M721" s="103" t="s">
        <v>329</v>
      </c>
      <c r="N721" s="102"/>
      <c r="O721" s="102"/>
      <c r="P721" s="102"/>
      <c r="Q721" s="102"/>
      <c r="R721" s="102"/>
      <c r="S721" s="102"/>
      <c r="T721" s="102"/>
      <c r="U721" s="101" t="n">
        <f aca="false">V721+W721+X721+COUNTIF(I721:T721,"R")</f>
        <v>1</v>
      </c>
      <c r="V721" s="101" t="n">
        <f aca="false">COUNTIF(I721:T721,"E")</f>
        <v>0</v>
      </c>
      <c r="W721" s="101" t="n">
        <f aca="false">COUNTIF(I721:T721,"X")</f>
        <v>1</v>
      </c>
      <c r="X721" s="101" t="n">
        <f aca="false">COUNTIF(I721:T721,"C2")+COUNTIF(I721:T721,"C3")</f>
        <v>0</v>
      </c>
      <c r="Y721" s="101" t="n">
        <f aca="true">SUMPRODUCT((I721:INDEX(I721:T721,MONTH(TODAY()))="X")*1)</f>
        <v>1</v>
      </c>
      <c r="Z721" s="104" t="n">
        <f aca="false">IFERROR(V721/U721,"")</f>
        <v>0</v>
      </c>
    </row>
    <row r="722" customFormat="false" ht="15" hidden="false" customHeight="true" outlineLevel="0" collapsed="false">
      <c r="A722" s="100" t="str">
        <f aca="false">Equipos!C720</f>
        <v>2-117056</v>
      </c>
      <c r="B722" s="101" t="str">
        <f aca="false">Equipos!D720</f>
        <v>Monitor Multiparámetros</v>
      </c>
      <c r="C722" s="101" t="str">
        <f aca="false">Equipos!E720</f>
        <v>Pabellones Gineco-Obstétricos</v>
      </c>
      <c r="D722" s="101" t="str">
        <f aca="false">Equipos!G720</f>
        <v>Cama 1</v>
      </c>
      <c r="E722" s="101" t="str">
        <f aca="false">Equipos!I720</f>
        <v>Philips</v>
      </c>
      <c r="F722" s="101" t="str">
        <f aca="false">Equipos!J720</f>
        <v>MX450</v>
      </c>
      <c r="G722" s="100" t="str">
        <f aca="false">Equipos!K720</f>
        <v>DE351C1466</v>
      </c>
      <c r="H722" s="101"/>
      <c r="I722" s="102"/>
      <c r="J722" s="102"/>
      <c r="K722" s="102"/>
      <c r="L722" s="102"/>
      <c r="M722" s="103" t="s">
        <v>328</v>
      </c>
      <c r="N722" s="102"/>
      <c r="O722" s="102"/>
      <c r="P722" s="102"/>
      <c r="Q722" s="102"/>
      <c r="R722" s="102"/>
      <c r="S722" s="102"/>
      <c r="T722" s="102"/>
      <c r="U722" s="101" t="n">
        <f aca="false">V722+W722+X722+COUNTIF(I722:T722,"R")</f>
        <v>1</v>
      </c>
      <c r="V722" s="101" t="n">
        <f aca="false">COUNTIF(I722:T722,"E")</f>
        <v>1</v>
      </c>
      <c r="W722" s="101" t="n">
        <f aca="false">COUNTIF(I722:T722,"X")</f>
        <v>0</v>
      </c>
      <c r="X722" s="101" t="n">
        <f aca="false">COUNTIF(I722:T722,"C2")+COUNTIF(I722:T722,"C3")</f>
        <v>0</v>
      </c>
      <c r="Y722" s="101" t="n">
        <f aca="true">SUMPRODUCT((I722:INDEX(I722:T722,MONTH(TODAY()))="X")*1)</f>
        <v>0</v>
      </c>
      <c r="Z722" s="104" t="n">
        <f aca="false">IFERROR(V722/U722,"")</f>
        <v>1</v>
      </c>
    </row>
    <row r="723" customFormat="false" ht="15" hidden="false" customHeight="true" outlineLevel="0" collapsed="false">
      <c r="A723" s="100" t="str">
        <f aca="false">Equipos!C721</f>
        <v>2-117057</v>
      </c>
      <c r="B723" s="101" t="str">
        <f aca="false">Equipos!D721</f>
        <v>Monitor Multiparámetros</v>
      </c>
      <c r="C723" s="101" t="str">
        <f aca="false">Equipos!E721</f>
        <v>Urgencias Gineco-Obstétricas</v>
      </c>
      <c r="D723" s="101" t="str">
        <f aca="false">Equipos!G721</f>
        <v>Pabellón</v>
      </c>
      <c r="E723" s="101" t="str">
        <f aca="false">Equipos!I721</f>
        <v>Philips</v>
      </c>
      <c r="F723" s="101" t="str">
        <f aca="false">Equipos!J721</f>
        <v>MX450</v>
      </c>
      <c r="G723" s="100" t="str">
        <f aca="false">Equipos!K721</f>
        <v>DE351C1288</v>
      </c>
      <c r="H723" s="101"/>
      <c r="I723" s="102"/>
      <c r="J723" s="102"/>
      <c r="K723" s="102"/>
      <c r="L723" s="102"/>
      <c r="M723" s="102" t="s">
        <v>329</v>
      </c>
      <c r="N723" s="102"/>
      <c r="O723" s="102"/>
      <c r="P723" s="102"/>
      <c r="Q723" s="102"/>
      <c r="R723" s="102"/>
      <c r="S723" s="102"/>
      <c r="T723" s="102"/>
      <c r="U723" s="101" t="n">
        <f aca="false">V723+W723+X723+COUNTIF(I723:T723,"R")</f>
        <v>1</v>
      </c>
      <c r="V723" s="101" t="n">
        <f aca="false">COUNTIF(I723:T723,"E")</f>
        <v>0</v>
      </c>
      <c r="W723" s="101" t="n">
        <f aca="false">COUNTIF(I723:T723,"X")</f>
        <v>1</v>
      </c>
      <c r="X723" s="101" t="n">
        <f aca="false">COUNTIF(I723:T723,"C2")+COUNTIF(I723:T723,"C3")</f>
        <v>0</v>
      </c>
      <c r="Y723" s="101" t="n">
        <f aca="true">SUMPRODUCT((I723:INDEX(I723:T723,MONTH(TODAY()))="X")*1)</f>
        <v>1</v>
      </c>
      <c r="Z723" s="104" t="n">
        <f aca="false">IFERROR(V723/U723,"")</f>
        <v>0</v>
      </c>
    </row>
    <row r="724" customFormat="false" ht="15" hidden="false" customHeight="true" outlineLevel="0" collapsed="false">
      <c r="A724" s="100" t="str">
        <f aca="false">Equipos!C722</f>
        <v>2-117540</v>
      </c>
      <c r="B724" s="101" t="str">
        <f aca="false">Equipos!D722</f>
        <v>Monitor Multiparámetros</v>
      </c>
      <c r="C724" s="101" t="str">
        <f aca="false">Equipos!E722</f>
        <v>Pabellones Gineco-Obstétricos</v>
      </c>
      <c r="D724" s="101" t="str">
        <f aca="false">Equipos!G722</f>
        <v>Pabellón 2</v>
      </c>
      <c r="E724" s="101" t="str">
        <f aca="false">Equipos!I722</f>
        <v>Drager</v>
      </c>
      <c r="F724" s="101" t="str">
        <f aca="false">Equipos!J722</f>
        <v>Infinity Kappa</v>
      </c>
      <c r="G724" s="100" t="str">
        <f aca="false">Equipos!K722</f>
        <v>5495671163</v>
      </c>
      <c r="H724" s="101"/>
      <c r="I724" s="102"/>
      <c r="J724" s="102"/>
      <c r="K724" s="102"/>
      <c r="L724" s="102"/>
      <c r="M724" s="103" t="s">
        <v>329</v>
      </c>
      <c r="N724" s="102"/>
      <c r="O724" s="102"/>
      <c r="P724" s="102"/>
      <c r="Q724" s="102"/>
      <c r="R724" s="102"/>
      <c r="S724" s="102"/>
      <c r="T724" s="102"/>
      <c r="U724" s="101" t="n">
        <f aca="false">V724+W724+X724+COUNTIF(I724:T724,"R")</f>
        <v>1</v>
      </c>
      <c r="V724" s="101" t="n">
        <f aca="false">COUNTIF(I724:T724,"E")</f>
        <v>0</v>
      </c>
      <c r="W724" s="101" t="n">
        <f aca="false">COUNTIF(I724:T724,"X")</f>
        <v>1</v>
      </c>
      <c r="X724" s="101" t="n">
        <f aca="false">COUNTIF(I724:T724,"C2")+COUNTIF(I724:T724,"C3")</f>
        <v>0</v>
      </c>
      <c r="Y724" s="101" t="n">
        <f aca="true">SUMPRODUCT((I724:INDEX(I724:T724,MONTH(TODAY()))="X")*1)</f>
        <v>1</v>
      </c>
      <c r="Z724" s="104" t="n">
        <f aca="false">IFERROR(V724/U724,"")</f>
        <v>0</v>
      </c>
    </row>
    <row r="725" customFormat="false" ht="15" hidden="false" customHeight="true" outlineLevel="0" collapsed="false">
      <c r="A725" s="100" t="str">
        <f aca="false">Equipos!C723</f>
        <v>2-117733</v>
      </c>
      <c r="B725" s="101" t="str">
        <f aca="false">Equipos!D723</f>
        <v>Monitor Multiparámetros</v>
      </c>
      <c r="C725" s="101" t="str">
        <f aca="false">Equipos!E723</f>
        <v>Neonatología</v>
      </c>
      <c r="D725" s="101" t="n">
        <f aca="false">Equipos!G723</f>
        <v>0</v>
      </c>
      <c r="E725" s="101" t="str">
        <f aca="false">Equipos!I723</f>
        <v>Philips</v>
      </c>
      <c r="F725" s="101" t="str">
        <f aca="false">Equipos!J723</f>
        <v>Intellivue MX550</v>
      </c>
      <c r="G725" s="100" t="str">
        <f aca="false">Equipos!K723</f>
        <v>DE671E0395</v>
      </c>
      <c r="H725" s="101"/>
      <c r="I725" s="103" t="s">
        <v>328</v>
      </c>
      <c r="J725" s="102"/>
      <c r="K725" s="102"/>
      <c r="L725" s="102"/>
      <c r="M725" s="102"/>
      <c r="N725" s="102"/>
      <c r="O725" s="102"/>
      <c r="P725" s="102"/>
      <c r="Q725" s="102"/>
      <c r="R725" s="102"/>
      <c r="S725" s="102"/>
      <c r="T725" s="102"/>
      <c r="U725" s="101" t="n">
        <f aca="false">V725+W725+X725+COUNTIF(I725:T725,"R")</f>
        <v>1</v>
      </c>
      <c r="V725" s="101" t="n">
        <f aca="false">COUNTIF(I725:T725,"E")</f>
        <v>1</v>
      </c>
      <c r="W725" s="101" t="n">
        <f aca="false">COUNTIF(I725:T725,"X")</f>
        <v>0</v>
      </c>
      <c r="X725" s="101" t="n">
        <f aca="false">COUNTIF(I725:T725,"C2")+COUNTIF(I725:T725,"C3")</f>
        <v>0</v>
      </c>
      <c r="Y725" s="101" t="n">
        <f aca="true">SUMPRODUCT((I725:INDEX(I725:T725,MONTH(TODAY()))="X")*1)</f>
        <v>0</v>
      </c>
      <c r="Z725" s="104" t="n">
        <f aca="false">IFERROR(V725/U725,"")</f>
        <v>1</v>
      </c>
    </row>
    <row r="726" customFormat="false" ht="15" hidden="false" customHeight="true" outlineLevel="0" collapsed="false">
      <c r="A726" s="100" t="str">
        <f aca="false">Equipos!C724</f>
        <v>2-117734</v>
      </c>
      <c r="B726" s="101" t="str">
        <f aca="false">Equipos!D724</f>
        <v>Monitor Multiparámetros</v>
      </c>
      <c r="C726" s="101" t="str">
        <f aca="false">Equipos!E724</f>
        <v>Neonatología</v>
      </c>
      <c r="D726" s="101" t="n">
        <f aca="false">Equipos!G724</f>
        <v>0</v>
      </c>
      <c r="E726" s="101" t="str">
        <f aca="false">Equipos!I724</f>
        <v>Philips</v>
      </c>
      <c r="F726" s="101" t="str">
        <f aca="false">Equipos!J724</f>
        <v>Intellivue MX550</v>
      </c>
      <c r="G726" s="100" t="str">
        <f aca="false">Equipos!K724</f>
        <v>DE671E0396</v>
      </c>
      <c r="H726" s="101"/>
      <c r="I726" s="103" t="s">
        <v>330</v>
      </c>
      <c r="J726" s="103" t="s">
        <v>328</v>
      </c>
      <c r="K726" s="102"/>
      <c r="L726" s="102"/>
      <c r="M726" s="102"/>
      <c r="N726" s="102"/>
      <c r="O726" s="102"/>
      <c r="P726" s="102"/>
      <c r="Q726" s="102"/>
      <c r="R726" s="102"/>
      <c r="S726" s="102"/>
      <c r="T726" s="102"/>
      <c r="U726" s="101" t="n">
        <f aca="false">V726+W726+X726+COUNTIF(I726:T726,"R")</f>
        <v>2</v>
      </c>
      <c r="V726" s="101" t="n">
        <f aca="false">COUNTIF(I726:T726,"E")</f>
        <v>1</v>
      </c>
      <c r="W726" s="101" t="n">
        <f aca="false">COUNTIF(I726:T726,"X")</f>
        <v>0</v>
      </c>
      <c r="X726" s="101" t="n">
        <f aca="false">COUNTIF(I726:T726,"C2")+COUNTIF(I726:T726,"C3")</f>
        <v>0</v>
      </c>
      <c r="Y726" s="101" t="n">
        <f aca="true">SUMPRODUCT((I726:INDEX(I726:T726,MONTH(TODAY()))="X")*1)</f>
        <v>0</v>
      </c>
      <c r="Z726" s="104" t="n">
        <f aca="false">IFERROR(V726/U726,"")</f>
        <v>0.5</v>
      </c>
    </row>
    <row r="727" customFormat="false" ht="15" hidden="false" customHeight="true" outlineLevel="0" collapsed="false">
      <c r="A727" s="100" t="str">
        <f aca="false">Equipos!C725</f>
        <v>2-117735</v>
      </c>
      <c r="B727" s="101" t="str">
        <f aca="false">Equipos!D725</f>
        <v>Monitor Multiparámetros</v>
      </c>
      <c r="C727" s="101" t="str">
        <f aca="false">Equipos!E725</f>
        <v>Neonatología</v>
      </c>
      <c r="D727" s="101" t="n">
        <f aca="false">Equipos!G725</f>
        <v>0</v>
      </c>
      <c r="E727" s="101" t="str">
        <f aca="false">Equipos!I725</f>
        <v>Philips</v>
      </c>
      <c r="F727" s="101" t="str">
        <f aca="false">Equipos!J725</f>
        <v>Intellivue MX550</v>
      </c>
      <c r="G727" s="100" t="str">
        <f aca="false">Equipos!K725</f>
        <v>DE671E0397</v>
      </c>
      <c r="H727" s="101"/>
      <c r="I727" s="103" t="s">
        <v>328</v>
      </c>
      <c r="J727" s="102"/>
      <c r="K727" s="102"/>
      <c r="L727" s="102"/>
      <c r="M727" s="102"/>
      <c r="N727" s="102"/>
      <c r="O727" s="102"/>
      <c r="P727" s="102"/>
      <c r="Q727" s="102"/>
      <c r="R727" s="102"/>
      <c r="S727" s="102"/>
      <c r="T727" s="102"/>
      <c r="U727" s="101" t="n">
        <f aca="false">V727+W727+X727+COUNTIF(I727:T727,"R")</f>
        <v>1</v>
      </c>
      <c r="V727" s="101" t="n">
        <f aca="false">COUNTIF(I727:T727,"E")</f>
        <v>1</v>
      </c>
      <c r="W727" s="101" t="n">
        <f aca="false">COUNTIF(I727:T727,"X")</f>
        <v>0</v>
      </c>
      <c r="X727" s="101" t="n">
        <f aca="false">COUNTIF(I727:T727,"C2")+COUNTIF(I727:T727,"C3")</f>
        <v>0</v>
      </c>
      <c r="Y727" s="101" t="n">
        <f aca="true">SUMPRODUCT((I727:INDEX(I727:T727,MONTH(TODAY()))="X")*1)</f>
        <v>0</v>
      </c>
      <c r="Z727" s="104" t="n">
        <f aca="false">IFERROR(V727/U727,"")</f>
        <v>1</v>
      </c>
    </row>
    <row r="728" customFormat="false" ht="15" hidden="false" customHeight="true" outlineLevel="0" collapsed="false">
      <c r="A728" s="100" t="str">
        <f aca="false">Equipos!C726</f>
        <v>2-117736</v>
      </c>
      <c r="B728" s="101" t="str">
        <f aca="false">Equipos!D726</f>
        <v>Monitor Multiparámetros</v>
      </c>
      <c r="C728" s="101" t="str">
        <f aca="false">Equipos!E726</f>
        <v>Neonatología</v>
      </c>
      <c r="D728" s="101" t="n">
        <f aca="false">Equipos!G726</f>
        <v>0</v>
      </c>
      <c r="E728" s="101" t="str">
        <f aca="false">Equipos!I726</f>
        <v>Philips</v>
      </c>
      <c r="F728" s="101" t="str">
        <f aca="false">Equipos!J726</f>
        <v>Intellivue MX550</v>
      </c>
      <c r="G728" s="100" t="str">
        <f aca="false">Equipos!K726</f>
        <v>DE671E0398</v>
      </c>
      <c r="H728" s="101"/>
      <c r="I728" s="103" t="s">
        <v>328</v>
      </c>
      <c r="J728" s="102"/>
      <c r="K728" s="102"/>
      <c r="L728" s="102"/>
      <c r="M728" s="102"/>
      <c r="N728" s="102"/>
      <c r="O728" s="102"/>
      <c r="P728" s="102"/>
      <c r="Q728" s="102"/>
      <c r="R728" s="102"/>
      <c r="S728" s="102"/>
      <c r="T728" s="102"/>
      <c r="U728" s="101" t="n">
        <f aca="false">V728+W728+X728+COUNTIF(I728:T728,"R")</f>
        <v>1</v>
      </c>
      <c r="V728" s="101" t="n">
        <f aca="false">COUNTIF(I728:T728,"E")</f>
        <v>1</v>
      </c>
      <c r="W728" s="101" t="n">
        <f aca="false">COUNTIF(I728:T728,"X")</f>
        <v>0</v>
      </c>
      <c r="X728" s="101" t="n">
        <f aca="false">COUNTIF(I728:T728,"C2")+COUNTIF(I728:T728,"C3")</f>
        <v>0</v>
      </c>
      <c r="Y728" s="101" t="n">
        <f aca="true">SUMPRODUCT((I728:INDEX(I728:T728,MONTH(TODAY()))="X")*1)</f>
        <v>0</v>
      </c>
      <c r="Z728" s="104" t="n">
        <f aca="false">IFERROR(V728/U728,"")</f>
        <v>1</v>
      </c>
    </row>
    <row r="729" customFormat="false" ht="15" hidden="false" customHeight="true" outlineLevel="0" collapsed="false">
      <c r="A729" s="100" t="str">
        <f aca="false">Equipos!C727</f>
        <v>2-117737</v>
      </c>
      <c r="B729" s="101" t="str">
        <f aca="false">Equipos!D727</f>
        <v>Monitor Multiparámetros</v>
      </c>
      <c r="C729" s="101" t="str">
        <f aca="false">Equipos!E727</f>
        <v>Neonatología</v>
      </c>
      <c r="D729" s="101" t="n">
        <f aca="false">Equipos!G727</f>
        <v>0</v>
      </c>
      <c r="E729" s="101" t="str">
        <f aca="false">Equipos!I727</f>
        <v>Philips</v>
      </c>
      <c r="F729" s="101" t="str">
        <f aca="false">Equipos!J727</f>
        <v>Intellivue MX550</v>
      </c>
      <c r="G729" s="100" t="str">
        <f aca="false">Equipos!K727</f>
        <v>DE671E0399</v>
      </c>
      <c r="H729" s="101"/>
      <c r="I729" s="103" t="s">
        <v>328</v>
      </c>
      <c r="J729" s="102"/>
      <c r="K729" s="102"/>
      <c r="L729" s="102"/>
      <c r="M729" s="102"/>
      <c r="N729" s="102"/>
      <c r="O729" s="102"/>
      <c r="P729" s="102"/>
      <c r="Q729" s="102"/>
      <c r="R729" s="102"/>
      <c r="S729" s="102"/>
      <c r="T729" s="102"/>
      <c r="U729" s="101" t="n">
        <f aca="false">V729+W729+X729+COUNTIF(I729:T729,"R")</f>
        <v>1</v>
      </c>
      <c r="V729" s="101" t="n">
        <f aca="false">COUNTIF(I729:T729,"E")</f>
        <v>1</v>
      </c>
      <c r="W729" s="101" t="n">
        <f aca="false">COUNTIF(I729:T729,"X")</f>
        <v>0</v>
      </c>
      <c r="X729" s="101" t="n">
        <f aca="false">COUNTIF(I729:T729,"C2")+COUNTIF(I729:T729,"C3")</f>
        <v>0</v>
      </c>
      <c r="Y729" s="101" t="n">
        <f aca="true">SUMPRODUCT((I729:INDEX(I729:T729,MONTH(TODAY()))="X")*1)</f>
        <v>0</v>
      </c>
      <c r="Z729" s="104" t="n">
        <f aca="false">IFERROR(V729/U729,"")</f>
        <v>1</v>
      </c>
    </row>
    <row r="730" customFormat="false" ht="15" hidden="false" customHeight="true" outlineLevel="0" collapsed="false">
      <c r="A730" s="100" t="str">
        <f aca="false">Equipos!C728</f>
        <v>2-117738</v>
      </c>
      <c r="B730" s="101" t="str">
        <f aca="false">Equipos!D728</f>
        <v>Monitor Multiparámetros</v>
      </c>
      <c r="C730" s="101" t="str">
        <f aca="false">Equipos!E728</f>
        <v>Neonatología</v>
      </c>
      <c r="D730" s="101" t="n">
        <f aca="false">Equipos!G728</f>
        <v>0</v>
      </c>
      <c r="E730" s="101" t="str">
        <f aca="false">Equipos!I728</f>
        <v>Philips</v>
      </c>
      <c r="F730" s="101" t="str">
        <f aca="false">Equipos!J728</f>
        <v>Intellivue MX550</v>
      </c>
      <c r="G730" s="100" t="str">
        <f aca="false">Equipos!K728</f>
        <v>DE671E0401</v>
      </c>
      <c r="H730" s="101"/>
      <c r="I730" s="103" t="s">
        <v>328</v>
      </c>
      <c r="J730" s="102"/>
      <c r="K730" s="102"/>
      <c r="L730" s="102"/>
      <c r="M730" s="102"/>
      <c r="N730" s="102"/>
      <c r="O730" s="102"/>
      <c r="P730" s="102"/>
      <c r="Q730" s="102"/>
      <c r="R730" s="102"/>
      <c r="S730" s="102"/>
      <c r="T730" s="102"/>
      <c r="U730" s="101" t="n">
        <f aca="false">V730+W730+X730+COUNTIF(I730:T730,"R")</f>
        <v>1</v>
      </c>
      <c r="V730" s="101" t="n">
        <f aca="false">COUNTIF(I730:T730,"E")</f>
        <v>1</v>
      </c>
      <c r="W730" s="101" t="n">
        <f aca="false">COUNTIF(I730:T730,"X")</f>
        <v>0</v>
      </c>
      <c r="X730" s="101" t="n">
        <f aca="false">COUNTIF(I730:T730,"C2")+COUNTIF(I730:T730,"C3")</f>
        <v>0</v>
      </c>
      <c r="Y730" s="101" t="n">
        <f aca="true">SUMPRODUCT((I730:INDEX(I730:T730,MONTH(TODAY()))="X")*1)</f>
        <v>0</v>
      </c>
      <c r="Z730" s="104" t="n">
        <f aca="false">IFERROR(V730/U730,"")</f>
        <v>1</v>
      </c>
    </row>
    <row r="731" customFormat="false" ht="15" hidden="false" customHeight="true" outlineLevel="0" collapsed="false">
      <c r="A731" s="100" t="str">
        <f aca="false">Equipos!C729</f>
        <v>2-117739</v>
      </c>
      <c r="B731" s="101" t="str">
        <f aca="false">Equipos!D729</f>
        <v>Monitor Multiparámetros</v>
      </c>
      <c r="C731" s="101" t="str">
        <f aca="false">Equipos!E729</f>
        <v>Neonatología</v>
      </c>
      <c r="D731" s="101" t="n">
        <f aca="false">Equipos!G729</f>
        <v>0</v>
      </c>
      <c r="E731" s="101" t="str">
        <f aca="false">Equipos!I729</f>
        <v>Philips</v>
      </c>
      <c r="F731" s="101" t="str">
        <f aca="false">Equipos!J729</f>
        <v>Intellivue MX550</v>
      </c>
      <c r="G731" s="100" t="str">
        <f aca="false">Equipos!K729</f>
        <v>DE671E0403</v>
      </c>
      <c r="H731" s="101"/>
      <c r="I731" s="103" t="s">
        <v>328</v>
      </c>
      <c r="J731" s="102"/>
      <c r="K731" s="102"/>
      <c r="L731" s="102"/>
      <c r="M731" s="102"/>
      <c r="N731" s="102"/>
      <c r="O731" s="102"/>
      <c r="P731" s="102"/>
      <c r="Q731" s="102"/>
      <c r="R731" s="102"/>
      <c r="S731" s="102"/>
      <c r="T731" s="102"/>
      <c r="U731" s="101" t="n">
        <f aca="false">V731+W731+X731+COUNTIF(I731:T731,"R")</f>
        <v>1</v>
      </c>
      <c r="V731" s="101" t="n">
        <f aca="false">COUNTIF(I731:T731,"E")</f>
        <v>1</v>
      </c>
      <c r="W731" s="101" t="n">
        <f aca="false">COUNTIF(I731:T731,"X")</f>
        <v>0</v>
      </c>
      <c r="X731" s="101" t="n">
        <f aca="false">COUNTIF(I731:T731,"C2")+COUNTIF(I731:T731,"C3")</f>
        <v>0</v>
      </c>
      <c r="Y731" s="101" t="n">
        <f aca="true">SUMPRODUCT((I731:INDEX(I731:T731,MONTH(TODAY()))="X")*1)</f>
        <v>0</v>
      </c>
      <c r="Z731" s="104" t="n">
        <f aca="false">IFERROR(V731/U731,"")</f>
        <v>1</v>
      </c>
    </row>
    <row r="732" customFormat="false" ht="15" hidden="false" customHeight="true" outlineLevel="0" collapsed="false">
      <c r="A732" s="100" t="str">
        <f aca="false">Equipos!C730</f>
        <v>2-117740</v>
      </c>
      <c r="B732" s="101" t="str">
        <f aca="false">Equipos!D730</f>
        <v>Monitor Multiparámetros</v>
      </c>
      <c r="C732" s="101" t="str">
        <f aca="false">Equipos!E730</f>
        <v>Neonatología</v>
      </c>
      <c r="D732" s="101" t="n">
        <f aca="false">Equipos!G730</f>
        <v>0</v>
      </c>
      <c r="E732" s="101" t="str">
        <f aca="false">Equipos!I730</f>
        <v>Philips</v>
      </c>
      <c r="F732" s="101" t="str">
        <f aca="false">Equipos!J730</f>
        <v>Intellivue MX550</v>
      </c>
      <c r="G732" s="100" t="str">
        <f aca="false">Equipos!K730</f>
        <v>DE671E0404</v>
      </c>
      <c r="H732" s="101"/>
      <c r="I732" s="103" t="s">
        <v>330</v>
      </c>
      <c r="J732" s="103" t="s">
        <v>328</v>
      </c>
      <c r="K732" s="102"/>
      <c r="L732" s="102"/>
      <c r="M732" s="102"/>
      <c r="N732" s="102"/>
      <c r="O732" s="102"/>
      <c r="P732" s="102"/>
      <c r="Q732" s="102"/>
      <c r="R732" s="102"/>
      <c r="S732" s="102"/>
      <c r="T732" s="102"/>
      <c r="U732" s="101" t="n">
        <f aca="false">V732+W732+X732+COUNTIF(I732:T732,"R")</f>
        <v>2</v>
      </c>
      <c r="V732" s="101" t="n">
        <f aca="false">COUNTIF(I732:T732,"E")</f>
        <v>1</v>
      </c>
      <c r="W732" s="101" t="n">
        <f aca="false">COUNTIF(I732:T732,"X")</f>
        <v>0</v>
      </c>
      <c r="X732" s="101" t="n">
        <f aca="false">COUNTIF(I732:T732,"C2")+COUNTIF(I732:T732,"C3")</f>
        <v>0</v>
      </c>
      <c r="Y732" s="101" t="n">
        <f aca="true">SUMPRODUCT((I732:INDEX(I732:T732,MONTH(TODAY()))="X")*1)</f>
        <v>0</v>
      </c>
      <c r="Z732" s="104" t="n">
        <f aca="false">IFERROR(V732/U732,"")</f>
        <v>0.5</v>
      </c>
    </row>
    <row r="733" customFormat="false" ht="15" hidden="false" customHeight="true" outlineLevel="0" collapsed="false">
      <c r="A733" s="100" t="str">
        <f aca="false">Equipos!C731</f>
        <v>2-117741</v>
      </c>
      <c r="B733" s="101" t="str">
        <f aca="false">Equipos!D731</f>
        <v>Monitor Multiparámetros</v>
      </c>
      <c r="C733" s="101" t="str">
        <f aca="false">Equipos!E731</f>
        <v>Neonatología</v>
      </c>
      <c r="D733" s="101" t="n">
        <f aca="false">Equipos!G731</f>
        <v>0</v>
      </c>
      <c r="E733" s="101" t="str">
        <f aca="false">Equipos!I731</f>
        <v>Philips</v>
      </c>
      <c r="F733" s="101" t="str">
        <f aca="false">Equipos!J731</f>
        <v>Intellivue MX550</v>
      </c>
      <c r="G733" s="100" t="str">
        <f aca="false">Equipos!K731</f>
        <v>DE671E0405</v>
      </c>
      <c r="H733" s="101"/>
      <c r="I733" s="103" t="s">
        <v>328</v>
      </c>
      <c r="J733" s="102"/>
      <c r="K733" s="102"/>
      <c r="L733" s="102"/>
      <c r="M733" s="102"/>
      <c r="N733" s="102"/>
      <c r="O733" s="102"/>
      <c r="P733" s="102"/>
      <c r="Q733" s="102"/>
      <c r="R733" s="102"/>
      <c r="S733" s="102"/>
      <c r="T733" s="102"/>
      <c r="U733" s="101" t="n">
        <f aca="false">V733+W733+X733+COUNTIF(I733:T733,"R")</f>
        <v>1</v>
      </c>
      <c r="V733" s="101" t="n">
        <f aca="false">COUNTIF(I733:T733,"E")</f>
        <v>1</v>
      </c>
      <c r="W733" s="101" t="n">
        <f aca="false">COUNTIF(I733:T733,"X")</f>
        <v>0</v>
      </c>
      <c r="X733" s="101" t="n">
        <f aca="false">COUNTIF(I733:T733,"C2")+COUNTIF(I733:T733,"C3")</f>
        <v>0</v>
      </c>
      <c r="Y733" s="101" t="n">
        <f aca="true">SUMPRODUCT((I733:INDEX(I733:T733,MONTH(TODAY()))="X")*1)</f>
        <v>0</v>
      </c>
      <c r="Z733" s="104" t="n">
        <f aca="false">IFERROR(V733/U733,"")</f>
        <v>1</v>
      </c>
    </row>
    <row r="734" customFormat="false" ht="15" hidden="false" customHeight="true" outlineLevel="0" collapsed="false">
      <c r="A734" s="100" t="str">
        <f aca="false">Equipos!C732</f>
        <v>2-117742</v>
      </c>
      <c r="B734" s="101" t="str">
        <f aca="false">Equipos!D732</f>
        <v>Monitor Multiparámetros</v>
      </c>
      <c r="C734" s="101" t="str">
        <f aca="false">Equipos!E732</f>
        <v>Neonatología</v>
      </c>
      <c r="D734" s="101" t="n">
        <f aca="false">Equipos!G732</f>
        <v>0</v>
      </c>
      <c r="E734" s="101" t="str">
        <f aca="false">Equipos!I732</f>
        <v>Philips</v>
      </c>
      <c r="F734" s="101" t="str">
        <f aca="false">Equipos!J732</f>
        <v>Intellivue MX550</v>
      </c>
      <c r="G734" s="100" t="str">
        <f aca="false">Equipos!K732</f>
        <v>DE671E0406</v>
      </c>
      <c r="H734" s="101"/>
      <c r="I734" s="103" t="s">
        <v>330</v>
      </c>
      <c r="J734" s="103" t="s">
        <v>328</v>
      </c>
      <c r="K734" s="102"/>
      <c r="L734" s="102"/>
      <c r="M734" s="102"/>
      <c r="N734" s="102"/>
      <c r="O734" s="102"/>
      <c r="P734" s="102"/>
      <c r="Q734" s="102"/>
      <c r="R734" s="102"/>
      <c r="S734" s="102"/>
      <c r="T734" s="102"/>
      <c r="U734" s="101" t="n">
        <f aca="false">V734+W734+X734+COUNTIF(I734:T734,"R")</f>
        <v>2</v>
      </c>
      <c r="V734" s="101" t="n">
        <f aca="false">COUNTIF(I734:T734,"E")</f>
        <v>1</v>
      </c>
      <c r="W734" s="101" t="n">
        <f aca="false">COUNTIF(I734:T734,"X")</f>
        <v>0</v>
      </c>
      <c r="X734" s="101" t="n">
        <f aca="false">COUNTIF(I734:T734,"C2")+COUNTIF(I734:T734,"C3")</f>
        <v>0</v>
      </c>
      <c r="Y734" s="101" t="n">
        <f aca="true">SUMPRODUCT((I734:INDEX(I734:T734,MONTH(TODAY()))="X")*1)</f>
        <v>0</v>
      </c>
      <c r="Z734" s="104" t="n">
        <f aca="false">IFERROR(V734/U734,"")</f>
        <v>0.5</v>
      </c>
    </row>
    <row r="735" customFormat="false" ht="15" hidden="false" customHeight="true" outlineLevel="0" collapsed="false">
      <c r="A735" s="100" t="str">
        <f aca="false">Equipos!C733</f>
        <v>2-117743</v>
      </c>
      <c r="B735" s="101" t="str">
        <f aca="false">Equipos!D733</f>
        <v>Monitor Multiparámetros</v>
      </c>
      <c r="C735" s="101" t="str">
        <f aca="false">Equipos!E733</f>
        <v>Neonatología</v>
      </c>
      <c r="D735" s="101" t="n">
        <f aca="false">Equipos!G733</f>
        <v>0</v>
      </c>
      <c r="E735" s="101" t="str">
        <f aca="false">Equipos!I733</f>
        <v>Philips</v>
      </c>
      <c r="F735" s="101" t="str">
        <f aca="false">Equipos!J733</f>
        <v>Intellivue MX550</v>
      </c>
      <c r="G735" s="100" t="str">
        <f aca="false">Equipos!K733</f>
        <v>DE671E0407</v>
      </c>
      <c r="H735" s="101"/>
      <c r="I735" s="103" t="s">
        <v>328</v>
      </c>
      <c r="J735" s="102"/>
      <c r="K735" s="102"/>
      <c r="L735" s="102"/>
      <c r="M735" s="102"/>
      <c r="N735" s="102"/>
      <c r="O735" s="102"/>
      <c r="P735" s="102"/>
      <c r="Q735" s="102"/>
      <c r="R735" s="102"/>
      <c r="S735" s="102"/>
      <c r="T735" s="102"/>
      <c r="U735" s="101" t="n">
        <f aca="false">V735+W735+X735+COUNTIF(I735:T735,"R")</f>
        <v>1</v>
      </c>
      <c r="V735" s="101" t="n">
        <f aca="false">COUNTIF(I735:T735,"E")</f>
        <v>1</v>
      </c>
      <c r="W735" s="101" t="n">
        <f aca="false">COUNTIF(I735:T735,"X")</f>
        <v>0</v>
      </c>
      <c r="X735" s="101" t="n">
        <f aca="false">COUNTIF(I735:T735,"C2")+COUNTIF(I735:T735,"C3")</f>
        <v>0</v>
      </c>
      <c r="Y735" s="101" t="n">
        <f aca="true">SUMPRODUCT((I735:INDEX(I735:T735,MONTH(TODAY()))="X")*1)</f>
        <v>0</v>
      </c>
      <c r="Z735" s="104" t="n">
        <f aca="false">IFERROR(V735/U735,"")</f>
        <v>1</v>
      </c>
    </row>
    <row r="736" customFormat="false" ht="15" hidden="false" customHeight="true" outlineLevel="0" collapsed="false">
      <c r="A736" s="100" t="str">
        <f aca="false">Equipos!C734</f>
        <v>2-117744</v>
      </c>
      <c r="B736" s="101" t="str">
        <f aca="false">Equipos!D734</f>
        <v>Monitor Multiparámetros</v>
      </c>
      <c r="C736" s="101" t="str">
        <f aca="false">Equipos!E734</f>
        <v>Neonatología</v>
      </c>
      <c r="D736" s="101" t="n">
        <f aca="false">Equipos!G734</f>
        <v>0</v>
      </c>
      <c r="E736" s="101" t="str">
        <f aca="false">Equipos!I734</f>
        <v>Philips</v>
      </c>
      <c r="F736" s="101" t="str">
        <f aca="false">Equipos!J734</f>
        <v>Intellivue MX550</v>
      </c>
      <c r="G736" s="100" t="str">
        <f aca="false">Equipos!K734</f>
        <v>DE671E0408</v>
      </c>
      <c r="H736" s="101"/>
      <c r="I736" s="103" t="s">
        <v>328</v>
      </c>
      <c r="J736" s="102"/>
      <c r="K736" s="102"/>
      <c r="L736" s="102"/>
      <c r="M736" s="102"/>
      <c r="N736" s="102"/>
      <c r="O736" s="102"/>
      <c r="P736" s="102"/>
      <c r="Q736" s="102"/>
      <c r="R736" s="102"/>
      <c r="S736" s="102"/>
      <c r="T736" s="102"/>
      <c r="U736" s="101" t="n">
        <f aca="false">V736+W736+X736+COUNTIF(I736:T736,"R")</f>
        <v>1</v>
      </c>
      <c r="V736" s="101" t="n">
        <f aca="false">COUNTIF(I736:T736,"E")</f>
        <v>1</v>
      </c>
      <c r="W736" s="101" t="n">
        <f aca="false">COUNTIF(I736:T736,"X")</f>
        <v>0</v>
      </c>
      <c r="X736" s="101" t="n">
        <f aca="false">COUNTIF(I736:T736,"C2")+COUNTIF(I736:T736,"C3")</f>
        <v>0</v>
      </c>
      <c r="Y736" s="101" t="n">
        <f aca="true">SUMPRODUCT((I736:INDEX(I736:T736,MONTH(TODAY()))="X")*1)</f>
        <v>0</v>
      </c>
      <c r="Z736" s="104" t="n">
        <f aca="false">IFERROR(V736/U736,"")</f>
        <v>1</v>
      </c>
    </row>
    <row r="737" customFormat="false" ht="15" hidden="false" customHeight="true" outlineLevel="0" collapsed="false">
      <c r="A737" s="100" t="str">
        <f aca="false">Equipos!C735</f>
        <v>2-117745</v>
      </c>
      <c r="B737" s="101" t="str">
        <f aca="false">Equipos!D735</f>
        <v>Monitor Multiparámetros</v>
      </c>
      <c r="C737" s="101" t="str">
        <f aca="false">Equipos!E735</f>
        <v>Neonatología</v>
      </c>
      <c r="D737" s="101" t="n">
        <f aca="false">Equipos!G735</f>
        <v>0</v>
      </c>
      <c r="E737" s="101" t="str">
        <f aca="false">Equipos!I735</f>
        <v>Philips</v>
      </c>
      <c r="F737" s="101" t="str">
        <f aca="false">Equipos!J735</f>
        <v>Intellivue MX550</v>
      </c>
      <c r="G737" s="100" t="str">
        <f aca="false">Equipos!K735</f>
        <v>DE671E0409</v>
      </c>
      <c r="H737" s="101"/>
      <c r="I737" s="103" t="s">
        <v>328</v>
      </c>
      <c r="J737" s="102"/>
      <c r="K737" s="102"/>
      <c r="L737" s="102"/>
      <c r="M737" s="102"/>
      <c r="N737" s="102"/>
      <c r="O737" s="102"/>
      <c r="P737" s="102"/>
      <c r="Q737" s="102"/>
      <c r="R737" s="102"/>
      <c r="S737" s="102"/>
      <c r="T737" s="102"/>
      <c r="U737" s="101" t="n">
        <f aca="false">V737+W737+X737+COUNTIF(I737:T737,"R")</f>
        <v>1</v>
      </c>
      <c r="V737" s="101" t="n">
        <f aca="false">COUNTIF(I737:T737,"E")</f>
        <v>1</v>
      </c>
      <c r="W737" s="101" t="n">
        <f aca="false">COUNTIF(I737:T737,"X")</f>
        <v>0</v>
      </c>
      <c r="X737" s="101" t="n">
        <f aca="false">COUNTIF(I737:T737,"C2")+COUNTIF(I737:T737,"C3")</f>
        <v>0</v>
      </c>
      <c r="Y737" s="101" t="n">
        <f aca="true">SUMPRODUCT((I737:INDEX(I737:T737,MONTH(TODAY()))="X")*1)</f>
        <v>0</v>
      </c>
      <c r="Z737" s="104" t="n">
        <f aca="false">IFERROR(V737/U737,"")</f>
        <v>1</v>
      </c>
    </row>
    <row r="738" customFormat="false" ht="15" hidden="false" customHeight="true" outlineLevel="0" collapsed="false">
      <c r="A738" s="100" t="str">
        <f aca="false">Equipos!C736</f>
        <v>2-117746</v>
      </c>
      <c r="B738" s="101" t="str">
        <f aca="false">Equipos!D736</f>
        <v>Monitor Multiparámetros</v>
      </c>
      <c r="C738" s="101" t="str">
        <f aca="false">Equipos!E736</f>
        <v>Neonatología</v>
      </c>
      <c r="D738" s="101" t="n">
        <f aca="false">Equipos!G736</f>
        <v>0</v>
      </c>
      <c r="E738" s="101" t="str">
        <f aca="false">Equipos!I736</f>
        <v>Philips</v>
      </c>
      <c r="F738" s="101" t="str">
        <f aca="false">Equipos!J736</f>
        <v>Intellivue MX550</v>
      </c>
      <c r="G738" s="100" t="str">
        <f aca="false">Equipos!K736</f>
        <v>DE671E0410</v>
      </c>
      <c r="H738" s="101"/>
      <c r="I738" s="103" t="s">
        <v>328</v>
      </c>
      <c r="J738" s="102"/>
      <c r="K738" s="102"/>
      <c r="L738" s="102"/>
      <c r="M738" s="102"/>
      <c r="N738" s="102"/>
      <c r="O738" s="102"/>
      <c r="P738" s="102"/>
      <c r="Q738" s="102"/>
      <c r="R738" s="102"/>
      <c r="S738" s="102"/>
      <c r="T738" s="102"/>
      <c r="U738" s="101" t="n">
        <f aca="false">V738+W738+X738+COUNTIF(I738:T738,"R")</f>
        <v>1</v>
      </c>
      <c r="V738" s="101" t="n">
        <f aca="false">COUNTIF(I738:T738,"E")</f>
        <v>1</v>
      </c>
      <c r="W738" s="101" t="n">
        <f aca="false">COUNTIF(I738:T738,"X")</f>
        <v>0</v>
      </c>
      <c r="X738" s="101" t="n">
        <f aca="false">COUNTIF(I738:T738,"C2")+COUNTIF(I738:T738,"C3")</f>
        <v>0</v>
      </c>
      <c r="Y738" s="101" t="n">
        <f aca="true">SUMPRODUCT((I738:INDEX(I738:T738,MONTH(TODAY()))="X")*1)</f>
        <v>0</v>
      </c>
      <c r="Z738" s="104" t="n">
        <f aca="false">IFERROR(V738/U738,"")</f>
        <v>1</v>
      </c>
    </row>
    <row r="739" customFormat="false" ht="15" hidden="false" customHeight="true" outlineLevel="0" collapsed="false">
      <c r="A739" s="100" t="str">
        <f aca="false">Equipos!C737</f>
        <v>2-117747</v>
      </c>
      <c r="B739" s="101" t="str">
        <f aca="false">Equipos!D737</f>
        <v>Monitor Multiparámetros</v>
      </c>
      <c r="C739" s="101" t="str">
        <f aca="false">Equipos!E737</f>
        <v>Neonatología</v>
      </c>
      <c r="D739" s="101" t="n">
        <f aca="false">Equipos!G737</f>
        <v>0</v>
      </c>
      <c r="E739" s="101" t="str">
        <f aca="false">Equipos!I737</f>
        <v>Philips</v>
      </c>
      <c r="F739" s="101" t="str">
        <f aca="false">Equipos!J737</f>
        <v>Intellivue MX550</v>
      </c>
      <c r="G739" s="100" t="str">
        <f aca="false">Equipos!K737</f>
        <v>DE671E0434</v>
      </c>
      <c r="H739" s="101"/>
      <c r="I739" s="103" t="s">
        <v>328</v>
      </c>
      <c r="J739" s="102"/>
      <c r="K739" s="102"/>
      <c r="L739" s="102"/>
      <c r="M739" s="102"/>
      <c r="N739" s="102"/>
      <c r="O739" s="102"/>
      <c r="P739" s="102"/>
      <c r="Q739" s="102"/>
      <c r="R739" s="102"/>
      <c r="S739" s="102"/>
      <c r="T739" s="102"/>
      <c r="U739" s="101" t="n">
        <f aca="false">V739+W739+X739+COUNTIF(I739:T739,"R")</f>
        <v>1</v>
      </c>
      <c r="V739" s="101" t="n">
        <f aca="false">COUNTIF(I739:T739,"E")</f>
        <v>1</v>
      </c>
      <c r="W739" s="101" t="n">
        <f aca="false">COUNTIF(I739:T739,"X")</f>
        <v>0</v>
      </c>
      <c r="X739" s="101" t="n">
        <f aca="false">COUNTIF(I739:T739,"C2")+COUNTIF(I739:T739,"C3")</f>
        <v>0</v>
      </c>
      <c r="Y739" s="101" t="n">
        <f aca="true">SUMPRODUCT((I739:INDEX(I739:T739,MONTH(TODAY()))="X")*1)</f>
        <v>0</v>
      </c>
      <c r="Z739" s="104" t="n">
        <f aca="false">IFERROR(V739/U739,"")</f>
        <v>1</v>
      </c>
    </row>
    <row r="740" customFormat="false" ht="15" hidden="false" customHeight="true" outlineLevel="0" collapsed="false">
      <c r="A740" s="100" t="str">
        <f aca="false">Equipos!C738</f>
        <v>2-117748</v>
      </c>
      <c r="B740" s="101" t="str">
        <f aca="false">Equipos!D738</f>
        <v>Monitor Multiparámetros</v>
      </c>
      <c r="C740" s="101" t="str">
        <f aca="false">Equipos!E738</f>
        <v>Neonatología</v>
      </c>
      <c r="D740" s="101" t="n">
        <f aca="false">Equipos!G738</f>
        <v>0</v>
      </c>
      <c r="E740" s="101" t="str">
        <f aca="false">Equipos!I738</f>
        <v>Philips</v>
      </c>
      <c r="F740" s="101" t="str">
        <f aca="false">Equipos!J738</f>
        <v>Intellivue MX550</v>
      </c>
      <c r="G740" s="100" t="str">
        <f aca="false">Equipos!K738</f>
        <v>DE671E0435</v>
      </c>
      <c r="H740" s="101"/>
      <c r="I740" s="103" t="s">
        <v>328</v>
      </c>
      <c r="J740" s="102"/>
      <c r="K740" s="102"/>
      <c r="L740" s="102"/>
      <c r="M740" s="102"/>
      <c r="N740" s="102"/>
      <c r="O740" s="102"/>
      <c r="P740" s="102"/>
      <c r="Q740" s="102"/>
      <c r="R740" s="102"/>
      <c r="S740" s="102"/>
      <c r="T740" s="102"/>
      <c r="U740" s="101" t="n">
        <f aca="false">V740+W740+X740+COUNTIF(I740:T740,"R")</f>
        <v>1</v>
      </c>
      <c r="V740" s="101" t="n">
        <f aca="false">COUNTIF(I740:T740,"E")</f>
        <v>1</v>
      </c>
      <c r="W740" s="101" t="n">
        <f aca="false">COUNTIF(I740:T740,"X")</f>
        <v>0</v>
      </c>
      <c r="X740" s="101" t="n">
        <f aca="false">COUNTIF(I740:T740,"C2")+COUNTIF(I740:T740,"C3")</f>
        <v>0</v>
      </c>
      <c r="Y740" s="101" t="n">
        <f aca="true">SUMPRODUCT((I740:INDEX(I740:T740,MONTH(TODAY()))="X")*1)</f>
        <v>0</v>
      </c>
      <c r="Z740" s="104" t="n">
        <f aca="false">IFERROR(V740/U740,"")</f>
        <v>1</v>
      </c>
    </row>
    <row r="741" customFormat="false" ht="15" hidden="false" customHeight="true" outlineLevel="0" collapsed="false">
      <c r="A741" s="100" t="str">
        <f aca="false">Equipos!C739</f>
        <v>2-117818</v>
      </c>
      <c r="B741" s="101" t="str">
        <f aca="false">Equipos!D739</f>
        <v>Monitor Multiparámetros</v>
      </c>
      <c r="C741" s="101" t="str">
        <f aca="false">Equipos!E739</f>
        <v>Urgencia Adulto</v>
      </c>
      <c r="D741" s="101" t="str">
        <f aca="false">Equipos!G739</f>
        <v>Box 1 Neurología</v>
      </c>
      <c r="E741" s="101" t="str">
        <f aca="false">Equipos!I739</f>
        <v>Drager</v>
      </c>
      <c r="F741" s="101" t="str">
        <f aca="false">Equipos!J739</f>
        <v>Vista 120</v>
      </c>
      <c r="G741" s="100" t="str">
        <f aca="false">Equipos!K739</f>
        <v>VGSLN0003</v>
      </c>
      <c r="H741" s="101"/>
      <c r="I741" s="102"/>
      <c r="J741" s="102"/>
      <c r="K741" s="103" t="s">
        <v>328</v>
      </c>
      <c r="L741" s="102"/>
      <c r="M741" s="102"/>
      <c r="N741" s="102"/>
      <c r="O741" s="102"/>
      <c r="P741" s="102"/>
      <c r="Q741" s="102"/>
      <c r="R741" s="102"/>
      <c r="S741" s="102"/>
      <c r="T741" s="102"/>
      <c r="U741" s="101" t="n">
        <f aca="false">V741+W741+X741+COUNTIF(I741:T741,"R")</f>
        <v>1</v>
      </c>
      <c r="V741" s="101" t="n">
        <f aca="false">COUNTIF(I741:T741,"E")</f>
        <v>1</v>
      </c>
      <c r="W741" s="101" t="n">
        <f aca="false">COUNTIF(I741:T741,"X")</f>
        <v>0</v>
      </c>
      <c r="X741" s="101" t="n">
        <f aca="false">COUNTIF(I741:T741,"C2")+COUNTIF(I741:T741,"C3")</f>
        <v>0</v>
      </c>
      <c r="Y741" s="101" t="n">
        <f aca="true">SUMPRODUCT((I741:INDEX(I741:T741,MONTH(TODAY()))="X")*1)</f>
        <v>0</v>
      </c>
      <c r="Z741" s="104" t="n">
        <f aca="false">IFERROR(V741/U741,"")</f>
        <v>1</v>
      </c>
    </row>
    <row r="742" customFormat="false" ht="15" hidden="false" customHeight="true" outlineLevel="0" collapsed="false">
      <c r="A742" s="100" t="str">
        <f aca="false">Equipos!C740</f>
        <v>2-117819</v>
      </c>
      <c r="B742" s="101" t="str">
        <f aca="false">Equipos!D740</f>
        <v>Monitor Multiparámetros</v>
      </c>
      <c r="C742" s="101" t="str">
        <f aca="false">Equipos!E740</f>
        <v>Urgencia Adulto</v>
      </c>
      <c r="D742" s="101" t="str">
        <f aca="false">Equipos!G740</f>
        <v>Observación 1</v>
      </c>
      <c r="E742" s="101" t="str">
        <f aca="false">Equipos!I740</f>
        <v>Drager</v>
      </c>
      <c r="F742" s="101" t="str">
        <f aca="false">Equipos!J740</f>
        <v>Vista 120</v>
      </c>
      <c r="G742" s="100" t="str">
        <f aca="false">Equipos!K740</f>
        <v>VGSLN0002</v>
      </c>
      <c r="H742" s="101"/>
      <c r="I742" s="102"/>
      <c r="J742" s="102"/>
      <c r="K742" s="103" t="s">
        <v>328</v>
      </c>
      <c r="L742" s="102"/>
      <c r="M742" s="102"/>
      <c r="N742" s="102"/>
      <c r="O742" s="102"/>
      <c r="P742" s="102"/>
      <c r="Q742" s="102"/>
      <c r="R742" s="102"/>
      <c r="S742" s="102"/>
      <c r="T742" s="102"/>
      <c r="U742" s="101" t="n">
        <f aca="false">V742+W742+X742+COUNTIF(I742:T742,"R")</f>
        <v>1</v>
      </c>
      <c r="V742" s="101" t="n">
        <f aca="false">COUNTIF(I742:T742,"E")</f>
        <v>1</v>
      </c>
      <c r="W742" s="101" t="n">
        <f aca="false">COUNTIF(I742:T742,"X")</f>
        <v>0</v>
      </c>
      <c r="X742" s="101" t="n">
        <f aca="false">COUNTIF(I742:T742,"C2")+COUNTIF(I742:T742,"C3")</f>
        <v>0</v>
      </c>
      <c r="Y742" s="101" t="n">
        <f aca="true">SUMPRODUCT((I742:INDEX(I742:T742,MONTH(TODAY()))="X")*1)</f>
        <v>0</v>
      </c>
      <c r="Z742" s="104" t="n">
        <f aca="false">IFERROR(V742/U742,"")</f>
        <v>1</v>
      </c>
    </row>
    <row r="743" customFormat="false" ht="15" hidden="false" customHeight="true" outlineLevel="0" collapsed="false">
      <c r="A743" s="100" t="str">
        <f aca="false">Equipos!C741</f>
        <v>2-117820</v>
      </c>
      <c r="B743" s="101" t="str">
        <f aca="false">Equipos!D741</f>
        <v>Monitor Multiparámetros</v>
      </c>
      <c r="C743" s="101" t="str">
        <f aca="false">Equipos!E741</f>
        <v>Urgencia Adulto</v>
      </c>
      <c r="D743" s="101" t="str">
        <f aca="false">Equipos!G741</f>
        <v>Box 5 SAR</v>
      </c>
      <c r="E743" s="101" t="str">
        <f aca="false">Equipos!I741</f>
        <v>Drager</v>
      </c>
      <c r="F743" s="101" t="str">
        <f aca="false">Equipos!J741</f>
        <v>Vista 120</v>
      </c>
      <c r="G743" s="100" t="str">
        <f aca="false">Equipos!K741</f>
        <v>VGSLN0014</v>
      </c>
      <c r="H743" s="101"/>
      <c r="I743" s="102"/>
      <c r="J743" s="102"/>
      <c r="K743" s="103" t="s">
        <v>328</v>
      </c>
      <c r="L743" s="102"/>
      <c r="M743" s="102"/>
      <c r="N743" s="102"/>
      <c r="O743" s="102"/>
      <c r="P743" s="102"/>
      <c r="Q743" s="102"/>
      <c r="R743" s="102"/>
      <c r="S743" s="102"/>
      <c r="T743" s="102"/>
      <c r="U743" s="101" t="n">
        <f aca="false">V743+W743+X743+COUNTIF(I743:T743,"R")</f>
        <v>1</v>
      </c>
      <c r="V743" s="101" t="n">
        <f aca="false">COUNTIF(I743:T743,"E")</f>
        <v>1</v>
      </c>
      <c r="W743" s="101" t="n">
        <f aca="false">COUNTIF(I743:T743,"X")</f>
        <v>0</v>
      </c>
      <c r="X743" s="101" t="n">
        <f aca="false">COUNTIF(I743:T743,"C2")+COUNTIF(I743:T743,"C3")</f>
        <v>0</v>
      </c>
      <c r="Y743" s="101" t="n">
        <f aca="true">SUMPRODUCT((I743:INDEX(I743:T743,MONTH(TODAY()))="X")*1)</f>
        <v>0</v>
      </c>
      <c r="Z743" s="104" t="n">
        <f aca="false">IFERROR(V743/U743,"")</f>
        <v>1</v>
      </c>
    </row>
    <row r="744" customFormat="false" ht="15" hidden="false" customHeight="true" outlineLevel="0" collapsed="false">
      <c r="A744" s="100" t="str">
        <f aca="false">Equipos!C742</f>
        <v>2-117821</v>
      </c>
      <c r="B744" s="101" t="str">
        <f aca="false">Equipos!D742</f>
        <v>Monitor Multiparámetros</v>
      </c>
      <c r="C744" s="101" t="str">
        <f aca="false">Equipos!E742</f>
        <v>Urgencia Adulto</v>
      </c>
      <c r="D744" s="101" t="str">
        <f aca="false">Equipos!G742</f>
        <v>Observación 3</v>
      </c>
      <c r="E744" s="101" t="str">
        <f aca="false">Equipos!I742</f>
        <v>Drager</v>
      </c>
      <c r="F744" s="101" t="str">
        <f aca="false">Equipos!J742</f>
        <v>Vista 120</v>
      </c>
      <c r="G744" s="100" t="str">
        <f aca="false">Equipos!K742</f>
        <v>VGSLN0017</v>
      </c>
      <c r="H744" s="101"/>
      <c r="I744" s="102"/>
      <c r="J744" s="102"/>
      <c r="K744" s="103" t="s">
        <v>328</v>
      </c>
      <c r="L744" s="102"/>
      <c r="M744" s="102"/>
      <c r="N744" s="102"/>
      <c r="O744" s="102"/>
      <c r="P744" s="102"/>
      <c r="Q744" s="102"/>
      <c r="R744" s="102"/>
      <c r="S744" s="102"/>
      <c r="T744" s="102"/>
      <c r="U744" s="101" t="n">
        <f aca="false">V744+W744+X744+COUNTIF(I744:T744,"R")</f>
        <v>1</v>
      </c>
      <c r="V744" s="101" t="n">
        <f aca="false">COUNTIF(I744:T744,"E")</f>
        <v>1</v>
      </c>
      <c r="W744" s="101" t="n">
        <f aca="false">COUNTIF(I744:T744,"X")</f>
        <v>0</v>
      </c>
      <c r="X744" s="101" t="n">
        <f aca="false">COUNTIF(I744:T744,"C2")+COUNTIF(I744:T744,"C3")</f>
        <v>0</v>
      </c>
      <c r="Y744" s="101" t="n">
        <f aca="true">SUMPRODUCT((I744:INDEX(I744:T744,MONTH(TODAY()))="X")*1)</f>
        <v>0</v>
      </c>
      <c r="Z744" s="104" t="n">
        <f aca="false">IFERROR(V744/U744,"")</f>
        <v>1</v>
      </c>
    </row>
    <row r="745" customFormat="false" ht="15" hidden="false" customHeight="true" outlineLevel="0" collapsed="false">
      <c r="A745" s="100" t="str">
        <f aca="false">Equipos!C743</f>
        <v>2-117822</v>
      </c>
      <c r="B745" s="101" t="str">
        <f aca="false">Equipos!D743</f>
        <v>Monitor Multiparámetros</v>
      </c>
      <c r="C745" s="101" t="str">
        <f aca="false">Equipos!E743</f>
        <v>Urgencia Adulto (Prestado a Pediatría)</v>
      </c>
      <c r="D745" s="101" t="n">
        <f aca="false">Equipos!G743</f>
        <v>0</v>
      </c>
      <c r="E745" s="101" t="str">
        <f aca="false">Equipos!I743</f>
        <v>Drager</v>
      </c>
      <c r="F745" s="101" t="str">
        <f aca="false">Equipos!J743</f>
        <v>Vista 120</v>
      </c>
      <c r="G745" s="100" t="str">
        <f aca="false">Equipos!K743</f>
        <v>VGSLN0049</v>
      </c>
      <c r="H745" s="101"/>
      <c r="I745" s="102"/>
      <c r="J745" s="103" t="s">
        <v>330</v>
      </c>
      <c r="K745" s="103" t="s">
        <v>328</v>
      </c>
      <c r="L745" s="102"/>
      <c r="M745" s="102"/>
      <c r="N745" s="102"/>
      <c r="O745" s="102"/>
      <c r="P745" s="102"/>
      <c r="Q745" s="102"/>
      <c r="R745" s="102"/>
      <c r="S745" s="102"/>
      <c r="T745" s="102"/>
      <c r="U745" s="101" t="n">
        <f aca="false">V745+W745+X745+COUNTIF(I745:T745,"R")</f>
        <v>2</v>
      </c>
      <c r="V745" s="101" t="n">
        <f aca="false">COUNTIF(I745:T745,"E")</f>
        <v>1</v>
      </c>
      <c r="W745" s="101" t="n">
        <f aca="false">COUNTIF(I745:T745,"X")</f>
        <v>0</v>
      </c>
      <c r="X745" s="101" t="n">
        <f aca="false">COUNTIF(I745:T745,"C2")+COUNTIF(I745:T745,"C3")</f>
        <v>0</v>
      </c>
      <c r="Y745" s="101" t="n">
        <f aca="true">SUMPRODUCT((I745:INDEX(I745:T745,MONTH(TODAY()))="X")*1)</f>
        <v>0</v>
      </c>
      <c r="Z745" s="104" t="n">
        <f aca="false">IFERROR(V745/U745,"")</f>
        <v>0.5</v>
      </c>
    </row>
    <row r="746" customFormat="false" ht="15" hidden="false" customHeight="true" outlineLevel="0" collapsed="false">
      <c r="A746" s="100" t="str">
        <f aca="false">Equipos!C744</f>
        <v>2-117823</v>
      </c>
      <c r="B746" s="101" t="str">
        <f aca="false">Equipos!D744</f>
        <v>Monitor Multiparámetros</v>
      </c>
      <c r="C746" s="101" t="str">
        <f aca="false">Equipos!E744</f>
        <v>Urgencia Adulto</v>
      </c>
      <c r="D746" s="101" t="str">
        <f aca="false">Equipos!G744</f>
        <v>Observación 2</v>
      </c>
      <c r="E746" s="101" t="str">
        <f aca="false">Equipos!I744</f>
        <v>Drager</v>
      </c>
      <c r="F746" s="101" t="str">
        <f aca="false">Equipos!J744</f>
        <v>Vista 120</v>
      </c>
      <c r="G746" s="100" t="str">
        <f aca="false">Equipos!K744</f>
        <v>VGSLN0079</v>
      </c>
      <c r="H746" s="101"/>
      <c r="I746" s="102"/>
      <c r="J746" s="102"/>
      <c r="K746" s="103" t="s">
        <v>328</v>
      </c>
      <c r="L746" s="102"/>
      <c r="M746" s="102"/>
      <c r="N746" s="102"/>
      <c r="O746" s="102"/>
      <c r="P746" s="102"/>
      <c r="Q746" s="102"/>
      <c r="R746" s="102"/>
      <c r="S746" s="102"/>
      <c r="T746" s="102"/>
      <c r="U746" s="101" t="n">
        <f aca="false">V746+W746+X746+COUNTIF(I746:T746,"R")</f>
        <v>1</v>
      </c>
      <c r="V746" s="101" t="n">
        <f aca="false">COUNTIF(I746:T746,"E")</f>
        <v>1</v>
      </c>
      <c r="W746" s="101" t="n">
        <f aca="false">COUNTIF(I746:T746,"X")</f>
        <v>0</v>
      </c>
      <c r="X746" s="101" t="n">
        <f aca="false">COUNTIF(I746:T746,"C2")+COUNTIF(I746:T746,"C3")</f>
        <v>0</v>
      </c>
      <c r="Y746" s="101" t="n">
        <f aca="true">SUMPRODUCT((I746:INDEX(I746:T746,MONTH(TODAY()))="X")*1)</f>
        <v>0</v>
      </c>
      <c r="Z746" s="104" t="n">
        <f aca="false">IFERROR(V746/U746,"")</f>
        <v>1</v>
      </c>
    </row>
    <row r="747" customFormat="false" ht="15" hidden="false" customHeight="true" outlineLevel="0" collapsed="false">
      <c r="A747" s="100" t="str">
        <f aca="false">Equipos!C745</f>
        <v>2-117814</v>
      </c>
      <c r="B747" s="101" t="str">
        <f aca="false">Equipos!D745</f>
        <v>Monitor Multiparámetros</v>
      </c>
      <c r="C747" s="101" t="str">
        <f aca="false">Equipos!E745</f>
        <v>Pabellón CMA</v>
      </c>
      <c r="D747" s="101" t="str">
        <f aca="false">Equipos!G745</f>
        <v>Pabellón CMA 1</v>
      </c>
      <c r="E747" s="101" t="str">
        <f aca="false">Equipos!I745</f>
        <v>Drager</v>
      </c>
      <c r="F747" s="101" t="str">
        <f aca="false">Equipos!J745</f>
        <v>M540</v>
      </c>
      <c r="G747" s="100" t="str">
        <f aca="false">Equipos!K745</f>
        <v>5613359963</v>
      </c>
      <c r="H747" s="101"/>
      <c r="I747" s="102"/>
      <c r="J747" s="102"/>
      <c r="K747" s="102"/>
      <c r="L747" s="102"/>
      <c r="M747" s="103" t="s">
        <v>329</v>
      </c>
      <c r="N747" s="102"/>
      <c r="O747" s="102"/>
      <c r="P747" s="102"/>
      <c r="Q747" s="102"/>
      <c r="R747" s="102"/>
      <c r="S747" s="102"/>
      <c r="T747" s="102"/>
      <c r="U747" s="101" t="n">
        <f aca="false">V747+W747+X747+COUNTIF(I747:T747,"R")</f>
        <v>1</v>
      </c>
      <c r="V747" s="101" t="n">
        <f aca="false">COUNTIF(I747:T747,"E")</f>
        <v>0</v>
      </c>
      <c r="W747" s="101" t="n">
        <f aca="false">COUNTIF(I747:T747,"X")</f>
        <v>1</v>
      </c>
      <c r="X747" s="101" t="n">
        <f aca="false">COUNTIF(I747:T747,"C2")+COUNTIF(I747:T747,"C3")</f>
        <v>0</v>
      </c>
      <c r="Y747" s="101" t="n">
        <f aca="true">SUMPRODUCT((I747:INDEX(I747:T747,MONTH(TODAY()))="X")*1)</f>
        <v>1</v>
      </c>
      <c r="Z747" s="104" t="n">
        <f aca="false">IFERROR(V747/U747,"")</f>
        <v>0</v>
      </c>
    </row>
    <row r="748" customFormat="false" ht="15" hidden="false" customHeight="true" outlineLevel="0" collapsed="false">
      <c r="A748" s="100" t="str">
        <f aca="false">Equipos!C746</f>
        <v>2-117813</v>
      </c>
      <c r="B748" s="101" t="str">
        <f aca="false">Equipos!D746</f>
        <v>Monitor Multiparámetros</v>
      </c>
      <c r="C748" s="101" t="str">
        <f aca="false">Equipos!E746</f>
        <v>Pabellón Quirúrgico</v>
      </c>
      <c r="D748" s="101" t="str">
        <f aca="false">Equipos!G746</f>
        <v>Bodega</v>
      </c>
      <c r="E748" s="101" t="str">
        <f aca="false">Equipos!I746</f>
        <v>Drager</v>
      </c>
      <c r="F748" s="101" t="str">
        <f aca="false">Equipos!J746</f>
        <v>M540</v>
      </c>
      <c r="G748" s="100" t="str">
        <f aca="false">Equipos!K746</f>
        <v>5613354870</v>
      </c>
      <c r="H748" s="101"/>
      <c r="I748" s="102"/>
      <c r="J748" s="102"/>
      <c r="K748" s="102"/>
      <c r="L748" s="103" t="s">
        <v>328</v>
      </c>
      <c r="M748" s="102"/>
      <c r="N748" s="102"/>
      <c r="O748" s="102"/>
      <c r="P748" s="102"/>
      <c r="Q748" s="102"/>
      <c r="R748" s="102"/>
      <c r="S748" s="102"/>
      <c r="T748" s="102"/>
      <c r="U748" s="101" t="n">
        <f aca="false">V748+W748+X748+COUNTIF(I748:T748,"R")</f>
        <v>1</v>
      </c>
      <c r="V748" s="101" t="n">
        <f aca="false">COUNTIF(I748:T748,"E")</f>
        <v>1</v>
      </c>
      <c r="W748" s="101" t="n">
        <f aca="false">COUNTIF(I748:T748,"X")</f>
        <v>0</v>
      </c>
      <c r="X748" s="101" t="n">
        <f aca="false">COUNTIF(I748:T748,"C2")+COUNTIF(I748:T748,"C3")</f>
        <v>0</v>
      </c>
      <c r="Y748" s="101" t="n">
        <f aca="true">SUMPRODUCT((I748:INDEX(I748:T748,MONTH(TODAY()))="X")*1)</f>
        <v>0</v>
      </c>
      <c r="Z748" s="104" t="n">
        <f aca="false">IFERROR(V748/U748,"")</f>
        <v>1</v>
      </c>
    </row>
    <row r="749" customFormat="false" ht="15" hidden="false" customHeight="true" outlineLevel="0" collapsed="false">
      <c r="A749" s="100" t="str">
        <f aca="false">Equipos!C747</f>
        <v>2-117812</v>
      </c>
      <c r="B749" s="101" t="str">
        <f aca="false">Equipos!D747</f>
        <v>Monitor Multiparámetros</v>
      </c>
      <c r="C749" s="101" t="str">
        <f aca="false">Equipos!E747</f>
        <v>Pabellón Quirúrgico (Prestado a Pabellón CMA)</v>
      </c>
      <c r="D749" s="101" t="str">
        <f aca="false">Equipos!G747</f>
        <v>Pabellon CMA 2</v>
      </c>
      <c r="E749" s="101" t="str">
        <f aca="false">Equipos!I747</f>
        <v>Drager</v>
      </c>
      <c r="F749" s="101" t="str">
        <f aca="false">Equipos!J747</f>
        <v>M540</v>
      </c>
      <c r="G749" s="100" t="str">
        <f aca="false">Equipos!K747</f>
        <v>5613360578</v>
      </c>
      <c r="H749" s="101"/>
      <c r="I749" s="102"/>
      <c r="J749" s="102"/>
      <c r="K749" s="102"/>
      <c r="L749" s="103" t="s">
        <v>328</v>
      </c>
      <c r="M749" s="102"/>
      <c r="N749" s="102"/>
      <c r="O749" s="102"/>
      <c r="P749" s="102"/>
      <c r="Q749" s="102"/>
      <c r="R749" s="102"/>
      <c r="S749" s="102"/>
      <c r="T749" s="102"/>
      <c r="U749" s="101" t="n">
        <f aca="false">V749+W749+X749+COUNTIF(I749:T749,"R")</f>
        <v>1</v>
      </c>
      <c r="V749" s="101" t="n">
        <f aca="false">COUNTIF(I749:T749,"E")</f>
        <v>1</v>
      </c>
      <c r="W749" s="101" t="n">
        <f aca="false">COUNTIF(I749:T749,"X")</f>
        <v>0</v>
      </c>
      <c r="X749" s="101" t="n">
        <f aca="false">COUNTIF(I749:T749,"C2")+COUNTIF(I749:T749,"C3")</f>
        <v>0</v>
      </c>
      <c r="Y749" s="101" t="n">
        <f aca="true">SUMPRODUCT((I749:INDEX(I749:T749,MONTH(TODAY()))="X")*1)</f>
        <v>0</v>
      </c>
      <c r="Z749" s="104" t="n">
        <f aca="false">IFERROR(V749/U749,"")</f>
        <v>1</v>
      </c>
    </row>
    <row r="750" customFormat="false" ht="15" hidden="false" customHeight="true" outlineLevel="0" collapsed="false">
      <c r="A750" s="100" t="str">
        <f aca="false">Equipos!C748</f>
        <v>2-118846</v>
      </c>
      <c r="B750" s="101" t="str">
        <f aca="false">Equipos!D748</f>
        <v>Monitor Multiparámetros</v>
      </c>
      <c r="C750" s="101" t="str">
        <f aca="false">Equipos!E748</f>
        <v>Pabellón Quirúrgico</v>
      </c>
      <c r="D750" s="101" t="n">
        <f aca="false">Equipos!G748</f>
        <v>0</v>
      </c>
      <c r="E750" s="101" t="str">
        <f aca="false">Equipos!I748</f>
        <v>Drager</v>
      </c>
      <c r="F750" s="101" t="str">
        <f aca="false">Equipos!J748</f>
        <v>M540</v>
      </c>
      <c r="G750" s="100" t="str">
        <f aca="false">Equipos!K748</f>
        <v>5613993759</v>
      </c>
      <c r="H750" s="101"/>
      <c r="I750" s="102"/>
      <c r="J750" s="102"/>
      <c r="K750" s="102"/>
      <c r="L750" s="102" t="s">
        <v>329</v>
      </c>
      <c r="M750" s="102"/>
      <c r="N750" s="102"/>
      <c r="O750" s="102"/>
      <c r="P750" s="102"/>
      <c r="Q750" s="102"/>
      <c r="R750" s="102"/>
      <c r="S750" s="102"/>
      <c r="T750" s="102"/>
      <c r="U750" s="101" t="n">
        <f aca="false">V750+W750+X750+COUNTIF(I750:T750,"R")</f>
        <v>1</v>
      </c>
      <c r="V750" s="101" t="n">
        <f aca="false">COUNTIF(I750:T750,"E")</f>
        <v>0</v>
      </c>
      <c r="W750" s="101" t="n">
        <f aca="false">COUNTIF(I750:T750,"X")</f>
        <v>1</v>
      </c>
      <c r="X750" s="101" t="n">
        <f aca="false">COUNTIF(I750:T750,"C2")+COUNTIF(I750:T750,"C3")</f>
        <v>0</v>
      </c>
      <c r="Y750" s="101" t="n">
        <f aca="true">SUMPRODUCT((I750:INDEX(I750:T750,MONTH(TODAY()))="X")*1)</f>
        <v>1</v>
      </c>
      <c r="Z750" s="104" t="n">
        <f aca="false">IFERROR(V750/U750,"")</f>
        <v>0</v>
      </c>
    </row>
    <row r="751" customFormat="false" ht="15" hidden="false" customHeight="true" outlineLevel="0" collapsed="false">
      <c r="A751" s="100" t="str">
        <f aca="false">Equipos!C749</f>
        <v>2-118884</v>
      </c>
      <c r="B751" s="101" t="str">
        <f aca="false">Equipos!D749</f>
        <v>Monitor Multiparámetros</v>
      </c>
      <c r="C751" s="101" t="str">
        <f aca="false">Equipos!E749</f>
        <v>UPC Pediátrica</v>
      </c>
      <c r="D751" s="101" t="str">
        <f aca="false">Equipos!G749</f>
        <v>Bodega</v>
      </c>
      <c r="E751" s="101" t="str">
        <f aca="false">Equipos!I749</f>
        <v>General Electric</v>
      </c>
      <c r="F751" s="101" t="str">
        <f aca="false">Equipos!J749</f>
        <v>B105</v>
      </c>
      <c r="G751" s="100" t="str">
        <f aca="false">Equipos!K749</f>
        <v>SP318331750WA</v>
      </c>
      <c r="H751" s="101"/>
      <c r="I751" s="103" t="s">
        <v>330</v>
      </c>
      <c r="J751" s="103" t="s">
        <v>328</v>
      </c>
      <c r="K751" s="102"/>
      <c r="L751" s="102"/>
      <c r="M751" s="102"/>
      <c r="N751" s="102"/>
      <c r="O751" s="102"/>
      <c r="P751" s="102"/>
      <c r="Q751" s="102"/>
      <c r="R751" s="102"/>
      <c r="S751" s="102"/>
      <c r="T751" s="102"/>
      <c r="U751" s="101" t="n">
        <f aca="false">V751+W751+X751+COUNTIF(I751:T751,"R")</f>
        <v>2</v>
      </c>
      <c r="V751" s="101" t="n">
        <f aca="false">COUNTIF(I751:T751,"E")</f>
        <v>1</v>
      </c>
      <c r="W751" s="101" t="n">
        <f aca="false">COUNTIF(I751:T751,"X")</f>
        <v>0</v>
      </c>
      <c r="X751" s="101" t="n">
        <f aca="false">COUNTIF(I751:T751,"C2")+COUNTIF(I751:T751,"C3")</f>
        <v>0</v>
      </c>
      <c r="Y751" s="101" t="n">
        <f aca="true">SUMPRODUCT((I751:INDEX(I751:T751,MONTH(TODAY()))="X")*1)</f>
        <v>0</v>
      </c>
      <c r="Z751" s="104" t="n">
        <f aca="false">IFERROR(V751/U751,"")</f>
        <v>0.5</v>
      </c>
    </row>
    <row r="752" customFormat="false" ht="15" hidden="false" customHeight="true" outlineLevel="0" collapsed="false">
      <c r="A752" s="100" t="str">
        <f aca="false">Equipos!C750</f>
        <v>2-118881</v>
      </c>
      <c r="B752" s="101" t="str">
        <f aca="false">Equipos!D750</f>
        <v>Monitor Multiparámetros</v>
      </c>
      <c r="C752" s="101" t="str">
        <f aca="false">Equipos!E750</f>
        <v>UPC Pediátrica</v>
      </c>
      <c r="D752" s="101" t="str">
        <f aca="false">Equipos!G750</f>
        <v>Bodega</v>
      </c>
      <c r="E752" s="101" t="str">
        <f aca="false">Equipos!I750</f>
        <v>General Electric</v>
      </c>
      <c r="F752" s="101" t="str">
        <f aca="false">Equipos!J750</f>
        <v>B105</v>
      </c>
      <c r="G752" s="100" t="str">
        <f aca="false">Equipos!K750</f>
        <v>SP318443451WA</v>
      </c>
      <c r="H752" s="101"/>
      <c r="I752" s="103" t="s">
        <v>332</v>
      </c>
      <c r="J752" s="102"/>
      <c r="K752" s="102"/>
      <c r="L752" s="102"/>
      <c r="M752" s="102"/>
      <c r="N752" s="102"/>
      <c r="O752" s="102"/>
      <c r="P752" s="102"/>
      <c r="Q752" s="102"/>
      <c r="R752" s="102"/>
      <c r="S752" s="102"/>
      <c r="T752" s="102"/>
      <c r="U752" s="101" t="n">
        <f aca="false">V752+W752+X752+COUNTIF(I752:T752,"R")</f>
        <v>1</v>
      </c>
      <c r="V752" s="101" t="n">
        <f aca="false">COUNTIF(I752:T752,"E")</f>
        <v>0</v>
      </c>
      <c r="W752" s="101" t="n">
        <f aca="false">COUNTIF(I752:T752,"X")</f>
        <v>0</v>
      </c>
      <c r="X752" s="101" t="n">
        <f aca="false">COUNTIF(I752:T752,"C2")+COUNTIF(I752:T752,"C3")</f>
        <v>1</v>
      </c>
      <c r="Y752" s="101" t="n">
        <f aca="true">SUMPRODUCT((I752:INDEX(I752:T752,MONTH(TODAY()))="X")*1)</f>
        <v>0</v>
      </c>
      <c r="Z752" s="104" t="n">
        <f aca="false">IFERROR(V752/U752,"")</f>
        <v>0</v>
      </c>
    </row>
    <row r="753" customFormat="false" ht="15" hidden="false" customHeight="true" outlineLevel="0" collapsed="false">
      <c r="A753" s="100" t="str">
        <f aca="false">Equipos!C751</f>
        <v>2-119653</v>
      </c>
      <c r="B753" s="101" t="str">
        <f aca="false">Equipos!D751</f>
        <v>Monitor Multiparámetros</v>
      </c>
      <c r="C753" s="101" t="str">
        <f aca="false">Equipos!E751</f>
        <v>Electrofisiología</v>
      </c>
      <c r="D753" s="101" t="str">
        <f aca="false">Equipos!G751</f>
        <v>EPC 5to Piso</v>
      </c>
      <c r="E753" s="101" t="str">
        <f aca="false">Equipos!I751</f>
        <v>General Electric</v>
      </c>
      <c r="F753" s="101" t="str">
        <f aca="false">Equipos!J751</f>
        <v>B105</v>
      </c>
      <c r="G753" s="100" t="str">
        <f aca="false">Equipos!K751</f>
        <v>SQE19510024SA</v>
      </c>
      <c r="H753" s="101"/>
      <c r="I753" s="102"/>
      <c r="J753" s="102"/>
      <c r="K753" s="103" t="s">
        <v>330</v>
      </c>
      <c r="L753" s="103" t="s">
        <v>328</v>
      </c>
      <c r="M753" s="102"/>
      <c r="N753" s="102"/>
      <c r="O753" s="102"/>
      <c r="P753" s="102"/>
      <c r="Q753" s="102"/>
      <c r="R753" s="102"/>
      <c r="S753" s="102"/>
      <c r="T753" s="102"/>
      <c r="U753" s="101" t="n">
        <f aca="false">V753+W753+X753+COUNTIF(I753:T753,"R")</f>
        <v>2</v>
      </c>
      <c r="V753" s="101" t="n">
        <f aca="false">COUNTIF(I753:T753,"E")</f>
        <v>1</v>
      </c>
      <c r="W753" s="101" t="n">
        <f aca="false">COUNTIF(I753:T753,"X")</f>
        <v>0</v>
      </c>
      <c r="X753" s="101" t="n">
        <f aca="false">COUNTIF(I753:T753,"C2")+COUNTIF(I753:T753,"C3")</f>
        <v>0</v>
      </c>
      <c r="Y753" s="101" t="n">
        <f aca="true">SUMPRODUCT((I753:INDEX(I753:T753,MONTH(TODAY()))="X")*1)</f>
        <v>0</v>
      </c>
      <c r="Z753" s="104" t="n">
        <f aca="false">IFERROR(V753/U753,"")</f>
        <v>0.5</v>
      </c>
    </row>
    <row r="754" customFormat="false" ht="15" hidden="false" customHeight="true" outlineLevel="0" collapsed="false">
      <c r="A754" s="100" t="str">
        <f aca="false">Equipos!C752</f>
        <v>2-119634</v>
      </c>
      <c r="B754" s="101" t="str">
        <f aca="false">Equipos!D752</f>
        <v>Monitor Multiparámetros</v>
      </c>
      <c r="C754" s="101" t="str">
        <f aca="false">Equipos!E752</f>
        <v>Cirugía Adulto</v>
      </c>
      <c r="D754" s="101" t="str">
        <f aca="false">Equipos!G752</f>
        <v>EPB</v>
      </c>
      <c r="E754" s="101" t="str">
        <f aca="false">Equipos!I752</f>
        <v>General Electric</v>
      </c>
      <c r="F754" s="101" t="str">
        <f aca="false">Equipos!J752</f>
        <v>B105</v>
      </c>
      <c r="G754" s="100" t="str">
        <f aca="false">Equipos!K752</f>
        <v>SQE19510025SA</v>
      </c>
      <c r="H754" s="101"/>
      <c r="I754" s="102"/>
      <c r="J754" s="102"/>
      <c r="K754" s="102"/>
      <c r="L754" s="102"/>
      <c r="M754" s="103" t="s">
        <v>329</v>
      </c>
      <c r="N754" s="102"/>
      <c r="O754" s="102"/>
      <c r="P754" s="102"/>
      <c r="Q754" s="102"/>
      <c r="R754" s="102"/>
      <c r="S754" s="102"/>
      <c r="T754" s="102"/>
      <c r="U754" s="101" t="n">
        <f aca="false">V754+W754+X754+COUNTIF(I754:T754,"R")</f>
        <v>1</v>
      </c>
      <c r="V754" s="101" t="n">
        <f aca="false">COUNTIF(I754:T754,"E")</f>
        <v>0</v>
      </c>
      <c r="W754" s="101" t="n">
        <f aca="false">COUNTIF(I754:T754,"X")</f>
        <v>1</v>
      </c>
      <c r="X754" s="101" t="n">
        <f aca="false">COUNTIF(I754:T754,"C2")+COUNTIF(I754:T754,"C3")</f>
        <v>0</v>
      </c>
      <c r="Y754" s="101" t="n">
        <f aca="true">SUMPRODUCT((I754:INDEX(I754:T754,MONTH(TODAY()))="X")*1)</f>
        <v>1</v>
      </c>
      <c r="Z754" s="104" t="n">
        <f aca="false">IFERROR(V754/U754,"")</f>
        <v>0</v>
      </c>
    </row>
    <row r="755" customFormat="false" ht="15" hidden="false" customHeight="true" outlineLevel="0" collapsed="false">
      <c r="A755" s="100" t="str">
        <f aca="false">Equipos!C753</f>
        <v>2-119635</v>
      </c>
      <c r="B755" s="101" t="str">
        <f aca="false">Equipos!D753</f>
        <v>Monitor Multiparámetros</v>
      </c>
      <c r="C755" s="101" t="str">
        <f aca="false">Equipos!E753</f>
        <v>UPC Cardiovascular</v>
      </c>
      <c r="D755" s="101" t="str">
        <f aca="false">Equipos!G753</f>
        <v>Bodega </v>
      </c>
      <c r="E755" s="101" t="str">
        <f aca="false">Equipos!I753</f>
        <v>General Electric</v>
      </c>
      <c r="F755" s="101" t="str">
        <f aca="false">Equipos!J753</f>
        <v>B105</v>
      </c>
      <c r="G755" s="100" t="str">
        <f aca="false">Equipos!K753</f>
        <v>SQE19510026SA</v>
      </c>
      <c r="H755" s="101"/>
      <c r="I755" s="103" t="s">
        <v>330</v>
      </c>
      <c r="J755" s="103" t="s">
        <v>328</v>
      </c>
      <c r="K755" s="102"/>
      <c r="L755" s="102"/>
      <c r="M755" s="102"/>
      <c r="N755" s="102"/>
      <c r="O755" s="102"/>
      <c r="P755" s="102"/>
      <c r="Q755" s="102"/>
      <c r="R755" s="102"/>
      <c r="S755" s="102"/>
      <c r="T755" s="102"/>
      <c r="U755" s="101" t="n">
        <f aca="false">V755+W755+X755+COUNTIF(I755:T755,"R")</f>
        <v>2</v>
      </c>
      <c r="V755" s="101" t="n">
        <f aca="false">COUNTIF(I755:T755,"E")</f>
        <v>1</v>
      </c>
      <c r="W755" s="101" t="n">
        <f aca="false">COUNTIF(I755:T755,"X")</f>
        <v>0</v>
      </c>
      <c r="X755" s="101" t="n">
        <f aca="false">COUNTIF(I755:T755,"C2")+COUNTIF(I755:T755,"C3")</f>
        <v>0</v>
      </c>
      <c r="Y755" s="101" t="n">
        <f aca="true">SUMPRODUCT((I755:INDEX(I755:T755,MONTH(TODAY()))="X")*1)</f>
        <v>0</v>
      </c>
      <c r="Z755" s="104" t="n">
        <f aca="false">IFERROR(V755/U755,"")</f>
        <v>0.5</v>
      </c>
    </row>
    <row r="756" customFormat="false" ht="15" hidden="false" customHeight="true" outlineLevel="0" collapsed="false">
      <c r="A756" s="100" t="str">
        <f aca="false">Equipos!C754</f>
        <v>2-119637</v>
      </c>
      <c r="B756" s="101" t="str">
        <f aca="false">Equipos!D754</f>
        <v>Monitor Multiparámetros</v>
      </c>
      <c r="C756" s="101" t="str">
        <f aca="false">Equipos!E754</f>
        <v>Cirugía Adulto</v>
      </c>
      <c r="D756" s="101" t="str">
        <f aca="false">Equipos!G754</f>
        <v>EPA</v>
      </c>
      <c r="E756" s="101" t="str">
        <f aca="false">Equipos!I754</f>
        <v>General Electric</v>
      </c>
      <c r="F756" s="101" t="str">
        <f aca="false">Equipos!J754</f>
        <v>B105</v>
      </c>
      <c r="G756" s="100" t="str">
        <f aca="false">Equipos!K754</f>
        <v>SQE19510027SA</v>
      </c>
      <c r="H756" s="101"/>
      <c r="I756" s="102"/>
      <c r="J756" s="102"/>
      <c r="K756" s="102"/>
      <c r="L756" s="102"/>
      <c r="M756" s="103" t="s">
        <v>329</v>
      </c>
      <c r="N756" s="102"/>
      <c r="O756" s="102"/>
      <c r="P756" s="102"/>
      <c r="Q756" s="102"/>
      <c r="R756" s="102"/>
      <c r="S756" s="102"/>
      <c r="T756" s="102"/>
      <c r="U756" s="101" t="n">
        <f aca="false">V756+W756+X756+COUNTIF(I756:T756,"R")</f>
        <v>1</v>
      </c>
      <c r="V756" s="101" t="n">
        <f aca="false">COUNTIF(I756:T756,"E")</f>
        <v>0</v>
      </c>
      <c r="W756" s="101" t="n">
        <f aca="false">COUNTIF(I756:T756,"X")</f>
        <v>1</v>
      </c>
      <c r="X756" s="101" t="n">
        <f aca="false">COUNTIF(I756:T756,"C2")+COUNTIF(I756:T756,"C3")</f>
        <v>0</v>
      </c>
      <c r="Y756" s="101" t="n">
        <f aca="true">SUMPRODUCT((I756:INDEX(I756:T756,MONTH(TODAY()))="X")*1)</f>
        <v>1</v>
      </c>
      <c r="Z756" s="104" t="n">
        <f aca="false">IFERROR(V756/U756,"")</f>
        <v>0</v>
      </c>
    </row>
    <row r="757" customFormat="false" ht="15" hidden="false" customHeight="true" outlineLevel="0" collapsed="false">
      <c r="A757" s="100" t="str">
        <f aca="false">Equipos!C755</f>
        <v>2-119631</v>
      </c>
      <c r="B757" s="101" t="str">
        <f aca="false">Equipos!D755</f>
        <v>Monitor Multiparámetros</v>
      </c>
      <c r="C757" s="101" t="str">
        <f aca="false">Equipos!E755</f>
        <v>Medicina</v>
      </c>
      <c r="D757" s="101" t="str">
        <f aca="false">Equipos!G755</f>
        <v>520-3</v>
      </c>
      <c r="E757" s="101" t="str">
        <f aca="false">Equipos!I755</f>
        <v>General Electric</v>
      </c>
      <c r="F757" s="101" t="str">
        <f aca="false">Equipos!J755</f>
        <v>B105</v>
      </c>
      <c r="G757" s="100" t="str">
        <f aca="false">Equipos!K755</f>
        <v>SQE19510029SA</v>
      </c>
      <c r="H757" s="101"/>
      <c r="I757" s="102"/>
      <c r="J757" s="103" t="s">
        <v>330</v>
      </c>
      <c r="K757" s="103" t="s">
        <v>328</v>
      </c>
      <c r="L757" s="102"/>
      <c r="M757" s="102"/>
      <c r="N757" s="102"/>
      <c r="O757" s="102"/>
      <c r="P757" s="102"/>
      <c r="Q757" s="102"/>
      <c r="R757" s="102"/>
      <c r="S757" s="102"/>
      <c r="T757" s="102"/>
      <c r="U757" s="101" t="n">
        <f aca="false">V757+W757+X757+COUNTIF(I757:T757,"R")</f>
        <v>2</v>
      </c>
      <c r="V757" s="101" t="n">
        <f aca="false">COUNTIF(I757:T757,"E")</f>
        <v>1</v>
      </c>
      <c r="W757" s="101" t="n">
        <f aca="false">COUNTIF(I757:T757,"X")</f>
        <v>0</v>
      </c>
      <c r="X757" s="101" t="n">
        <f aca="false">COUNTIF(I757:T757,"C2")+COUNTIF(I757:T757,"C3")</f>
        <v>0</v>
      </c>
      <c r="Y757" s="101" t="n">
        <f aca="true">SUMPRODUCT((I757:INDEX(I757:T757,MONTH(TODAY()))="X")*1)</f>
        <v>0</v>
      </c>
      <c r="Z757" s="104" t="n">
        <f aca="false">IFERROR(V757/U757,"")</f>
        <v>0.5</v>
      </c>
    </row>
    <row r="758" customFormat="false" ht="15" hidden="false" customHeight="true" outlineLevel="0" collapsed="false">
      <c r="A758" s="100" t="str">
        <f aca="false">Equipos!C756</f>
        <v>2-119636</v>
      </c>
      <c r="B758" s="101" t="str">
        <f aca="false">Equipos!D756</f>
        <v>Monitor Multiparámetros</v>
      </c>
      <c r="C758" s="101" t="str">
        <f aca="false">Equipos!E756</f>
        <v>Medicina (Prestado a medicina cardiovascular)</v>
      </c>
      <c r="D758" s="101" t="str">
        <f aca="false">Equipos!G756</f>
        <v>Zócalo</v>
      </c>
      <c r="E758" s="101" t="str">
        <f aca="false">Equipos!I756</f>
        <v>General Electric</v>
      </c>
      <c r="F758" s="101" t="str">
        <f aca="false">Equipos!J756</f>
        <v>B105</v>
      </c>
      <c r="G758" s="100" t="str">
        <f aca="false">Equipos!K756</f>
        <v>SQE19510030SA</v>
      </c>
      <c r="H758" s="101"/>
      <c r="I758" s="102"/>
      <c r="J758" s="103" t="s">
        <v>330</v>
      </c>
      <c r="K758" s="103" t="s">
        <v>328</v>
      </c>
      <c r="L758" s="102"/>
      <c r="M758" s="102"/>
      <c r="N758" s="102"/>
      <c r="O758" s="102"/>
      <c r="P758" s="102"/>
      <c r="Q758" s="102"/>
      <c r="R758" s="102"/>
      <c r="S758" s="102"/>
      <c r="T758" s="102"/>
      <c r="U758" s="101" t="n">
        <f aca="false">V758+W758+X758+COUNTIF(I758:T758,"R")</f>
        <v>2</v>
      </c>
      <c r="V758" s="101" t="n">
        <f aca="false">COUNTIF(I758:T758,"E")</f>
        <v>1</v>
      </c>
      <c r="W758" s="101" t="n">
        <f aca="false">COUNTIF(I758:T758,"X")</f>
        <v>0</v>
      </c>
      <c r="X758" s="101" t="n">
        <f aca="false">COUNTIF(I758:T758,"C2")+COUNTIF(I758:T758,"C3")</f>
        <v>0</v>
      </c>
      <c r="Y758" s="101" t="n">
        <f aca="true">SUMPRODUCT((I758:INDEX(I758:T758,MONTH(TODAY()))="X")*1)</f>
        <v>0</v>
      </c>
      <c r="Z758" s="104" t="n">
        <f aca="false">IFERROR(V758/U758,"")</f>
        <v>0.5</v>
      </c>
    </row>
    <row r="759" customFormat="false" ht="15" hidden="false" customHeight="true" outlineLevel="0" collapsed="false">
      <c r="A759" s="100" t="str">
        <f aca="false">Equipos!C757</f>
        <v>2-119630</v>
      </c>
      <c r="B759" s="101" t="str">
        <f aca="false">Equipos!D757</f>
        <v>Monitor Multiparámetros</v>
      </c>
      <c r="C759" s="101" t="str">
        <f aca="false">Equipos!E757</f>
        <v>Medicina</v>
      </c>
      <c r="D759" s="101" t="str">
        <f aca="false">Equipos!G757</f>
        <v>516-2</v>
      </c>
      <c r="E759" s="101" t="str">
        <f aca="false">Equipos!I757</f>
        <v>General Electric</v>
      </c>
      <c r="F759" s="101" t="str">
        <f aca="false">Equipos!J757</f>
        <v>B105</v>
      </c>
      <c r="G759" s="100" t="str">
        <f aca="false">Equipos!K757</f>
        <v>SQE19510031SA</v>
      </c>
      <c r="H759" s="101"/>
      <c r="I759" s="102"/>
      <c r="J759" s="103" t="s">
        <v>330</v>
      </c>
      <c r="K759" s="103" t="s">
        <v>328</v>
      </c>
      <c r="L759" s="102"/>
      <c r="M759" s="102"/>
      <c r="N759" s="102"/>
      <c r="O759" s="102"/>
      <c r="P759" s="102"/>
      <c r="Q759" s="102"/>
      <c r="R759" s="102"/>
      <c r="S759" s="102"/>
      <c r="T759" s="102"/>
      <c r="U759" s="101" t="n">
        <f aca="false">V759+W759+X759+COUNTIF(I759:T759,"R")</f>
        <v>2</v>
      </c>
      <c r="V759" s="101" t="n">
        <f aca="false">COUNTIF(I759:T759,"E")</f>
        <v>1</v>
      </c>
      <c r="W759" s="101" t="n">
        <f aca="false">COUNTIF(I759:T759,"X")</f>
        <v>0</v>
      </c>
      <c r="X759" s="101" t="n">
        <f aca="false">COUNTIF(I759:T759,"C2")+COUNTIF(I759:T759,"C3")</f>
        <v>0</v>
      </c>
      <c r="Y759" s="101" t="n">
        <f aca="true">SUMPRODUCT((I759:INDEX(I759:T759,MONTH(TODAY()))="X")*1)</f>
        <v>0</v>
      </c>
      <c r="Z759" s="104" t="n">
        <f aca="false">IFERROR(V759/U759,"")</f>
        <v>0.5</v>
      </c>
    </row>
    <row r="760" customFormat="false" ht="15" hidden="false" customHeight="true" outlineLevel="0" collapsed="false">
      <c r="A760" s="100" t="str">
        <f aca="false">Equipos!C758</f>
        <v>2-119702</v>
      </c>
      <c r="B760" s="101" t="str">
        <f aca="false">Equipos!D758</f>
        <v>Monitor Multiparámetros</v>
      </c>
      <c r="C760" s="101" t="str">
        <f aca="false">Equipos!E758</f>
        <v>Medicina (Prestado a medicina cardiovascular)</v>
      </c>
      <c r="D760" s="101" t="str">
        <f aca="false">Equipos!G758</f>
        <v>Zócalo</v>
      </c>
      <c r="E760" s="101" t="str">
        <f aca="false">Equipos!I758</f>
        <v>Nihon Kohden </v>
      </c>
      <c r="F760" s="101" t="str">
        <f aca="false">Equipos!J758</f>
        <v>PVM-2703</v>
      </c>
      <c r="G760" s="100" t="str">
        <f aca="false">Equipos!K758</f>
        <v>0118020.</v>
      </c>
      <c r="H760" s="101"/>
      <c r="I760" s="102"/>
      <c r="J760" s="103" t="s">
        <v>330</v>
      </c>
      <c r="K760" s="103" t="s">
        <v>328</v>
      </c>
      <c r="L760" s="102"/>
      <c r="M760" s="102"/>
      <c r="N760" s="102"/>
      <c r="O760" s="102"/>
      <c r="P760" s="102"/>
      <c r="Q760" s="102"/>
      <c r="R760" s="102"/>
      <c r="S760" s="102"/>
      <c r="T760" s="102"/>
      <c r="U760" s="101" t="n">
        <f aca="false">V760+W760+X760+COUNTIF(I760:T760,"R")</f>
        <v>2</v>
      </c>
      <c r="V760" s="101" t="n">
        <f aca="false">COUNTIF(I760:T760,"E")</f>
        <v>1</v>
      </c>
      <c r="W760" s="101" t="n">
        <f aca="false">COUNTIF(I760:T760,"X")</f>
        <v>0</v>
      </c>
      <c r="X760" s="101" t="n">
        <f aca="false">COUNTIF(I760:T760,"C2")+COUNTIF(I760:T760,"C3")</f>
        <v>0</v>
      </c>
      <c r="Y760" s="101" t="n">
        <f aca="true">SUMPRODUCT((I760:INDEX(I760:T760,MONTH(TODAY()))="X")*1)</f>
        <v>0</v>
      </c>
      <c r="Z760" s="104" t="n">
        <f aca="false">IFERROR(V760/U760,"")</f>
        <v>0.5</v>
      </c>
    </row>
    <row r="761" customFormat="false" ht="15" hidden="false" customHeight="true" outlineLevel="0" collapsed="false">
      <c r="A761" s="100" t="str">
        <f aca="false">Equipos!C759</f>
        <v>2-119703</v>
      </c>
      <c r="B761" s="101" t="str">
        <f aca="false">Equipos!D759</f>
        <v>Monitor Multiparámetros</v>
      </c>
      <c r="C761" s="101" t="str">
        <f aca="false">Equipos!E759</f>
        <v>Medicina</v>
      </c>
      <c r="D761" s="101" t="str">
        <f aca="false">Equipos!G759</f>
        <v>Sala 597</v>
      </c>
      <c r="E761" s="101" t="str">
        <f aca="false">Equipos!I759</f>
        <v>Nihon Kohden </v>
      </c>
      <c r="F761" s="101" t="str">
        <f aca="false">Equipos!J759</f>
        <v>PVM-2703</v>
      </c>
      <c r="G761" s="100" t="str">
        <f aca="false">Equipos!K759</f>
        <v>0118042.</v>
      </c>
      <c r="H761" s="101"/>
      <c r="I761" s="102"/>
      <c r="J761" s="103" t="s">
        <v>328</v>
      </c>
      <c r="K761" s="102"/>
      <c r="L761" s="102"/>
      <c r="M761" s="102"/>
      <c r="N761" s="102"/>
      <c r="O761" s="102"/>
      <c r="P761" s="102"/>
      <c r="Q761" s="102"/>
      <c r="R761" s="102"/>
      <c r="S761" s="102"/>
      <c r="T761" s="102"/>
      <c r="U761" s="101" t="n">
        <f aca="false">V761+W761+X761+COUNTIF(I761:T761,"R")</f>
        <v>1</v>
      </c>
      <c r="V761" s="101" t="n">
        <f aca="false">COUNTIF(I761:T761,"E")</f>
        <v>1</v>
      </c>
      <c r="W761" s="101" t="n">
        <f aca="false">COUNTIF(I761:T761,"X")</f>
        <v>0</v>
      </c>
      <c r="X761" s="101" t="n">
        <f aca="false">COUNTIF(I761:T761,"C2")+COUNTIF(I761:T761,"C3")</f>
        <v>0</v>
      </c>
      <c r="Y761" s="101" t="n">
        <f aca="true">SUMPRODUCT((I761:INDEX(I761:T761,MONTH(TODAY()))="X")*1)</f>
        <v>0</v>
      </c>
      <c r="Z761" s="104" t="n">
        <f aca="false">IFERROR(V761/U761,"")</f>
        <v>1</v>
      </c>
    </row>
    <row r="762" customFormat="false" ht="15" hidden="false" customHeight="true" outlineLevel="0" collapsed="false">
      <c r="A762" s="100" t="str">
        <f aca="false">Equipos!C760</f>
        <v>2-119704</v>
      </c>
      <c r="B762" s="101" t="str">
        <f aca="false">Equipos!D760</f>
        <v>Monitor Multiparámetros</v>
      </c>
      <c r="C762" s="101" t="str">
        <f aca="false">Equipos!E760</f>
        <v>Medicina</v>
      </c>
      <c r="D762" s="101" t="str">
        <f aca="false">Equipos!G760</f>
        <v>521-3</v>
      </c>
      <c r="E762" s="101" t="str">
        <f aca="false">Equipos!I760</f>
        <v>Nihon Kohden </v>
      </c>
      <c r="F762" s="101" t="str">
        <f aca="false">Equipos!J760</f>
        <v>PVM-2703</v>
      </c>
      <c r="G762" s="100" t="str">
        <f aca="false">Equipos!K760</f>
        <v>0117935.</v>
      </c>
      <c r="H762" s="101"/>
      <c r="I762" s="102"/>
      <c r="J762" s="103" t="s">
        <v>330</v>
      </c>
      <c r="K762" s="103" t="s">
        <v>328</v>
      </c>
      <c r="L762" s="102"/>
      <c r="M762" s="102"/>
      <c r="N762" s="102"/>
      <c r="O762" s="102"/>
      <c r="P762" s="102"/>
      <c r="Q762" s="102"/>
      <c r="R762" s="102"/>
      <c r="S762" s="102"/>
      <c r="T762" s="102"/>
      <c r="U762" s="101" t="n">
        <f aca="false">V762+W762+X762+COUNTIF(I762:T762,"R")</f>
        <v>2</v>
      </c>
      <c r="V762" s="101" t="n">
        <f aca="false">COUNTIF(I762:T762,"E")</f>
        <v>1</v>
      </c>
      <c r="W762" s="101" t="n">
        <f aca="false">COUNTIF(I762:T762,"X")</f>
        <v>0</v>
      </c>
      <c r="X762" s="101" t="n">
        <f aca="false">COUNTIF(I762:T762,"C2")+COUNTIF(I762:T762,"C3")</f>
        <v>0</v>
      </c>
      <c r="Y762" s="101" t="n">
        <f aca="true">SUMPRODUCT((I762:INDEX(I762:T762,MONTH(TODAY()))="X")*1)</f>
        <v>0</v>
      </c>
      <c r="Z762" s="104" t="n">
        <f aca="false">IFERROR(V762/U762,"")</f>
        <v>0.5</v>
      </c>
    </row>
    <row r="763" customFormat="false" ht="15" hidden="false" customHeight="true" outlineLevel="0" collapsed="false">
      <c r="A763" s="100" t="str">
        <f aca="false">Equipos!C761</f>
        <v>2-119705</v>
      </c>
      <c r="B763" s="101" t="str">
        <f aca="false">Equipos!D761</f>
        <v>Monitor Multiparámetros</v>
      </c>
      <c r="C763" s="101" t="str">
        <f aca="false">Equipos!E761</f>
        <v>Medicina</v>
      </c>
      <c r="D763" s="101" t="n">
        <f aca="false">Equipos!G761</f>
        <v>501</v>
      </c>
      <c r="E763" s="101" t="str">
        <f aca="false">Equipos!I761</f>
        <v>Nihon Kohden </v>
      </c>
      <c r="F763" s="101" t="str">
        <f aca="false">Equipos!J761</f>
        <v>PVM-2703</v>
      </c>
      <c r="G763" s="100" t="str">
        <f aca="false">Equipos!K761</f>
        <v>0118040.</v>
      </c>
      <c r="H763" s="101"/>
      <c r="I763" s="102"/>
      <c r="J763" s="103" t="s">
        <v>328</v>
      </c>
      <c r="K763" s="102"/>
      <c r="L763" s="102"/>
      <c r="M763" s="102"/>
      <c r="N763" s="102"/>
      <c r="O763" s="102"/>
      <c r="P763" s="102"/>
      <c r="Q763" s="102"/>
      <c r="R763" s="102"/>
      <c r="S763" s="102"/>
      <c r="T763" s="102"/>
      <c r="U763" s="101" t="n">
        <f aca="false">V763+W763+X763+COUNTIF(I763:T763,"R")</f>
        <v>1</v>
      </c>
      <c r="V763" s="101" t="n">
        <f aca="false">COUNTIF(I763:T763,"E")</f>
        <v>1</v>
      </c>
      <c r="W763" s="101" t="n">
        <f aca="false">COUNTIF(I763:T763,"X")</f>
        <v>0</v>
      </c>
      <c r="X763" s="101" t="n">
        <f aca="false">COUNTIF(I763:T763,"C2")+COUNTIF(I763:T763,"C3")</f>
        <v>0</v>
      </c>
      <c r="Y763" s="101" t="n">
        <f aca="true">SUMPRODUCT((I763:INDEX(I763:T763,MONTH(TODAY()))="X")*1)</f>
        <v>0</v>
      </c>
      <c r="Z763" s="104" t="n">
        <f aca="false">IFERROR(V763/U763,"")</f>
        <v>1</v>
      </c>
    </row>
    <row r="764" customFormat="false" ht="15" hidden="false" customHeight="true" outlineLevel="0" collapsed="false">
      <c r="A764" s="100" t="str">
        <f aca="false">Equipos!C762</f>
        <v>2-119706</v>
      </c>
      <c r="B764" s="101" t="str">
        <f aca="false">Equipos!D762</f>
        <v>Monitor Multiparámetros</v>
      </c>
      <c r="C764" s="101" t="str">
        <f aca="false">Equipos!E762</f>
        <v>Medicina</v>
      </c>
      <c r="D764" s="101" t="str">
        <f aca="false">Equipos!G762</f>
        <v>515-3</v>
      </c>
      <c r="E764" s="101" t="str">
        <f aca="false">Equipos!I762</f>
        <v>Nihon Kohden </v>
      </c>
      <c r="F764" s="101" t="str">
        <f aca="false">Equipos!J762</f>
        <v>PVM-2703</v>
      </c>
      <c r="G764" s="100" t="str">
        <f aca="false">Equipos!K762</f>
        <v>0118006.</v>
      </c>
      <c r="H764" s="101"/>
      <c r="I764" s="102"/>
      <c r="J764" s="103" t="s">
        <v>328</v>
      </c>
      <c r="K764" s="102"/>
      <c r="L764" s="102"/>
      <c r="M764" s="102"/>
      <c r="N764" s="102"/>
      <c r="O764" s="102"/>
      <c r="P764" s="102"/>
      <c r="Q764" s="102"/>
      <c r="R764" s="102"/>
      <c r="S764" s="102"/>
      <c r="T764" s="102"/>
      <c r="U764" s="101" t="n">
        <f aca="false">V764+W764+X764+COUNTIF(I764:T764,"R")</f>
        <v>1</v>
      </c>
      <c r="V764" s="101" t="n">
        <f aca="false">COUNTIF(I764:T764,"E")</f>
        <v>1</v>
      </c>
      <c r="W764" s="101" t="n">
        <f aca="false">COUNTIF(I764:T764,"X")</f>
        <v>0</v>
      </c>
      <c r="X764" s="101" t="n">
        <f aca="false">COUNTIF(I764:T764,"C2")+COUNTIF(I764:T764,"C3")</f>
        <v>0</v>
      </c>
      <c r="Y764" s="101" t="n">
        <f aca="true">SUMPRODUCT((I764:INDEX(I764:T764,MONTH(TODAY()))="X")*1)</f>
        <v>0</v>
      </c>
      <c r="Z764" s="104" t="n">
        <f aca="false">IFERROR(V764/U764,"")</f>
        <v>1</v>
      </c>
    </row>
    <row r="765" customFormat="false" ht="15" hidden="false" customHeight="true" outlineLevel="0" collapsed="false">
      <c r="A765" s="100" t="str">
        <f aca="false">Equipos!C763</f>
        <v>2-119707</v>
      </c>
      <c r="B765" s="101" t="str">
        <f aca="false">Equipos!D763</f>
        <v>Monitor Multiparámetros</v>
      </c>
      <c r="C765" s="101" t="str">
        <f aca="false">Equipos!E763</f>
        <v>Urgencia infantil</v>
      </c>
      <c r="D765" s="101" t="n">
        <f aca="false">Equipos!G763</f>
        <v>0</v>
      </c>
      <c r="E765" s="101" t="str">
        <f aca="false">Equipos!I763</f>
        <v>Nihon Kohden </v>
      </c>
      <c r="F765" s="101" t="str">
        <f aca="false">Equipos!J763</f>
        <v>PVM-2703</v>
      </c>
      <c r="G765" s="100" t="str">
        <f aca="false">Equipos!K763</f>
        <v>0117960.</v>
      </c>
      <c r="H765" s="101"/>
      <c r="I765" s="102"/>
      <c r="J765" s="102"/>
      <c r="K765" s="103" t="s">
        <v>328</v>
      </c>
      <c r="L765" s="102"/>
      <c r="M765" s="102"/>
      <c r="N765" s="102"/>
      <c r="O765" s="102"/>
      <c r="P765" s="102"/>
      <c r="Q765" s="102"/>
      <c r="R765" s="102"/>
      <c r="S765" s="102"/>
      <c r="T765" s="102"/>
      <c r="U765" s="101" t="n">
        <f aca="false">V765+W765+X765+COUNTIF(I765:T765,"R")</f>
        <v>1</v>
      </c>
      <c r="V765" s="101" t="n">
        <f aca="false">COUNTIF(I765:T765,"E")</f>
        <v>1</v>
      </c>
      <c r="W765" s="101" t="n">
        <f aca="false">COUNTIF(I765:T765,"X")</f>
        <v>0</v>
      </c>
      <c r="X765" s="101" t="n">
        <f aca="false">COUNTIF(I765:T765,"C2")+COUNTIF(I765:T765,"C3")</f>
        <v>0</v>
      </c>
      <c r="Y765" s="101" t="n">
        <f aca="true">SUMPRODUCT((I765:INDEX(I765:T765,MONTH(TODAY()))="X")*1)</f>
        <v>0</v>
      </c>
      <c r="Z765" s="104" t="n">
        <f aca="false">IFERROR(V765/U765,"")</f>
        <v>1</v>
      </c>
    </row>
    <row r="766" customFormat="false" ht="15" hidden="false" customHeight="true" outlineLevel="0" collapsed="false">
      <c r="A766" s="100" t="str">
        <f aca="false">Equipos!C764</f>
        <v>2-119708</v>
      </c>
      <c r="B766" s="101" t="str">
        <f aca="false">Equipos!D764</f>
        <v>Monitor Multiparámetros</v>
      </c>
      <c r="C766" s="101" t="str">
        <f aca="false">Equipos!E764</f>
        <v>Urgencia infantil</v>
      </c>
      <c r="D766" s="101" t="n">
        <f aca="false">Equipos!G764</f>
        <v>0</v>
      </c>
      <c r="E766" s="101" t="str">
        <f aca="false">Equipos!I764</f>
        <v>Nihon Kohden </v>
      </c>
      <c r="F766" s="101" t="str">
        <f aca="false">Equipos!J764</f>
        <v>PVM-2703</v>
      </c>
      <c r="G766" s="100" t="str">
        <f aca="false">Equipos!K764</f>
        <v>0117934.</v>
      </c>
      <c r="H766" s="101"/>
      <c r="I766" s="102"/>
      <c r="J766" s="102"/>
      <c r="K766" s="103" t="s">
        <v>328</v>
      </c>
      <c r="L766" s="102"/>
      <c r="M766" s="102"/>
      <c r="N766" s="102"/>
      <c r="O766" s="102"/>
      <c r="P766" s="102"/>
      <c r="Q766" s="102"/>
      <c r="R766" s="102"/>
      <c r="S766" s="102"/>
      <c r="T766" s="102"/>
      <c r="U766" s="101" t="n">
        <f aca="false">V766+W766+X766+COUNTIF(I766:T766,"R")</f>
        <v>1</v>
      </c>
      <c r="V766" s="101" t="n">
        <f aca="false">COUNTIF(I766:T766,"E")</f>
        <v>1</v>
      </c>
      <c r="W766" s="101" t="n">
        <f aca="false">COUNTIF(I766:T766,"X")</f>
        <v>0</v>
      </c>
      <c r="X766" s="101" t="n">
        <f aca="false">COUNTIF(I766:T766,"C2")+COUNTIF(I766:T766,"C3")</f>
        <v>0</v>
      </c>
      <c r="Y766" s="101" t="n">
        <f aca="true">SUMPRODUCT((I766:INDEX(I766:T766,MONTH(TODAY()))="X")*1)</f>
        <v>0</v>
      </c>
      <c r="Z766" s="104" t="n">
        <f aca="false">IFERROR(V766/U766,"")</f>
        <v>1</v>
      </c>
    </row>
    <row r="767" customFormat="false" ht="15" hidden="false" customHeight="true" outlineLevel="0" collapsed="false">
      <c r="A767" s="100" t="str">
        <f aca="false">Equipos!C765</f>
        <v>2-119709</v>
      </c>
      <c r="B767" s="101" t="str">
        <f aca="false">Equipos!D765</f>
        <v>Monitor Multiparámetros</v>
      </c>
      <c r="C767" s="101" t="str">
        <f aca="false">Equipos!E765</f>
        <v>Urgencia Adulto</v>
      </c>
      <c r="D767" s="101" t="str">
        <f aca="false">Equipos!G765</f>
        <v>Box A-2</v>
      </c>
      <c r="E767" s="101" t="str">
        <f aca="false">Equipos!I765</f>
        <v>Nihon Kohden </v>
      </c>
      <c r="F767" s="101" t="str">
        <f aca="false">Equipos!J765</f>
        <v>PVM-2703</v>
      </c>
      <c r="G767" s="100" t="str">
        <f aca="false">Equipos!K765</f>
        <v>0117925.</v>
      </c>
      <c r="H767" s="101"/>
      <c r="I767" s="102"/>
      <c r="J767" s="102"/>
      <c r="K767" s="103" t="s">
        <v>328</v>
      </c>
      <c r="L767" s="102"/>
      <c r="M767" s="102"/>
      <c r="N767" s="102"/>
      <c r="O767" s="102"/>
      <c r="P767" s="102"/>
      <c r="Q767" s="102"/>
      <c r="R767" s="102"/>
      <c r="S767" s="102"/>
      <c r="T767" s="102"/>
      <c r="U767" s="101" t="n">
        <f aca="false">V767+W767+X767+COUNTIF(I767:T767,"R")</f>
        <v>1</v>
      </c>
      <c r="V767" s="101" t="n">
        <f aca="false">COUNTIF(I767:T767,"E")</f>
        <v>1</v>
      </c>
      <c r="W767" s="101" t="n">
        <f aca="false">COUNTIF(I767:T767,"X")</f>
        <v>0</v>
      </c>
      <c r="X767" s="101" t="n">
        <f aca="false">COUNTIF(I767:T767,"C2")+COUNTIF(I767:T767,"C3")</f>
        <v>0</v>
      </c>
      <c r="Y767" s="101" t="n">
        <f aca="true">SUMPRODUCT((I767:INDEX(I767:T767,MONTH(TODAY()))="X")*1)</f>
        <v>0</v>
      </c>
      <c r="Z767" s="104" t="n">
        <f aca="false">IFERROR(V767/U767,"")</f>
        <v>1</v>
      </c>
    </row>
    <row r="768" customFormat="false" ht="15" hidden="false" customHeight="true" outlineLevel="0" collapsed="false">
      <c r="A768" s="100" t="str">
        <f aca="false">Equipos!C766</f>
        <v>2-119710</v>
      </c>
      <c r="B768" s="101" t="str">
        <f aca="false">Equipos!D766</f>
        <v>Monitor Multiparámetros</v>
      </c>
      <c r="C768" s="101" t="str">
        <f aca="false">Equipos!E766</f>
        <v>Urgencia infantil</v>
      </c>
      <c r="D768" s="101" t="str">
        <f aca="false">Equipos!G766</f>
        <v>Bodega equipos SUI</v>
      </c>
      <c r="E768" s="101" t="str">
        <f aca="false">Equipos!I766</f>
        <v>Nihon Kohden </v>
      </c>
      <c r="F768" s="101" t="str">
        <f aca="false">Equipos!J766</f>
        <v>PVM-2703</v>
      </c>
      <c r="G768" s="100" t="str">
        <f aca="false">Equipos!K766</f>
        <v>0117936.</v>
      </c>
      <c r="H768" s="101"/>
      <c r="I768" s="102"/>
      <c r="J768" s="102"/>
      <c r="K768" s="103" t="s">
        <v>328</v>
      </c>
      <c r="L768" s="102"/>
      <c r="M768" s="102"/>
      <c r="N768" s="102"/>
      <c r="O768" s="102"/>
      <c r="P768" s="102"/>
      <c r="Q768" s="102"/>
      <c r="R768" s="102"/>
      <c r="S768" s="102"/>
      <c r="T768" s="102"/>
      <c r="U768" s="101" t="n">
        <f aca="false">V768+W768+X768+COUNTIF(I768:T768,"R")</f>
        <v>1</v>
      </c>
      <c r="V768" s="101" t="n">
        <f aca="false">COUNTIF(I768:T768,"E")</f>
        <v>1</v>
      </c>
      <c r="W768" s="101" t="n">
        <f aca="false">COUNTIF(I768:T768,"X")</f>
        <v>0</v>
      </c>
      <c r="X768" s="101" t="n">
        <f aca="false">COUNTIF(I768:T768,"C2")+COUNTIF(I768:T768,"C3")</f>
        <v>0</v>
      </c>
      <c r="Y768" s="101" t="n">
        <f aca="true">SUMPRODUCT((I768:INDEX(I768:T768,MONTH(TODAY()))="X")*1)</f>
        <v>0</v>
      </c>
      <c r="Z768" s="104" t="n">
        <f aca="false">IFERROR(V768/U768,"")</f>
        <v>1</v>
      </c>
    </row>
    <row r="769" customFormat="false" ht="15" hidden="false" customHeight="true" outlineLevel="0" collapsed="false">
      <c r="A769" s="100" t="str">
        <f aca="false">Equipos!C767</f>
        <v>2-119711</v>
      </c>
      <c r="B769" s="101" t="str">
        <f aca="false">Equipos!D767</f>
        <v>Monitor Multiparámetros</v>
      </c>
      <c r="C769" s="101" t="str">
        <f aca="false">Equipos!E767</f>
        <v>Urgencia Adulto</v>
      </c>
      <c r="D769" s="101" t="str">
        <f aca="false">Equipos!G767</f>
        <v>Priorización</v>
      </c>
      <c r="E769" s="101" t="str">
        <f aca="false">Equipos!I767</f>
        <v>Nihon Kohden </v>
      </c>
      <c r="F769" s="101" t="str">
        <f aca="false">Equipos!J767</f>
        <v>PVM-2703</v>
      </c>
      <c r="G769" s="100" t="str">
        <f aca="false">Equipos!K767</f>
        <v>117954</v>
      </c>
      <c r="H769" s="101"/>
      <c r="I769" s="102"/>
      <c r="J769" s="102"/>
      <c r="K769" s="103" t="s">
        <v>328</v>
      </c>
      <c r="L769" s="102"/>
      <c r="M769" s="102"/>
      <c r="N769" s="102"/>
      <c r="O769" s="102"/>
      <c r="P769" s="102"/>
      <c r="Q769" s="102"/>
      <c r="R769" s="102"/>
      <c r="S769" s="102"/>
      <c r="T769" s="102"/>
      <c r="U769" s="101" t="n">
        <f aca="false">V769+W769+X769+COUNTIF(I769:T769,"R")</f>
        <v>1</v>
      </c>
      <c r="V769" s="101" t="n">
        <f aca="false">COUNTIF(I769:T769,"E")</f>
        <v>1</v>
      </c>
      <c r="W769" s="101" t="n">
        <f aca="false">COUNTIF(I769:T769,"X")</f>
        <v>0</v>
      </c>
      <c r="X769" s="101" t="n">
        <f aca="false">COUNTIF(I769:T769,"C2")+COUNTIF(I769:T769,"C3")</f>
        <v>0</v>
      </c>
      <c r="Y769" s="101" t="n">
        <f aca="true">SUMPRODUCT((I769:INDEX(I769:T769,MONTH(TODAY()))="X")*1)</f>
        <v>0</v>
      </c>
      <c r="Z769" s="104" t="n">
        <f aca="false">IFERROR(V769/U769,"")</f>
        <v>1</v>
      </c>
    </row>
    <row r="770" customFormat="false" ht="15" hidden="false" customHeight="true" outlineLevel="0" collapsed="false">
      <c r="A770" s="100" t="str">
        <f aca="false">Equipos!C768</f>
        <v>2-119713</v>
      </c>
      <c r="B770" s="101" t="str">
        <f aca="false">Equipos!D768</f>
        <v>Monitor Multiparámetros</v>
      </c>
      <c r="C770" s="101" t="str">
        <f aca="false">Equipos!E768</f>
        <v>Servicio Social</v>
      </c>
      <c r="D770" s="101" t="str">
        <f aca="false">Equipos!G768</f>
        <v>Reanimación box 3</v>
      </c>
      <c r="E770" s="101" t="str">
        <f aca="false">Equipos!I768</f>
        <v>MATIMED</v>
      </c>
      <c r="F770" s="101" t="str">
        <f aca="false">Equipos!J768</f>
        <v>MN-580</v>
      </c>
      <c r="G770" s="100" t="str">
        <f aca="false">Equipos!K768</f>
        <v>1810190910101</v>
      </c>
      <c r="H770" s="101"/>
      <c r="I770" s="102"/>
      <c r="J770" s="102"/>
      <c r="K770" s="102"/>
      <c r="L770" s="103" t="s">
        <v>328</v>
      </c>
      <c r="M770" s="102"/>
      <c r="N770" s="102"/>
      <c r="O770" s="102"/>
      <c r="P770" s="102"/>
      <c r="Q770" s="102"/>
      <c r="R770" s="102"/>
      <c r="S770" s="102"/>
      <c r="T770" s="102"/>
      <c r="U770" s="101" t="n">
        <f aca="false">V770+W770+X770+COUNTIF(I770:T770,"R")</f>
        <v>1</v>
      </c>
      <c r="V770" s="101" t="n">
        <f aca="false">COUNTIF(I770:T770,"E")</f>
        <v>1</v>
      </c>
      <c r="W770" s="101" t="n">
        <f aca="false">COUNTIF(I770:T770,"X")</f>
        <v>0</v>
      </c>
      <c r="X770" s="101" t="n">
        <f aca="false">COUNTIF(I770:T770,"C2")+COUNTIF(I770:T770,"C3")</f>
        <v>0</v>
      </c>
      <c r="Y770" s="101" t="n">
        <f aca="true">SUMPRODUCT((I770:INDEX(I770:T770,MONTH(TODAY()))="X")*1)</f>
        <v>0</v>
      </c>
      <c r="Z770" s="104" t="n">
        <f aca="false">IFERROR(V770/U770,"")</f>
        <v>1</v>
      </c>
    </row>
    <row r="771" customFormat="false" ht="15" hidden="false" customHeight="true" outlineLevel="0" collapsed="false">
      <c r="A771" s="100" t="str">
        <f aca="false">Equipos!C769</f>
        <v>2-119741</v>
      </c>
      <c r="B771" s="101" t="str">
        <f aca="false">Equipos!D769</f>
        <v>Monitor Multiparámetros</v>
      </c>
      <c r="C771" s="101" t="str">
        <f aca="false">Equipos!E769</f>
        <v>UPC 3er Piso</v>
      </c>
      <c r="D771" s="101" t="str">
        <f aca="false">Equipos!G769</f>
        <v>UCI 1</v>
      </c>
      <c r="E771" s="101" t="str">
        <f aca="false">Equipos!I769</f>
        <v>Drager</v>
      </c>
      <c r="F771" s="101" t="str">
        <f aca="false">Equipos!J769</f>
        <v>Infinity Kappa</v>
      </c>
      <c r="G771" s="100" t="str">
        <f aca="false">Equipos!K769</f>
        <v>5495679556</v>
      </c>
      <c r="H771" s="101"/>
      <c r="I771" s="102"/>
      <c r="J771" s="102"/>
      <c r="K771" s="102"/>
      <c r="L771" s="102"/>
      <c r="M771" s="103" t="s">
        <v>328</v>
      </c>
      <c r="N771" s="102"/>
      <c r="O771" s="102"/>
      <c r="P771" s="102"/>
      <c r="Q771" s="102"/>
      <c r="R771" s="102"/>
      <c r="S771" s="102"/>
      <c r="T771" s="102"/>
      <c r="U771" s="101" t="n">
        <f aca="false">V771+W771+X771+COUNTIF(I771:T771,"R")</f>
        <v>1</v>
      </c>
      <c r="V771" s="101" t="n">
        <f aca="false">COUNTIF(I771:T771,"E")</f>
        <v>1</v>
      </c>
      <c r="W771" s="101" t="n">
        <f aca="false">COUNTIF(I771:T771,"X")</f>
        <v>0</v>
      </c>
      <c r="X771" s="101" t="n">
        <f aca="false">COUNTIF(I771:T771,"C2")+COUNTIF(I771:T771,"C3")</f>
        <v>0</v>
      </c>
      <c r="Y771" s="101" t="n">
        <f aca="true">SUMPRODUCT((I771:INDEX(I771:T771,MONTH(TODAY()))="X")*1)</f>
        <v>0</v>
      </c>
      <c r="Z771" s="104" t="n">
        <f aca="false">IFERROR(V771/U771,"")</f>
        <v>1</v>
      </c>
    </row>
    <row r="772" customFormat="false" ht="15" hidden="false" customHeight="true" outlineLevel="0" collapsed="false">
      <c r="A772" s="100" t="str">
        <f aca="false">Equipos!C770</f>
        <v>2-119742</v>
      </c>
      <c r="B772" s="101" t="str">
        <f aca="false">Equipos!D770</f>
        <v>Monitor Multiparámetros</v>
      </c>
      <c r="C772" s="101" t="str">
        <f aca="false">Equipos!E770</f>
        <v>UPC 3er Piso</v>
      </c>
      <c r="D772" s="101" t="str">
        <f aca="false">Equipos!G770</f>
        <v>UCI 2</v>
      </c>
      <c r="E772" s="101" t="str">
        <f aca="false">Equipos!I770</f>
        <v>Drager</v>
      </c>
      <c r="F772" s="101" t="str">
        <f aca="false">Equipos!J770</f>
        <v>Infinity Kappa</v>
      </c>
      <c r="G772" s="100" t="str">
        <f aca="false">Equipos!K770</f>
        <v>5495714162</v>
      </c>
      <c r="H772" s="101"/>
      <c r="I772" s="102"/>
      <c r="J772" s="102"/>
      <c r="K772" s="102"/>
      <c r="L772" s="102"/>
      <c r="M772" s="103" t="s">
        <v>329</v>
      </c>
      <c r="N772" s="102"/>
      <c r="O772" s="102"/>
      <c r="P772" s="102"/>
      <c r="Q772" s="102"/>
      <c r="R772" s="102"/>
      <c r="S772" s="102"/>
      <c r="T772" s="102"/>
      <c r="U772" s="101" t="n">
        <f aca="false">V772+W772+X772+COUNTIF(I772:T772,"R")</f>
        <v>1</v>
      </c>
      <c r="V772" s="101" t="n">
        <f aca="false">COUNTIF(I772:T772,"E")</f>
        <v>0</v>
      </c>
      <c r="W772" s="101" t="n">
        <f aca="false">COUNTIF(I772:T772,"X")</f>
        <v>1</v>
      </c>
      <c r="X772" s="101" t="n">
        <f aca="false">COUNTIF(I772:T772,"C2")+COUNTIF(I772:T772,"C3")</f>
        <v>0</v>
      </c>
      <c r="Y772" s="101" t="n">
        <f aca="true">SUMPRODUCT((I772:INDEX(I772:T772,MONTH(TODAY()))="X")*1)</f>
        <v>1</v>
      </c>
      <c r="Z772" s="104" t="n">
        <f aca="false">IFERROR(V772/U772,"")</f>
        <v>0</v>
      </c>
    </row>
    <row r="773" customFormat="false" ht="15" hidden="false" customHeight="true" outlineLevel="0" collapsed="false">
      <c r="A773" s="100" t="str">
        <f aca="false">Equipos!C771</f>
        <v>2-119743</v>
      </c>
      <c r="B773" s="101" t="str">
        <f aca="false">Equipos!D771</f>
        <v>Monitor Multiparámetros</v>
      </c>
      <c r="C773" s="101" t="str">
        <f aca="false">Equipos!E771</f>
        <v>UPC 3er Piso</v>
      </c>
      <c r="D773" s="101" t="str">
        <f aca="false">Equipos!G771</f>
        <v>UCI 3</v>
      </c>
      <c r="E773" s="101" t="str">
        <f aca="false">Equipos!I771</f>
        <v>Drager</v>
      </c>
      <c r="F773" s="101" t="str">
        <f aca="false">Equipos!J771</f>
        <v>Infinity Kappa</v>
      </c>
      <c r="G773" s="100" t="str">
        <f aca="false">Equipos!K771</f>
        <v>5495709257</v>
      </c>
      <c r="H773" s="101"/>
      <c r="I773" s="102"/>
      <c r="J773" s="102"/>
      <c r="K773" s="102"/>
      <c r="L773" s="102"/>
      <c r="M773" s="103" t="s">
        <v>328</v>
      </c>
      <c r="N773" s="102"/>
      <c r="O773" s="102"/>
      <c r="P773" s="102"/>
      <c r="Q773" s="102"/>
      <c r="R773" s="102"/>
      <c r="S773" s="102"/>
      <c r="T773" s="102"/>
      <c r="U773" s="101" t="n">
        <f aca="false">V773+W773+X773+COUNTIF(I773:T773,"R")</f>
        <v>1</v>
      </c>
      <c r="V773" s="101" t="n">
        <f aca="false">COUNTIF(I773:T773,"E")</f>
        <v>1</v>
      </c>
      <c r="W773" s="101" t="n">
        <f aca="false">COUNTIF(I773:T773,"X")</f>
        <v>0</v>
      </c>
      <c r="X773" s="101" t="n">
        <f aca="false">COUNTIF(I773:T773,"C2")+COUNTIF(I773:T773,"C3")</f>
        <v>0</v>
      </c>
      <c r="Y773" s="101" t="n">
        <f aca="true">SUMPRODUCT((I773:INDEX(I773:T773,MONTH(TODAY()))="X")*1)</f>
        <v>0</v>
      </c>
      <c r="Z773" s="104" t="n">
        <f aca="false">IFERROR(V773/U773,"")</f>
        <v>1</v>
      </c>
    </row>
    <row r="774" customFormat="false" ht="15" hidden="false" customHeight="true" outlineLevel="0" collapsed="false">
      <c r="A774" s="100" t="str">
        <f aca="false">Equipos!C772</f>
        <v>2-119744</v>
      </c>
      <c r="B774" s="101" t="str">
        <f aca="false">Equipos!D772</f>
        <v>Monitor Multiparámetros</v>
      </c>
      <c r="C774" s="101" t="str">
        <f aca="false">Equipos!E772</f>
        <v>UPC 3er Piso</v>
      </c>
      <c r="D774" s="101" t="str">
        <f aca="false">Equipos!G772</f>
        <v>UCI 5</v>
      </c>
      <c r="E774" s="101" t="str">
        <f aca="false">Equipos!I772</f>
        <v>Drager</v>
      </c>
      <c r="F774" s="101" t="str">
        <f aca="false">Equipos!J772</f>
        <v>Infinity Kappa</v>
      </c>
      <c r="G774" s="100" t="str">
        <f aca="false">Equipos!K772</f>
        <v>5495706162</v>
      </c>
      <c r="H774" s="101"/>
      <c r="I774" s="102"/>
      <c r="J774" s="102"/>
      <c r="K774" s="102"/>
      <c r="L774" s="102"/>
      <c r="M774" s="103" t="s">
        <v>328</v>
      </c>
      <c r="N774" s="102"/>
      <c r="O774" s="102"/>
      <c r="P774" s="102"/>
      <c r="Q774" s="102"/>
      <c r="R774" s="102"/>
      <c r="S774" s="102"/>
      <c r="T774" s="102"/>
      <c r="U774" s="101" t="n">
        <f aca="false">V774+W774+X774+COUNTIF(I774:T774,"R")</f>
        <v>1</v>
      </c>
      <c r="V774" s="101" t="n">
        <f aca="false">COUNTIF(I774:T774,"E")</f>
        <v>1</v>
      </c>
      <c r="W774" s="101" t="n">
        <f aca="false">COUNTIF(I774:T774,"X")</f>
        <v>0</v>
      </c>
      <c r="X774" s="101" t="n">
        <f aca="false">COUNTIF(I774:T774,"C2")+COUNTIF(I774:T774,"C3")</f>
        <v>0</v>
      </c>
      <c r="Y774" s="101" t="n">
        <f aca="true">SUMPRODUCT((I774:INDEX(I774:T774,MONTH(TODAY()))="X")*1)</f>
        <v>0</v>
      </c>
      <c r="Z774" s="104" t="n">
        <f aca="false">IFERROR(V774/U774,"")</f>
        <v>1</v>
      </c>
    </row>
    <row r="775" customFormat="false" ht="15" hidden="false" customHeight="true" outlineLevel="0" collapsed="false">
      <c r="A775" s="100" t="str">
        <f aca="false">Equipos!C773</f>
        <v>2-119745</v>
      </c>
      <c r="B775" s="101" t="str">
        <f aca="false">Equipos!D773</f>
        <v>Monitor Multiparámetros</v>
      </c>
      <c r="C775" s="101" t="str">
        <f aca="false">Equipos!E773</f>
        <v>UPC 3er Piso</v>
      </c>
      <c r="D775" s="101" t="str">
        <f aca="false">Equipos!G773</f>
        <v>UCI 7 </v>
      </c>
      <c r="E775" s="101" t="str">
        <f aca="false">Equipos!I773</f>
        <v>Drager</v>
      </c>
      <c r="F775" s="101" t="str">
        <f aca="false">Equipos!J773</f>
        <v>Infinity Kappa</v>
      </c>
      <c r="G775" s="100" t="str">
        <f aca="false">Equipos!K773</f>
        <v>5495686254</v>
      </c>
      <c r="H775" s="101"/>
      <c r="I775" s="102"/>
      <c r="J775" s="102"/>
      <c r="K775" s="102"/>
      <c r="L775" s="102"/>
      <c r="M775" s="103" t="s">
        <v>329</v>
      </c>
      <c r="N775" s="102"/>
      <c r="O775" s="102"/>
      <c r="P775" s="102"/>
      <c r="Q775" s="102"/>
      <c r="R775" s="102"/>
      <c r="S775" s="102"/>
      <c r="T775" s="102"/>
      <c r="U775" s="101" t="n">
        <f aca="false">V775+W775+X775+COUNTIF(I775:T775,"R")</f>
        <v>1</v>
      </c>
      <c r="V775" s="101" t="n">
        <f aca="false">COUNTIF(I775:T775,"E")</f>
        <v>0</v>
      </c>
      <c r="W775" s="101" t="n">
        <f aca="false">COUNTIF(I775:T775,"X")</f>
        <v>1</v>
      </c>
      <c r="X775" s="101" t="n">
        <f aca="false">COUNTIF(I775:T775,"C2")+COUNTIF(I775:T775,"C3")</f>
        <v>0</v>
      </c>
      <c r="Y775" s="101" t="n">
        <f aca="true">SUMPRODUCT((I775:INDEX(I775:T775,MONTH(TODAY()))="X")*1)</f>
        <v>1</v>
      </c>
      <c r="Z775" s="104" t="n">
        <f aca="false">IFERROR(V775/U775,"")</f>
        <v>0</v>
      </c>
    </row>
    <row r="776" customFormat="false" ht="15" hidden="false" customHeight="true" outlineLevel="0" collapsed="false">
      <c r="A776" s="100" t="str">
        <f aca="false">Equipos!C774</f>
        <v>2-120244</v>
      </c>
      <c r="B776" s="101" t="str">
        <f aca="false">Equipos!D774</f>
        <v>Monitor Multiparámetros</v>
      </c>
      <c r="C776" s="101" t="str">
        <f aca="false">Equipos!E774</f>
        <v>UPC 3er Piso</v>
      </c>
      <c r="D776" s="101" t="str">
        <f aca="false">Equipos!G774</f>
        <v>UTI 9</v>
      </c>
      <c r="E776" s="101" t="str">
        <f aca="false">Equipos!I774</f>
        <v>SPACELABS HEALTHCARE</v>
      </c>
      <c r="F776" s="101" t="str">
        <f aca="false">Equipos!J774</f>
        <v>XPREZZON</v>
      </c>
      <c r="G776" s="100" t="str">
        <f aca="false">Equipos!K774</f>
        <v>1393-113289</v>
      </c>
      <c r="H776" s="101"/>
      <c r="I776" s="102"/>
      <c r="J776" s="102"/>
      <c r="K776" s="102"/>
      <c r="L776" s="102"/>
      <c r="M776" s="103" t="s">
        <v>328</v>
      </c>
      <c r="N776" s="102"/>
      <c r="O776" s="102"/>
      <c r="P776" s="102"/>
      <c r="Q776" s="102"/>
      <c r="R776" s="102"/>
      <c r="S776" s="102"/>
      <c r="T776" s="102"/>
      <c r="U776" s="101" t="n">
        <f aca="false">V776+W776+X776+COUNTIF(I776:T776,"R")</f>
        <v>1</v>
      </c>
      <c r="V776" s="101" t="n">
        <f aca="false">COUNTIF(I776:T776,"E")</f>
        <v>1</v>
      </c>
      <c r="W776" s="101" t="n">
        <f aca="false">COUNTIF(I776:T776,"X")</f>
        <v>0</v>
      </c>
      <c r="X776" s="101" t="n">
        <f aca="false">COUNTIF(I776:T776,"C2")+COUNTIF(I776:T776,"C3")</f>
        <v>0</v>
      </c>
      <c r="Y776" s="101" t="n">
        <f aca="true">SUMPRODUCT((I776:INDEX(I776:T776,MONTH(TODAY()))="X")*1)</f>
        <v>0</v>
      </c>
      <c r="Z776" s="104" t="n">
        <f aca="false">IFERROR(V776/U776,"")</f>
        <v>1</v>
      </c>
    </row>
    <row r="777" customFormat="false" ht="15" hidden="false" customHeight="true" outlineLevel="0" collapsed="false">
      <c r="A777" s="100" t="str">
        <f aca="false">Equipos!C775</f>
        <v>2-120245</v>
      </c>
      <c r="B777" s="101" t="str">
        <f aca="false">Equipos!D775</f>
        <v>Monitor Multiparámetros</v>
      </c>
      <c r="C777" s="101" t="str">
        <f aca="false">Equipos!E775</f>
        <v>UPC 3er Piso</v>
      </c>
      <c r="D777" s="101" t="str">
        <f aca="false">Equipos!G775</f>
        <v>UTI 5</v>
      </c>
      <c r="E777" s="101" t="str">
        <f aca="false">Equipos!I775</f>
        <v>SPACELABS HEALTHCARE</v>
      </c>
      <c r="F777" s="101" t="str">
        <f aca="false">Equipos!J775</f>
        <v>XPREZZON</v>
      </c>
      <c r="G777" s="100" t="str">
        <f aca="false">Equipos!K775</f>
        <v>1393-113283</v>
      </c>
      <c r="H777" s="101"/>
      <c r="I777" s="102"/>
      <c r="J777" s="102"/>
      <c r="K777" s="102"/>
      <c r="L777" s="102"/>
      <c r="M777" s="103" t="s">
        <v>328</v>
      </c>
      <c r="N777" s="102"/>
      <c r="O777" s="102"/>
      <c r="P777" s="102"/>
      <c r="Q777" s="102"/>
      <c r="R777" s="102"/>
      <c r="S777" s="102"/>
      <c r="T777" s="102"/>
      <c r="U777" s="101" t="n">
        <f aca="false">V777+W777+X777+COUNTIF(I777:T777,"R")</f>
        <v>1</v>
      </c>
      <c r="V777" s="101" t="n">
        <f aca="false">COUNTIF(I777:T777,"E")</f>
        <v>1</v>
      </c>
      <c r="W777" s="101" t="n">
        <f aca="false">COUNTIF(I777:T777,"X")</f>
        <v>0</v>
      </c>
      <c r="X777" s="101" t="n">
        <f aca="false">COUNTIF(I777:T777,"C2")+COUNTIF(I777:T777,"C3")</f>
        <v>0</v>
      </c>
      <c r="Y777" s="101" t="n">
        <f aca="true">SUMPRODUCT((I777:INDEX(I777:T777,MONTH(TODAY()))="X")*1)</f>
        <v>0</v>
      </c>
      <c r="Z777" s="104" t="n">
        <f aca="false">IFERROR(V777/U777,"")</f>
        <v>1</v>
      </c>
    </row>
    <row r="778" customFormat="false" ht="15" hidden="false" customHeight="true" outlineLevel="0" collapsed="false">
      <c r="A778" s="100" t="str">
        <f aca="false">Equipos!C776</f>
        <v>2-120246</v>
      </c>
      <c r="B778" s="101" t="str">
        <f aca="false">Equipos!D776</f>
        <v>Monitor Multiparámetros</v>
      </c>
      <c r="C778" s="101" t="str">
        <f aca="false">Equipos!E776</f>
        <v>UPC 3er Piso</v>
      </c>
      <c r="D778" s="101" t="str">
        <f aca="false">Equipos!G776</f>
        <v>UTI 8</v>
      </c>
      <c r="E778" s="101" t="str">
        <f aca="false">Equipos!I776</f>
        <v>SPACELABS HEALTHCARE</v>
      </c>
      <c r="F778" s="101" t="str">
        <f aca="false">Equipos!J776</f>
        <v>XPREZZON</v>
      </c>
      <c r="G778" s="100" t="str">
        <f aca="false">Equipos!K776</f>
        <v>1393-113290</v>
      </c>
      <c r="H778" s="101"/>
      <c r="I778" s="102"/>
      <c r="J778" s="102"/>
      <c r="K778" s="102"/>
      <c r="L778" s="102"/>
      <c r="M778" s="103" t="s">
        <v>328</v>
      </c>
      <c r="N778" s="102"/>
      <c r="O778" s="102"/>
      <c r="P778" s="102"/>
      <c r="Q778" s="102"/>
      <c r="R778" s="102"/>
      <c r="S778" s="102"/>
      <c r="T778" s="102"/>
      <c r="U778" s="101" t="n">
        <f aca="false">V778+W778+X778+COUNTIF(I778:T778,"R")</f>
        <v>1</v>
      </c>
      <c r="V778" s="101" t="n">
        <f aca="false">COUNTIF(I778:T778,"E")</f>
        <v>1</v>
      </c>
      <c r="W778" s="101" t="n">
        <f aca="false">COUNTIF(I778:T778,"X")</f>
        <v>0</v>
      </c>
      <c r="X778" s="101" t="n">
        <f aca="false">COUNTIF(I778:T778,"C2")+COUNTIF(I778:T778,"C3")</f>
        <v>0</v>
      </c>
      <c r="Y778" s="101" t="n">
        <f aca="true">SUMPRODUCT((I778:INDEX(I778:T778,MONTH(TODAY()))="X")*1)</f>
        <v>0</v>
      </c>
      <c r="Z778" s="104" t="n">
        <f aca="false">IFERROR(V778/U778,"")</f>
        <v>1</v>
      </c>
    </row>
    <row r="779" customFormat="false" ht="15" hidden="false" customHeight="true" outlineLevel="0" collapsed="false">
      <c r="A779" s="100" t="str">
        <f aca="false">Equipos!C777</f>
        <v>2-120247</v>
      </c>
      <c r="B779" s="101" t="str">
        <f aca="false">Equipos!D777</f>
        <v>Monitor Multiparámetros</v>
      </c>
      <c r="C779" s="101" t="str">
        <f aca="false">Equipos!E777</f>
        <v>UPC 3er Piso</v>
      </c>
      <c r="D779" s="101" t="str">
        <f aca="false">Equipos!G777</f>
        <v>UTI 10</v>
      </c>
      <c r="E779" s="101" t="str">
        <f aca="false">Equipos!I777</f>
        <v>SPACELABS HEALTHCARE</v>
      </c>
      <c r="F779" s="101" t="str">
        <f aca="false">Equipos!J777</f>
        <v>XPREZZON</v>
      </c>
      <c r="G779" s="100" t="str">
        <f aca="false">Equipos!K777</f>
        <v>1393-113276</v>
      </c>
      <c r="H779" s="101"/>
      <c r="I779" s="102"/>
      <c r="J779" s="102"/>
      <c r="K779" s="102"/>
      <c r="L779" s="102"/>
      <c r="M779" s="103" t="s">
        <v>328</v>
      </c>
      <c r="N779" s="102"/>
      <c r="O779" s="102"/>
      <c r="P779" s="102"/>
      <c r="Q779" s="102"/>
      <c r="R779" s="102"/>
      <c r="S779" s="102"/>
      <c r="T779" s="102"/>
      <c r="U779" s="101" t="n">
        <f aca="false">V779+W779+X779+COUNTIF(I779:T779,"R")</f>
        <v>1</v>
      </c>
      <c r="V779" s="101" t="n">
        <f aca="false">COUNTIF(I779:T779,"E")</f>
        <v>1</v>
      </c>
      <c r="W779" s="101" t="n">
        <f aca="false">COUNTIF(I779:T779,"X")</f>
        <v>0</v>
      </c>
      <c r="X779" s="101" t="n">
        <f aca="false">COUNTIF(I779:T779,"C2")+COUNTIF(I779:T779,"C3")</f>
        <v>0</v>
      </c>
      <c r="Y779" s="101" t="n">
        <f aca="true">SUMPRODUCT((I779:INDEX(I779:T779,MONTH(TODAY()))="X")*1)</f>
        <v>0</v>
      </c>
      <c r="Z779" s="104" t="n">
        <f aca="false">IFERROR(V779/U779,"")</f>
        <v>1</v>
      </c>
    </row>
    <row r="780" customFormat="false" ht="15" hidden="false" customHeight="true" outlineLevel="0" collapsed="false">
      <c r="A780" s="100" t="str">
        <f aca="false">Equipos!C778</f>
        <v>2-120248</v>
      </c>
      <c r="B780" s="101" t="str">
        <f aca="false">Equipos!D778</f>
        <v>Monitor Multiparámetros</v>
      </c>
      <c r="C780" s="101" t="str">
        <f aca="false">Equipos!E778</f>
        <v>UPC 3er Piso</v>
      </c>
      <c r="D780" s="101" t="str">
        <f aca="false">Equipos!G778</f>
        <v>UTI 7</v>
      </c>
      <c r="E780" s="101" t="str">
        <f aca="false">Equipos!I778</f>
        <v>SPACELABS HEALTHCARE</v>
      </c>
      <c r="F780" s="101" t="str">
        <f aca="false">Equipos!J778</f>
        <v>XPREZZON</v>
      </c>
      <c r="G780" s="100" t="str">
        <f aca="false">Equipos!K778</f>
        <v>1393-113292</v>
      </c>
      <c r="H780" s="101"/>
      <c r="I780" s="102"/>
      <c r="J780" s="102"/>
      <c r="K780" s="102"/>
      <c r="L780" s="102"/>
      <c r="M780" s="103" t="s">
        <v>328</v>
      </c>
      <c r="N780" s="102"/>
      <c r="O780" s="102"/>
      <c r="P780" s="102"/>
      <c r="Q780" s="102"/>
      <c r="R780" s="102"/>
      <c r="S780" s="102"/>
      <c r="T780" s="102"/>
      <c r="U780" s="101" t="n">
        <f aca="false">V780+W780+X780+COUNTIF(I780:T780,"R")</f>
        <v>1</v>
      </c>
      <c r="V780" s="101" t="n">
        <f aca="false">COUNTIF(I780:T780,"E")</f>
        <v>1</v>
      </c>
      <c r="W780" s="101" t="n">
        <f aca="false">COUNTIF(I780:T780,"X")</f>
        <v>0</v>
      </c>
      <c r="X780" s="101" t="n">
        <f aca="false">COUNTIF(I780:T780,"C2")+COUNTIF(I780:T780,"C3")</f>
        <v>0</v>
      </c>
      <c r="Y780" s="101" t="n">
        <f aca="true">SUMPRODUCT((I780:INDEX(I780:T780,MONTH(TODAY()))="X")*1)</f>
        <v>0</v>
      </c>
      <c r="Z780" s="104" t="n">
        <f aca="false">IFERROR(V780/U780,"")</f>
        <v>1</v>
      </c>
    </row>
    <row r="781" customFormat="false" ht="15" hidden="false" customHeight="true" outlineLevel="0" collapsed="false">
      <c r="A781" s="100" t="str">
        <f aca="false">Equipos!C779</f>
        <v>2-120249</v>
      </c>
      <c r="B781" s="101" t="str">
        <f aca="false">Equipos!D779</f>
        <v>Monitor Multiparámetros</v>
      </c>
      <c r="C781" s="101" t="str">
        <f aca="false">Equipos!E779</f>
        <v>UPC 3er Piso</v>
      </c>
      <c r="D781" s="101" t="str">
        <f aca="false">Equipos!G779</f>
        <v>UTI 6</v>
      </c>
      <c r="E781" s="101" t="str">
        <f aca="false">Equipos!I779</f>
        <v>SPACELABS HEALTHCARE</v>
      </c>
      <c r="F781" s="101" t="str">
        <f aca="false">Equipos!J779</f>
        <v>XPREZZON</v>
      </c>
      <c r="G781" s="100" t="str">
        <f aca="false">Equipos!K779</f>
        <v>1393-113279</v>
      </c>
      <c r="H781" s="101"/>
      <c r="I781" s="102"/>
      <c r="J781" s="102"/>
      <c r="K781" s="102"/>
      <c r="L781" s="102"/>
      <c r="M781" s="103" t="s">
        <v>328</v>
      </c>
      <c r="N781" s="102"/>
      <c r="O781" s="102"/>
      <c r="P781" s="102"/>
      <c r="Q781" s="102"/>
      <c r="R781" s="102"/>
      <c r="S781" s="102"/>
      <c r="T781" s="102"/>
      <c r="U781" s="101" t="n">
        <f aca="false">V781+W781+X781+COUNTIF(I781:T781,"R")</f>
        <v>1</v>
      </c>
      <c r="V781" s="101" t="n">
        <f aca="false">COUNTIF(I781:T781,"E")</f>
        <v>1</v>
      </c>
      <c r="W781" s="101" t="n">
        <f aca="false">COUNTIF(I781:T781,"X")</f>
        <v>0</v>
      </c>
      <c r="X781" s="101" t="n">
        <f aca="false">COUNTIF(I781:T781,"C2")+COUNTIF(I781:T781,"C3")</f>
        <v>0</v>
      </c>
      <c r="Y781" s="101" t="n">
        <f aca="true">SUMPRODUCT((I781:INDEX(I781:T781,MONTH(TODAY()))="X")*1)</f>
        <v>0</v>
      </c>
      <c r="Z781" s="104" t="n">
        <f aca="false">IFERROR(V781/U781,"")</f>
        <v>1</v>
      </c>
    </row>
    <row r="782" customFormat="false" ht="15" hidden="false" customHeight="true" outlineLevel="0" collapsed="false">
      <c r="A782" s="100" t="str">
        <f aca="false">Equipos!C780</f>
        <v>2-124829</v>
      </c>
      <c r="B782" s="101" t="str">
        <f aca="false">Equipos!D780</f>
        <v>Monitor Multiparámetros</v>
      </c>
      <c r="C782" s="101" t="str">
        <f aca="false">Equipos!E780</f>
        <v>Imagenología</v>
      </c>
      <c r="D782" s="101" t="n">
        <f aca="false">Equipos!G780</f>
        <v>0</v>
      </c>
      <c r="E782" s="101" t="str">
        <f aca="false">Equipos!I780</f>
        <v>SCHILLER</v>
      </c>
      <c r="F782" s="101" t="str">
        <f aca="false">Equipos!J780</f>
        <v>MAGELIFE Serenity</v>
      </c>
      <c r="G782" s="100" t="str">
        <f aca="false">Equipos!K780</f>
        <v>94999001058</v>
      </c>
      <c r="H782" s="101"/>
      <c r="I782" s="102"/>
      <c r="J782" s="103" t="s">
        <v>331</v>
      </c>
      <c r="K782" s="103" t="s">
        <v>328</v>
      </c>
      <c r="L782" s="102"/>
      <c r="M782" s="102"/>
      <c r="N782" s="102"/>
      <c r="O782" s="102"/>
      <c r="P782" s="102"/>
      <c r="Q782" s="102"/>
      <c r="R782" s="102"/>
      <c r="S782" s="102"/>
      <c r="T782" s="102"/>
      <c r="U782" s="101" t="n">
        <f aca="false">V782+W782+X782+COUNTIF(I782:T782,"R")</f>
        <v>2</v>
      </c>
      <c r="V782" s="101" t="n">
        <f aca="false">COUNTIF(I782:T782,"E")</f>
        <v>1</v>
      </c>
      <c r="W782" s="101" t="n">
        <f aca="false">COUNTIF(I782:T782,"X")</f>
        <v>0</v>
      </c>
      <c r="X782" s="101" t="n">
        <f aca="false">COUNTIF(I782:T782,"C2")+COUNTIF(I782:T782,"C3")</f>
        <v>1</v>
      </c>
      <c r="Y782" s="101" t="n">
        <f aca="true">SUMPRODUCT((I782:INDEX(I782:T782,MONTH(TODAY()))="X")*1)</f>
        <v>0</v>
      </c>
      <c r="Z782" s="104" t="n">
        <f aca="false">IFERROR(V782/U782,"")</f>
        <v>0.5</v>
      </c>
    </row>
    <row r="783" customFormat="false" ht="15" hidden="false" customHeight="true" outlineLevel="0" collapsed="false">
      <c r="A783" s="100" t="str">
        <f aca="false">Equipos!C781</f>
        <v>2-120428</v>
      </c>
      <c r="B783" s="101" t="str">
        <f aca="false">Equipos!D781</f>
        <v>Monitor Multiparámetros</v>
      </c>
      <c r="C783" s="101" t="str">
        <f aca="false">Equipos!E781</f>
        <v>Urgencia Adulto</v>
      </c>
      <c r="D783" s="101" t="str">
        <f aca="false">Equipos!G781</f>
        <v>Reanimación box 3</v>
      </c>
      <c r="E783" s="101" t="str">
        <f aca="false">Equipos!I781</f>
        <v>Mindray</v>
      </c>
      <c r="F783" s="101" t="str">
        <f aca="false">Equipos!J781</f>
        <v>BeneVision N17</v>
      </c>
      <c r="G783" s="100" t="str">
        <f aca="false">Equipos!K781</f>
        <v>F2-04008218</v>
      </c>
      <c r="H783" s="101"/>
      <c r="I783" s="102"/>
      <c r="J783" s="102"/>
      <c r="K783" s="103" t="s">
        <v>328</v>
      </c>
      <c r="L783" s="102"/>
      <c r="M783" s="102"/>
      <c r="N783" s="102"/>
      <c r="O783" s="102"/>
      <c r="P783" s="102"/>
      <c r="Q783" s="102"/>
      <c r="R783" s="102"/>
      <c r="S783" s="102"/>
      <c r="T783" s="102"/>
      <c r="U783" s="101" t="n">
        <f aca="false">V783+W783+X783+COUNTIF(I783:T783,"R")</f>
        <v>1</v>
      </c>
      <c r="V783" s="101" t="n">
        <f aca="false">COUNTIF(I783:T783,"E")</f>
        <v>1</v>
      </c>
      <c r="W783" s="101" t="n">
        <f aca="false">COUNTIF(I783:T783,"X")</f>
        <v>0</v>
      </c>
      <c r="X783" s="101" t="n">
        <f aca="false">COUNTIF(I783:T783,"C2")+COUNTIF(I783:T783,"C3")</f>
        <v>0</v>
      </c>
      <c r="Y783" s="101" t="n">
        <f aca="true">SUMPRODUCT((I783:INDEX(I783:T783,MONTH(TODAY()))="X")*1)</f>
        <v>0</v>
      </c>
      <c r="Z783" s="104" t="n">
        <f aca="false">IFERROR(V783/U783,"")</f>
        <v>1</v>
      </c>
    </row>
    <row r="784" customFormat="false" ht="15" hidden="false" customHeight="true" outlineLevel="0" collapsed="false">
      <c r="A784" s="100" t="str">
        <f aca="false">Equipos!C782</f>
        <v>2-120427</v>
      </c>
      <c r="B784" s="101" t="str">
        <f aca="false">Equipos!D782</f>
        <v>Monitor Multiparámetros</v>
      </c>
      <c r="C784" s="101" t="str">
        <f aca="false">Equipos!E782</f>
        <v>Urgencia Adulto</v>
      </c>
      <c r="D784" s="101" t="str">
        <f aca="false">Equipos!G782</f>
        <v>Box A-1</v>
      </c>
      <c r="E784" s="101" t="str">
        <f aca="false">Equipos!I782</f>
        <v>Mindray</v>
      </c>
      <c r="F784" s="101" t="str">
        <f aca="false">Equipos!J782</f>
        <v>BeneVision N17</v>
      </c>
      <c r="G784" s="100" t="str">
        <f aca="false">Equipos!K782</f>
        <v>F2-04008204</v>
      </c>
      <c r="H784" s="101"/>
      <c r="I784" s="102"/>
      <c r="J784" s="102"/>
      <c r="K784" s="103" t="s">
        <v>330</v>
      </c>
      <c r="L784" s="103" t="s">
        <v>328</v>
      </c>
      <c r="M784" s="102"/>
      <c r="N784" s="102"/>
      <c r="O784" s="102"/>
      <c r="P784" s="102"/>
      <c r="Q784" s="102"/>
      <c r="R784" s="102"/>
      <c r="S784" s="102"/>
      <c r="T784" s="102"/>
      <c r="U784" s="101" t="n">
        <f aca="false">V784+W784+X784+COUNTIF(I784:T784,"R")</f>
        <v>2</v>
      </c>
      <c r="V784" s="101" t="n">
        <f aca="false">COUNTIF(I784:T784,"E")</f>
        <v>1</v>
      </c>
      <c r="W784" s="101" t="n">
        <f aca="false">COUNTIF(I784:T784,"X")</f>
        <v>0</v>
      </c>
      <c r="X784" s="101" t="n">
        <f aca="false">COUNTIF(I784:T784,"C2")+COUNTIF(I784:T784,"C3")</f>
        <v>0</v>
      </c>
      <c r="Y784" s="101" t="n">
        <f aca="true">SUMPRODUCT((I784:INDEX(I784:T784,MONTH(TODAY()))="X")*1)</f>
        <v>0</v>
      </c>
      <c r="Z784" s="104" t="n">
        <f aca="false">IFERROR(V784/U784,"")</f>
        <v>0.5</v>
      </c>
    </row>
    <row r="785" customFormat="false" ht="15" hidden="false" customHeight="true" outlineLevel="0" collapsed="false">
      <c r="A785" s="100" t="str">
        <f aca="false">Equipos!C783</f>
        <v>2-120429</v>
      </c>
      <c r="B785" s="101" t="str">
        <f aca="false">Equipos!D783</f>
        <v>Monitor Multiparámetros</v>
      </c>
      <c r="C785" s="101" t="str">
        <f aca="false">Equipos!E783</f>
        <v>Urgencia Adulto</v>
      </c>
      <c r="D785" s="101" t="str">
        <f aca="false">Equipos!G783</f>
        <v>Reanimación box 2</v>
      </c>
      <c r="E785" s="101" t="str">
        <f aca="false">Equipos!I783</f>
        <v>Mindray</v>
      </c>
      <c r="F785" s="101" t="str">
        <f aca="false">Equipos!J783</f>
        <v>BeneVision N17</v>
      </c>
      <c r="G785" s="100" t="str">
        <f aca="false">Equipos!K783</f>
        <v>F2-04008289</v>
      </c>
      <c r="H785" s="101"/>
      <c r="I785" s="102"/>
      <c r="J785" s="102"/>
      <c r="K785" s="103" t="s">
        <v>328</v>
      </c>
      <c r="L785" s="102"/>
      <c r="M785" s="102"/>
      <c r="N785" s="102"/>
      <c r="O785" s="102"/>
      <c r="P785" s="102"/>
      <c r="Q785" s="102"/>
      <c r="R785" s="102"/>
      <c r="S785" s="102"/>
      <c r="T785" s="102"/>
      <c r="U785" s="101" t="n">
        <f aca="false">V785+W785+X785+COUNTIF(I785:T785,"R")</f>
        <v>1</v>
      </c>
      <c r="V785" s="101" t="n">
        <f aca="false">COUNTIF(I785:T785,"E")</f>
        <v>1</v>
      </c>
      <c r="W785" s="101" t="n">
        <f aca="false">COUNTIF(I785:T785,"X")</f>
        <v>0</v>
      </c>
      <c r="X785" s="101" t="n">
        <f aca="false">COUNTIF(I785:T785,"C2")+COUNTIF(I785:T785,"C3")</f>
        <v>0</v>
      </c>
      <c r="Y785" s="101" t="n">
        <f aca="true">SUMPRODUCT((I785:INDEX(I785:T785,MONTH(TODAY()))="X")*1)</f>
        <v>0</v>
      </c>
      <c r="Z785" s="104" t="n">
        <f aca="false">IFERROR(V785/U785,"")</f>
        <v>1</v>
      </c>
    </row>
    <row r="786" customFormat="false" ht="15" hidden="false" customHeight="true" outlineLevel="0" collapsed="false">
      <c r="A786" s="100" t="str">
        <f aca="false">Equipos!C784</f>
        <v>2-120430</v>
      </c>
      <c r="B786" s="101" t="str">
        <f aca="false">Equipos!D784</f>
        <v>Monitor Multiparámetros</v>
      </c>
      <c r="C786" s="101" t="str">
        <f aca="false">Equipos!E784</f>
        <v>Urgencia Adulto</v>
      </c>
      <c r="D786" s="101" t="str">
        <f aca="false">Equipos!G784</f>
        <v>Reanimación box 1 </v>
      </c>
      <c r="E786" s="101" t="str">
        <f aca="false">Equipos!I784</f>
        <v>Mindray</v>
      </c>
      <c r="F786" s="101" t="str">
        <f aca="false">Equipos!J784</f>
        <v>BeneVision N17</v>
      </c>
      <c r="G786" s="100" t="str">
        <f aca="false">Equipos!K784</f>
        <v>F2-04008141</v>
      </c>
      <c r="H786" s="101"/>
      <c r="I786" s="102"/>
      <c r="J786" s="102"/>
      <c r="K786" s="103" t="s">
        <v>328</v>
      </c>
      <c r="L786" s="102"/>
      <c r="M786" s="102"/>
      <c r="N786" s="102"/>
      <c r="O786" s="102"/>
      <c r="P786" s="102"/>
      <c r="Q786" s="102"/>
      <c r="R786" s="102"/>
      <c r="S786" s="102"/>
      <c r="T786" s="102"/>
      <c r="U786" s="101" t="n">
        <f aca="false">V786+W786+X786+COUNTIF(I786:T786,"R")</f>
        <v>1</v>
      </c>
      <c r="V786" s="101" t="n">
        <f aca="false">COUNTIF(I786:T786,"E")</f>
        <v>1</v>
      </c>
      <c r="W786" s="101" t="n">
        <f aca="false">COUNTIF(I786:T786,"X")</f>
        <v>0</v>
      </c>
      <c r="X786" s="101" t="n">
        <f aca="false">COUNTIF(I786:T786,"C2")+COUNTIF(I786:T786,"C3")</f>
        <v>0</v>
      </c>
      <c r="Y786" s="101" t="n">
        <f aca="true">SUMPRODUCT((I786:INDEX(I786:T786,MONTH(TODAY()))="X")*1)</f>
        <v>0</v>
      </c>
      <c r="Z786" s="104" t="n">
        <f aca="false">IFERROR(V786/U786,"")</f>
        <v>1</v>
      </c>
    </row>
    <row r="787" customFormat="false" ht="15" hidden="false" customHeight="true" outlineLevel="0" collapsed="false">
      <c r="A787" s="100" t="str">
        <f aca="false">Equipos!C785</f>
        <v>2-120574</v>
      </c>
      <c r="B787" s="101" t="str">
        <f aca="false">Equipos!D785</f>
        <v>Monitor Multiparámetros</v>
      </c>
      <c r="C787" s="101" t="str">
        <f aca="false">Equipos!E785</f>
        <v>UPC 3er Piso</v>
      </c>
      <c r="D787" s="101" t="str">
        <f aca="false">Equipos!G785</f>
        <v>UTI 2</v>
      </c>
      <c r="E787" s="101" t="str">
        <f aca="false">Equipos!I785</f>
        <v>SPACELABS HEALTHCARE</v>
      </c>
      <c r="F787" s="101" t="str">
        <f aca="false">Equipos!J785</f>
        <v>XPREZZON</v>
      </c>
      <c r="G787" s="100" t="str">
        <f aca="false">Equipos!K785</f>
        <v>1393-114595</v>
      </c>
      <c r="H787" s="101"/>
      <c r="I787" s="102"/>
      <c r="J787" s="102"/>
      <c r="K787" s="102"/>
      <c r="L787" s="102"/>
      <c r="M787" s="103" t="s">
        <v>328</v>
      </c>
      <c r="N787" s="102"/>
      <c r="O787" s="102"/>
      <c r="P787" s="102"/>
      <c r="Q787" s="102"/>
      <c r="R787" s="102"/>
      <c r="S787" s="102"/>
      <c r="T787" s="102"/>
      <c r="U787" s="101" t="n">
        <f aca="false">V787+W787+X787+COUNTIF(I787:T787,"R")</f>
        <v>1</v>
      </c>
      <c r="V787" s="101" t="n">
        <f aca="false">COUNTIF(I787:T787,"E")</f>
        <v>1</v>
      </c>
      <c r="W787" s="101" t="n">
        <f aca="false">COUNTIF(I787:T787,"X")</f>
        <v>0</v>
      </c>
      <c r="X787" s="101" t="n">
        <f aca="false">COUNTIF(I787:T787,"C2")+COUNTIF(I787:T787,"C3")</f>
        <v>0</v>
      </c>
      <c r="Y787" s="101" t="n">
        <f aca="true">SUMPRODUCT((I787:INDEX(I787:T787,MONTH(TODAY()))="X")*1)</f>
        <v>0</v>
      </c>
      <c r="Z787" s="104" t="n">
        <f aca="false">IFERROR(V787/U787,"")</f>
        <v>1</v>
      </c>
    </row>
    <row r="788" customFormat="false" ht="15" hidden="false" customHeight="true" outlineLevel="0" collapsed="false">
      <c r="A788" s="100" t="str">
        <f aca="false">Equipos!C786</f>
        <v>2-120575</v>
      </c>
      <c r="B788" s="101" t="str">
        <f aca="false">Equipos!D786</f>
        <v>Monitor Multiparámetros</v>
      </c>
      <c r="C788" s="101" t="str">
        <f aca="false">Equipos!E786</f>
        <v>UPC 3er Piso</v>
      </c>
      <c r="D788" s="101" t="str">
        <f aca="false">Equipos!G786</f>
        <v>Sala medico</v>
      </c>
      <c r="E788" s="101" t="str">
        <f aca="false">Equipos!I786</f>
        <v>SPACELABS HEALTHCARE</v>
      </c>
      <c r="F788" s="101" t="str">
        <f aca="false">Equipos!J786</f>
        <v>XPREZZON</v>
      </c>
      <c r="G788" s="100" t="str">
        <f aca="false">Equipos!K786</f>
        <v>1393-114598</v>
      </c>
      <c r="H788" s="101"/>
      <c r="I788" s="102"/>
      <c r="J788" s="102"/>
      <c r="K788" s="102"/>
      <c r="L788" s="102"/>
      <c r="M788" s="103" t="s">
        <v>328</v>
      </c>
      <c r="N788" s="102"/>
      <c r="O788" s="102"/>
      <c r="P788" s="102"/>
      <c r="Q788" s="102"/>
      <c r="R788" s="102"/>
      <c r="S788" s="102"/>
      <c r="T788" s="102"/>
      <c r="U788" s="101" t="n">
        <f aca="false">V788+W788+X788+COUNTIF(I788:T788,"R")</f>
        <v>1</v>
      </c>
      <c r="V788" s="101" t="n">
        <f aca="false">COUNTIF(I788:T788,"E")</f>
        <v>1</v>
      </c>
      <c r="W788" s="101" t="n">
        <f aca="false">COUNTIF(I788:T788,"X")</f>
        <v>0</v>
      </c>
      <c r="X788" s="101" t="n">
        <f aca="false">COUNTIF(I788:T788,"C2")+COUNTIF(I788:T788,"C3")</f>
        <v>0</v>
      </c>
      <c r="Y788" s="101" t="n">
        <f aca="true">SUMPRODUCT((I788:INDEX(I788:T788,MONTH(TODAY()))="X")*1)</f>
        <v>0</v>
      </c>
      <c r="Z788" s="104" t="n">
        <f aca="false">IFERROR(V788/U788,"")</f>
        <v>1</v>
      </c>
    </row>
    <row r="789" customFormat="false" ht="15" hidden="false" customHeight="true" outlineLevel="0" collapsed="false">
      <c r="A789" s="100" t="str">
        <f aca="false">Equipos!C787</f>
        <v>2-120576</v>
      </c>
      <c r="B789" s="101" t="str">
        <f aca="false">Equipos!D787</f>
        <v>Monitor Multiparámetros</v>
      </c>
      <c r="C789" s="101" t="str">
        <f aca="false">Equipos!E787</f>
        <v>UPC 3er Piso</v>
      </c>
      <c r="D789" s="101" t="str">
        <f aca="false">Equipos!G787</f>
        <v>Sala medico</v>
      </c>
      <c r="E789" s="101" t="str">
        <f aca="false">Equipos!I787</f>
        <v>SPACELABS HEALTHCARE</v>
      </c>
      <c r="F789" s="101" t="str">
        <f aca="false">Equipos!J787</f>
        <v>XPREZZON</v>
      </c>
      <c r="G789" s="100" t="str">
        <f aca="false">Equipos!K787</f>
        <v>1393-114593</v>
      </c>
      <c r="H789" s="101"/>
      <c r="I789" s="102"/>
      <c r="J789" s="102"/>
      <c r="K789" s="102"/>
      <c r="L789" s="102"/>
      <c r="M789" s="103" t="s">
        <v>328</v>
      </c>
      <c r="N789" s="102"/>
      <c r="O789" s="102"/>
      <c r="P789" s="102"/>
      <c r="Q789" s="102"/>
      <c r="R789" s="102"/>
      <c r="S789" s="102"/>
      <c r="T789" s="102"/>
      <c r="U789" s="101" t="n">
        <f aca="false">V789+W789+X789+COUNTIF(I789:T789,"R")</f>
        <v>1</v>
      </c>
      <c r="V789" s="101" t="n">
        <f aca="false">COUNTIF(I789:T789,"E")</f>
        <v>1</v>
      </c>
      <c r="W789" s="101" t="n">
        <f aca="false">COUNTIF(I789:T789,"X")</f>
        <v>0</v>
      </c>
      <c r="X789" s="101" t="n">
        <f aca="false">COUNTIF(I789:T789,"C2")+COUNTIF(I789:T789,"C3")</f>
        <v>0</v>
      </c>
      <c r="Y789" s="101" t="n">
        <f aca="true">SUMPRODUCT((I789:INDEX(I789:T789,MONTH(TODAY()))="X")*1)</f>
        <v>0</v>
      </c>
      <c r="Z789" s="104" t="n">
        <f aca="false">IFERROR(V789/U789,"")</f>
        <v>1</v>
      </c>
    </row>
    <row r="790" customFormat="false" ht="15" hidden="false" customHeight="true" outlineLevel="0" collapsed="false">
      <c r="A790" s="100" t="str">
        <f aca="false">Equipos!C788</f>
        <v>2-120572</v>
      </c>
      <c r="B790" s="101" t="str">
        <f aca="false">Equipos!D788</f>
        <v>Monitor Multiparámetros</v>
      </c>
      <c r="C790" s="101" t="str">
        <f aca="false">Equipos!E788</f>
        <v>UPC 3er Piso</v>
      </c>
      <c r="D790" s="101" t="str">
        <f aca="false">Equipos!G788</f>
        <v>UTI 4</v>
      </c>
      <c r="E790" s="101" t="str">
        <f aca="false">Equipos!I788</f>
        <v>SPACELABS HEALTHCARE</v>
      </c>
      <c r="F790" s="101" t="str">
        <f aca="false">Equipos!J788</f>
        <v>XPREZZON</v>
      </c>
      <c r="G790" s="100" t="str">
        <f aca="false">Equipos!K788</f>
        <v>1393-114597</v>
      </c>
      <c r="H790" s="101"/>
      <c r="I790" s="102"/>
      <c r="J790" s="102"/>
      <c r="K790" s="102"/>
      <c r="L790" s="102"/>
      <c r="M790" s="103" t="s">
        <v>328</v>
      </c>
      <c r="N790" s="102"/>
      <c r="O790" s="102"/>
      <c r="P790" s="102"/>
      <c r="Q790" s="102"/>
      <c r="R790" s="102"/>
      <c r="S790" s="102"/>
      <c r="T790" s="102"/>
      <c r="U790" s="101" t="n">
        <f aca="false">V790+W790+X790+COUNTIF(I790:T790,"R")</f>
        <v>1</v>
      </c>
      <c r="V790" s="101" t="n">
        <f aca="false">COUNTIF(I790:T790,"E")</f>
        <v>1</v>
      </c>
      <c r="W790" s="101" t="n">
        <f aca="false">COUNTIF(I790:T790,"X")</f>
        <v>0</v>
      </c>
      <c r="X790" s="101" t="n">
        <f aca="false">COUNTIF(I790:T790,"C2")+COUNTIF(I790:T790,"C3")</f>
        <v>0</v>
      </c>
      <c r="Y790" s="101" t="n">
        <f aca="true">SUMPRODUCT((I790:INDEX(I790:T790,MONTH(TODAY()))="X")*1)</f>
        <v>0</v>
      </c>
      <c r="Z790" s="104" t="n">
        <f aca="false">IFERROR(V790/U790,"")</f>
        <v>1</v>
      </c>
    </row>
    <row r="791" customFormat="false" ht="15" hidden="false" customHeight="true" outlineLevel="0" collapsed="false">
      <c r="A791" s="100" t="str">
        <f aca="false">Equipos!C789</f>
        <v>2-120573</v>
      </c>
      <c r="B791" s="101" t="str">
        <f aca="false">Equipos!D789</f>
        <v>Monitor Multiparámetros</v>
      </c>
      <c r="C791" s="101" t="str">
        <f aca="false">Equipos!E789</f>
        <v>UPC 3er Piso</v>
      </c>
      <c r="D791" s="101" t="str">
        <f aca="false">Equipos!G789</f>
        <v>UTI 3</v>
      </c>
      <c r="E791" s="101" t="str">
        <f aca="false">Equipos!I789</f>
        <v>SPACELABS HEALTHCARE</v>
      </c>
      <c r="F791" s="101" t="str">
        <f aca="false">Equipos!J789</f>
        <v>XPREZZON</v>
      </c>
      <c r="G791" s="100" t="str">
        <f aca="false">Equipos!K789</f>
        <v>1393-114596</v>
      </c>
      <c r="H791" s="101"/>
      <c r="I791" s="102"/>
      <c r="J791" s="102"/>
      <c r="K791" s="102"/>
      <c r="L791" s="102"/>
      <c r="M791" s="103" t="s">
        <v>328</v>
      </c>
      <c r="N791" s="102"/>
      <c r="O791" s="102"/>
      <c r="P791" s="102"/>
      <c r="Q791" s="102"/>
      <c r="R791" s="102"/>
      <c r="S791" s="102"/>
      <c r="T791" s="102"/>
      <c r="U791" s="101" t="n">
        <f aca="false">V791+W791+X791+COUNTIF(I791:T791,"R")</f>
        <v>1</v>
      </c>
      <c r="V791" s="101" t="n">
        <f aca="false">COUNTIF(I791:T791,"E")</f>
        <v>1</v>
      </c>
      <c r="W791" s="101" t="n">
        <f aca="false">COUNTIF(I791:T791,"X")</f>
        <v>0</v>
      </c>
      <c r="X791" s="101" t="n">
        <f aca="false">COUNTIF(I791:T791,"C2")+COUNTIF(I791:T791,"C3")</f>
        <v>0</v>
      </c>
      <c r="Y791" s="101" t="n">
        <f aca="true">SUMPRODUCT((I791:INDEX(I791:T791,MONTH(TODAY()))="X")*1)</f>
        <v>0</v>
      </c>
      <c r="Z791" s="104" t="n">
        <f aca="false">IFERROR(V791/U791,"")</f>
        <v>1</v>
      </c>
    </row>
    <row r="792" customFormat="false" ht="15" hidden="false" customHeight="true" outlineLevel="0" collapsed="false">
      <c r="A792" s="100" t="str">
        <f aca="false">Equipos!C790</f>
        <v>2-120776</v>
      </c>
      <c r="B792" s="101" t="str">
        <f aca="false">Equipos!D790</f>
        <v>Monitor Multiparámetros</v>
      </c>
      <c r="C792" s="101" t="str">
        <f aca="false">Equipos!E790</f>
        <v>UPC 3er Piso</v>
      </c>
      <c r="D792" s="101" t="str">
        <f aca="false">Equipos!G790</f>
        <v>Bodega</v>
      </c>
      <c r="E792" s="101" t="str">
        <f aca="false">Equipos!I790</f>
        <v>Mindray</v>
      </c>
      <c r="F792" s="101" t="str">
        <f aca="false">Equipos!J790</f>
        <v>UMEC12</v>
      </c>
      <c r="G792" s="100" t="str">
        <f aca="false">Equipos!K790</f>
        <v>KQ-04036895</v>
      </c>
      <c r="H792" s="101"/>
      <c r="I792" s="102"/>
      <c r="J792" s="102"/>
      <c r="K792" s="102"/>
      <c r="L792" s="102"/>
      <c r="M792" s="103" t="s">
        <v>329</v>
      </c>
      <c r="N792" s="102"/>
      <c r="O792" s="102"/>
      <c r="P792" s="102"/>
      <c r="Q792" s="102"/>
      <c r="R792" s="102"/>
      <c r="S792" s="102"/>
      <c r="T792" s="102"/>
      <c r="U792" s="101" t="n">
        <f aca="false">V792+W792+X792+COUNTIF(I792:T792,"R")</f>
        <v>1</v>
      </c>
      <c r="V792" s="101" t="n">
        <f aca="false">COUNTIF(I792:T792,"E")</f>
        <v>0</v>
      </c>
      <c r="W792" s="101" t="n">
        <f aca="false">COUNTIF(I792:T792,"X")</f>
        <v>1</v>
      </c>
      <c r="X792" s="101" t="n">
        <f aca="false">COUNTIF(I792:T792,"C2")+COUNTIF(I792:T792,"C3")</f>
        <v>0</v>
      </c>
      <c r="Y792" s="101" t="n">
        <f aca="true">SUMPRODUCT((I792:INDEX(I792:T792,MONTH(TODAY()))="X")*1)</f>
        <v>1</v>
      </c>
      <c r="Z792" s="104" t="n">
        <f aca="false">IFERROR(V792/U792,"")</f>
        <v>0</v>
      </c>
    </row>
    <row r="793" customFormat="false" ht="15" hidden="false" customHeight="true" outlineLevel="0" collapsed="false">
      <c r="A793" s="100" t="str">
        <f aca="false">Equipos!C791</f>
        <v>2-120804</v>
      </c>
      <c r="B793" s="101" t="str">
        <f aca="false">Equipos!D791</f>
        <v>Monitor Multiparámetros</v>
      </c>
      <c r="C793" s="101" t="str">
        <f aca="false">Equipos!E791</f>
        <v>Pabellón CMA</v>
      </c>
      <c r="D793" s="101" t="n">
        <f aca="false">Equipos!G791</f>
        <v>0</v>
      </c>
      <c r="E793" s="101" t="str">
        <f aca="false">Equipos!I791</f>
        <v>General Electric</v>
      </c>
      <c r="F793" s="101" t="str">
        <f aca="false">Equipos!J791</f>
        <v>B125</v>
      </c>
      <c r="G793" s="100" t="str">
        <f aca="false">Equipos!K791</f>
        <v>SQF20247942WA</v>
      </c>
      <c r="H793" s="101"/>
      <c r="I793" s="102"/>
      <c r="J793" s="102"/>
      <c r="K793" s="102"/>
      <c r="L793" s="102"/>
      <c r="M793" s="103" t="s">
        <v>329</v>
      </c>
      <c r="N793" s="102"/>
      <c r="O793" s="102"/>
      <c r="P793" s="102"/>
      <c r="Q793" s="102"/>
      <c r="R793" s="102"/>
      <c r="S793" s="102"/>
      <c r="T793" s="102"/>
      <c r="U793" s="101" t="n">
        <f aca="false">V793+W793+X793+COUNTIF(I793:T793,"R")</f>
        <v>1</v>
      </c>
      <c r="V793" s="101" t="n">
        <f aca="false">COUNTIF(I793:T793,"E")</f>
        <v>0</v>
      </c>
      <c r="W793" s="101" t="n">
        <f aca="false">COUNTIF(I793:T793,"X")</f>
        <v>1</v>
      </c>
      <c r="X793" s="101" t="n">
        <f aca="false">COUNTIF(I793:T793,"C2")+COUNTIF(I793:T793,"C3")</f>
        <v>0</v>
      </c>
      <c r="Y793" s="101" t="n">
        <f aca="true">SUMPRODUCT((I793:INDEX(I793:T793,MONTH(TODAY()))="X")*1)</f>
        <v>1</v>
      </c>
      <c r="Z793" s="104" t="n">
        <f aca="false">IFERROR(V793/U793,"")</f>
        <v>0</v>
      </c>
    </row>
    <row r="794" customFormat="false" ht="15" hidden="false" customHeight="true" outlineLevel="0" collapsed="false">
      <c r="A794" s="100" t="str">
        <f aca="false">Equipos!C792</f>
        <v>2-120805</v>
      </c>
      <c r="B794" s="101" t="str">
        <f aca="false">Equipos!D792</f>
        <v>Monitor Multiparámetros</v>
      </c>
      <c r="C794" s="101" t="str">
        <f aca="false">Equipos!E792</f>
        <v>Pabellón CMA</v>
      </c>
      <c r="D794" s="101" t="n">
        <f aca="false">Equipos!G792</f>
        <v>0</v>
      </c>
      <c r="E794" s="101" t="str">
        <f aca="false">Equipos!I792</f>
        <v>General Electric</v>
      </c>
      <c r="F794" s="101" t="str">
        <f aca="false">Equipos!J792</f>
        <v>B125</v>
      </c>
      <c r="G794" s="100" t="str">
        <f aca="false">Equipos!K792</f>
        <v>SQF20247940WA</v>
      </c>
      <c r="H794" s="101"/>
      <c r="I794" s="102"/>
      <c r="J794" s="102"/>
      <c r="K794" s="102"/>
      <c r="L794" s="102"/>
      <c r="M794" s="103" t="s">
        <v>329</v>
      </c>
      <c r="N794" s="102"/>
      <c r="O794" s="102"/>
      <c r="P794" s="102"/>
      <c r="Q794" s="102"/>
      <c r="R794" s="102"/>
      <c r="S794" s="102"/>
      <c r="T794" s="102"/>
      <c r="U794" s="101" t="n">
        <f aca="false">V794+W794+X794+COUNTIF(I794:T794,"R")</f>
        <v>1</v>
      </c>
      <c r="V794" s="101" t="n">
        <f aca="false">COUNTIF(I794:T794,"E")</f>
        <v>0</v>
      </c>
      <c r="W794" s="101" t="n">
        <f aca="false">COUNTIF(I794:T794,"X")</f>
        <v>1</v>
      </c>
      <c r="X794" s="101" t="n">
        <f aca="false">COUNTIF(I794:T794,"C2")+COUNTIF(I794:T794,"C3")</f>
        <v>0</v>
      </c>
      <c r="Y794" s="101" t="n">
        <f aca="true">SUMPRODUCT((I794:INDEX(I794:T794,MONTH(TODAY()))="X")*1)</f>
        <v>1</v>
      </c>
      <c r="Z794" s="104" t="n">
        <f aca="false">IFERROR(V794/U794,"")</f>
        <v>0</v>
      </c>
    </row>
    <row r="795" customFormat="false" ht="15" hidden="false" customHeight="true" outlineLevel="0" collapsed="false">
      <c r="A795" s="100" t="str">
        <f aca="false">Equipos!C793</f>
        <v>2-120827</v>
      </c>
      <c r="B795" s="101" t="str">
        <f aca="false">Equipos!D793</f>
        <v>Monitor Multiparámetros</v>
      </c>
      <c r="C795" s="101" t="str">
        <f aca="false">Equipos!E793</f>
        <v>UPC 3er Piso</v>
      </c>
      <c r="D795" s="101" t="str">
        <f aca="false">Equipos!G793</f>
        <v>UCI 8</v>
      </c>
      <c r="E795" s="101" t="str">
        <f aca="false">Equipos!I793</f>
        <v>Drager</v>
      </c>
      <c r="F795" s="101" t="str">
        <f aca="false">Equipos!J793</f>
        <v>Infinity Kappa</v>
      </c>
      <c r="G795" s="100" t="str">
        <f aca="false">Equipos!K793</f>
        <v>5495845056</v>
      </c>
      <c r="H795" s="101"/>
      <c r="I795" s="102"/>
      <c r="J795" s="102"/>
      <c r="K795" s="102"/>
      <c r="L795" s="102"/>
      <c r="M795" s="103" t="s">
        <v>329</v>
      </c>
      <c r="N795" s="102"/>
      <c r="O795" s="102"/>
      <c r="P795" s="102"/>
      <c r="Q795" s="102"/>
      <c r="R795" s="102"/>
      <c r="S795" s="102"/>
      <c r="T795" s="102"/>
      <c r="U795" s="101" t="n">
        <f aca="false">V795+W795+X795+COUNTIF(I795:T795,"R")</f>
        <v>1</v>
      </c>
      <c r="V795" s="101" t="n">
        <f aca="false">COUNTIF(I795:T795,"E")</f>
        <v>0</v>
      </c>
      <c r="W795" s="101" t="n">
        <f aca="false">COUNTIF(I795:T795,"X")</f>
        <v>1</v>
      </c>
      <c r="X795" s="101" t="n">
        <f aca="false">COUNTIF(I795:T795,"C2")+COUNTIF(I795:T795,"C3")</f>
        <v>0</v>
      </c>
      <c r="Y795" s="101" t="n">
        <f aca="true">SUMPRODUCT((I795:INDEX(I795:T795,MONTH(TODAY()))="X")*1)</f>
        <v>1</v>
      </c>
      <c r="Z795" s="104" t="n">
        <f aca="false">IFERROR(V795/U795,"")</f>
        <v>0</v>
      </c>
    </row>
    <row r="796" customFormat="false" ht="15" hidden="false" customHeight="true" outlineLevel="0" collapsed="false">
      <c r="A796" s="100" t="str">
        <f aca="false">Equipos!C794</f>
        <v>2-120925</v>
      </c>
      <c r="B796" s="101" t="str">
        <f aca="false">Equipos!D794</f>
        <v>Monitor Multiparámetros</v>
      </c>
      <c r="C796" s="101" t="str">
        <f aca="false">Equipos!E794</f>
        <v>Urgencia Adulto</v>
      </c>
      <c r="D796" s="101" t="str">
        <f aca="false">Equipos!G794</f>
        <v>Observación 4</v>
      </c>
      <c r="E796" s="101" t="str">
        <f aca="false">Equipos!I794</f>
        <v>Drager</v>
      </c>
      <c r="F796" s="101" t="str">
        <f aca="false">Equipos!J794</f>
        <v>Vista 120</v>
      </c>
      <c r="G796" s="100" t="str">
        <f aca="false">Equipos!K794</f>
        <v>VGSNE3867</v>
      </c>
      <c r="H796" s="101"/>
      <c r="I796" s="102"/>
      <c r="J796" s="102"/>
      <c r="K796" s="103" t="s">
        <v>328</v>
      </c>
      <c r="L796" s="102"/>
      <c r="M796" s="102"/>
      <c r="N796" s="102"/>
      <c r="O796" s="102"/>
      <c r="P796" s="102"/>
      <c r="Q796" s="102"/>
      <c r="R796" s="102"/>
      <c r="S796" s="102"/>
      <c r="T796" s="102"/>
      <c r="U796" s="101" t="n">
        <f aca="false">V796+W796+X796+COUNTIF(I796:T796,"R")</f>
        <v>1</v>
      </c>
      <c r="V796" s="101" t="n">
        <f aca="false">COUNTIF(I796:T796,"E")</f>
        <v>1</v>
      </c>
      <c r="W796" s="101" t="n">
        <f aca="false">COUNTIF(I796:T796,"X")</f>
        <v>0</v>
      </c>
      <c r="X796" s="101" t="n">
        <f aca="false">COUNTIF(I796:T796,"C2")+COUNTIF(I796:T796,"C3")</f>
        <v>0</v>
      </c>
      <c r="Y796" s="101" t="n">
        <f aca="true">SUMPRODUCT((I796:INDEX(I796:T796,MONTH(TODAY()))="X")*1)</f>
        <v>0</v>
      </c>
      <c r="Z796" s="104" t="n">
        <f aca="false">IFERROR(V796/U796,"")</f>
        <v>1</v>
      </c>
    </row>
    <row r="797" customFormat="false" ht="15" hidden="false" customHeight="true" outlineLevel="0" collapsed="false">
      <c r="A797" s="100" t="str">
        <f aca="false">Equipos!C795</f>
        <v>2-120924</v>
      </c>
      <c r="B797" s="101" t="str">
        <f aca="false">Equipos!D795</f>
        <v>Monitor Multiparámetros</v>
      </c>
      <c r="C797" s="101" t="str">
        <f aca="false">Equipos!E795</f>
        <v>Urgencia Adulto</v>
      </c>
      <c r="D797" s="101" t="str">
        <f aca="false">Equipos!G795</f>
        <v>Observación 6</v>
      </c>
      <c r="E797" s="101" t="str">
        <f aca="false">Equipos!I795</f>
        <v>Drager</v>
      </c>
      <c r="F797" s="101" t="str">
        <f aca="false">Equipos!J795</f>
        <v>Vista 120</v>
      </c>
      <c r="G797" s="100" t="str">
        <f aca="false">Equipos!K795</f>
        <v>VGSNE3877</v>
      </c>
      <c r="H797" s="101"/>
      <c r="I797" s="102"/>
      <c r="J797" s="102"/>
      <c r="K797" s="103" t="s">
        <v>332</v>
      </c>
      <c r="L797" s="102"/>
      <c r="M797" s="102"/>
      <c r="N797" s="102"/>
      <c r="O797" s="102"/>
      <c r="P797" s="102"/>
      <c r="Q797" s="102"/>
      <c r="R797" s="102"/>
      <c r="S797" s="102"/>
      <c r="T797" s="102"/>
      <c r="U797" s="101" t="n">
        <f aca="false">V797+W797+X797+COUNTIF(I797:T797,"R")</f>
        <v>1</v>
      </c>
      <c r="V797" s="101" t="n">
        <f aca="false">COUNTIF(I797:T797,"E")</f>
        <v>0</v>
      </c>
      <c r="W797" s="101" t="n">
        <f aca="false">COUNTIF(I797:T797,"X")</f>
        <v>0</v>
      </c>
      <c r="X797" s="101" t="n">
        <f aca="false">COUNTIF(I797:T797,"C2")+COUNTIF(I797:T797,"C3")</f>
        <v>1</v>
      </c>
      <c r="Y797" s="101" t="n">
        <f aca="true">SUMPRODUCT((I797:INDEX(I797:T797,MONTH(TODAY()))="X")*1)</f>
        <v>0</v>
      </c>
      <c r="Z797" s="104" t="n">
        <f aca="false">IFERROR(V797/U797,"")</f>
        <v>0</v>
      </c>
    </row>
    <row r="798" customFormat="false" ht="15" hidden="false" customHeight="true" outlineLevel="0" collapsed="false">
      <c r="A798" s="100" t="str">
        <f aca="false">Equipos!C796</f>
        <v>2-120923</v>
      </c>
      <c r="B798" s="101" t="str">
        <f aca="false">Equipos!D796</f>
        <v>Monitor Multiparámetros</v>
      </c>
      <c r="C798" s="101" t="str">
        <f aca="false">Equipos!E796</f>
        <v>Urgencia Adulto</v>
      </c>
      <c r="D798" s="101" t="str">
        <f aca="false">Equipos!G796</f>
        <v>Observación 5</v>
      </c>
      <c r="E798" s="101" t="str">
        <f aca="false">Equipos!I796</f>
        <v>Drager</v>
      </c>
      <c r="F798" s="101" t="str">
        <f aca="false">Equipos!J796</f>
        <v>Vista 120</v>
      </c>
      <c r="G798" s="100" t="str">
        <f aca="false">Equipos!K796</f>
        <v>VGSNE3864</v>
      </c>
      <c r="H798" s="101"/>
      <c r="I798" s="102"/>
      <c r="J798" s="102"/>
      <c r="K798" s="103" t="s">
        <v>328</v>
      </c>
      <c r="L798" s="102"/>
      <c r="M798" s="102"/>
      <c r="N798" s="102"/>
      <c r="O798" s="102"/>
      <c r="P798" s="102"/>
      <c r="Q798" s="102"/>
      <c r="R798" s="102"/>
      <c r="S798" s="102"/>
      <c r="T798" s="102"/>
      <c r="U798" s="101" t="n">
        <f aca="false">V798+W798+X798+COUNTIF(I798:T798,"R")</f>
        <v>1</v>
      </c>
      <c r="V798" s="101" t="n">
        <f aca="false">COUNTIF(I798:T798,"E")</f>
        <v>1</v>
      </c>
      <c r="W798" s="101" t="n">
        <f aca="false">COUNTIF(I798:T798,"X")</f>
        <v>0</v>
      </c>
      <c r="X798" s="101" t="n">
        <f aca="false">COUNTIF(I798:T798,"C2")+COUNTIF(I798:T798,"C3")</f>
        <v>0</v>
      </c>
      <c r="Y798" s="101" t="n">
        <f aca="true">SUMPRODUCT((I798:INDEX(I798:T798,MONTH(TODAY()))="X")*1)</f>
        <v>0</v>
      </c>
      <c r="Z798" s="104" t="n">
        <f aca="false">IFERROR(V798/U798,"")</f>
        <v>1</v>
      </c>
    </row>
    <row r="799" customFormat="false" ht="15" hidden="false" customHeight="true" outlineLevel="0" collapsed="false">
      <c r="A799" s="100" t="str">
        <f aca="false">Equipos!C797</f>
        <v>2-120922</v>
      </c>
      <c r="B799" s="101" t="str">
        <f aca="false">Equipos!D797</f>
        <v>Monitor Multiparámetros</v>
      </c>
      <c r="C799" s="101" t="str">
        <f aca="false">Equipos!E797</f>
        <v>Urgencia Adulto</v>
      </c>
      <c r="D799" s="101" t="str">
        <f aca="false">Equipos!G797</f>
        <v>Box 4 SAR</v>
      </c>
      <c r="E799" s="101" t="str">
        <f aca="false">Equipos!I797</f>
        <v>Drager</v>
      </c>
      <c r="F799" s="101" t="str">
        <f aca="false">Equipos!J797</f>
        <v>Vista 120</v>
      </c>
      <c r="G799" s="100" t="str">
        <f aca="false">Equipos!K797</f>
        <v>VGSNE3830</v>
      </c>
      <c r="H799" s="101"/>
      <c r="I799" s="102"/>
      <c r="J799" s="102"/>
      <c r="K799" s="103" t="s">
        <v>328</v>
      </c>
      <c r="L799" s="102"/>
      <c r="M799" s="102"/>
      <c r="N799" s="102"/>
      <c r="O799" s="102"/>
      <c r="P799" s="102"/>
      <c r="Q799" s="102"/>
      <c r="R799" s="102"/>
      <c r="S799" s="102"/>
      <c r="T799" s="102"/>
      <c r="U799" s="101" t="n">
        <f aca="false">V799+W799+X799+COUNTIF(I799:T799,"R")</f>
        <v>1</v>
      </c>
      <c r="V799" s="101" t="n">
        <f aca="false">COUNTIF(I799:T799,"E")</f>
        <v>1</v>
      </c>
      <c r="W799" s="101" t="n">
        <f aca="false">COUNTIF(I799:T799,"X")</f>
        <v>0</v>
      </c>
      <c r="X799" s="101" t="n">
        <f aca="false">COUNTIF(I799:T799,"C2")+COUNTIF(I799:T799,"C3")</f>
        <v>0</v>
      </c>
      <c r="Y799" s="101" t="n">
        <f aca="true">SUMPRODUCT((I799:INDEX(I799:T799,MONTH(TODAY()))="X")*1)</f>
        <v>0</v>
      </c>
      <c r="Z799" s="104" t="n">
        <f aca="false">IFERROR(V799/U799,"")</f>
        <v>1</v>
      </c>
    </row>
    <row r="800" customFormat="false" ht="15" hidden="false" customHeight="true" outlineLevel="0" collapsed="false">
      <c r="A800" s="100" t="str">
        <f aca="false">Equipos!C798</f>
        <v>2-120949</v>
      </c>
      <c r="B800" s="101" t="str">
        <f aca="false">Equipos!D798</f>
        <v>Monitor Multiparámetros</v>
      </c>
      <c r="C800" s="101" t="str">
        <f aca="false">Equipos!E798</f>
        <v>Ginecología</v>
      </c>
      <c r="D800" s="101" t="n">
        <f aca="false">Equipos!G798</f>
        <v>0</v>
      </c>
      <c r="E800" s="101" t="str">
        <f aca="false">Equipos!I798</f>
        <v>Mindray</v>
      </c>
      <c r="F800" s="101" t="str">
        <f aca="false">Equipos!J798</f>
        <v>UMEC12</v>
      </c>
      <c r="G800" s="100" t="str">
        <f aca="false">Equipos!K798</f>
        <v>KQ-04036808</v>
      </c>
      <c r="H800" s="101"/>
      <c r="I800" s="102"/>
      <c r="J800" s="102"/>
      <c r="K800" s="102"/>
      <c r="L800" s="102"/>
      <c r="M800" s="103" t="s">
        <v>329</v>
      </c>
      <c r="N800" s="102"/>
      <c r="O800" s="102"/>
      <c r="P800" s="102"/>
      <c r="Q800" s="102"/>
      <c r="R800" s="102"/>
      <c r="S800" s="102"/>
      <c r="T800" s="102"/>
      <c r="U800" s="101" t="n">
        <f aca="false">V800+W800+X800+COUNTIF(I800:T800,"R")</f>
        <v>1</v>
      </c>
      <c r="V800" s="101" t="n">
        <f aca="false">COUNTIF(I800:T800,"E")</f>
        <v>0</v>
      </c>
      <c r="W800" s="101" t="n">
        <f aca="false">COUNTIF(I800:T800,"X")</f>
        <v>1</v>
      </c>
      <c r="X800" s="101" t="n">
        <f aca="false">COUNTIF(I800:T800,"C2")+COUNTIF(I800:T800,"C3")</f>
        <v>0</v>
      </c>
      <c r="Y800" s="101" t="n">
        <f aca="true">SUMPRODUCT((I800:INDEX(I800:T800,MONTH(TODAY()))="X")*1)</f>
        <v>1</v>
      </c>
      <c r="Z800" s="104" t="n">
        <f aca="false">IFERROR(V800/U800,"")</f>
        <v>0</v>
      </c>
    </row>
    <row r="801" customFormat="false" ht="15" hidden="false" customHeight="true" outlineLevel="0" collapsed="false">
      <c r="A801" s="100" t="str">
        <f aca="false">Equipos!C799</f>
        <v>2-120996</v>
      </c>
      <c r="B801" s="101" t="str">
        <f aca="false">Equipos!D799</f>
        <v>Monitor Multiparámetros</v>
      </c>
      <c r="C801" s="101" t="str">
        <f aca="false">Equipos!E799</f>
        <v>Urgencia Adulto</v>
      </c>
      <c r="D801" s="101" t="str">
        <f aca="false">Equipos!G799</f>
        <v>Box B-5</v>
      </c>
      <c r="E801" s="101" t="str">
        <f aca="false">Equipos!I799</f>
        <v>Nihon Kohden </v>
      </c>
      <c r="F801" s="101" t="str">
        <f aca="false">Equipos!J799</f>
        <v>PVM-4763</v>
      </c>
      <c r="G801" s="100" t="str">
        <f aca="false">Equipos!K799</f>
        <v>3319</v>
      </c>
      <c r="H801" s="101"/>
      <c r="I801" s="102"/>
      <c r="J801" s="102"/>
      <c r="K801" s="103" t="s">
        <v>328</v>
      </c>
      <c r="L801" s="102"/>
      <c r="M801" s="102"/>
      <c r="N801" s="102"/>
      <c r="O801" s="102"/>
      <c r="P801" s="102"/>
      <c r="Q801" s="102"/>
      <c r="R801" s="102"/>
      <c r="S801" s="102"/>
      <c r="T801" s="102"/>
      <c r="U801" s="101" t="n">
        <f aca="false">V801+W801+X801+COUNTIF(I801:T801,"R")</f>
        <v>1</v>
      </c>
      <c r="V801" s="101" t="n">
        <f aca="false">COUNTIF(I801:T801,"E")</f>
        <v>1</v>
      </c>
      <c r="W801" s="101" t="n">
        <f aca="false">COUNTIF(I801:T801,"X")</f>
        <v>0</v>
      </c>
      <c r="X801" s="101" t="n">
        <f aca="false">COUNTIF(I801:T801,"C2")+COUNTIF(I801:T801,"C3")</f>
        <v>0</v>
      </c>
      <c r="Y801" s="101" t="n">
        <f aca="true">SUMPRODUCT((I801:INDEX(I801:T801,MONTH(TODAY()))="X")*1)</f>
        <v>0</v>
      </c>
      <c r="Z801" s="104" t="n">
        <f aca="false">IFERROR(V801/U801,"")</f>
        <v>1</v>
      </c>
    </row>
    <row r="802" customFormat="false" ht="15" hidden="false" customHeight="true" outlineLevel="0" collapsed="false">
      <c r="A802" s="100" t="str">
        <f aca="false">Equipos!C800</f>
        <v>2-120994</v>
      </c>
      <c r="B802" s="101" t="str">
        <f aca="false">Equipos!D800</f>
        <v>Monitor Multiparámetros</v>
      </c>
      <c r="C802" s="101" t="str">
        <f aca="false">Equipos!E800</f>
        <v>Urgencia Adulto</v>
      </c>
      <c r="D802" s="101" t="str">
        <f aca="false">Equipos!G800</f>
        <v>Cirug√≠a box 1</v>
      </c>
      <c r="E802" s="101" t="str">
        <f aca="false">Equipos!I800</f>
        <v>Nihon Kohden </v>
      </c>
      <c r="F802" s="101" t="str">
        <f aca="false">Equipos!J800</f>
        <v>PVM-4763</v>
      </c>
      <c r="G802" s="100" t="str">
        <f aca="false">Equipos!K800</f>
        <v>3326</v>
      </c>
      <c r="H802" s="101"/>
      <c r="I802" s="102"/>
      <c r="J802" s="102"/>
      <c r="K802" s="103" t="s">
        <v>328</v>
      </c>
      <c r="L802" s="102"/>
      <c r="M802" s="102"/>
      <c r="N802" s="102"/>
      <c r="O802" s="102"/>
      <c r="P802" s="102"/>
      <c r="Q802" s="102"/>
      <c r="R802" s="102"/>
      <c r="S802" s="102"/>
      <c r="T802" s="102"/>
      <c r="U802" s="101" t="n">
        <f aca="false">V802+W802+X802+COUNTIF(I802:T802,"R")</f>
        <v>1</v>
      </c>
      <c r="V802" s="101" t="n">
        <f aca="false">COUNTIF(I802:T802,"E")</f>
        <v>1</v>
      </c>
      <c r="W802" s="101" t="n">
        <f aca="false">COUNTIF(I802:T802,"X")</f>
        <v>0</v>
      </c>
      <c r="X802" s="101" t="n">
        <f aca="false">COUNTIF(I802:T802,"C2")+COUNTIF(I802:T802,"C3")</f>
        <v>0</v>
      </c>
      <c r="Y802" s="101" t="n">
        <f aca="true">SUMPRODUCT((I802:INDEX(I802:T802,MONTH(TODAY()))="X")*1)</f>
        <v>0</v>
      </c>
      <c r="Z802" s="104" t="n">
        <f aca="false">IFERROR(V802/U802,"")</f>
        <v>1</v>
      </c>
    </row>
    <row r="803" customFormat="false" ht="15" hidden="false" customHeight="true" outlineLevel="0" collapsed="false">
      <c r="A803" s="100" t="str">
        <f aca="false">Equipos!C801</f>
        <v>2-120995</v>
      </c>
      <c r="B803" s="101" t="str">
        <f aca="false">Equipos!D801</f>
        <v>Monitor Multiparámetros</v>
      </c>
      <c r="C803" s="101" t="str">
        <f aca="false">Equipos!E801</f>
        <v>Urgencia Adulto</v>
      </c>
      <c r="D803" s="101" t="str">
        <f aca="false">Equipos!G801</f>
        <v>TMT</v>
      </c>
      <c r="E803" s="101" t="str">
        <f aca="false">Equipos!I801</f>
        <v>Nihon Kohden </v>
      </c>
      <c r="F803" s="101" t="str">
        <f aca="false">Equipos!J801</f>
        <v>PVM-4763</v>
      </c>
      <c r="G803" s="100" t="str">
        <f aca="false">Equipos!K801</f>
        <v>3318</v>
      </c>
      <c r="H803" s="101"/>
      <c r="I803" s="102"/>
      <c r="J803" s="102"/>
      <c r="K803" s="103" t="s">
        <v>328</v>
      </c>
      <c r="L803" s="102"/>
      <c r="M803" s="102"/>
      <c r="N803" s="102"/>
      <c r="O803" s="102"/>
      <c r="P803" s="102"/>
      <c r="Q803" s="102"/>
      <c r="R803" s="102"/>
      <c r="S803" s="102"/>
      <c r="T803" s="102"/>
      <c r="U803" s="101" t="n">
        <f aca="false">V803+W803+X803+COUNTIF(I803:T803,"R")</f>
        <v>1</v>
      </c>
      <c r="V803" s="101" t="n">
        <f aca="false">COUNTIF(I803:T803,"E")</f>
        <v>1</v>
      </c>
      <c r="W803" s="101" t="n">
        <f aca="false">COUNTIF(I803:T803,"X")</f>
        <v>0</v>
      </c>
      <c r="X803" s="101" t="n">
        <f aca="false">COUNTIF(I803:T803,"C2")+COUNTIF(I803:T803,"C3")</f>
        <v>0</v>
      </c>
      <c r="Y803" s="101" t="n">
        <f aca="true">SUMPRODUCT((I803:INDEX(I803:T803,MONTH(TODAY()))="X")*1)</f>
        <v>0</v>
      </c>
      <c r="Z803" s="104" t="n">
        <f aca="false">IFERROR(V803/U803,"")</f>
        <v>1</v>
      </c>
    </row>
    <row r="804" customFormat="false" ht="15" hidden="false" customHeight="true" outlineLevel="0" collapsed="false">
      <c r="A804" s="100" t="str">
        <f aca="false">Equipos!C802</f>
        <v>2-121004</v>
      </c>
      <c r="B804" s="101" t="str">
        <f aca="false">Equipos!D802</f>
        <v>Monitor Multiparámetros</v>
      </c>
      <c r="C804" s="101" t="str">
        <f aca="false">Equipos!E802</f>
        <v>Servicio Social</v>
      </c>
      <c r="D804" s="101" t="str">
        <f aca="false">Equipos!G802</f>
        <v>Domicilio</v>
      </c>
      <c r="E804" s="101" t="str">
        <f aca="false">Equipos!I802</f>
        <v>Creative Medical</v>
      </c>
      <c r="F804" s="101" t="str">
        <f aca="false">Equipos!J802</f>
        <v>UP-7000</v>
      </c>
      <c r="G804" s="100" t="str">
        <f aca="false">Equipos!K802</f>
        <v>J3300QF04734</v>
      </c>
      <c r="H804" s="101"/>
      <c r="I804" s="102"/>
      <c r="J804" s="102"/>
      <c r="K804" s="102"/>
      <c r="L804" s="103" t="s">
        <v>328</v>
      </c>
      <c r="M804" s="102"/>
      <c r="N804" s="102"/>
      <c r="O804" s="102"/>
      <c r="P804" s="102"/>
      <c r="Q804" s="102"/>
      <c r="R804" s="102"/>
      <c r="S804" s="102"/>
      <c r="T804" s="102"/>
      <c r="U804" s="101" t="n">
        <f aca="false">V804+W804+X804+COUNTIF(I804:T804,"R")</f>
        <v>1</v>
      </c>
      <c r="V804" s="101" t="n">
        <f aca="false">COUNTIF(I804:T804,"E")</f>
        <v>1</v>
      </c>
      <c r="W804" s="101" t="n">
        <f aca="false">COUNTIF(I804:T804,"X")</f>
        <v>0</v>
      </c>
      <c r="X804" s="101" t="n">
        <f aca="false">COUNTIF(I804:T804,"C2")+COUNTIF(I804:T804,"C3")</f>
        <v>0</v>
      </c>
      <c r="Y804" s="101" t="n">
        <f aca="true">SUMPRODUCT((I804:INDEX(I804:T804,MONTH(TODAY()))="X")*1)</f>
        <v>0</v>
      </c>
      <c r="Z804" s="104" t="n">
        <f aca="false">IFERROR(V804/U804,"")</f>
        <v>1</v>
      </c>
    </row>
    <row r="805" customFormat="false" ht="15" hidden="false" customHeight="true" outlineLevel="0" collapsed="false">
      <c r="A805" s="100" t="str">
        <f aca="false">Equipos!C803</f>
        <v>2-121002</v>
      </c>
      <c r="B805" s="101" t="str">
        <f aca="false">Equipos!D803</f>
        <v>Monitor Multiparámetros</v>
      </c>
      <c r="C805" s="101" t="str">
        <f aca="false">Equipos!E803</f>
        <v>Servicio Social</v>
      </c>
      <c r="D805" s="101" t="str">
        <f aca="false">Equipos!G803</f>
        <v>Domicilio</v>
      </c>
      <c r="E805" s="101" t="str">
        <f aca="false">Equipos!I803</f>
        <v>Sinohero</v>
      </c>
      <c r="F805" s="101" t="str">
        <f aca="false">Equipos!J803</f>
        <v>H5</v>
      </c>
      <c r="G805" s="100" t="str">
        <f aca="false">Equipos!K803</f>
        <v>PSHH501479</v>
      </c>
      <c r="H805" s="101"/>
      <c r="I805" s="102"/>
      <c r="J805" s="102"/>
      <c r="K805" s="102"/>
      <c r="L805" s="103" t="s">
        <v>330</v>
      </c>
      <c r="M805" s="103" t="s">
        <v>328</v>
      </c>
      <c r="N805" s="102"/>
      <c r="O805" s="102"/>
      <c r="P805" s="102"/>
      <c r="Q805" s="102"/>
      <c r="R805" s="102"/>
      <c r="S805" s="102"/>
      <c r="T805" s="102"/>
      <c r="U805" s="101" t="n">
        <f aca="false">V805+W805+X805+COUNTIF(I805:T805,"R")</f>
        <v>2</v>
      </c>
      <c r="V805" s="101" t="n">
        <f aca="false">COUNTIF(I805:T805,"E")</f>
        <v>1</v>
      </c>
      <c r="W805" s="101" t="n">
        <f aca="false">COUNTIF(I805:T805,"X")</f>
        <v>0</v>
      </c>
      <c r="X805" s="101" t="n">
        <f aca="false">COUNTIF(I805:T805,"C2")+COUNTIF(I805:T805,"C3")</f>
        <v>0</v>
      </c>
      <c r="Y805" s="101" t="n">
        <f aca="true">SUMPRODUCT((I805:INDEX(I805:T805,MONTH(TODAY()))="X")*1)</f>
        <v>0</v>
      </c>
      <c r="Z805" s="104" t="n">
        <f aca="false">IFERROR(V805/U805,"")</f>
        <v>0.5</v>
      </c>
    </row>
    <row r="806" customFormat="false" ht="15" hidden="false" customHeight="true" outlineLevel="0" collapsed="false">
      <c r="A806" s="100" t="str">
        <f aca="false">Equipos!C804</f>
        <v>2-121003</v>
      </c>
      <c r="B806" s="101" t="str">
        <f aca="false">Equipos!D804</f>
        <v>Monitor Multiparámetros</v>
      </c>
      <c r="C806" s="101" t="str">
        <f aca="false">Equipos!E804</f>
        <v>Servicio Social</v>
      </c>
      <c r="D806" s="101" t="str">
        <f aca="false">Equipos!G804</f>
        <v>Oficina Supervisora</v>
      </c>
      <c r="E806" s="101" t="str">
        <f aca="false">Equipos!I804</f>
        <v>Creative Medical</v>
      </c>
      <c r="F806" s="101" t="str">
        <f aca="false">Equipos!J804</f>
        <v>UP-7000</v>
      </c>
      <c r="G806" s="100" t="str">
        <f aca="false">Equipos!K804</f>
        <v>J3300QF04724</v>
      </c>
      <c r="H806" s="101"/>
      <c r="I806" s="102"/>
      <c r="J806" s="102"/>
      <c r="K806" s="102"/>
      <c r="L806" s="103" t="s">
        <v>328</v>
      </c>
      <c r="M806" s="102"/>
      <c r="N806" s="102"/>
      <c r="O806" s="102"/>
      <c r="P806" s="102"/>
      <c r="Q806" s="102"/>
      <c r="R806" s="102"/>
      <c r="S806" s="102"/>
      <c r="T806" s="102"/>
      <c r="U806" s="101" t="n">
        <f aca="false">V806+W806+X806+COUNTIF(I806:T806,"R")</f>
        <v>1</v>
      </c>
      <c r="V806" s="101" t="n">
        <f aca="false">COUNTIF(I806:T806,"E")</f>
        <v>1</v>
      </c>
      <c r="W806" s="101" t="n">
        <f aca="false">COUNTIF(I806:T806,"X")</f>
        <v>0</v>
      </c>
      <c r="X806" s="101" t="n">
        <f aca="false">COUNTIF(I806:T806,"C2")+COUNTIF(I806:T806,"C3")</f>
        <v>0</v>
      </c>
      <c r="Y806" s="101" t="n">
        <f aca="true">SUMPRODUCT((I806:INDEX(I806:T806,MONTH(TODAY()))="X")*1)</f>
        <v>0</v>
      </c>
      <c r="Z806" s="104" t="n">
        <f aca="false">IFERROR(V806/U806,"")</f>
        <v>1</v>
      </c>
    </row>
    <row r="807" customFormat="false" ht="15" hidden="false" customHeight="true" outlineLevel="0" collapsed="false">
      <c r="A807" s="100" t="str">
        <f aca="false">Equipos!C805</f>
        <v>2-121190</v>
      </c>
      <c r="B807" s="101" t="str">
        <f aca="false">Equipos!D805</f>
        <v>Monitor Multiparámetros</v>
      </c>
      <c r="C807" s="101" t="str">
        <f aca="false">Equipos!E805</f>
        <v>Medicina</v>
      </c>
      <c r="D807" s="101" t="str">
        <f aca="false">Equipos!G805</f>
        <v>511-2E</v>
      </c>
      <c r="E807" s="101" t="str">
        <f aca="false">Equipos!I805</f>
        <v>Nihon Kohden </v>
      </c>
      <c r="F807" s="101" t="str">
        <f aca="false">Equipos!J805</f>
        <v>BSM-3562K</v>
      </c>
      <c r="G807" s="100" t="str">
        <f aca="false">Equipos!K805</f>
        <v>29791</v>
      </c>
      <c r="H807" s="101"/>
      <c r="I807" s="102"/>
      <c r="J807" s="103" t="s">
        <v>328</v>
      </c>
      <c r="K807" s="102"/>
      <c r="L807" s="102"/>
      <c r="M807" s="102"/>
      <c r="N807" s="102"/>
      <c r="O807" s="102"/>
      <c r="P807" s="102"/>
      <c r="Q807" s="102"/>
      <c r="R807" s="102"/>
      <c r="S807" s="102"/>
      <c r="T807" s="102"/>
      <c r="U807" s="101" t="n">
        <f aca="false">V807+W807+X807+COUNTIF(I807:T807,"R")</f>
        <v>1</v>
      </c>
      <c r="V807" s="101" t="n">
        <f aca="false">COUNTIF(I807:T807,"E")</f>
        <v>1</v>
      </c>
      <c r="W807" s="101" t="n">
        <f aca="false">COUNTIF(I807:T807,"X")</f>
        <v>0</v>
      </c>
      <c r="X807" s="101" t="n">
        <f aca="false">COUNTIF(I807:T807,"C2")+COUNTIF(I807:T807,"C3")</f>
        <v>0</v>
      </c>
      <c r="Y807" s="101" t="n">
        <f aca="true">SUMPRODUCT((I807:INDEX(I807:T807,MONTH(TODAY()))="X")*1)</f>
        <v>0</v>
      </c>
      <c r="Z807" s="104" t="n">
        <f aca="false">IFERROR(V807/U807,"")</f>
        <v>1</v>
      </c>
    </row>
    <row r="808" customFormat="false" ht="15" hidden="false" customHeight="true" outlineLevel="0" collapsed="false">
      <c r="A808" s="100" t="str">
        <f aca="false">Equipos!C806</f>
        <v>2-121191</v>
      </c>
      <c r="B808" s="101" t="str">
        <f aca="false">Equipos!D806</f>
        <v>Monitor Multiparámetros</v>
      </c>
      <c r="C808" s="101" t="str">
        <f aca="false">Equipos!E806</f>
        <v>Medicina</v>
      </c>
      <c r="D808" s="101" t="str">
        <f aca="false">Equipos!G806</f>
        <v>510-3E</v>
      </c>
      <c r="E808" s="101" t="str">
        <f aca="false">Equipos!I806</f>
        <v>Nihon Kohden </v>
      </c>
      <c r="F808" s="101" t="str">
        <f aca="false">Equipos!J806</f>
        <v>BSM-3562K</v>
      </c>
      <c r="G808" s="100" t="str">
        <f aca="false">Equipos!K806</f>
        <v>29792</v>
      </c>
      <c r="H808" s="101"/>
      <c r="I808" s="102"/>
      <c r="J808" s="103" t="s">
        <v>328</v>
      </c>
      <c r="K808" s="102"/>
      <c r="L808" s="102"/>
      <c r="M808" s="102"/>
      <c r="N808" s="102"/>
      <c r="O808" s="102"/>
      <c r="P808" s="102"/>
      <c r="Q808" s="102"/>
      <c r="R808" s="102"/>
      <c r="S808" s="102"/>
      <c r="T808" s="102"/>
      <c r="U808" s="101" t="n">
        <f aca="false">V808+W808+X808+COUNTIF(I808:T808,"R")</f>
        <v>1</v>
      </c>
      <c r="V808" s="101" t="n">
        <f aca="false">COUNTIF(I808:T808,"E")</f>
        <v>1</v>
      </c>
      <c r="W808" s="101" t="n">
        <f aca="false">COUNTIF(I808:T808,"X")</f>
        <v>0</v>
      </c>
      <c r="X808" s="101" t="n">
        <f aca="false">COUNTIF(I808:T808,"C2")+COUNTIF(I808:T808,"C3")</f>
        <v>0</v>
      </c>
      <c r="Y808" s="101" t="n">
        <f aca="true">SUMPRODUCT((I808:INDEX(I808:T808,MONTH(TODAY()))="X")*1)</f>
        <v>0</v>
      </c>
      <c r="Z808" s="104" t="n">
        <f aca="false">IFERROR(V808/U808,"")</f>
        <v>1</v>
      </c>
    </row>
    <row r="809" customFormat="false" ht="15" hidden="false" customHeight="true" outlineLevel="0" collapsed="false">
      <c r="A809" s="100" t="str">
        <f aca="false">Equipos!C807</f>
        <v>2-121192</v>
      </c>
      <c r="B809" s="101" t="str">
        <f aca="false">Equipos!D807</f>
        <v>Monitor Multiparámetros</v>
      </c>
      <c r="C809" s="101" t="str">
        <f aca="false">Equipos!E807</f>
        <v>Medicina</v>
      </c>
      <c r="D809" s="101" t="str">
        <f aca="false">Equipos!G807</f>
        <v>518-1</v>
      </c>
      <c r="E809" s="101" t="str">
        <f aca="false">Equipos!I807</f>
        <v>Nihon Kohden </v>
      </c>
      <c r="F809" s="101" t="str">
        <f aca="false">Equipos!J807</f>
        <v>BSM-3562K</v>
      </c>
      <c r="G809" s="100" t="str">
        <f aca="false">Equipos!K807</f>
        <v>29805</v>
      </c>
      <c r="H809" s="101"/>
      <c r="I809" s="102"/>
      <c r="J809" s="103" t="s">
        <v>328</v>
      </c>
      <c r="K809" s="102"/>
      <c r="L809" s="102"/>
      <c r="M809" s="102"/>
      <c r="N809" s="102"/>
      <c r="O809" s="102"/>
      <c r="P809" s="102"/>
      <c r="Q809" s="102"/>
      <c r="R809" s="102"/>
      <c r="S809" s="102"/>
      <c r="T809" s="102"/>
      <c r="U809" s="101" t="n">
        <f aca="false">V809+W809+X809+COUNTIF(I809:T809,"R")</f>
        <v>1</v>
      </c>
      <c r="V809" s="101" t="n">
        <f aca="false">COUNTIF(I809:T809,"E")</f>
        <v>1</v>
      </c>
      <c r="W809" s="101" t="n">
        <f aca="false">COUNTIF(I809:T809,"X")</f>
        <v>0</v>
      </c>
      <c r="X809" s="101" t="n">
        <f aca="false">COUNTIF(I809:T809,"C2")+COUNTIF(I809:T809,"C3")</f>
        <v>0</v>
      </c>
      <c r="Y809" s="101" t="n">
        <f aca="true">SUMPRODUCT((I809:INDEX(I809:T809,MONTH(TODAY()))="X")*1)</f>
        <v>0</v>
      </c>
      <c r="Z809" s="104" t="n">
        <f aca="false">IFERROR(V809/U809,"")</f>
        <v>1</v>
      </c>
    </row>
    <row r="810" customFormat="false" ht="15" hidden="false" customHeight="true" outlineLevel="0" collapsed="false">
      <c r="A810" s="100" t="str">
        <f aca="false">Equipos!C808</f>
        <v>2-121193</v>
      </c>
      <c r="B810" s="101" t="str">
        <f aca="false">Equipos!D808</f>
        <v>Monitor Multiparámetros</v>
      </c>
      <c r="C810" s="101" t="str">
        <f aca="false">Equipos!E808</f>
        <v>Medicina</v>
      </c>
      <c r="D810" s="101" t="str">
        <f aca="false">Equipos!G808</f>
        <v>512-3E</v>
      </c>
      <c r="E810" s="101" t="str">
        <f aca="false">Equipos!I808</f>
        <v>Nihon Kohden </v>
      </c>
      <c r="F810" s="101" t="str">
        <f aca="false">Equipos!J808</f>
        <v>BSM-3562K</v>
      </c>
      <c r="G810" s="100" t="str">
        <f aca="false">Equipos!K808</f>
        <v>29811</v>
      </c>
      <c r="H810" s="101"/>
      <c r="I810" s="102"/>
      <c r="J810" s="103" t="s">
        <v>328</v>
      </c>
      <c r="K810" s="102"/>
      <c r="L810" s="102"/>
      <c r="M810" s="102"/>
      <c r="N810" s="102"/>
      <c r="O810" s="102"/>
      <c r="P810" s="102"/>
      <c r="Q810" s="102"/>
      <c r="R810" s="102"/>
      <c r="S810" s="102"/>
      <c r="T810" s="102"/>
      <c r="U810" s="101" t="n">
        <f aca="false">V810+W810+X810+COUNTIF(I810:T810,"R")</f>
        <v>1</v>
      </c>
      <c r="V810" s="101" t="n">
        <f aca="false">COUNTIF(I810:T810,"E")</f>
        <v>1</v>
      </c>
      <c r="W810" s="101" t="n">
        <f aca="false">COUNTIF(I810:T810,"X")</f>
        <v>0</v>
      </c>
      <c r="X810" s="101" t="n">
        <f aca="false">COUNTIF(I810:T810,"C2")+COUNTIF(I810:T810,"C3")</f>
        <v>0</v>
      </c>
      <c r="Y810" s="101" t="n">
        <f aca="true">SUMPRODUCT((I810:INDEX(I810:T810,MONTH(TODAY()))="X")*1)</f>
        <v>0</v>
      </c>
      <c r="Z810" s="104" t="n">
        <f aca="false">IFERROR(V810/U810,"")</f>
        <v>1</v>
      </c>
    </row>
    <row r="811" customFormat="false" ht="15" hidden="false" customHeight="true" outlineLevel="0" collapsed="false">
      <c r="A811" s="100" t="str">
        <f aca="false">Equipos!C809</f>
        <v>2-121194</v>
      </c>
      <c r="B811" s="101" t="str">
        <f aca="false">Equipos!D809</f>
        <v>Monitor Multiparámetros</v>
      </c>
      <c r="C811" s="101" t="str">
        <f aca="false">Equipos!E809</f>
        <v>Medicina</v>
      </c>
      <c r="D811" s="101" t="str">
        <f aca="false">Equipos!G809</f>
        <v>501-3</v>
      </c>
      <c r="E811" s="101" t="str">
        <f aca="false">Equipos!I809</f>
        <v>Nihon Kohden </v>
      </c>
      <c r="F811" s="101" t="str">
        <f aca="false">Equipos!J809</f>
        <v>BSM-3562K</v>
      </c>
      <c r="G811" s="100" t="str">
        <f aca="false">Equipos!K809</f>
        <v>29814</v>
      </c>
      <c r="H811" s="101"/>
      <c r="I811" s="102"/>
      <c r="J811" s="103" t="s">
        <v>328</v>
      </c>
      <c r="K811" s="102"/>
      <c r="L811" s="102"/>
      <c r="M811" s="102"/>
      <c r="N811" s="102"/>
      <c r="O811" s="102"/>
      <c r="P811" s="102"/>
      <c r="Q811" s="102"/>
      <c r="R811" s="102"/>
      <c r="S811" s="102"/>
      <c r="T811" s="102"/>
      <c r="U811" s="101" t="n">
        <f aca="false">V811+W811+X811+COUNTIF(I811:T811,"R")</f>
        <v>1</v>
      </c>
      <c r="V811" s="101" t="n">
        <f aca="false">COUNTIF(I811:T811,"E")</f>
        <v>1</v>
      </c>
      <c r="W811" s="101" t="n">
        <f aca="false">COUNTIF(I811:T811,"X")</f>
        <v>0</v>
      </c>
      <c r="X811" s="101" t="n">
        <f aca="false">COUNTIF(I811:T811,"C2")+COUNTIF(I811:T811,"C3")</f>
        <v>0</v>
      </c>
      <c r="Y811" s="101" t="n">
        <f aca="true">SUMPRODUCT((I811:INDEX(I811:T811,MONTH(TODAY()))="X")*1)</f>
        <v>0</v>
      </c>
      <c r="Z811" s="104" t="n">
        <f aca="false">IFERROR(V811/U811,"")</f>
        <v>1</v>
      </c>
    </row>
    <row r="812" customFormat="false" ht="15" hidden="false" customHeight="true" outlineLevel="0" collapsed="false">
      <c r="A812" s="100" t="str">
        <f aca="false">Equipos!C810</f>
        <v>2-121195</v>
      </c>
      <c r="B812" s="101" t="str">
        <f aca="false">Equipos!D810</f>
        <v>Monitor Multiparámetros</v>
      </c>
      <c r="C812" s="101" t="str">
        <f aca="false">Equipos!E810</f>
        <v>Medicina</v>
      </c>
      <c r="D812" s="101" t="str">
        <f aca="false">Equipos!G810</f>
        <v>503-2E</v>
      </c>
      <c r="E812" s="101" t="str">
        <f aca="false">Equipos!I810</f>
        <v>Nihon Kohden </v>
      </c>
      <c r="F812" s="101" t="str">
        <f aca="false">Equipos!J810</f>
        <v>BSM-3562K</v>
      </c>
      <c r="G812" s="100" t="str">
        <f aca="false">Equipos!K810</f>
        <v>29815</v>
      </c>
      <c r="H812" s="101"/>
      <c r="I812" s="102"/>
      <c r="J812" s="103" t="s">
        <v>328</v>
      </c>
      <c r="K812" s="102"/>
      <c r="L812" s="102"/>
      <c r="M812" s="102"/>
      <c r="N812" s="102"/>
      <c r="O812" s="102"/>
      <c r="P812" s="102"/>
      <c r="Q812" s="102"/>
      <c r="R812" s="102"/>
      <c r="S812" s="102"/>
      <c r="T812" s="102"/>
      <c r="U812" s="101" t="n">
        <f aca="false">V812+W812+X812+COUNTIF(I812:T812,"R")</f>
        <v>1</v>
      </c>
      <c r="V812" s="101" t="n">
        <f aca="false">COUNTIF(I812:T812,"E")</f>
        <v>1</v>
      </c>
      <c r="W812" s="101" t="n">
        <f aca="false">COUNTIF(I812:T812,"X")</f>
        <v>0</v>
      </c>
      <c r="X812" s="101" t="n">
        <f aca="false">COUNTIF(I812:T812,"C2")+COUNTIF(I812:T812,"C3")</f>
        <v>0</v>
      </c>
      <c r="Y812" s="101" t="n">
        <f aca="true">SUMPRODUCT((I812:INDEX(I812:T812,MONTH(TODAY()))="X")*1)</f>
        <v>0</v>
      </c>
      <c r="Z812" s="104" t="n">
        <f aca="false">IFERROR(V812/U812,"")</f>
        <v>1</v>
      </c>
    </row>
    <row r="813" customFormat="false" ht="15" hidden="false" customHeight="true" outlineLevel="0" collapsed="false">
      <c r="A813" s="100" t="str">
        <f aca="false">Equipos!C811</f>
        <v>2-121196</v>
      </c>
      <c r="B813" s="101" t="str">
        <f aca="false">Equipos!D811</f>
        <v>Monitor Multiparámetros</v>
      </c>
      <c r="C813" s="101" t="str">
        <f aca="false">Equipos!E811</f>
        <v>Medicina</v>
      </c>
      <c r="D813" s="101" t="str">
        <f aca="false">Equipos!G811</f>
        <v>503-1E</v>
      </c>
      <c r="E813" s="101" t="str">
        <f aca="false">Equipos!I811</f>
        <v>Nihon Kohden </v>
      </c>
      <c r="F813" s="101" t="str">
        <f aca="false">Equipos!J811</f>
        <v>BSM-3562K</v>
      </c>
      <c r="G813" s="100" t="str">
        <f aca="false">Equipos!K811</f>
        <v>29816</v>
      </c>
      <c r="H813" s="101"/>
      <c r="I813" s="102"/>
      <c r="J813" s="103" t="s">
        <v>328</v>
      </c>
      <c r="K813" s="102"/>
      <c r="L813" s="102"/>
      <c r="M813" s="102"/>
      <c r="N813" s="102"/>
      <c r="O813" s="102"/>
      <c r="P813" s="102"/>
      <c r="Q813" s="102"/>
      <c r="R813" s="102"/>
      <c r="S813" s="102"/>
      <c r="T813" s="102"/>
      <c r="U813" s="101" t="n">
        <f aca="false">V813+W813+X813+COUNTIF(I813:T813,"R")</f>
        <v>1</v>
      </c>
      <c r="V813" s="101" t="n">
        <f aca="false">COUNTIF(I813:T813,"E")</f>
        <v>1</v>
      </c>
      <c r="W813" s="101" t="n">
        <f aca="false">COUNTIF(I813:T813,"X")</f>
        <v>0</v>
      </c>
      <c r="X813" s="101" t="n">
        <f aca="false">COUNTIF(I813:T813,"C2")+COUNTIF(I813:T813,"C3")</f>
        <v>0</v>
      </c>
      <c r="Y813" s="101" t="n">
        <f aca="true">SUMPRODUCT((I813:INDEX(I813:T813,MONTH(TODAY()))="X")*1)</f>
        <v>0</v>
      </c>
      <c r="Z813" s="104" t="n">
        <f aca="false">IFERROR(V813/U813,"")</f>
        <v>1</v>
      </c>
    </row>
    <row r="814" customFormat="false" ht="15" hidden="false" customHeight="true" outlineLevel="0" collapsed="false">
      <c r="A814" s="100" t="str">
        <f aca="false">Equipos!C812</f>
        <v>2-121197</v>
      </c>
      <c r="B814" s="101" t="str">
        <f aca="false">Equipos!D812</f>
        <v>Monitor Multiparámetros</v>
      </c>
      <c r="C814" s="101" t="str">
        <f aca="false">Equipos!E812</f>
        <v>Medicina</v>
      </c>
      <c r="D814" s="101" t="str">
        <f aca="false">Equipos!G812</f>
        <v>502-3E</v>
      </c>
      <c r="E814" s="101" t="str">
        <f aca="false">Equipos!I812</f>
        <v>Nihon Kohden </v>
      </c>
      <c r="F814" s="101" t="str">
        <f aca="false">Equipos!J812</f>
        <v>BSM-3562K</v>
      </c>
      <c r="G814" s="100" t="str">
        <f aca="false">Equipos!K812</f>
        <v>29817</v>
      </c>
      <c r="H814" s="101"/>
      <c r="I814" s="102"/>
      <c r="J814" s="103" t="s">
        <v>328</v>
      </c>
      <c r="K814" s="102"/>
      <c r="L814" s="102"/>
      <c r="M814" s="102"/>
      <c r="N814" s="102"/>
      <c r="O814" s="102"/>
      <c r="P814" s="102"/>
      <c r="Q814" s="102"/>
      <c r="R814" s="102"/>
      <c r="S814" s="102"/>
      <c r="T814" s="102"/>
      <c r="U814" s="101" t="n">
        <f aca="false">V814+W814+X814+COUNTIF(I814:T814,"R")</f>
        <v>1</v>
      </c>
      <c r="V814" s="101" t="n">
        <f aca="false">COUNTIF(I814:T814,"E")</f>
        <v>1</v>
      </c>
      <c r="W814" s="101" t="n">
        <f aca="false">COUNTIF(I814:T814,"X")</f>
        <v>0</v>
      </c>
      <c r="X814" s="101" t="n">
        <f aca="false">COUNTIF(I814:T814,"C2")+COUNTIF(I814:T814,"C3")</f>
        <v>0</v>
      </c>
      <c r="Y814" s="101" t="n">
        <f aca="true">SUMPRODUCT((I814:INDEX(I814:T814,MONTH(TODAY()))="X")*1)</f>
        <v>0</v>
      </c>
      <c r="Z814" s="104" t="n">
        <f aca="false">IFERROR(V814/U814,"")</f>
        <v>1</v>
      </c>
    </row>
    <row r="815" customFormat="false" ht="15" hidden="false" customHeight="true" outlineLevel="0" collapsed="false">
      <c r="A815" s="100" t="str">
        <f aca="false">Equipos!C813</f>
        <v>2-121198</v>
      </c>
      <c r="B815" s="101" t="str">
        <f aca="false">Equipos!D813</f>
        <v>Monitor Multiparámetros</v>
      </c>
      <c r="C815" s="101" t="str">
        <f aca="false">Equipos!E813</f>
        <v>Medicina</v>
      </c>
      <c r="D815" s="101" t="str">
        <f aca="false">Equipos!G813</f>
        <v>502-1</v>
      </c>
      <c r="E815" s="101" t="str">
        <f aca="false">Equipos!I813</f>
        <v>Nihon Kohden </v>
      </c>
      <c r="F815" s="101" t="str">
        <f aca="false">Equipos!J813</f>
        <v>BSM-3562K</v>
      </c>
      <c r="G815" s="100" t="str">
        <f aca="false">Equipos!K813</f>
        <v>29800</v>
      </c>
      <c r="H815" s="101"/>
      <c r="I815" s="102"/>
      <c r="J815" s="103" t="s">
        <v>328</v>
      </c>
      <c r="K815" s="102"/>
      <c r="L815" s="102"/>
      <c r="M815" s="102"/>
      <c r="N815" s="102"/>
      <c r="O815" s="102"/>
      <c r="P815" s="102"/>
      <c r="Q815" s="102"/>
      <c r="R815" s="102"/>
      <c r="S815" s="102"/>
      <c r="T815" s="102"/>
      <c r="U815" s="101" t="n">
        <f aca="false">V815+W815+X815+COUNTIF(I815:T815,"R")</f>
        <v>1</v>
      </c>
      <c r="V815" s="101" t="n">
        <f aca="false">COUNTIF(I815:T815,"E")</f>
        <v>1</v>
      </c>
      <c r="W815" s="101" t="n">
        <f aca="false">COUNTIF(I815:T815,"X")</f>
        <v>0</v>
      </c>
      <c r="X815" s="101" t="n">
        <f aca="false">COUNTIF(I815:T815,"C2")+COUNTIF(I815:T815,"C3")</f>
        <v>0</v>
      </c>
      <c r="Y815" s="101" t="n">
        <f aca="true">SUMPRODUCT((I815:INDEX(I815:T815,MONTH(TODAY()))="X")*1)</f>
        <v>0</v>
      </c>
      <c r="Z815" s="104" t="n">
        <f aca="false">IFERROR(V815/U815,"")</f>
        <v>1</v>
      </c>
    </row>
    <row r="816" customFormat="false" ht="15" hidden="false" customHeight="true" outlineLevel="0" collapsed="false">
      <c r="A816" s="100" t="str">
        <f aca="false">Equipos!C814</f>
        <v>2-121232</v>
      </c>
      <c r="B816" s="101" t="str">
        <f aca="false">Equipos!D814</f>
        <v>Monitor Multiparámetros</v>
      </c>
      <c r="C816" s="101" t="str">
        <f aca="false">Equipos!E814</f>
        <v>Medicina</v>
      </c>
      <c r="D816" s="101" t="str">
        <f aca="false">Equipos!G814</f>
        <v>508-3</v>
      </c>
      <c r="E816" s="101" t="str">
        <f aca="false">Equipos!I814</f>
        <v>EDAN</v>
      </c>
      <c r="F816" s="101" t="str">
        <f aca="false">Equipos!J814</f>
        <v>X12</v>
      </c>
      <c r="G816" s="100" t="str">
        <f aca="false">Equipos!K814</f>
        <v>261594-M21407240019</v>
      </c>
      <c r="H816" s="101"/>
      <c r="I816" s="102"/>
      <c r="J816" s="103" t="s">
        <v>328</v>
      </c>
      <c r="K816" s="102"/>
      <c r="L816" s="102"/>
      <c r="M816" s="102"/>
      <c r="N816" s="102"/>
      <c r="O816" s="102"/>
      <c r="P816" s="102"/>
      <c r="Q816" s="102"/>
      <c r="R816" s="102"/>
      <c r="S816" s="102"/>
      <c r="T816" s="102"/>
      <c r="U816" s="101" t="n">
        <f aca="false">V816+W816+X816+COUNTIF(I816:T816,"R")</f>
        <v>1</v>
      </c>
      <c r="V816" s="101" t="n">
        <f aca="false">COUNTIF(I816:T816,"E")</f>
        <v>1</v>
      </c>
      <c r="W816" s="101" t="n">
        <f aca="false">COUNTIF(I816:T816,"X")</f>
        <v>0</v>
      </c>
      <c r="X816" s="101" t="n">
        <f aca="false">COUNTIF(I816:T816,"C2")+COUNTIF(I816:T816,"C3")</f>
        <v>0</v>
      </c>
      <c r="Y816" s="101" t="n">
        <f aca="true">SUMPRODUCT((I816:INDEX(I816:T816,MONTH(TODAY()))="X")*1)</f>
        <v>0</v>
      </c>
      <c r="Z816" s="104" t="n">
        <f aca="false">IFERROR(V816/U816,"")</f>
        <v>1</v>
      </c>
    </row>
    <row r="817" customFormat="false" ht="15" hidden="false" customHeight="true" outlineLevel="0" collapsed="false">
      <c r="A817" s="100" t="str">
        <f aca="false">Equipos!C815</f>
        <v>2-121233</v>
      </c>
      <c r="B817" s="101" t="str">
        <f aca="false">Equipos!D815</f>
        <v>Monitor Multiparámetros</v>
      </c>
      <c r="C817" s="101" t="str">
        <f aca="false">Equipos!E815</f>
        <v>Medicina</v>
      </c>
      <c r="D817" s="101" t="n">
        <f aca="false">Equipos!G815</f>
        <v>504</v>
      </c>
      <c r="E817" s="101" t="str">
        <f aca="false">Equipos!I815</f>
        <v>EDAN</v>
      </c>
      <c r="F817" s="101" t="str">
        <f aca="false">Equipos!J815</f>
        <v>X12</v>
      </c>
      <c r="G817" s="100" t="str">
        <f aca="false">Equipos!K815</f>
        <v>261594-M21407240011</v>
      </c>
      <c r="H817" s="101"/>
      <c r="I817" s="102"/>
      <c r="J817" s="103" t="s">
        <v>328</v>
      </c>
      <c r="K817" s="102"/>
      <c r="L817" s="102"/>
      <c r="M817" s="102"/>
      <c r="N817" s="102"/>
      <c r="O817" s="102"/>
      <c r="P817" s="102"/>
      <c r="Q817" s="102"/>
      <c r="R817" s="102"/>
      <c r="S817" s="102"/>
      <c r="T817" s="102"/>
      <c r="U817" s="101" t="n">
        <f aca="false">V817+W817+X817+COUNTIF(I817:T817,"R")</f>
        <v>1</v>
      </c>
      <c r="V817" s="101" t="n">
        <f aca="false">COUNTIF(I817:T817,"E")</f>
        <v>1</v>
      </c>
      <c r="W817" s="101" t="n">
        <f aca="false">COUNTIF(I817:T817,"X")</f>
        <v>0</v>
      </c>
      <c r="X817" s="101" t="n">
        <f aca="false">COUNTIF(I817:T817,"C2")+COUNTIF(I817:T817,"C3")</f>
        <v>0</v>
      </c>
      <c r="Y817" s="101" t="n">
        <f aca="true">SUMPRODUCT((I817:INDEX(I817:T817,MONTH(TODAY()))="X")*1)</f>
        <v>0</v>
      </c>
      <c r="Z817" s="104" t="n">
        <f aca="false">IFERROR(V817/U817,"")</f>
        <v>1</v>
      </c>
    </row>
    <row r="818" customFormat="false" ht="15" hidden="false" customHeight="true" outlineLevel="0" collapsed="false">
      <c r="A818" s="100" t="str">
        <f aca="false">Equipos!C816</f>
        <v>2-121234</v>
      </c>
      <c r="B818" s="101" t="str">
        <f aca="false">Equipos!D816</f>
        <v>Monitor Multiparámetros</v>
      </c>
      <c r="C818" s="101" t="str">
        <f aca="false">Equipos!E816</f>
        <v>Medicina</v>
      </c>
      <c r="D818" s="101" t="str">
        <f aca="false">Equipos!G816</f>
        <v>596-1</v>
      </c>
      <c r="E818" s="101" t="str">
        <f aca="false">Equipos!I816</f>
        <v>EDAN</v>
      </c>
      <c r="F818" s="101" t="str">
        <f aca="false">Equipos!J816</f>
        <v>X12</v>
      </c>
      <c r="G818" s="100" t="str">
        <f aca="false">Equipos!K816</f>
        <v>261594-M21406070014</v>
      </c>
      <c r="H818" s="101"/>
      <c r="I818" s="102"/>
      <c r="J818" s="103" t="s">
        <v>330</v>
      </c>
      <c r="K818" s="103" t="s">
        <v>328</v>
      </c>
      <c r="L818" s="102"/>
      <c r="M818" s="102"/>
      <c r="N818" s="102"/>
      <c r="O818" s="102"/>
      <c r="P818" s="102"/>
      <c r="Q818" s="102"/>
      <c r="R818" s="102"/>
      <c r="S818" s="102"/>
      <c r="T818" s="102"/>
      <c r="U818" s="101" t="n">
        <f aca="false">V818+W818+X818+COUNTIF(I818:T818,"R")</f>
        <v>2</v>
      </c>
      <c r="V818" s="101" t="n">
        <f aca="false">COUNTIF(I818:T818,"E")</f>
        <v>1</v>
      </c>
      <c r="W818" s="101" t="n">
        <f aca="false">COUNTIF(I818:T818,"X")</f>
        <v>0</v>
      </c>
      <c r="X818" s="101" t="n">
        <f aca="false">COUNTIF(I818:T818,"C2")+COUNTIF(I818:T818,"C3")</f>
        <v>0</v>
      </c>
      <c r="Y818" s="101" t="n">
        <f aca="true">SUMPRODUCT((I818:INDEX(I818:T818,MONTH(TODAY()))="X")*1)</f>
        <v>0</v>
      </c>
      <c r="Z818" s="104" t="n">
        <f aca="false">IFERROR(V818/U818,"")</f>
        <v>0.5</v>
      </c>
    </row>
    <row r="819" customFormat="false" ht="15" hidden="false" customHeight="true" outlineLevel="0" collapsed="false">
      <c r="A819" s="100" t="str">
        <f aca="false">Equipos!C817</f>
        <v>2-121235</v>
      </c>
      <c r="B819" s="101" t="str">
        <f aca="false">Equipos!D817</f>
        <v>Monitor Multiparámetros</v>
      </c>
      <c r="C819" s="101" t="str">
        <f aca="false">Equipos!E817</f>
        <v>Medicina</v>
      </c>
      <c r="D819" s="101" t="n">
        <f aca="false">Equipos!G817</f>
        <v>527</v>
      </c>
      <c r="E819" s="101" t="str">
        <f aca="false">Equipos!I817</f>
        <v>EDAN</v>
      </c>
      <c r="F819" s="101" t="str">
        <f aca="false">Equipos!J817</f>
        <v>X12</v>
      </c>
      <c r="G819" s="100" t="str">
        <f aca="false">Equipos!K817</f>
        <v>261594-M21407000058</v>
      </c>
      <c r="H819" s="101"/>
      <c r="I819" s="102"/>
      <c r="J819" s="103" t="s">
        <v>328</v>
      </c>
      <c r="K819" s="102"/>
      <c r="L819" s="102"/>
      <c r="M819" s="102"/>
      <c r="N819" s="102"/>
      <c r="O819" s="102"/>
      <c r="P819" s="102"/>
      <c r="Q819" s="102"/>
      <c r="R819" s="102"/>
      <c r="S819" s="102"/>
      <c r="T819" s="102"/>
      <c r="U819" s="101" t="n">
        <f aca="false">V819+W819+X819+COUNTIF(I819:T819,"R")</f>
        <v>1</v>
      </c>
      <c r="V819" s="101" t="n">
        <f aca="false">COUNTIF(I819:T819,"E")</f>
        <v>1</v>
      </c>
      <c r="W819" s="101" t="n">
        <f aca="false">COUNTIF(I819:T819,"X")</f>
        <v>0</v>
      </c>
      <c r="X819" s="101" t="n">
        <f aca="false">COUNTIF(I819:T819,"C2")+COUNTIF(I819:T819,"C3")</f>
        <v>0</v>
      </c>
      <c r="Y819" s="101" t="n">
        <f aca="true">SUMPRODUCT((I819:INDEX(I819:T819,MONTH(TODAY()))="X")*1)</f>
        <v>0</v>
      </c>
      <c r="Z819" s="104" t="n">
        <f aca="false">IFERROR(V819/U819,"")</f>
        <v>1</v>
      </c>
    </row>
    <row r="820" customFormat="false" ht="15" hidden="false" customHeight="true" outlineLevel="0" collapsed="false">
      <c r="A820" s="100" t="str">
        <f aca="false">Equipos!C818</f>
        <v>2-121236</v>
      </c>
      <c r="B820" s="101" t="str">
        <f aca="false">Equipos!D818</f>
        <v>Monitor Multiparámetros</v>
      </c>
      <c r="C820" s="101" t="str">
        <f aca="false">Equipos!E818</f>
        <v>Medicina</v>
      </c>
      <c r="D820" s="101" t="str">
        <f aca="false">Equipos!G818</f>
        <v>596-3</v>
      </c>
      <c r="E820" s="101" t="str">
        <f aca="false">Equipos!I818</f>
        <v>EDAN</v>
      </c>
      <c r="F820" s="101" t="str">
        <f aca="false">Equipos!J818</f>
        <v>X12</v>
      </c>
      <c r="G820" s="100" t="str">
        <f aca="false">Equipos!K818</f>
        <v>261594-M21407240059</v>
      </c>
      <c r="H820" s="101"/>
      <c r="I820" s="102"/>
      <c r="J820" s="103" t="s">
        <v>328</v>
      </c>
      <c r="K820" s="102"/>
      <c r="L820" s="102"/>
      <c r="M820" s="102"/>
      <c r="N820" s="102"/>
      <c r="O820" s="102"/>
      <c r="P820" s="102"/>
      <c r="Q820" s="102"/>
      <c r="R820" s="102"/>
      <c r="S820" s="102"/>
      <c r="T820" s="102"/>
      <c r="U820" s="101" t="n">
        <f aca="false">V820+W820+X820+COUNTIF(I820:T820,"R")</f>
        <v>1</v>
      </c>
      <c r="V820" s="101" t="n">
        <f aca="false">COUNTIF(I820:T820,"E")</f>
        <v>1</v>
      </c>
      <c r="W820" s="101" t="n">
        <f aca="false">COUNTIF(I820:T820,"X")</f>
        <v>0</v>
      </c>
      <c r="X820" s="101" t="n">
        <f aca="false">COUNTIF(I820:T820,"C2")+COUNTIF(I820:T820,"C3")</f>
        <v>0</v>
      </c>
      <c r="Y820" s="101" t="n">
        <f aca="true">SUMPRODUCT((I820:INDEX(I820:T820,MONTH(TODAY()))="X")*1)</f>
        <v>0</v>
      </c>
      <c r="Z820" s="104" t="n">
        <f aca="false">IFERROR(V820/U820,"")</f>
        <v>1</v>
      </c>
    </row>
    <row r="821" customFormat="false" ht="15" hidden="false" customHeight="true" outlineLevel="0" collapsed="false">
      <c r="A821" s="100" t="str">
        <f aca="false">Equipos!C819</f>
        <v>2-121237</v>
      </c>
      <c r="B821" s="101" t="str">
        <f aca="false">Equipos!D819</f>
        <v>Monitor Multiparámetros</v>
      </c>
      <c r="C821" s="101" t="str">
        <f aca="false">Equipos!E819</f>
        <v>Medicina</v>
      </c>
      <c r="D821" s="101" t="str">
        <f aca="false">Equipos!G819</f>
        <v>509-2</v>
      </c>
      <c r="E821" s="101" t="str">
        <f aca="false">Equipos!I819</f>
        <v>EDAN</v>
      </c>
      <c r="F821" s="101" t="str">
        <f aca="false">Equipos!J819</f>
        <v>X12</v>
      </c>
      <c r="G821" s="100" t="str">
        <f aca="false">Equipos!K819</f>
        <v>261594-M21407240073</v>
      </c>
      <c r="H821" s="101"/>
      <c r="I821" s="102"/>
      <c r="J821" s="103" t="s">
        <v>328</v>
      </c>
      <c r="K821" s="102"/>
      <c r="L821" s="102"/>
      <c r="M821" s="102"/>
      <c r="N821" s="102"/>
      <c r="O821" s="102"/>
      <c r="P821" s="102"/>
      <c r="Q821" s="102"/>
      <c r="R821" s="102"/>
      <c r="S821" s="102"/>
      <c r="T821" s="102"/>
      <c r="U821" s="101" t="n">
        <f aca="false">V821+W821+X821+COUNTIF(I821:T821,"R")</f>
        <v>1</v>
      </c>
      <c r="V821" s="101" t="n">
        <f aca="false">COUNTIF(I821:T821,"E")</f>
        <v>1</v>
      </c>
      <c r="W821" s="101" t="n">
        <f aca="false">COUNTIF(I821:T821,"X")</f>
        <v>0</v>
      </c>
      <c r="X821" s="101" t="n">
        <f aca="false">COUNTIF(I821:T821,"C2")+COUNTIF(I821:T821,"C3")</f>
        <v>0</v>
      </c>
      <c r="Y821" s="101" t="n">
        <f aca="true">SUMPRODUCT((I821:INDEX(I821:T821,MONTH(TODAY()))="X")*1)</f>
        <v>0</v>
      </c>
      <c r="Z821" s="104" t="n">
        <f aca="false">IFERROR(V821/U821,"")</f>
        <v>1</v>
      </c>
    </row>
    <row r="822" customFormat="false" ht="15" hidden="false" customHeight="true" outlineLevel="0" collapsed="false">
      <c r="A822" s="100" t="str">
        <f aca="false">Equipos!C820</f>
        <v>2-121238</v>
      </c>
      <c r="B822" s="101" t="str">
        <f aca="false">Equipos!D820</f>
        <v>Monitor Multiparámetros</v>
      </c>
      <c r="C822" s="101" t="str">
        <f aca="false">Equipos!E820</f>
        <v>Medicina</v>
      </c>
      <c r="D822" s="101" t="str">
        <f aca="false">Equipos!G820</f>
        <v>Sala 598</v>
      </c>
      <c r="E822" s="101" t="str">
        <f aca="false">Equipos!I820</f>
        <v>EDAN</v>
      </c>
      <c r="F822" s="101" t="str">
        <f aca="false">Equipos!J820</f>
        <v>X12</v>
      </c>
      <c r="G822" s="100" t="str">
        <f aca="false">Equipos!K820</f>
        <v>261594-M21407240071</v>
      </c>
      <c r="H822" s="101"/>
      <c r="I822" s="102"/>
      <c r="J822" s="103" t="s">
        <v>328</v>
      </c>
      <c r="K822" s="102"/>
      <c r="L822" s="102"/>
      <c r="M822" s="102"/>
      <c r="N822" s="102"/>
      <c r="O822" s="102"/>
      <c r="P822" s="102"/>
      <c r="Q822" s="102"/>
      <c r="R822" s="102"/>
      <c r="S822" s="102"/>
      <c r="T822" s="102"/>
      <c r="U822" s="101" t="n">
        <f aca="false">V822+W822+X822+COUNTIF(I822:T822,"R")</f>
        <v>1</v>
      </c>
      <c r="V822" s="101" t="n">
        <f aca="false">COUNTIF(I822:T822,"E")</f>
        <v>1</v>
      </c>
      <c r="W822" s="101" t="n">
        <f aca="false">COUNTIF(I822:T822,"X")</f>
        <v>0</v>
      </c>
      <c r="X822" s="101" t="n">
        <f aca="false">COUNTIF(I822:T822,"C2")+COUNTIF(I822:T822,"C3")</f>
        <v>0</v>
      </c>
      <c r="Y822" s="101" t="n">
        <f aca="true">SUMPRODUCT((I822:INDEX(I822:T822,MONTH(TODAY()))="X")*1)</f>
        <v>0</v>
      </c>
      <c r="Z822" s="104" t="n">
        <f aca="false">IFERROR(V822/U822,"")</f>
        <v>1</v>
      </c>
    </row>
    <row r="823" customFormat="false" ht="15" hidden="false" customHeight="true" outlineLevel="0" collapsed="false">
      <c r="A823" s="100" t="str">
        <f aca="false">Equipos!C821</f>
        <v>2-121239</v>
      </c>
      <c r="B823" s="101" t="str">
        <f aca="false">Equipos!D821</f>
        <v>Monitor Multiparámetros</v>
      </c>
      <c r="C823" s="101" t="str">
        <f aca="false">Equipos!E821</f>
        <v>Medicina (Prestado a medicina cardiovascular)</v>
      </c>
      <c r="D823" s="101" t="n">
        <f aca="false">Equipos!G821</f>
        <v>0</v>
      </c>
      <c r="E823" s="101" t="str">
        <f aca="false">Equipos!I821</f>
        <v>EDAN</v>
      </c>
      <c r="F823" s="101" t="str">
        <f aca="false">Equipos!J821</f>
        <v>X12</v>
      </c>
      <c r="G823" s="100" t="str">
        <f aca="false">Equipos!K821</f>
        <v>261594-M21407240024</v>
      </c>
      <c r="H823" s="101"/>
      <c r="I823" s="102"/>
      <c r="J823" s="103" t="s">
        <v>330</v>
      </c>
      <c r="K823" s="103" t="s">
        <v>328</v>
      </c>
      <c r="L823" s="102"/>
      <c r="M823" s="102"/>
      <c r="N823" s="102"/>
      <c r="O823" s="102"/>
      <c r="P823" s="102"/>
      <c r="Q823" s="102"/>
      <c r="R823" s="102"/>
      <c r="S823" s="102"/>
      <c r="T823" s="102"/>
      <c r="U823" s="101" t="n">
        <f aca="false">V823+W823+X823+COUNTIF(I823:T823,"R")</f>
        <v>2</v>
      </c>
      <c r="V823" s="101" t="n">
        <f aca="false">COUNTIF(I823:T823,"E")</f>
        <v>1</v>
      </c>
      <c r="W823" s="101" t="n">
        <f aca="false">COUNTIF(I823:T823,"X")</f>
        <v>0</v>
      </c>
      <c r="X823" s="101" t="n">
        <f aca="false">COUNTIF(I823:T823,"C2")+COUNTIF(I823:T823,"C3")</f>
        <v>0</v>
      </c>
      <c r="Y823" s="101" t="n">
        <f aca="true">SUMPRODUCT((I823:INDEX(I823:T823,MONTH(TODAY()))="X")*1)</f>
        <v>0</v>
      </c>
      <c r="Z823" s="104" t="n">
        <f aca="false">IFERROR(V823/U823,"")</f>
        <v>0.5</v>
      </c>
    </row>
    <row r="824" customFormat="false" ht="15" hidden="false" customHeight="true" outlineLevel="0" collapsed="false">
      <c r="A824" s="100" t="str">
        <f aca="false">Equipos!C822</f>
        <v>2-121240</v>
      </c>
      <c r="B824" s="101" t="str">
        <f aca="false">Equipos!D822</f>
        <v>Monitor Multiparámetros</v>
      </c>
      <c r="C824" s="101" t="str">
        <f aca="false">Equipos!E822</f>
        <v>Medicina</v>
      </c>
      <c r="D824" s="101" t="str">
        <f aca="false">Equipos!G822</f>
        <v>Sala 597</v>
      </c>
      <c r="E824" s="101" t="str">
        <f aca="false">Equipos!I822</f>
        <v>EDAN</v>
      </c>
      <c r="F824" s="101" t="str">
        <f aca="false">Equipos!J822</f>
        <v>X12</v>
      </c>
      <c r="G824" s="100" t="str">
        <f aca="false">Equipos!K822</f>
        <v>261594-M21407000083</v>
      </c>
      <c r="H824" s="101"/>
      <c r="I824" s="102"/>
      <c r="J824" s="103" t="s">
        <v>328</v>
      </c>
      <c r="K824" s="102"/>
      <c r="L824" s="102"/>
      <c r="M824" s="102"/>
      <c r="N824" s="102"/>
      <c r="O824" s="102"/>
      <c r="P824" s="102"/>
      <c r="Q824" s="102"/>
      <c r="R824" s="102"/>
      <c r="S824" s="102"/>
      <c r="T824" s="102"/>
      <c r="U824" s="101" t="n">
        <f aca="false">V824+W824+X824+COUNTIF(I824:T824,"R")</f>
        <v>1</v>
      </c>
      <c r="V824" s="101" t="n">
        <f aca="false">COUNTIF(I824:T824,"E")</f>
        <v>1</v>
      </c>
      <c r="W824" s="101" t="n">
        <f aca="false">COUNTIF(I824:T824,"X")</f>
        <v>0</v>
      </c>
      <c r="X824" s="101" t="n">
        <f aca="false">COUNTIF(I824:T824,"C2")+COUNTIF(I824:T824,"C3")</f>
        <v>0</v>
      </c>
      <c r="Y824" s="101" t="n">
        <f aca="true">SUMPRODUCT((I824:INDEX(I824:T824,MONTH(TODAY()))="X")*1)</f>
        <v>0</v>
      </c>
      <c r="Z824" s="104" t="n">
        <f aca="false">IFERROR(V824/U824,"")</f>
        <v>1</v>
      </c>
    </row>
    <row r="825" customFormat="false" ht="15" hidden="false" customHeight="true" outlineLevel="0" collapsed="false">
      <c r="A825" s="100" t="str">
        <f aca="false">Equipos!C823</f>
        <v>2-121241</v>
      </c>
      <c r="B825" s="101" t="str">
        <f aca="false">Equipos!D823</f>
        <v>Monitor Multiparámetros</v>
      </c>
      <c r="C825" s="101" t="str">
        <f aca="false">Equipos!E823</f>
        <v>Medicina</v>
      </c>
      <c r="D825" s="101" t="n">
        <f aca="false">Equipos!G823</f>
        <v>0</v>
      </c>
      <c r="E825" s="101" t="str">
        <f aca="false">Equipos!I823</f>
        <v>EDAN</v>
      </c>
      <c r="F825" s="101" t="str">
        <f aca="false">Equipos!J823</f>
        <v>X12</v>
      </c>
      <c r="G825" s="100" t="str">
        <f aca="false">Equipos!K823</f>
        <v>261594-M21406070011</v>
      </c>
      <c r="H825" s="101"/>
      <c r="I825" s="102"/>
      <c r="J825" s="103" t="s">
        <v>332</v>
      </c>
      <c r="K825" s="102"/>
      <c r="L825" s="102"/>
      <c r="M825" s="102"/>
      <c r="N825" s="102"/>
      <c r="O825" s="102"/>
      <c r="P825" s="102"/>
      <c r="Q825" s="102"/>
      <c r="R825" s="102"/>
      <c r="S825" s="102"/>
      <c r="T825" s="102"/>
      <c r="U825" s="101" t="n">
        <f aca="false">V825+W825+X825+COUNTIF(I825:T825,"R")</f>
        <v>1</v>
      </c>
      <c r="V825" s="101" t="n">
        <f aca="false">COUNTIF(I825:T825,"E")</f>
        <v>0</v>
      </c>
      <c r="W825" s="101" t="n">
        <f aca="false">COUNTIF(I825:T825,"X")</f>
        <v>0</v>
      </c>
      <c r="X825" s="101" t="n">
        <f aca="false">COUNTIF(I825:T825,"C2")+COUNTIF(I825:T825,"C3")</f>
        <v>1</v>
      </c>
      <c r="Y825" s="101" t="n">
        <f aca="true">SUMPRODUCT((I825:INDEX(I825:T825,MONTH(TODAY()))="X")*1)</f>
        <v>0</v>
      </c>
      <c r="Z825" s="104" t="n">
        <f aca="false">IFERROR(V825/U825,"")</f>
        <v>0</v>
      </c>
    </row>
    <row r="826" customFormat="false" ht="15" hidden="false" customHeight="true" outlineLevel="0" collapsed="false">
      <c r="A826" s="100" t="str">
        <f aca="false">Equipos!C824</f>
        <v>2-121304</v>
      </c>
      <c r="B826" s="101" t="str">
        <f aca="false">Equipos!D824</f>
        <v>Monitor Multiparámetros</v>
      </c>
      <c r="C826" s="101" t="str">
        <f aca="false">Equipos!E824</f>
        <v>Medicina</v>
      </c>
      <c r="D826" s="101" t="n">
        <f aca="false">Equipos!G824</f>
        <v>0</v>
      </c>
      <c r="E826" s="101" t="str">
        <f aca="false">Equipos!I824</f>
        <v>Bistos</v>
      </c>
      <c r="F826" s="101" t="str">
        <f aca="false">Equipos!J824</f>
        <v>BT-770</v>
      </c>
      <c r="G826" s="100" t="str">
        <f aca="false">Equipos!K824</f>
        <v>DGLC0120</v>
      </c>
      <c r="H826" s="101"/>
      <c r="I826" s="102"/>
      <c r="J826" s="103" t="s">
        <v>332</v>
      </c>
      <c r="K826" s="102"/>
      <c r="L826" s="102"/>
      <c r="M826" s="102"/>
      <c r="N826" s="102"/>
      <c r="O826" s="102"/>
      <c r="P826" s="102"/>
      <c r="Q826" s="102"/>
      <c r="R826" s="102"/>
      <c r="S826" s="102"/>
      <c r="T826" s="102"/>
      <c r="U826" s="101" t="n">
        <f aca="false">V826+W826+X826+COUNTIF(I826:T826,"R")</f>
        <v>1</v>
      </c>
      <c r="V826" s="101" t="n">
        <f aca="false">COUNTIF(I826:T826,"E")</f>
        <v>0</v>
      </c>
      <c r="W826" s="101" t="n">
        <f aca="false">COUNTIF(I826:T826,"X")</f>
        <v>0</v>
      </c>
      <c r="X826" s="101" t="n">
        <f aca="false">COUNTIF(I826:T826,"C2")+COUNTIF(I826:T826,"C3")</f>
        <v>1</v>
      </c>
      <c r="Y826" s="101" t="n">
        <f aca="true">SUMPRODUCT((I826:INDEX(I826:T826,MONTH(TODAY()))="X")*1)</f>
        <v>0</v>
      </c>
      <c r="Z826" s="104" t="n">
        <f aca="false">IFERROR(V826/U826,"")</f>
        <v>0</v>
      </c>
    </row>
    <row r="827" customFormat="false" ht="15" hidden="false" customHeight="true" outlineLevel="0" collapsed="false">
      <c r="A827" s="100" t="str">
        <f aca="false">Equipos!C825</f>
        <v>2-121305</v>
      </c>
      <c r="B827" s="101" t="str">
        <f aca="false">Equipos!D825</f>
        <v>Monitor Multiparámetros</v>
      </c>
      <c r="C827" s="101" t="str">
        <f aca="false">Equipos!E825</f>
        <v>Medicina (Prestado a medicina cardiovascular)</v>
      </c>
      <c r="D827" s="101" t="n">
        <f aca="false">Equipos!G825</f>
        <v>0</v>
      </c>
      <c r="E827" s="101" t="str">
        <f aca="false">Equipos!I825</f>
        <v>Bistos</v>
      </c>
      <c r="F827" s="101" t="str">
        <f aca="false">Equipos!J825</f>
        <v>BT-770</v>
      </c>
      <c r="G827" s="100" t="str">
        <f aca="false">Equipos!K825</f>
        <v>DGLC0121</v>
      </c>
      <c r="H827" s="101"/>
      <c r="I827" s="102"/>
      <c r="J827" s="103" t="s">
        <v>330</v>
      </c>
      <c r="K827" s="103" t="s">
        <v>328</v>
      </c>
      <c r="L827" s="102"/>
      <c r="M827" s="102"/>
      <c r="N827" s="102"/>
      <c r="O827" s="102"/>
      <c r="P827" s="102"/>
      <c r="Q827" s="102"/>
      <c r="R827" s="102"/>
      <c r="S827" s="102"/>
      <c r="T827" s="102"/>
      <c r="U827" s="101" t="n">
        <f aca="false">V827+W827+X827+COUNTIF(I827:T827,"R")</f>
        <v>2</v>
      </c>
      <c r="V827" s="101" t="n">
        <f aca="false">COUNTIF(I827:T827,"E")</f>
        <v>1</v>
      </c>
      <c r="W827" s="101" t="n">
        <f aca="false">COUNTIF(I827:T827,"X")</f>
        <v>0</v>
      </c>
      <c r="X827" s="101" t="n">
        <f aca="false">COUNTIF(I827:T827,"C2")+COUNTIF(I827:T827,"C3")</f>
        <v>0</v>
      </c>
      <c r="Y827" s="101" t="n">
        <f aca="true">SUMPRODUCT((I827:INDEX(I827:T827,MONTH(TODAY()))="X")*1)</f>
        <v>0</v>
      </c>
      <c r="Z827" s="104" t="n">
        <f aca="false">IFERROR(V827/U827,"")</f>
        <v>0.5</v>
      </c>
    </row>
    <row r="828" customFormat="false" ht="15" hidden="false" customHeight="true" outlineLevel="0" collapsed="false">
      <c r="A828" s="100" t="str">
        <f aca="false">Equipos!C826</f>
        <v>2-121306</v>
      </c>
      <c r="B828" s="101" t="str">
        <f aca="false">Equipos!D826</f>
        <v>Monitor Multiparámetros</v>
      </c>
      <c r="C828" s="101" t="str">
        <f aca="false">Equipos!E826</f>
        <v>Medicina (Prestado a medicina cardiovascular)</v>
      </c>
      <c r="D828" s="101" t="n">
        <f aca="false">Equipos!G826</f>
        <v>0</v>
      </c>
      <c r="E828" s="101" t="str">
        <f aca="false">Equipos!I826</f>
        <v>Bistos</v>
      </c>
      <c r="F828" s="101" t="str">
        <f aca="false">Equipos!J826</f>
        <v>BT-770</v>
      </c>
      <c r="G828" s="100" t="str">
        <f aca="false">Equipos!K826</f>
        <v>DGLC0118</v>
      </c>
      <c r="H828" s="101"/>
      <c r="I828" s="102"/>
      <c r="J828" s="103" t="s">
        <v>330</v>
      </c>
      <c r="K828" s="103" t="s">
        <v>328</v>
      </c>
      <c r="L828" s="102"/>
      <c r="M828" s="102"/>
      <c r="N828" s="102"/>
      <c r="O828" s="102"/>
      <c r="P828" s="102"/>
      <c r="Q828" s="102"/>
      <c r="R828" s="102"/>
      <c r="S828" s="102"/>
      <c r="T828" s="102"/>
      <c r="U828" s="101" t="n">
        <f aca="false">V828+W828+X828+COUNTIF(I828:T828,"R")</f>
        <v>2</v>
      </c>
      <c r="V828" s="101" t="n">
        <f aca="false">COUNTIF(I828:T828,"E")</f>
        <v>1</v>
      </c>
      <c r="W828" s="101" t="n">
        <f aca="false">COUNTIF(I828:T828,"X")</f>
        <v>0</v>
      </c>
      <c r="X828" s="101" t="n">
        <f aca="false">COUNTIF(I828:T828,"C2")+COUNTIF(I828:T828,"C3")</f>
        <v>0</v>
      </c>
      <c r="Y828" s="101" t="n">
        <f aca="true">SUMPRODUCT((I828:INDEX(I828:T828,MONTH(TODAY()))="X")*1)</f>
        <v>0</v>
      </c>
      <c r="Z828" s="104" t="n">
        <f aca="false">IFERROR(V828/U828,"")</f>
        <v>0.5</v>
      </c>
    </row>
    <row r="829" customFormat="false" ht="15" hidden="false" customHeight="true" outlineLevel="0" collapsed="false">
      <c r="A829" s="100" t="str">
        <f aca="false">Equipos!C827</f>
        <v>2-121307</v>
      </c>
      <c r="B829" s="101" t="str">
        <f aca="false">Equipos!D827</f>
        <v>Monitor Multiparámetros</v>
      </c>
      <c r="C829" s="101" t="str">
        <f aca="false">Equipos!E827</f>
        <v>Medicina</v>
      </c>
      <c r="D829" s="101" t="n">
        <f aca="false">Equipos!G827</f>
        <v>0</v>
      </c>
      <c r="E829" s="101" t="str">
        <f aca="false">Equipos!I827</f>
        <v>Bistos</v>
      </c>
      <c r="F829" s="101" t="str">
        <f aca="false">Equipos!J827</f>
        <v>BT-770</v>
      </c>
      <c r="G829" s="100" t="str">
        <f aca="false">Equipos!K827</f>
        <v>DGLC0126</v>
      </c>
      <c r="H829" s="101"/>
      <c r="I829" s="102"/>
      <c r="J829" s="103" t="s">
        <v>328</v>
      </c>
      <c r="K829" s="102"/>
      <c r="L829" s="102"/>
      <c r="M829" s="102"/>
      <c r="N829" s="102"/>
      <c r="O829" s="102"/>
      <c r="P829" s="102"/>
      <c r="Q829" s="102"/>
      <c r="R829" s="102"/>
      <c r="S829" s="102"/>
      <c r="T829" s="102"/>
      <c r="U829" s="101" t="n">
        <f aca="false">V829+W829+X829+COUNTIF(I829:T829,"R")</f>
        <v>1</v>
      </c>
      <c r="V829" s="101" t="n">
        <f aca="false">COUNTIF(I829:T829,"E")</f>
        <v>1</v>
      </c>
      <c r="W829" s="101" t="n">
        <f aca="false">COUNTIF(I829:T829,"X")</f>
        <v>0</v>
      </c>
      <c r="X829" s="101" t="n">
        <f aca="false">COUNTIF(I829:T829,"C2")+COUNTIF(I829:T829,"C3")</f>
        <v>0</v>
      </c>
      <c r="Y829" s="101" t="n">
        <f aca="true">SUMPRODUCT((I829:INDEX(I829:T829,MONTH(TODAY()))="X")*1)</f>
        <v>0</v>
      </c>
      <c r="Z829" s="104" t="n">
        <f aca="false">IFERROR(V829/U829,"")</f>
        <v>1</v>
      </c>
    </row>
    <row r="830" customFormat="false" ht="15" hidden="false" customHeight="true" outlineLevel="0" collapsed="false">
      <c r="A830" s="100" t="str">
        <f aca="false">Equipos!C828</f>
        <v>2-121308</v>
      </c>
      <c r="B830" s="101" t="str">
        <f aca="false">Equipos!D828</f>
        <v>Monitor Multiparámetros</v>
      </c>
      <c r="C830" s="101" t="str">
        <f aca="false">Equipos!E828</f>
        <v>Medicina (Prestado a Cirugía Infantil )</v>
      </c>
      <c r="D830" s="101" t="n">
        <f aca="false">Equipos!G828</f>
        <v>0</v>
      </c>
      <c r="E830" s="101" t="str">
        <f aca="false">Equipos!I828</f>
        <v>Bistos</v>
      </c>
      <c r="F830" s="101" t="str">
        <f aca="false">Equipos!J828</f>
        <v>BT-770</v>
      </c>
      <c r="G830" s="100" t="str">
        <f aca="false">Equipos!K828</f>
        <v>DGLC0138</v>
      </c>
      <c r="H830" s="101"/>
      <c r="I830" s="103" t="s">
        <v>330</v>
      </c>
      <c r="J830" s="103" t="s">
        <v>328</v>
      </c>
      <c r="K830" s="102"/>
      <c r="L830" s="102"/>
      <c r="M830" s="102"/>
      <c r="N830" s="102"/>
      <c r="O830" s="102"/>
      <c r="P830" s="102"/>
      <c r="Q830" s="102"/>
      <c r="R830" s="102"/>
      <c r="S830" s="102"/>
      <c r="T830" s="102"/>
      <c r="U830" s="101" t="n">
        <f aca="false">V830+W830+X830+COUNTIF(I830:T830,"R")</f>
        <v>2</v>
      </c>
      <c r="V830" s="101" t="n">
        <f aca="false">COUNTIF(I830:T830,"E")</f>
        <v>1</v>
      </c>
      <c r="W830" s="101" t="n">
        <f aca="false">COUNTIF(I830:T830,"X")</f>
        <v>0</v>
      </c>
      <c r="X830" s="101" t="n">
        <f aca="false">COUNTIF(I830:T830,"C2")+COUNTIF(I830:T830,"C3")</f>
        <v>0</v>
      </c>
      <c r="Y830" s="101" t="n">
        <f aca="true">SUMPRODUCT((I830:INDEX(I830:T830,MONTH(TODAY()))="X")*1)</f>
        <v>0</v>
      </c>
      <c r="Z830" s="104" t="n">
        <f aca="false">IFERROR(V830/U830,"")</f>
        <v>0.5</v>
      </c>
    </row>
    <row r="831" customFormat="false" ht="15" hidden="false" customHeight="true" outlineLevel="0" collapsed="false">
      <c r="A831" s="100" t="str">
        <f aca="false">Equipos!C829</f>
        <v>2-121309</v>
      </c>
      <c r="B831" s="101" t="str">
        <f aca="false">Equipos!D829</f>
        <v>Monitor Multiparámetros</v>
      </c>
      <c r="C831" s="101" t="str">
        <f aca="false">Equipos!E829</f>
        <v>Medicina</v>
      </c>
      <c r="D831" s="101" t="n">
        <f aca="false">Equipos!G829</f>
        <v>0</v>
      </c>
      <c r="E831" s="101" t="str">
        <f aca="false">Equipos!I829</f>
        <v>Bistos</v>
      </c>
      <c r="F831" s="101" t="str">
        <f aca="false">Equipos!J829</f>
        <v>BT-770</v>
      </c>
      <c r="G831" s="100" t="str">
        <f aca="false">Equipos!K829</f>
        <v>DGLC0124</v>
      </c>
      <c r="H831" s="101"/>
      <c r="I831" s="102"/>
      <c r="J831" s="103" t="s">
        <v>328</v>
      </c>
      <c r="K831" s="102"/>
      <c r="L831" s="102"/>
      <c r="M831" s="102"/>
      <c r="N831" s="102"/>
      <c r="O831" s="102"/>
      <c r="P831" s="102"/>
      <c r="Q831" s="102"/>
      <c r="R831" s="102"/>
      <c r="S831" s="102"/>
      <c r="T831" s="102"/>
      <c r="U831" s="101" t="n">
        <f aca="false">V831+W831+X831+COUNTIF(I831:T831,"R")</f>
        <v>1</v>
      </c>
      <c r="V831" s="101" t="n">
        <f aca="false">COUNTIF(I831:T831,"E")</f>
        <v>1</v>
      </c>
      <c r="W831" s="101" t="n">
        <f aca="false">COUNTIF(I831:T831,"X")</f>
        <v>0</v>
      </c>
      <c r="X831" s="101" t="n">
        <f aca="false">COUNTIF(I831:T831,"C2")+COUNTIF(I831:T831,"C3")</f>
        <v>0</v>
      </c>
      <c r="Y831" s="101" t="n">
        <f aca="true">SUMPRODUCT((I831:INDEX(I831:T831,MONTH(TODAY()))="X")*1)</f>
        <v>0</v>
      </c>
      <c r="Z831" s="104" t="n">
        <f aca="false">IFERROR(V831/U831,"")</f>
        <v>1</v>
      </c>
    </row>
    <row r="832" customFormat="false" ht="15" hidden="false" customHeight="true" outlineLevel="0" collapsed="false">
      <c r="A832" s="100" t="str">
        <f aca="false">Equipos!C830</f>
        <v>2-121310</v>
      </c>
      <c r="B832" s="101" t="str">
        <f aca="false">Equipos!D830</f>
        <v>Monitor Multiparámetros</v>
      </c>
      <c r="C832" s="101" t="str">
        <f aca="false">Equipos!E830</f>
        <v>Medicina</v>
      </c>
      <c r="D832" s="101" t="n">
        <f aca="false">Equipos!G830</f>
        <v>0</v>
      </c>
      <c r="E832" s="101" t="str">
        <f aca="false">Equipos!I830</f>
        <v>Bistos</v>
      </c>
      <c r="F832" s="101" t="str">
        <f aca="false">Equipos!J830</f>
        <v>BT-770</v>
      </c>
      <c r="G832" s="100" t="str">
        <f aca="false">Equipos!K830</f>
        <v>DGLC0137</v>
      </c>
      <c r="H832" s="101"/>
      <c r="I832" s="102"/>
      <c r="J832" s="103" t="s">
        <v>328</v>
      </c>
      <c r="K832" s="102"/>
      <c r="L832" s="102"/>
      <c r="M832" s="102"/>
      <c r="N832" s="102"/>
      <c r="O832" s="102"/>
      <c r="P832" s="102"/>
      <c r="Q832" s="102"/>
      <c r="R832" s="102"/>
      <c r="S832" s="102"/>
      <c r="T832" s="102"/>
      <c r="U832" s="101" t="n">
        <f aca="false">V832+W832+X832+COUNTIF(I832:T832,"R")</f>
        <v>1</v>
      </c>
      <c r="V832" s="101" t="n">
        <f aca="false">COUNTIF(I832:T832,"E")</f>
        <v>1</v>
      </c>
      <c r="W832" s="101" t="n">
        <f aca="false">COUNTIF(I832:T832,"X")</f>
        <v>0</v>
      </c>
      <c r="X832" s="101" t="n">
        <f aca="false">COUNTIF(I832:T832,"C2")+COUNTIF(I832:T832,"C3")</f>
        <v>0</v>
      </c>
      <c r="Y832" s="101" t="n">
        <f aca="true">SUMPRODUCT((I832:INDEX(I832:T832,MONTH(TODAY()))="X")*1)</f>
        <v>0</v>
      </c>
      <c r="Z832" s="104" t="n">
        <f aca="false">IFERROR(V832/U832,"")</f>
        <v>1</v>
      </c>
    </row>
    <row r="833" customFormat="false" ht="15" hidden="false" customHeight="true" outlineLevel="0" collapsed="false">
      <c r="A833" s="100" t="str">
        <f aca="false">Equipos!C831</f>
        <v>2-121311</v>
      </c>
      <c r="B833" s="101" t="str">
        <f aca="false">Equipos!D831</f>
        <v>Monitor Multiparámetros</v>
      </c>
      <c r="C833" s="101" t="str">
        <f aca="false">Equipos!E831</f>
        <v>Medicina</v>
      </c>
      <c r="D833" s="101" t="n">
        <f aca="false">Equipos!G831</f>
        <v>0</v>
      </c>
      <c r="E833" s="101" t="str">
        <f aca="false">Equipos!I831</f>
        <v>Bistos</v>
      </c>
      <c r="F833" s="101" t="str">
        <f aca="false">Equipos!J831</f>
        <v>BT-770</v>
      </c>
      <c r="G833" s="100" t="str">
        <f aca="false">Equipos!K831</f>
        <v>DGLC0134</v>
      </c>
      <c r="H833" s="101"/>
      <c r="I833" s="102"/>
      <c r="J833" s="103" t="s">
        <v>328</v>
      </c>
      <c r="K833" s="102"/>
      <c r="L833" s="102"/>
      <c r="M833" s="102"/>
      <c r="N833" s="102"/>
      <c r="O833" s="102"/>
      <c r="P833" s="102"/>
      <c r="Q833" s="102"/>
      <c r="R833" s="102"/>
      <c r="S833" s="102"/>
      <c r="T833" s="102"/>
      <c r="U833" s="101" t="n">
        <f aca="false">V833+W833+X833+COUNTIF(I833:T833,"R")</f>
        <v>1</v>
      </c>
      <c r="V833" s="101" t="n">
        <f aca="false">COUNTIF(I833:T833,"E")</f>
        <v>1</v>
      </c>
      <c r="W833" s="101" t="n">
        <f aca="false">COUNTIF(I833:T833,"X")</f>
        <v>0</v>
      </c>
      <c r="X833" s="101" t="n">
        <f aca="false">COUNTIF(I833:T833,"C2")+COUNTIF(I833:T833,"C3")</f>
        <v>0</v>
      </c>
      <c r="Y833" s="101" t="n">
        <f aca="true">SUMPRODUCT((I833:INDEX(I833:T833,MONTH(TODAY()))="X")*1)</f>
        <v>0</v>
      </c>
      <c r="Z833" s="104" t="n">
        <f aca="false">IFERROR(V833/U833,"")</f>
        <v>1</v>
      </c>
    </row>
    <row r="834" customFormat="false" ht="15" hidden="false" customHeight="true" outlineLevel="0" collapsed="false">
      <c r="A834" s="100" t="str">
        <f aca="false">Equipos!C832</f>
        <v>2-121312</v>
      </c>
      <c r="B834" s="101" t="str">
        <f aca="false">Equipos!D832</f>
        <v>Monitor Multiparámetros</v>
      </c>
      <c r="C834" s="101" t="str">
        <f aca="false">Equipos!E832</f>
        <v>Medicina (Prestado a Pediatría)</v>
      </c>
      <c r="D834" s="101" t="str">
        <f aca="false">Equipos!G832</f>
        <v>EP 696</v>
      </c>
      <c r="E834" s="101" t="str">
        <f aca="false">Equipos!I832</f>
        <v>Bistos</v>
      </c>
      <c r="F834" s="101" t="str">
        <f aca="false">Equipos!J832</f>
        <v>BT-770</v>
      </c>
      <c r="G834" s="100" t="str">
        <f aca="false">Equipos!K832</f>
        <v>DGLC0115</v>
      </c>
      <c r="H834" s="101"/>
      <c r="I834" s="103" t="s">
        <v>330</v>
      </c>
      <c r="J834" s="103" t="s">
        <v>328</v>
      </c>
      <c r="K834" s="102"/>
      <c r="L834" s="102"/>
      <c r="M834" s="102"/>
      <c r="N834" s="102"/>
      <c r="O834" s="102"/>
      <c r="P834" s="102"/>
      <c r="Q834" s="102"/>
      <c r="R834" s="102"/>
      <c r="S834" s="102"/>
      <c r="T834" s="102"/>
      <c r="U834" s="101" t="n">
        <f aca="false">V834+W834+X834+COUNTIF(I834:T834,"R")</f>
        <v>2</v>
      </c>
      <c r="V834" s="101" t="n">
        <f aca="false">COUNTIF(I834:T834,"E")</f>
        <v>1</v>
      </c>
      <c r="W834" s="101" t="n">
        <f aca="false">COUNTIF(I834:T834,"X")</f>
        <v>0</v>
      </c>
      <c r="X834" s="101" t="n">
        <f aca="false">COUNTIF(I834:T834,"C2")+COUNTIF(I834:T834,"C3")</f>
        <v>0</v>
      </c>
      <c r="Y834" s="101" t="n">
        <f aca="true">SUMPRODUCT((I834:INDEX(I834:T834,MONTH(TODAY()))="X")*1)</f>
        <v>0</v>
      </c>
      <c r="Z834" s="104" t="n">
        <f aca="false">IFERROR(V834/U834,"")</f>
        <v>0.5</v>
      </c>
    </row>
    <row r="835" customFormat="false" ht="15" hidden="false" customHeight="true" outlineLevel="0" collapsed="false">
      <c r="A835" s="100" t="str">
        <f aca="false">Equipos!C833</f>
        <v>2-121313</v>
      </c>
      <c r="B835" s="101" t="str">
        <f aca="false">Equipos!D833</f>
        <v>Monitor Multiparámetros</v>
      </c>
      <c r="C835" s="101" t="str">
        <f aca="false">Equipos!E833</f>
        <v>Pediatría</v>
      </c>
      <c r="D835" s="101" t="str">
        <f aca="false">Equipos!G833</f>
        <v>Peditría Segunda Infancia</v>
      </c>
      <c r="E835" s="101" t="str">
        <f aca="false">Equipos!I833</f>
        <v>Bistos</v>
      </c>
      <c r="F835" s="101" t="str">
        <f aca="false">Equipos!J833</f>
        <v>BT-770</v>
      </c>
      <c r="G835" s="100" t="str">
        <f aca="false">Equipos!K833</f>
        <v>DGLC0136</v>
      </c>
      <c r="H835" s="101"/>
      <c r="I835" s="103" t="s">
        <v>330</v>
      </c>
      <c r="J835" s="103" t="s">
        <v>328</v>
      </c>
      <c r="K835" s="102"/>
      <c r="L835" s="102"/>
      <c r="M835" s="102"/>
      <c r="N835" s="102"/>
      <c r="O835" s="102"/>
      <c r="P835" s="102"/>
      <c r="Q835" s="102"/>
      <c r="R835" s="102"/>
      <c r="S835" s="102"/>
      <c r="T835" s="102"/>
      <c r="U835" s="101" t="n">
        <f aca="false">V835+W835+X835+COUNTIF(I835:T835,"R")</f>
        <v>2</v>
      </c>
      <c r="V835" s="101" t="n">
        <f aca="false">COUNTIF(I835:T835,"E")</f>
        <v>1</v>
      </c>
      <c r="W835" s="101" t="n">
        <f aca="false">COUNTIF(I835:T835,"X")</f>
        <v>0</v>
      </c>
      <c r="X835" s="101" t="n">
        <f aca="false">COUNTIF(I835:T835,"C2")+COUNTIF(I835:T835,"C3")</f>
        <v>0</v>
      </c>
      <c r="Y835" s="101" t="n">
        <f aca="true">SUMPRODUCT((I835:INDEX(I835:T835,MONTH(TODAY()))="X")*1)</f>
        <v>0</v>
      </c>
      <c r="Z835" s="104" t="n">
        <f aca="false">IFERROR(V835/U835,"")</f>
        <v>0.5</v>
      </c>
    </row>
    <row r="836" customFormat="false" ht="15" hidden="false" customHeight="true" outlineLevel="0" collapsed="false">
      <c r="A836" s="100" t="str">
        <f aca="false">Equipos!C834</f>
        <v>2-121314</v>
      </c>
      <c r="B836" s="101" t="str">
        <f aca="false">Equipos!D834</f>
        <v>Monitor Multiparámetros</v>
      </c>
      <c r="C836" s="101" t="str">
        <f aca="false">Equipos!E834</f>
        <v>Medicina</v>
      </c>
      <c r="D836" s="101" t="n">
        <f aca="false">Equipos!G834</f>
        <v>0</v>
      </c>
      <c r="E836" s="101" t="str">
        <f aca="false">Equipos!I834</f>
        <v>Bistos</v>
      </c>
      <c r="F836" s="101" t="str">
        <f aca="false">Equipos!J834</f>
        <v>BT-770</v>
      </c>
      <c r="G836" s="100" t="str">
        <f aca="false">Equipos!K834</f>
        <v>DGLC0133</v>
      </c>
      <c r="H836" s="101"/>
      <c r="I836" s="102"/>
      <c r="J836" s="103" t="s">
        <v>328</v>
      </c>
      <c r="K836" s="102"/>
      <c r="L836" s="102"/>
      <c r="M836" s="102"/>
      <c r="N836" s="102"/>
      <c r="O836" s="102"/>
      <c r="P836" s="102"/>
      <c r="Q836" s="102"/>
      <c r="R836" s="102"/>
      <c r="S836" s="102"/>
      <c r="T836" s="102"/>
      <c r="U836" s="101" t="n">
        <f aca="false">V836+W836+X836+COUNTIF(I836:T836,"R")</f>
        <v>1</v>
      </c>
      <c r="V836" s="101" t="n">
        <f aca="false">COUNTIF(I836:T836,"E")</f>
        <v>1</v>
      </c>
      <c r="W836" s="101" t="n">
        <f aca="false">COUNTIF(I836:T836,"X")</f>
        <v>0</v>
      </c>
      <c r="X836" s="101" t="n">
        <f aca="false">COUNTIF(I836:T836,"C2")+COUNTIF(I836:T836,"C3")</f>
        <v>0</v>
      </c>
      <c r="Y836" s="101" t="n">
        <f aca="true">SUMPRODUCT((I836:INDEX(I836:T836,MONTH(TODAY()))="X")*1)</f>
        <v>0</v>
      </c>
      <c r="Z836" s="104" t="n">
        <f aca="false">IFERROR(V836/U836,"")</f>
        <v>1</v>
      </c>
    </row>
    <row r="837" customFormat="false" ht="15" hidden="false" customHeight="true" outlineLevel="0" collapsed="false">
      <c r="A837" s="100" t="str">
        <f aca="false">Equipos!C835</f>
        <v>2-121315</v>
      </c>
      <c r="B837" s="101" t="str">
        <f aca="false">Equipos!D835</f>
        <v>Monitor Multiparámetros</v>
      </c>
      <c r="C837" s="101" t="str">
        <f aca="false">Equipos!E835</f>
        <v>Medicina</v>
      </c>
      <c r="D837" s="101" t="n">
        <f aca="false">Equipos!G835</f>
        <v>0</v>
      </c>
      <c r="E837" s="101" t="str">
        <f aca="false">Equipos!I835</f>
        <v>Bistos</v>
      </c>
      <c r="F837" s="101" t="str">
        <f aca="false">Equipos!J835</f>
        <v>BT-770</v>
      </c>
      <c r="G837" s="100" t="str">
        <f aca="false">Equipos!K835</f>
        <v>DGL70654</v>
      </c>
      <c r="H837" s="101"/>
      <c r="I837" s="102"/>
      <c r="J837" s="103" t="s">
        <v>328</v>
      </c>
      <c r="K837" s="102"/>
      <c r="L837" s="102"/>
      <c r="M837" s="102"/>
      <c r="N837" s="102"/>
      <c r="O837" s="102"/>
      <c r="P837" s="102"/>
      <c r="Q837" s="102"/>
      <c r="R837" s="102"/>
      <c r="S837" s="102"/>
      <c r="T837" s="102"/>
      <c r="U837" s="101" t="n">
        <f aca="false">V837+W837+X837+COUNTIF(I837:T837,"R")</f>
        <v>1</v>
      </c>
      <c r="V837" s="101" t="n">
        <f aca="false">COUNTIF(I837:T837,"E")</f>
        <v>1</v>
      </c>
      <c r="W837" s="101" t="n">
        <f aca="false">COUNTIF(I837:T837,"X")</f>
        <v>0</v>
      </c>
      <c r="X837" s="101" t="n">
        <f aca="false">COUNTIF(I837:T837,"C2")+COUNTIF(I837:T837,"C3")</f>
        <v>0</v>
      </c>
      <c r="Y837" s="101" t="n">
        <f aca="true">SUMPRODUCT((I837:INDEX(I837:T837,MONTH(TODAY()))="X")*1)</f>
        <v>0</v>
      </c>
      <c r="Z837" s="104" t="n">
        <f aca="false">IFERROR(V837/U837,"")</f>
        <v>1</v>
      </c>
    </row>
    <row r="838" customFormat="false" ht="15" hidden="false" customHeight="true" outlineLevel="0" collapsed="false">
      <c r="A838" s="100" t="str">
        <f aca="false">Equipos!C836</f>
        <v>2-121316</v>
      </c>
      <c r="B838" s="101" t="str">
        <f aca="false">Equipos!D836</f>
        <v>Monitor Multiparámetros</v>
      </c>
      <c r="C838" s="101" t="str">
        <f aca="false">Equipos!E836</f>
        <v>Medicina</v>
      </c>
      <c r="D838" s="101" t="n">
        <f aca="false">Equipos!G836</f>
        <v>0</v>
      </c>
      <c r="E838" s="101" t="str">
        <f aca="false">Equipos!I836</f>
        <v>Bistos</v>
      </c>
      <c r="F838" s="101" t="str">
        <f aca="false">Equipos!J836</f>
        <v>BT-770</v>
      </c>
      <c r="G838" s="100" t="str">
        <f aca="false">Equipos!K836</f>
        <v>DGLC0112</v>
      </c>
      <c r="H838" s="101"/>
      <c r="I838" s="102"/>
      <c r="J838" s="103" t="s">
        <v>328</v>
      </c>
      <c r="K838" s="102"/>
      <c r="L838" s="102"/>
      <c r="M838" s="102"/>
      <c r="N838" s="102"/>
      <c r="O838" s="102"/>
      <c r="P838" s="102"/>
      <c r="Q838" s="102"/>
      <c r="R838" s="102"/>
      <c r="S838" s="102"/>
      <c r="T838" s="102"/>
      <c r="U838" s="101" t="n">
        <f aca="false">V838+W838+X838+COUNTIF(I838:T838,"R")</f>
        <v>1</v>
      </c>
      <c r="V838" s="101" t="n">
        <f aca="false">COUNTIF(I838:T838,"E")</f>
        <v>1</v>
      </c>
      <c r="W838" s="101" t="n">
        <f aca="false">COUNTIF(I838:T838,"X")</f>
        <v>0</v>
      </c>
      <c r="X838" s="101" t="n">
        <f aca="false">COUNTIF(I838:T838,"C2")+COUNTIF(I838:T838,"C3")</f>
        <v>0</v>
      </c>
      <c r="Y838" s="101" t="n">
        <f aca="true">SUMPRODUCT((I838:INDEX(I838:T838,MONTH(TODAY()))="X")*1)</f>
        <v>0</v>
      </c>
      <c r="Z838" s="104" t="n">
        <f aca="false">IFERROR(V838/U838,"")</f>
        <v>1</v>
      </c>
    </row>
    <row r="839" customFormat="false" ht="15" hidden="false" customHeight="true" outlineLevel="0" collapsed="false">
      <c r="A839" s="100" t="str">
        <f aca="false">Equipos!C837</f>
        <v>2-121317</v>
      </c>
      <c r="B839" s="101" t="str">
        <f aca="false">Equipos!D837</f>
        <v>Monitor Multiparámetros</v>
      </c>
      <c r="C839" s="101" t="str">
        <f aca="false">Equipos!E837</f>
        <v>Medicina (Prestado a Pediatría)</v>
      </c>
      <c r="D839" s="101" t="str">
        <f aca="false">Equipos!G837</f>
        <v>EPA-P6</v>
      </c>
      <c r="E839" s="101" t="str">
        <f aca="false">Equipos!I837</f>
        <v>Bistos</v>
      </c>
      <c r="F839" s="101" t="str">
        <f aca="false">Equipos!J837</f>
        <v>BT-770</v>
      </c>
      <c r="G839" s="100" t="str">
        <f aca="false">Equipos!K837</f>
        <v>DGLC0125</v>
      </c>
      <c r="H839" s="101"/>
      <c r="I839" s="103" t="s">
        <v>330</v>
      </c>
      <c r="J839" s="103" t="s">
        <v>328</v>
      </c>
      <c r="K839" s="102"/>
      <c r="L839" s="102"/>
      <c r="M839" s="102"/>
      <c r="N839" s="102"/>
      <c r="O839" s="102"/>
      <c r="P839" s="102"/>
      <c r="Q839" s="102"/>
      <c r="R839" s="102"/>
      <c r="S839" s="102"/>
      <c r="T839" s="102"/>
      <c r="U839" s="101" t="n">
        <f aca="false">V839+W839+X839+COUNTIF(I839:T839,"R")</f>
        <v>2</v>
      </c>
      <c r="V839" s="101" t="n">
        <f aca="false">COUNTIF(I839:T839,"E")</f>
        <v>1</v>
      </c>
      <c r="W839" s="101" t="n">
        <f aca="false">COUNTIF(I839:T839,"X")</f>
        <v>0</v>
      </c>
      <c r="X839" s="101" t="n">
        <f aca="false">COUNTIF(I839:T839,"C2")+COUNTIF(I839:T839,"C3")</f>
        <v>0</v>
      </c>
      <c r="Y839" s="101" t="n">
        <f aca="true">SUMPRODUCT((I839:INDEX(I839:T839,MONTH(TODAY()))="X")*1)</f>
        <v>0</v>
      </c>
      <c r="Z839" s="104" t="n">
        <f aca="false">IFERROR(V839/U839,"")</f>
        <v>0.5</v>
      </c>
    </row>
    <row r="840" customFormat="false" ht="15" hidden="false" customHeight="true" outlineLevel="0" collapsed="false">
      <c r="A840" s="100" t="str">
        <f aca="false">Equipos!C838</f>
        <v>2-121318</v>
      </c>
      <c r="B840" s="101" t="str">
        <f aca="false">Equipos!D838</f>
        <v>Monitor Multiparámetros</v>
      </c>
      <c r="C840" s="101" t="str">
        <f aca="false">Equipos!E838</f>
        <v>Medicina (Prestado a medicina cardiovascular)</v>
      </c>
      <c r="D840" s="101" t="n">
        <f aca="false">Equipos!G838</f>
        <v>0</v>
      </c>
      <c r="E840" s="101" t="str">
        <f aca="false">Equipos!I838</f>
        <v>Bistos</v>
      </c>
      <c r="F840" s="101" t="str">
        <f aca="false">Equipos!J838</f>
        <v>BT-770</v>
      </c>
      <c r="G840" s="100" t="str">
        <f aca="false">Equipos!K838</f>
        <v>DGL70658</v>
      </c>
      <c r="H840" s="101"/>
      <c r="I840" s="102"/>
      <c r="J840" s="103" t="s">
        <v>330</v>
      </c>
      <c r="K840" s="103" t="s">
        <v>328</v>
      </c>
      <c r="L840" s="102"/>
      <c r="M840" s="102"/>
      <c r="N840" s="102"/>
      <c r="O840" s="102"/>
      <c r="P840" s="102"/>
      <c r="Q840" s="102"/>
      <c r="R840" s="102"/>
      <c r="S840" s="102"/>
      <c r="T840" s="102"/>
      <c r="U840" s="101" t="n">
        <f aca="false">V840+W840+X840+COUNTIF(I840:T840,"R")</f>
        <v>2</v>
      </c>
      <c r="V840" s="101" t="n">
        <f aca="false">COUNTIF(I840:T840,"E")</f>
        <v>1</v>
      </c>
      <c r="W840" s="101" t="n">
        <f aca="false">COUNTIF(I840:T840,"X")</f>
        <v>0</v>
      </c>
      <c r="X840" s="101" t="n">
        <f aca="false">COUNTIF(I840:T840,"C2")+COUNTIF(I840:T840,"C3")</f>
        <v>0</v>
      </c>
      <c r="Y840" s="101" t="n">
        <f aca="true">SUMPRODUCT((I840:INDEX(I840:T840,MONTH(TODAY()))="X")*1)</f>
        <v>0</v>
      </c>
      <c r="Z840" s="104" t="n">
        <f aca="false">IFERROR(V840/U840,"")</f>
        <v>0.5</v>
      </c>
    </row>
    <row r="841" customFormat="false" ht="15" hidden="false" customHeight="true" outlineLevel="0" collapsed="false">
      <c r="A841" s="100" t="str">
        <f aca="false">Equipos!C839</f>
        <v>2-121319</v>
      </c>
      <c r="B841" s="101" t="str">
        <f aca="false">Equipos!D839</f>
        <v>Monitor Multiparámetros</v>
      </c>
      <c r="C841" s="101" t="str">
        <f aca="false">Equipos!E839</f>
        <v>Medicina</v>
      </c>
      <c r="D841" s="101" t="n">
        <f aca="false">Equipos!G839</f>
        <v>0</v>
      </c>
      <c r="E841" s="101" t="str">
        <f aca="false">Equipos!I839</f>
        <v>Bistos</v>
      </c>
      <c r="F841" s="101" t="str">
        <f aca="false">Equipos!J839</f>
        <v>BT-770</v>
      </c>
      <c r="G841" s="100" t="str">
        <f aca="false">Equipos!K839</f>
        <v>DGLC0128</v>
      </c>
      <c r="H841" s="101"/>
      <c r="I841" s="102"/>
      <c r="J841" s="103" t="s">
        <v>332</v>
      </c>
      <c r="K841" s="102"/>
      <c r="L841" s="102"/>
      <c r="M841" s="102"/>
      <c r="N841" s="102"/>
      <c r="O841" s="102"/>
      <c r="P841" s="102"/>
      <c r="Q841" s="102"/>
      <c r="R841" s="102"/>
      <c r="S841" s="102"/>
      <c r="T841" s="102"/>
      <c r="U841" s="101" t="n">
        <f aca="false">V841+W841+X841+COUNTIF(I841:T841,"R")</f>
        <v>1</v>
      </c>
      <c r="V841" s="101" t="n">
        <f aca="false">COUNTIF(I841:T841,"E")</f>
        <v>0</v>
      </c>
      <c r="W841" s="101" t="n">
        <f aca="false">COUNTIF(I841:T841,"X")</f>
        <v>0</v>
      </c>
      <c r="X841" s="101" t="n">
        <f aca="false">COUNTIF(I841:T841,"C2")+COUNTIF(I841:T841,"C3")</f>
        <v>1</v>
      </c>
      <c r="Y841" s="101" t="n">
        <f aca="true">SUMPRODUCT((I841:INDEX(I841:T841,MONTH(TODAY()))="X")*1)</f>
        <v>0</v>
      </c>
      <c r="Z841" s="104" t="n">
        <f aca="false">IFERROR(V841/U841,"")</f>
        <v>0</v>
      </c>
    </row>
    <row r="842" customFormat="false" ht="15" hidden="false" customHeight="true" outlineLevel="0" collapsed="false">
      <c r="A842" s="100" t="str">
        <f aca="false">Equipos!C840</f>
        <v>2-121320</v>
      </c>
      <c r="B842" s="101" t="str">
        <f aca="false">Equipos!D840</f>
        <v>Monitor Multiparámetros</v>
      </c>
      <c r="C842" s="101" t="str">
        <f aca="false">Equipos!E840</f>
        <v>Medicina</v>
      </c>
      <c r="D842" s="101" t="n">
        <f aca="false">Equipos!G840</f>
        <v>0</v>
      </c>
      <c r="E842" s="101" t="str">
        <f aca="false">Equipos!I840</f>
        <v>Bistos</v>
      </c>
      <c r="F842" s="101" t="str">
        <f aca="false">Equipos!J840</f>
        <v>BT-770</v>
      </c>
      <c r="G842" s="100" t="str">
        <f aca="false">Equipos!K840</f>
        <v>DGL70653</v>
      </c>
      <c r="H842" s="101"/>
      <c r="I842" s="102"/>
      <c r="J842" s="103" t="s">
        <v>328</v>
      </c>
      <c r="K842" s="102"/>
      <c r="L842" s="102"/>
      <c r="M842" s="102"/>
      <c r="N842" s="102"/>
      <c r="O842" s="102"/>
      <c r="P842" s="102"/>
      <c r="Q842" s="102"/>
      <c r="R842" s="102"/>
      <c r="S842" s="102"/>
      <c r="T842" s="102"/>
      <c r="U842" s="101" t="n">
        <f aca="false">V842+W842+X842+COUNTIF(I842:T842,"R")</f>
        <v>1</v>
      </c>
      <c r="V842" s="101" t="n">
        <f aca="false">COUNTIF(I842:T842,"E")</f>
        <v>1</v>
      </c>
      <c r="W842" s="101" t="n">
        <f aca="false">COUNTIF(I842:T842,"X")</f>
        <v>0</v>
      </c>
      <c r="X842" s="101" t="n">
        <f aca="false">COUNTIF(I842:T842,"C2")+COUNTIF(I842:T842,"C3")</f>
        <v>0</v>
      </c>
      <c r="Y842" s="101" t="n">
        <f aca="true">SUMPRODUCT((I842:INDEX(I842:T842,MONTH(TODAY()))="X")*1)</f>
        <v>0</v>
      </c>
      <c r="Z842" s="104" t="n">
        <f aca="false">IFERROR(V842/U842,"")</f>
        <v>1</v>
      </c>
    </row>
    <row r="843" customFormat="false" ht="15" hidden="false" customHeight="true" outlineLevel="0" collapsed="false">
      <c r="A843" s="100" t="str">
        <f aca="false">Equipos!C841</f>
        <v>2-121321</v>
      </c>
      <c r="B843" s="101" t="str">
        <f aca="false">Equipos!D841</f>
        <v>Monitor Multiparámetros</v>
      </c>
      <c r="C843" s="101" t="str">
        <f aca="false">Equipos!E841</f>
        <v>Medicina</v>
      </c>
      <c r="D843" s="101" t="n">
        <f aca="false">Equipos!G841</f>
        <v>0</v>
      </c>
      <c r="E843" s="101" t="str">
        <f aca="false">Equipos!I841</f>
        <v>Bistos</v>
      </c>
      <c r="F843" s="101" t="str">
        <f aca="false">Equipos!J841</f>
        <v>BT-770</v>
      </c>
      <c r="G843" s="100" t="str">
        <f aca="false">Equipos!K841</f>
        <v>DGLC0122</v>
      </c>
      <c r="H843" s="101"/>
      <c r="I843" s="102"/>
      <c r="J843" s="103" t="s">
        <v>328</v>
      </c>
      <c r="K843" s="102"/>
      <c r="L843" s="102"/>
      <c r="M843" s="102"/>
      <c r="N843" s="102"/>
      <c r="O843" s="102"/>
      <c r="P843" s="102"/>
      <c r="Q843" s="102"/>
      <c r="R843" s="102"/>
      <c r="S843" s="102"/>
      <c r="T843" s="102"/>
      <c r="U843" s="101" t="n">
        <f aca="false">V843+W843+X843+COUNTIF(I843:T843,"R")</f>
        <v>1</v>
      </c>
      <c r="V843" s="101" t="n">
        <f aca="false">COUNTIF(I843:T843,"E")</f>
        <v>1</v>
      </c>
      <c r="W843" s="101" t="n">
        <f aca="false">COUNTIF(I843:T843,"X")</f>
        <v>0</v>
      </c>
      <c r="X843" s="101" t="n">
        <f aca="false">COUNTIF(I843:T843,"C2")+COUNTIF(I843:T843,"C3")</f>
        <v>0</v>
      </c>
      <c r="Y843" s="101" t="n">
        <f aca="true">SUMPRODUCT((I843:INDEX(I843:T843,MONTH(TODAY()))="X")*1)</f>
        <v>0</v>
      </c>
      <c r="Z843" s="104" t="n">
        <f aca="false">IFERROR(V843/U843,"")</f>
        <v>1</v>
      </c>
    </row>
    <row r="844" customFormat="false" ht="15" hidden="false" customHeight="true" outlineLevel="0" collapsed="false">
      <c r="A844" s="100" t="str">
        <f aca="false">Equipos!C842</f>
        <v>2-121322</v>
      </c>
      <c r="B844" s="101" t="str">
        <f aca="false">Equipos!D842</f>
        <v>Monitor Multiparámetros</v>
      </c>
      <c r="C844" s="101" t="str">
        <f aca="false">Equipos!E842</f>
        <v>Medicina</v>
      </c>
      <c r="D844" s="101" t="n">
        <f aca="false">Equipos!G842</f>
        <v>0</v>
      </c>
      <c r="E844" s="101" t="str">
        <f aca="false">Equipos!I842</f>
        <v>Bistos</v>
      </c>
      <c r="F844" s="101" t="str">
        <f aca="false">Equipos!J842</f>
        <v>BT-770</v>
      </c>
      <c r="G844" s="100" t="str">
        <f aca="false">Equipos!K842</f>
        <v>DGL70649</v>
      </c>
      <c r="H844" s="101"/>
      <c r="I844" s="102"/>
      <c r="J844" s="103" t="s">
        <v>328</v>
      </c>
      <c r="K844" s="102"/>
      <c r="L844" s="102"/>
      <c r="M844" s="102"/>
      <c r="N844" s="102"/>
      <c r="O844" s="102"/>
      <c r="P844" s="102"/>
      <c r="Q844" s="102"/>
      <c r="R844" s="102"/>
      <c r="S844" s="102"/>
      <c r="T844" s="102"/>
      <c r="U844" s="101" t="n">
        <f aca="false">V844+W844+X844+COUNTIF(I844:T844,"R")</f>
        <v>1</v>
      </c>
      <c r="V844" s="101" t="n">
        <f aca="false">COUNTIF(I844:T844,"E")</f>
        <v>1</v>
      </c>
      <c r="W844" s="101" t="n">
        <f aca="false">COUNTIF(I844:T844,"X")</f>
        <v>0</v>
      </c>
      <c r="X844" s="101" t="n">
        <f aca="false">COUNTIF(I844:T844,"C2")+COUNTIF(I844:T844,"C3")</f>
        <v>0</v>
      </c>
      <c r="Y844" s="101" t="n">
        <f aca="true">SUMPRODUCT((I844:INDEX(I844:T844,MONTH(TODAY()))="X")*1)</f>
        <v>0</v>
      </c>
      <c r="Z844" s="104" t="n">
        <f aca="false">IFERROR(V844/U844,"")</f>
        <v>1</v>
      </c>
    </row>
    <row r="845" customFormat="false" ht="15" hidden="false" customHeight="true" outlineLevel="0" collapsed="false">
      <c r="A845" s="100" t="str">
        <f aca="false">Equipos!C843</f>
        <v>2-121323</v>
      </c>
      <c r="B845" s="101" t="str">
        <f aca="false">Equipos!D843</f>
        <v>Monitor Multiparámetros</v>
      </c>
      <c r="C845" s="101" t="str">
        <f aca="false">Equipos!E843</f>
        <v>Medicina</v>
      </c>
      <c r="D845" s="101" t="str">
        <f aca="false">Equipos!G843</f>
        <v>Sala de equipos</v>
      </c>
      <c r="E845" s="101" t="str">
        <f aca="false">Equipos!I843</f>
        <v>Bistos</v>
      </c>
      <c r="F845" s="101" t="str">
        <f aca="false">Equipos!J843</f>
        <v>BT-770</v>
      </c>
      <c r="G845" s="100" t="str">
        <f aca="false">Equipos!K843</f>
        <v>DGLC0109</v>
      </c>
      <c r="H845" s="101"/>
      <c r="I845" s="102"/>
      <c r="J845" s="103" t="s">
        <v>328</v>
      </c>
      <c r="K845" s="102"/>
      <c r="L845" s="102"/>
      <c r="M845" s="102"/>
      <c r="N845" s="102"/>
      <c r="O845" s="102"/>
      <c r="P845" s="102"/>
      <c r="Q845" s="102"/>
      <c r="R845" s="102"/>
      <c r="S845" s="102"/>
      <c r="T845" s="102"/>
      <c r="U845" s="101" t="n">
        <f aca="false">V845+W845+X845+COUNTIF(I845:T845,"R")</f>
        <v>1</v>
      </c>
      <c r="V845" s="101" t="n">
        <f aca="false">COUNTIF(I845:T845,"E")</f>
        <v>1</v>
      </c>
      <c r="W845" s="101" t="n">
        <f aca="false">COUNTIF(I845:T845,"X")</f>
        <v>0</v>
      </c>
      <c r="X845" s="101" t="n">
        <f aca="false">COUNTIF(I845:T845,"C2")+COUNTIF(I845:T845,"C3")</f>
        <v>0</v>
      </c>
      <c r="Y845" s="101" t="n">
        <f aca="true">SUMPRODUCT((I845:INDEX(I845:T845,MONTH(TODAY()))="X")*1)</f>
        <v>0</v>
      </c>
      <c r="Z845" s="104" t="n">
        <f aca="false">IFERROR(V845/U845,"")</f>
        <v>1</v>
      </c>
    </row>
    <row r="846" customFormat="false" ht="15" hidden="false" customHeight="true" outlineLevel="0" collapsed="false">
      <c r="A846" s="100" t="str">
        <f aca="false">Equipos!C844</f>
        <v>2-121324</v>
      </c>
      <c r="B846" s="101" t="str">
        <f aca="false">Equipos!D844</f>
        <v>Monitor Multiparámetros</v>
      </c>
      <c r="C846" s="101" t="str">
        <f aca="false">Equipos!E844</f>
        <v>Medicina (Prestado a medicina cardiovascular)</v>
      </c>
      <c r="D846" s="101" t="n">
        <f aca="false">Equipos!G844</f>
        <v>0</v>
      </c>
      <c r="E846" s="101" t="str">
        <f aca="false">Equipos!I844</f>
        <v>Bistos</v>
      </c>
      <c r="F846" s="101" t="str">
        <f aca="false">Equipos!J844</f>
        <v>BT-770</v>
      </c>
      <c r="G846" s="100" t="str">
        <f aca="false">Equipos!K844</f>
        <v>DGL70650</v>
      </c>
      <c r="H846" s="101"/>
      <c r="I846" s="102"/>
      <c r="J846" s="103" t="s">
        <v>330</v>
      </c>
      <c r="K846" s="103" t="s">
        <v>328</v>
      </c>
      <c r="L846" s="102"/>
      <c r="M846" s="102"/>
      <c r="N846" s="102"/>
      <c r="O846" s="102"/>
      <c r="P846" s="102"/>
      <c r="Q846" s="102"/>
      <c r="R846" s="102"/>
      <c r="S846" s="102"/>
      <c r="T846" s="102"/>
      <c r="U846" s="101" t="n">
        <f aca="false">V846+W846+X846+COUNTIF(I846:T846,"R")</f>
        <v>2</v>
      </c>
      <c r="V846" s="101" t="n">
        <f aca="false">COUNTIF(I846:T846,"E")</f>
        <v>1</v>
      </c>
      <c r="W846" s="101" t="n">
        <f aca="false">COUNTIF(I846:T846,"X")</f>
        <v>0</v>
      </c>
      <c r="X846" s="101" t="n">
        <f aca="false">COUNTIF(I846:T846,"C2")+COUNTIF(I846:T846,"C3")</f>
        <v>0</v>
      </c>
      <c r="Y846" s="101" t="n">
        <f aca="true">SUMPRODUCT((I846:INDEX(I846:T846,MONTH(TODAY()))="X")*1)</f>
        <v>0</v>
      </c>
      <c r="Z846" s="104" t="n">
        <f aca="false">IFERROR(V846/U846,"")</f>
        <v>0.5</v>
      </c>
    </row>
    <row r="847" customFormat="false" ht="15" hidden="false" customHeight="true" outlineLevel="0" collapsed="false">
      <c r="A847" s="100" t="str">
        <f aca="false">Equipos!C845</f>
        <v>2-121325</v>
      </c>
      <c r="B847" s="101" t="str">
        <f aca="false">Equipos!D845</f>
        <v>Monitor Multiparámetros</v>
      </c>
      <c r="C847" s="101" t="str">
        <f aca="false">Equipos!E845</f>
        <v>Medicina</v>
      </c>
      <c r="D847" s="101" t="n">
        <f aca="false">Equipos!G845</f>
        <v>0</v>
      </c>
      <c r="E847" s="101" t="str">
        <f aca="false">Equipos!I845</f>
        <v>Bistos</v>
      </c>
      <c r="F847" s="101" t="str">
        <f aca="false">Equipos!J845</f>
        <v>BT-770</v>
      </c>
      <c r="G847" s="100" t="str">
        <f aca="false">Equipos!K845</f>
        <v>DGLC0127</v>
      </c>
      <c r="H847" s="101"/>
      <c r="I847" s="102"/>
      <c r="J847" s="103" t="s">
        <v>328</v>
      </c>
      <c r="K847" s="102"/>
      <c r="L847" s="102"/>
      <c r="M847" s="102"/>
      <c r="N847" s="102"/>
      <c r="O847" s="102"/>
      <c r="P847" s="102"/>
      <c r="Q847" s="102"/>
      <c r="R847" s="102"/>
      <c r="S847" s="102"/>
      <c r="T847" s="102"/>
      <c r="U847" s="101" t="n">
        <f aca="false">V847+W847+X847+COUNTIF(I847:T847,"R")</f>
        <v>1</v>
      </c>
      <c r="V847" s="101" t="n">
        <f aca="false">COUNTIF(I847:T847,"E")</f>
        <v>1</v>
      </c>
      <c r="W847" s="101" t="n">
        <f aca="false">COUNTIF(I847:T847,"X")</f>
        <v>0</v>
      </c>
      <c r="X847" s="101" t="n">
        <f aca="false">COUNTIF(I847:T847,"C2")+COUNTIF(I847:T847,"C3")</f>
        <v>0</v>
      </c>
      <c r="Y847" s="101" t="n">
        <f aca="true">SUMPRODUCT((I847:INDEX(I847:T847,MONTH(TODAY()))="X")*1)</f>
        <v>0</v>
      </c>
      <c r="Z847" s="104" t="n">
        <f aca="false">IFERROR(V847/U847,"")</f>
        <v>1</v>
      </c>
    </row>
    <row r="848" customFormat="false" ht="15" hidden="false" customHeight="true" outlineLevel="0" collapsed="false">
      <c r="A848" s="100" t="str">
        <f aca="false">Equipos!C846</f>
        <v>2-121326</v>
      </c>
      <c r="B848" s="101" t="str">
        <f aca="false">Equipos!D846</f>
        <v>Monitor Multiparámetros</v>
      </c>
      <c r="C848" s="101" t="str">
        <f aca="false">Equipos!E846</f>
        <v>Hospitalización Domiciliaria</v>
      </c>
      <c r="D848" s="101" t="n">
        <f aca="false">Equipos!G846</f>
        <v>0</v>
      </c>
      <c r="E848" s="101" t="str">
        <f aca="false">Equipos!I846</f>
        <v>Bistos</v>
      </c>
      <c r="F848" s="101" t="str">
        <f aca="false">Equipos!J846</f>
        <v>BT-770</v>
      </c>
      <c r="G848" s="100" t="str">
        <f aca="false">Equipos!K846</f>
        <v>DGL70652</v>
      </c>
      <c r="H848" s="101"/>
      <c r="I848" s="102"/>
      <c r="J848" s="103" t="s">
        <v>330</v>
      </c>
      <c r="K848" s="103" t="s">
        <v>328</v>
      </c>
      <c r="L848" s="102"/>
      <c r="M848" s="102"/>
      <c r="N848" s="102"/>
      <c r="O848" s="102"/>
      <c r="P848" s="102"/>
      <c r="Q848" s="102"/>
      <c r="R848" s="102"/>
      <c r="S848" s="102"/>
      <c r="T848" s="102"/>
      <c r="U848" s="101" t="n">
        <f aca="false">V848+W848+X848+COUNTIF(I848:T848,"R")</f>
        <v>2</v>
      </c>
      <c r="V848" s="101" t="n">
        <f aca="false">COUNTIF(I848:T848,"E")</f>
        <v>1</v>
      </c>
      <c r="W848" s="101" t="n">
        <f aca="false">COUNTIF(I848:T848,"X")</f>
        <v>0</v>
      </c>
      <c r="X848" s="101" t="n">
        <f aca="false">COUNTIF(I848:T848,"C2")+COUNTIF(I848:T848,"C3")</f>
        <v>0</v>
      </c>
      <c r="Y848" s="101" t="n">
        <f aca="true">SUMPRODUCT((I848:INDEX(I848:T848,MONTH(TODAY()))="X")*1)</f>
        <v>0</v>
      </c>
      <c r="Z848" s="104" t="n">
        <f aca="false">IFERROR(V848/U848,"")</f>
        <v>0.5</v>
      </c>
    </row>
    <row r="849" customFormat="false" ht="15" hidden="false" customHeight="true" outlineLevel="0" collapsed="false">
      <c r="A849" s="100" t="str">
        <f aca="false">Equipos!C847</f>
        <v>2-121327</v>
      </c>
      <c r="B849" s="101" t="str">
        <f aca="false">Equipos!D847</f>
        <v>Monitor Multiparámetros</v>
      </c>
      <c r="C849" s="101" t="str">
        <f aca="false">Equipos!E847</f>
        <v>Medicina</v>
      </c>
      <c r="D849" s="101" t="n">
        <f aca="false">Equipos!G847</f>
        <v>0</v>
      </c>
      <c r="E849" s="101" t="str">
        <f aca="false">Equipos!I847</f>
        <v>Bistos</v>
      </c>
      <c r="F849" s="101" t="str">
        <f aca="false">Equipos!J847</f>
        <v>BT-770</v>
      </c>
      <c r="G849" s="100" t="str">
        <f aca="false">Equipos!K847</f>
        <v>DGLC0114</v>
      </c>
      <c r="H849" s="101"/>
      <c r="I849" s="102"/>
      <c r="J849" s="103" t="s">
        <v>328</v>
      </c>
      <c r="K849" s="102"/>
      <c r="L849" s="102"/>
      <c r="M849" s="102"/>
      <c r="N849" s="102"/>
      <c r="O849" s="102"/>
      <c r="P849" s="102"/>
      <c r="Q849" s="102"/>
      <c r="R849" s="102"/>
      <c r="S849" s="102"/>
      <c r="T849" s="102"/>
      <c r="U849" s="101" t="n">
        <f aca="false">V849+W849+X849+COUNTIF(I849:T849,"R")</f>
        <v>1</v>
      </c>
      <c r="V849" s="101" t="n">
        <f aca="false">COUNTIF(I849:T849,"E")</f>
        <v>1</v>
      </c>
      <c r="W849" s="101" t="n">
        <f aca="false">COUNTIF(I849:T849,"X")</f>
        <v>0</v>
      </c>
      <c r="X849" s="101" t="n">
        <f aca="false">COUNTIF(I849:T849,"C2")+COUNTIF(I849:T849,"C3")</f>
        <v>0</v>
      </c>
      <c r="Y849" s="101" t="n">
        <f aca="true">SUMPRODUCT((I849:INDEX(I849:T849,MONTH(TODAY()))="X")*1)</f>
        <v>0</v>
      </c>
      <c r="Z849" s="104" t="n">
        <f aca="false">IFERROR(V849/U849,"")</f>
        <v>1</v>
      </c>
    </row>
    <row r="850" customFormat="false" ht="15" hidden="false" customHeight="true" outlineLevel="0" collapsed="false">
      <c r="A850" s="100" t="str">
        <f aca="false">Equipos!C848</f>
        <v>2-121328</v>
      </c>
      <c r="B850" s="101" t="str">
        <f aca="false">Equipos!D848</f>
        <v>Monitor Multiparámetros</v>
      </c>
      <c r="C850" s="101" t="str">
        <f aca="false">Equipos!E848</f>
        <v>Medicina</v>
      </c>
      <c r="D850" s="101" t="str">
        <f aca="false">Equipos!G848</f>
        <v>EPA-P6</v>
      </c>
      <c r="E850" s="101" t="str">
        <f aca="false">Equipos!I848</f>
        <v>Bistos</v>
      </c>
      <c r="F850" s="101" t="str">
        <f aca="false">Equipos!J848</f>
        <v>BT-770</v>
      </c>
      <c r="G850" s="100" t="str">
        <f aca="false">Equipos!K848</f>
        <v>DGLC0119</v>
      </c>
      <c r="H850" s="101"/>
      <c r="I850" s="102"/>
      <c r="J850" s="103" t="s">
        <v>328</v>
      </c>
      <c r="K850" s="102"/>
      <c r="L850" s="102"/>
      <c r="M850" s="102"/>
      <c r="N850" s="102"/>
      <c r="O850" s="102"/>
      <c r="P850" s="102"/>
      <c r="Q850" s="102"/>
      <c r="R850" s="102"/>
      <c r="S850" s="102"/>
      <c r="T850" s="102"/>
      <c r="U850" s="101" t="n">
        <f aca="false">V850+W850+X850+COUNTIF(I850:T850,"R")</f>
        <v>1</v>
      </c>
      <c r="V850" s="101" t="n">
        <f aca="false">COUNTIF(I850:T850,"E")</f>
        <v>1</v>
      </c>
      <c r="W850" s="101" t="n">
        <f aca="false">COUNTIF(I850:T850,"X")</f>
        <v>0</v>
      </c>
      <c r="X850" s="101" t="n">
        <f aca="false">COUNTIF(I850:T850,"C2")+COUNTIF(I850:T850,"C3")</f>
        <v>0</v>
      </c>
      <c r="Y850" s="101" t="n">
        <f aca="true">SUMPRODUCT((I850:INDEX(I850:T850,MONTH(TODAY()))="X")*1)</f>
        <v>0</v>
      </c>
      <c r="Z850" s="104" t="n">
        <f aca="false">IFERROR(V850/U850,"")</f>
        <v>1</v>
      </c>
    </row>
    <row r="851" customFormat="false" ht="15" hidden="false" customHeight="true" outlineLevel="0" collapsed="false">
      <c r="A851" s="100" t="str">
        <f aca="false">Equipos!C849</f>
        <v>2-121329</v>
      </c>
      <c r="B851" s="101" t="str">
        <f aca="false">Equipos!D849</f>
        <v>Monitor Multiparámetros</v>
      </c>
      <c r="C851" s="101" t="str">
        <f aca="false">Equipos!E849</f>
        <v>Medicina</v>
      </c>
      <c r="D851" s="101" t="n">
        <f aca="false">Equipos!G849</f>
        <v>0</v>
      </c>
      <c r="E851" s="101" t="str">
        <f aca="false">Equipos!I849</f>
        <v>Bistos</v>
      </c>
      <c r="F851" s="101" t="str">
        <f aca="false">Equipos!J849</f>
        <v>BT-770</v>
      </c>
      <c r="G851" s="100" t="str">
        <f aca="false">Equipos!K849</f>
        <v>DGLC0129</v>
      </c>
      <c r="H851" s="101"/>
      <c r="I851" s="102"/>
      <c r="J851" s="103" t="s">
        <v>328</v>
      </c>
      <c r="K851" s="102"/>
      <c r="L851" s="102"/>
      <c r="M851" s="102"/>
      <c r="N851" s="102"/>
      <c r="O851" s="102"/>
      <c r="P851" s="102"/>
      <c r="Q851" s="102"/>
      <c r="R851" s="102"/>
      <c r="S851" s="102"/>
      <c r="T851" s="102"/>
      <c r="U851" s="101" t="n">
        <f aca="false">V851+W851+X851+COUNTIF(I851:T851,"R")</f>
        <v>1</v>
      </c>
      <c r="V851" s="101" t="n">
        <f aca="false">COUNTIF(I851:T851,"E")</f>
        <v>1</v>
      </c>
      <c r="W851" s="101" t="n">
        <f aca="false">COUNTIF(I851:T851,"X")</f>
        <v>0</v>
      </c>
      <c r="X851" s="101" t="n">
        <f aca="false">COUNTIF(I851:T851,"C2")+COUNTIF(I851:T851,"C3")</f>
        <v>0</v>
      </c>
      <c r="Y851" s="101" t="n">
        <f aca="true">SUMPRODUCT((I851:INDEX(I851:T851,MONTH(TODAY()))="X")*1)</f>
        <v>0</v>
      </c>
      <c r="Z851" s="104" t="n">
        <f aca="false">IFERROR(V851/U851,"")</f>
        <v>1</v>
      </c>
    </row>
    <row r="852" customFormat="false" ht="15" hidden="false" customHeight="true" outlineLevel="0" collapsed="false">
      <c r="A852" s="100" t="str">
        <f aca="false">Equipos!C850</f>
        <v>2-121330</v>
      </c>
      <c r="B852" s="101" t="str">
        <f aca="false">Equipos!D850</f>
        <v>Monitor Multiparámetros</v>
      </c>
      <c r="C852" s="101" t="str">
        <f aca="false">Equipos!E850</f>
        <v>Medicina</v>
      </c>
      <c r="D852" s="101" t="n">
        <f aca="false">Equipos!G850</f>
        <v>0</v>
      </c>
      <c r="E852" s="101" t="str">
        <f aca="false">Equipos!I850</f>
        <v>Bistos</v>
      </c>
      <c r="F852" s="101" t="str">
        <f aca="false">Equipos!J850</f>
        <v>BT-770</v>
      </c>
      <c r="G852" s="100" t="str">
        <f aca="false">Equipos!K850</f>
        <v>DGLC0123</v>
      </c>
      <c r="H852" s="101"/>
      <c r="I852" s="102"/>
      <c r="J852" s="103" t="s">
        <v>328</v>
      </c>
      <c r="K852" s="102"/>
      <c r="L852" s="102"/>
      <c r="M852" s="102"/>
      <c r="N852" s="102"/>
      <c r="O852" s="102"/>
      <c r="P852" s="102"/>
      <c r="Q852" s="102"/>
      <c r="R852" s="102"/>
      <c r="S852" s="102"/>
      <c r="T852" s="102"/>
      <c r="U852" s="101" t="n">
        <f aca="false">V852+W852+X852+COUNTIF(I852:T852,"R")</f>
        <v>1</v>
      </c>
      <c r="V852" s="101" t="n">
        <f aca="false">COUNTIF(I852:T852,"E")</f>
        <v>1</v>
      </c>
      <c r="W852" s="101" t="n">
        <f aca="false">COUNTIF(I852:T852,"X")</f>
        <v>0</v>
      </c>
      <c r="X852" s="101" t="n">
        <f aca="false">COUNTIF(I852:T852,"C2")+COUNTIF(I852:T852,"C3")</f>
        <v>0</v>
      </c>
      <c r="Y852" s="101" t="n">
        <f aca="true">SUMPRODUCT((I852:INDEX(I852:T852,MONTH(TODAY()))="X")*1)</f>
        <v>0</v>
      </c>
      <c r="Z852" s="104" t="n">
        <f aca="false">IFERROR(V852/U852,"")</f>
        <v>1</v>
      </c>
    </row>
    <row r="853" customFormat="false" ht="15" hidden="false" customHeight="true" outlineLevel="0" collapsed="false">
      <c r="A853" s="100" t="str">
        <f aca="false">Equipos!C851</f>
        <v>2-121331</v>
      </c>
      <c r="B853" s="101" t="str">
        <f aca="false">Equipos!D851</f>
        <v>Monitor Multiparámetros</v>
      </c>
      <c r="C853" s="101" t="str">
        <f aca="false">Equipos!E851</f>
        <v>Medicina</v>
      </c>
      <c r="D853" s="101" t="n">
        <f aca="false">Equipos!G851</f>
        <v>0</v>
      </c>
      <c r="E853" s="101" t="str">
        <f aca="false">Equipos!I851</f>
        <v>Bistos</v>
      </c>
      <c r="F853" s="101" t="str">
        <f aca="false">Equipos!J851</f>
        <v>BT-770</v>
      </c>
      <c r="G853" s="100" t="str">
        <f aca="false">Equipos!K851</f>
        <v>DGLC0131</v>
      </c>
      <c r="H853" s="101"/>
      <c r="I853" s="102"/>
      <c r="J853" s="103" t="s">
        <v>328</v>
      </c>
      <c r="K853" s="102"/>
      <c r="L853" s="102"/>
      <c r="M853" s="102"/>
      <c r="N853" s="102"/>
      <c r="O853" s="102"/>
      <c r="P853" s="102"/>
      <c r="Q853" s="102"/>
      <c r="R853" s="102"/>
      <c r="S853" s="102"/>
      <c r="T853" s="102"/>
      <c r="U853" s="101" t="n">
        <f aca="false">V853+W853+X853+COUNTIF(I853:T853,"R")</f>
        <v>1</v>
      </c>
      <c r="V853" s="101" t="n">
        <f aca="false">COUNTIF(I853:T853,"E")</f>
        <v>1</v>
      </c>
      <c r="W853" s="101" t="n">
        <f aca="false">COUNTIF(I853:T853,"X")</f>
        <v>0</v>
      </c>
      <c r="X853" s="101" t="n">
        <f aca="false">COUNTIF(I853:T853,"C2")+COUNTIF(I853:T853,"C3")</f>
        <v>0</v>
      </c>
      <c r="Y853" s="101" t="n">
        <f aca="true">SUMPRODUCT((I853:INDEX(I853:T853,MONTH(TODAY()))="X")*1)</f>
        <v>0</v>
      </c>
      <c r="Z853" s="104" t="n">
        <f aca="false">IFERROR(V853/U853,"")</f>
        <v>1</v>
      </c>
    </row>
    <row r="854" customFormat="false" ht="15" hidden="false" customHeight="true" outlineLevel="0" collapsed="false">
      <c r="A854" s="100" t="str">
        <f aca="false">Equipos!C852</f>
        <v>2-121332</v>
      </c>
      <c r="B854" s="101" t="str">
        <f aca="false">Equipos!D852</f>
        <v>Monitor Multiparámetros</v>
      </c>
      <c r="C854" s="101" t="str">
        <f aca="false">Equipos!E852</f>
        <v>Cirugía Infantil</v>
      </c>
      <c r="D854" s="101" t="str">
        <f aca="false">Equipos!G852</f>
        <v>6to piso</v>
      </c>
      <c r="E854" s="101" t="str">
        <f aca="false">Equipos!I852</f>
        <v>Bistos</v>
      </c>
      <c r="F854" s="101" t="str">
        <f aca="false">Equipos!J852</f>
        <v>BT-770</v>
      </c>
      <c r="G854" s="100" t="str">
        <f aca="false">Equipos!K852</f>
        <v>DGLC0111</v>
      </c>
      <c r="H854" s="101"/>
      <c r="I854" s="103" t="s">
        <v>330</v>
      </c>
      <c r="J854" s="103" t="s">
        <v>328</v>
      </c>
      <c r="K854" s="102"/>
      <c r="L854" s="102"/>
      <c r="M854" s="102"/>
      <c r="N854" s="102"/>
      <c r="O854" s="102"/>
      <c r="P854" s="102"/>
      <c r="Q854" s="102"/>
      <c r="R854" s="102"/>
      <c r="S854" s="102"/>
      <c r="T854" s="102"/>
      <c r="U854" s="101" t="n">
        <f aca="false">V854+W854+X854+COUNTIF(I854:T854,"R")</f>
        <v>2</v>
      </c>
      <c r="V854" s="101" t="n">
        <f aca="false">COUNTIF(I854:T854,"E")</f>
        <v>1</v>
      </c>
      <c r="W854" s="101" t="n">
        <f aca="false">COUNTIF(I854:T854,"X")</f>
        <v>0</v>
      </c>
      <c r="X854" s="101" t="n">
        <f aca="false">COUNTIF(I854:T854,"C2")+COUNTIF(I854:T854,"C3")</f>
        <v>0</v>
      </c>
      <c r="Y854" s="101" t="n">
        <f aca="true">SUMPRODUCT((I854:INDEX(I854:T854,MONTH(TODAY()))="X")*1)</f>
        <v>0</v>
      </c>
      <c r="Z854" s="104" t="n">
        <f aca="false">IFERROR(V854/U854,"")</f>
        <v>0.5</v>
      </c>
    </row>
    <row r="855" customFormat="false" ht="15" hidden="false" customHeight="true" outlineLevel="0" collapsed="false">
      <c r="A855" s="100" t="str">
        <f aca="false">Equipos!C853</f>
        <v>2-121333</v>
      </c>
      <c r="B855" s="101" t="str">
        <f aca="false">Equipos!D853</f>
        <v>Monitor Multiparámetros</v>
      </c>
      <c r="C855" s="101" t="str">
        <f aca="false">Equipos!E853</f>
        <v>Medicina</v>
      </c>
      <c r="D855" s="101" t="n">
        <f aca="false">Equipos!G853</f>
        <v>0</v>
      </c>
      <c r="E855" s="101" t="str">
        <f aca="false">Equipos!I853</f>
        <v>Bistos</v>
      </c>
      <c r="F855" s="101" t="str">
        <f aca="false">Equipos!J853</f>
        <v>BT-770</v>
      </c>
      <c r="G855" s="100" t="str">
        <f aca="false">Equipos!K853</f>
        <v>DGLC0113</v>
      </c>
      <c r="H855" s="101"/>
      <c r="I855" s="102"/>
      <c r="J855" s="103" t="s">
        <v>328</v>
      </c>
      <c r="K855" s="102"/>
      <c r="L855" s="102"/>
      <c r="M855" s="102"/>
      <c r="N855" s="102"/>
      <c r="O855" s="102"/>
      <c r="P855" s="102"/>
      <c r="Q855" s="102"/>
      <c r="R855" s="102"/>
      <c r="S855" s="102"/>
      <c r="T855" s="102"/>
      <c r="U855" s="101" t="n">
        <f aca="false">V855+W855+X855+COUNTIF(I855:T855,"R")</f>
        <v>1</v>
      </c>
      <c r="V855" s="101" t="n">
        <f aca="false">COUNTIF(I855:T855,"E")</f>
        <v>1</v>
      </c>
      <c r="W855" s="101" t="n">
        <f aca="false">COUNTIF(I855:T855,"X")</f>
        <v>0</v>
      </c>
      <c r="X855" s="101" t="n">
        <f aca="false">COUNTIF(I855:T855,"C2")+COUNTIF(I855:T855,"C3")</f>
        <v>0</v>
      </c>
      <c r="Y855" s="101" t="n">
        <f aca="true">SUMPRODUCT((I855:INDEX(I855:T855,MONTH(TODAY()))="X")*1)</f>
        <v>0</v>
      </c>
      <c r="Z855" s="104" t="n">
        <f aca="false">IFERROR(V855/U855,"")</f>
        <v>1</v>
      </c>
    </row>
    <row r="856" customFormat="false" ht="15" hidden="false" customHeight="true" outlineLevel="0" collapsed="false">
      <c r="A856" s="100" t="str">
        <f aca="false">Equipos!C854</f>
        <v>2-121334</v>
      </c>
      <c r="B856" s="101" t="str">
        <f aca="false">Equipos!D854</f>
        <v>Monitor Multiparámetros</v>
      </c>
      <c r="C856" s="101" t="str">
        <f aca="false">Equipos!E854</f>
        <v>Medicina</v>
      </c>
      <c r="D856" s="101" t="n">
        <f aca="false">Equipos!G854</f>
        <v>0</v>
      </c>
      <c r="E856" s="101" t="str">
        <f aca="false">Equipos!I854</f>
        <v>Bistos</v>
      </c>
      <c r="F856" s="101" t="str">
        <f aca="false">Equipos!J854</f>
        <v>BT-770</v>
      </c>
      <c r="G856" s="100" t="str">
        <f aca="false">Equipos!K854</f>
        <v>DGLC0110</v>
      </c>
      <c r="H856" s="101"/>
      <c r="I856" s="102"/>
      <c r="J856" s="103" t="s">
        <v>328</v>
      </c>
      <c r="K856" s="102"/>
      <c r="L856" s="102"/>
      <c r="M856" s="102"/>
      <c r="N856" s="102"/>
      <c r="O856" s="102"/>
      <c r="P856" s="102"/>
      <c r="Q856" s="102"/>
      <c r="R856" s="102"/>
      <c r="S856" s="102"/>
      <c r="T856" s="102"/>
      <c r="U856" s="101" t="n">
        <f aca="false">V856+W856+X856+COUNTIF(I856:T856,"R")</f>
        <v>1</v>
      </c>
      <c r="V856" s="101" t="n">
        <f aca="false">COUNTIF(I856:T856,"E")</f>
        <v>1</v>
      </c>
      <c r="W856" s="101" t="n">
        <f aca="false">COUNTIF(I856:T856,"X")</f>
        <v>0</v>
      </c>
      <c r="X856" s="101" t="n">
        <f aca="false">COUNTIF(I856:T856,"C2")+COUNTIF(I856:T856,"C3")</f>
        <v>0</v>
      </c>
      <c r="Y856" s="101" t="n">
        <f aca="true">SUMPRODUCT((I856:INDEX(I856:T856,MONTH(TODAY()))="X")*1)</f>
        <v>0</v>
      </c>
      <c r="Z856" s="104" t="n">
        <f aca="false">IFERROR(V856/U856,"")</f>
        <v>1</v>
      </c>
    </row>
    <row r="857" customFormat="false" ht="15" hidden="false" customHeight="true" outlineLevel="0" collapsed="false">
      <c r="A857" s="100" t="str">
        <f aca="false">Equipos!C855</f>
        <v>2-121335</v>
      </c>
      <c r="B857" s="101" t="str">
        <f aca="false">Equipos!D855</f>
        <v>Monitor Multiparámetros</v>
      </c>
      <c r="C857" s="101" t="str">
        <f aca="false">Equipos!E855</f>
        <v>Medicina</v>
      </c>
      <c r="D857" s="101" t="n">
        <f aca="false">Equipos!G855</f>
        <v>0</v>
      </c>
      <c r="E857" s="101" t="str">
        <f aca="false">Equipos!I855</f>
        <v>Bistos</v>
      </c>
      <c r="F857" s="101" t="str">
        <f aca="false">Equipos!J855</f>
        <v>BT-770</v>
      </c>
      <c r="G857" s="100" t="str">
        <f aca="false">Equipos!K855</f>
        <v>DGL70655</v>
      </c>
      <c r="H857" s="101"/>
      <c r="I857" s="102"/>
      <c r="J857" s="103" t="s">
        <v>328</v>
      </c>
      <c r="K857" s="102"/>
      <c r="L857" s="102"/>
      <c r="M857" s="102"/>
      <c r="N857" s="102"/>
      <c r="O857" s="102"/>
      <c r="P857" s="102"/>
      <c r="Q857" s="102"/>
      <c r="R857" s="102"/>
      <c r="S857" s="102"/>
      <c r="T857" s="102"/>
      <c r="U857" s="101" t="n">
        <f aca="false">V857+W857+X857+COUNTIF(I857:T857,"R")</f>
        <v>1</v>
      </c>
      <c r="V857" s="101" t="n">
        <f aca="false">COUNTIF(I857:T857,"E")</f>
        <v>1</v>
      </c>
      <c r="W857" s="101" t="n">
        <f aca="false">COUNTIF(I857:T857,"X")</f>
        <v>0</v>
      </c>
      <c r="X857" s="101" t="n">
        <f aca="false">COUNTIF(I857:T857,"C2")+COUNTIF(I857:T857,"C3")</f>
        <v>0</v>
      </c>
      <c r="Y857" s="101" t="n">
        <f aca="true">SUMPRODUCT((I857:INDEX(I857:T857,MONTH(TODAY()))="X")*1)</f>
        <v>0</v>
      </c>
      <c r="Z857" s="104" t="n">
        <f aca="false">IFERROR(V857/U857,"")</f>
        <v>1</v>
      </c>
    </row>
    <row r="858" customFormat="false" ht="15" hidden="false" customHeight="true" outlineLevel="0" collapsed="false">
      <c r="A858" s="100" t="str">
        <f aca="false">Equipos!C856</f>
        <v>2-121336</v>
      </c>
      <c r="B858" s="101" t="str">
        <f aca="false">Equipos!D856</f>
        <v>Monitor Multiparámetros</v>
      </c>
      <c r="C858" s="101" t="str">
        <f aca="false">Equipos!E856</f>
        <v>Medicina</v>
      </c>
      <c r="D858" s="101" t="n">
        <f aca="false">Equipos!G856</f>
        <v>0</v>
      </c>
      <c r="E858" s="101" t="str">
        <f aca="false">Equipos!I856</f>
        <v>Bistos</v>
      </c>
      <c r="F858" s="101" t="str">
        <f aca="false">Equipos!J856</f>
        <v>BT-770</v>
      </c>
      <c r="G858" s="100" t="str">
        <f aca="false">Equipos!K856</f>
        <v>DGL80024</v>
      </c>
      <c r="H858" s="101"/>
      <c r="I858" s="102"/>
      <c r="J858" s="103" t="s">
        <v>328</v>
      </c>
      <c r="K858" s="102"/>
      <c r="L858" s="102"/>
      <c r="M858" s="102"/>
      <c r="N858" s="102"/>
      <c r="O858" s="102"/>
      <c r="P858" s="102"/>
      <c r="Q858" s="102"/>
      <c r="R858" s="102"/>
      <c r="S858" s="102"/>
      <c r="T858" s="102"/>
      <c r="U858" s="101" t="n">
        <f aca="false">V858+W858+X858+COUNTIF(I858:T858,"R")</f>
        <v>1</v>
      </c>
      <c r="V858" s="101" t="n">
        <f aca="false">COUNTIF(I858:T858,"E")</f>
        <v>1</v>
      </c>
      <c r="W858" s="101" t="n">
        <f aca="false">COUNTIF(I858:T858,"X")</f>
        <v>0</v>
      </c>
      <c r="X858" s="101" t="n">
        <f aca="false">COUNTIF(I858:T858,"C2")+COUNTIF(I858:T858,"C3")</f>
        <v>0</v>
      </c>
      <c r="Y858" s="101" t="n">
        <f aca="true">SUMPRODUCT((I858:INDEX(I858:T858,MONTH(TODAY()))="X")*1)</f>
        <v>0</v>
      </c>
      <c r="Z858" s="104" t="n">
        <f aca="false">IFERROR(V858/U858,"")</f>
        <v>1</v>
      </c>
    </row>
    <row r="859" customFormat="false" ht="15" hidden="false" customHeight="true" outlineLevel="0" collapsed="false">
      <c r="A859" s="100" t="str">
        <f aca="false">Equipos!C857</f>
        <v>2-121337</v>
      </c>
      <c r="B859" s="101" t="str">
        <f aca="false">Equipos!D857</f>
        <v>Monitor Multiparámetros</v>
      </c>
      <c r="C859" s="101" t="str">
        <f aca="false">Equipos!E857</f>
        <v>Medicina</v>
      </c>
      <c r="D859" s="101" t="n">
        <f aca="false">Equipos!G857</f>
        <v>0</v>
      </c>
      <c r="E859" s="101" t="str">
        <f aca="false">Equipos!I857</f>
        <v>Bistos</v>
      </c>
      <c r="F859" s="101" t="str">
        <f aca="false">Equipos!J857</f>
        <v>BT-770</v>
      </c>
      <c r="G859" s="100" t="str">
        <f aca="false">Equipos!K857</f>
        <v>DGL80022</v>
      </c>
      <c r="H859" s="101"/>
      <c r="I859" s="102"/>
      <c r="J859" s="103" t="s">
        <v>328</v>
      </c>
      <c r="K859" s="102"/>
      <c r="L859" s="102"/>
      <c r="M859" s="102"/>
      <c r="N859" s="102"/>
      <c r="O859" s="102"/>
      <c r="P859" s="102"/>
      <c r="Q859" s="102"/>
      <c r="R859" s="102"/>
      <c r="S859" s="102"/>
      <c r="T859" s="102"/>
      <c r="U859" s="101" t="n">
        <f aca="false">V859+W859+X859+COUNTIF(I859:T859,"R")</f>
        <v>1</v>
      </c>
      <c r="V859" s="101" t="n">
        <f aca="false">COUNTIF(I859:T859,"E")</f>
        <v>1</v>
      </c>
      <c r="W859" s="101" t="n">
        <f aca="false">COUNTIF(I859:T859,"X")</f>
        <v>0</v>
      </c>
      <c r="X859" s="101" t="n">
        <f aca="false">COUNTIF(I859:T859,"C2")+COUNTIF(I859:T859,"C3")</f>
        <v>0</v>
      </c>
      <c r="Y859" s="101" t="n">
        <f aca="true">SUMPRODUCT((I859:INDEX(I859:T859,MONTH(TODAY()))="X")*1)</f>
        <v>0</v>
      </c>
      <c r="Z859" s="104" t="n">
        <f aca="false">IFERROR(V859/U859,"")</f>
        <v>1</v>
      </c>
    </row>
    <row r="860" customFormat="false" ht="15" hidden="false" customHeight="true" outlineLevel="0" collapsed="false">
      <c r="A860" s="100" t="str">
        <f aca="false">Equipos!C858</f>
        <v>2-121338</v>
      </c>
      <c r="B860" s="101" t="str">
        <f aca="false">Equipos!D858</f>
        <v>Monitor Multiparámetros</v>
      </c>
      <c r="C860" s="101" t="str">
        <f aca="false">Equipos!E858</f>
        <v>Medicina</v>
      </c>
      <c r="D860" s="101" t="n">
        <f aca="false">Equipos!G858</f>
        <v>0</v>
      </c>
      <c r="E860" s="101" t="str">
        <f aca="false">Equipos!I858</f>
        <v>Bistos</v>
      </c>
      <c r="F860" s="101" t="str">
        <f aca="false">Equipos!J858</f>
        <v>BT-770</v>
      </c>
      <c r="G860" s="100" t="str">
        <f aca="false">Equipos!K858</f>
        <v>DGL80023</v>
      </c>
      <c r="H860" s="101"/>
      <c r="I860" s="102"/>
      <c r="J860" s="103" t="s">
        <v>328</v>
      </c>
      <c r="K860" s="102"/>
      <c r="L860" s="102"/>
      <c r="M860" s="102"/>
      <c r="N860" s="102"/>
      <c r="O860" s="102"/>
      <c r="P860" s="102"/>
      <c r="Q860" s="102"/>
      <c r="R860" s="102"/>
      <c r="S860" s="102"/>
      <c r="T860" s="102"/>
      <c r="U860" s="101" t="n">
        <f aca="false">V860+W860+X860+COUNTIF(I860:T860,"R")</f>
        <v>1</v>
      </c>
      <c r="V860" s="101" t="n">
        <f aca="false">COUNTIF(I860:T860,"E")</f>
        <v>1</v>
      </c>
      <c r="W860" s="101" t="n">
        <f aca="false">COUNTIF(I860:T860,"X")</f>
        <v>0</v>
      </c>
      <c r="X860" s="101" t="n">
        <f aca="false">COUNTIF(I860:T860,"C2")+COUNTIF(I860:T860,"C3")</f>
        <v>0</v>
      </c>
      <c r="Y860" s="101" t="n">
        <f aca="true">SUMPRODUCT((I860:INDEX(I860:T860,MONTH(TODAY()))="X")*1)</f>
        <v>0</v>
      </c>
      <c r="Z860" s="104" t="n">
        <f aca="false">IFERROR(V860/U860,"")</f>
        <v>1</v>
      </c>
    </row>
    <row r="861" customFormat="false" ht="15" hidden="false" customHeight="true" outlineLevel="0" collapsed="false">
      <c r="A861" s="100" t="str">
        <f aca="false">Equipos!C859</f>
        <v>2-121499</v>
      </c>
      <c r="B861" s="101" t="str">
        <f aca="false">Equipos!D859</f>
        <v>Monitor Multiparámetros</v>
      </c>
      <c r="C861" s="101" t="str">
        <f aca="false">Equipos!E859</f>
        <v>Pabellón Quirúrgico</v>
      </c>
      <c r="D861" s="101" t="str">
        <f aca="false">Equipos!G859</f>
        <v>Pabellón 5</v>
      </c>
      <c r="E861" s="101" t="str">
        <f aca="false">Equipos!I859</f>
        <v>Drager</v>
      </c>
      <c r="F861" s="101" t="str">
        <f aca="false">Equipos!J859</f>
        <v>M540</v>
      </c>
      <c r="G861" s="100" t="str">
        <f aca="false">Equipos!K859</f>
        <v>5613165575</v>
      </c>
      <c r="H861" s="101"/>
      <c r="I861" s="102"/>
      <c r="J861" s="102"/>
      <c r="K861" s="102"/>
      <c r="L861" s="102" t="s">
        <v>329</v>
      </c>
      <c r="M861" s="102"/>
      <c r="N861" s="102"/>
      <c r="O861" s="102"/>
      <c r="P861" s="102"/>
      <c r="Q861" s="102"/>
      <c r="R861" s="102"/>
      <c r="S861" s="102"/>
      <c r="T861" s="102"/>
      <c r="U861" s="101" t="n">
        <f aca="false">V861+W861+X861+COUNTIF(I861:T861,"R")</f>
        <v>1</v>
      </c>
      <c r="V861" s="101" t="n">
        <f aca="false">COUNTIF(I861:T861,"E")</f>
        <v>0</v>
      </c>
      <c r="W861" s="101" t="n">
        <f aca="false">COUNTIF(I861:T861,"X")</f>
        <v>1</v>
      </c>
      <c r="X861" s="101" t="n">
        <f aca="false">COUNTIF(I861:T861,"C2")+COUNTIF(I861:T861,"C3")</f>
        <v>0</v>
      </c>
      <c r="Y861" s="101" t="n">
        <f aca="true">SUMPRODUCT((I861:INDEX(I861:T861,MONTH(TODAY()))="X")*1)</f>
        <v>1</v>
      </c>
      <c r="Z861" s="104" t="n">
        <f aca="false">IFERROR(V861/U861,"")</f>
        <v>0</v>
      </c>
    </row>
    <row r="862" customFormat="false" ht="15" hidden="false" customHeight="true" outlineLevel="0" collapsed="false">
      <c r="A862" s="100" t="str">
        <f aca="false">Equipos!C860</f>
        <v>2-121524</v>
      </c>
      <c r="B862" s="101" t="str">
        <f aca="false">Equipos!D860</f>
        <v>Monitor Multiparámetros</v>
      </c>
      <c r="C862" s="101" t="str">
        <f aca="false">Equipos!E860</f>
        <v>Endoscopía</v>
      </c>
      <c r="D862" s="101" t="str">
        <f aca="false">Equipos!G860</f>
        <v>CDT</v>
      </c>
      <c r="E862" s="101" t="str">
        <f aca="false">Equipos!I860</f>
        <v>Bistos</v>
      </c>
      <c r="F862" s="101" t="str">
        <f aca="false">Equipos!J860</f>
        <v>BT-770</v>
      </c>
      <c r="G862" s="100" t="str">
        <f aca="false">Equipos!K860</f>
        <v>DGM40020</v>
      </c>
      <c r="H862" s="101"/>
      <c r="I862" s="102"/>
      <c r="J862" s="102"/>
      <c r="K862" s="103" t="s">
        <v>330</v>
      </c>
      <c r="L862" s="103" t="s">
        <v>328</v>
      </c>
      <c r="M862" s="102"/>
      <c r="N862" s="102"/>
      <c r="O862" s="102"/>
      <c r="P862" s="102"/>
      <c r="Q862" s="102"/>
      <c r="R862" s="102"/>
      <c r="S862" s="102"/>
      <c r="T862" s="102"/>
      <c r="U862" s="101" t="n">
        <f aca="false">V862+W862+X862+COUNTIF(I862:T862,"R")</f>
        <v>2</v>
      </c>
      <c r="V862" s="101" t="n">
        <f aca="false">COUNTIF(I862:T862,"E")</f>
        <v>1</v>
      </c>
      <c r="W862" s="101" t="n">
        <f aca="false">COUNTIF(I862:T862,"X")</f>
        <v>0</v>
      </c>
      <c r="X862" s="101" t="n">
        <f aca="false">COUNTIF(I862:T862,"C2")+COUNTIF(I862:T862,"C3")</f>
        <v>0</v>
      </c>
      <c r="Y862" s="101" t="n">
        <f aca="true">SUMPRODUCT((I862:INDEX(I862:T862,MONTH(TODAY()))="X")*1)</f>
        <v>0</v>
      </c>
      <c r="Z862" s="104" t="n">
        <f aca="false">IFERROR(V862/U862,"")</f>
        <v>0.5</v>
      </c>
    </row>
    <row r="863" customFormat="false" ht="15" hidden="false" customHeight="true" outlineLevel="0" collapsed="false">
      <c r="A863" s="100" t="str">
        <f aca="false">Equipos!C861</f>
        <v>2-121525</v>
      </c>
      <c r="B863" s="101" t="str">
        <f aca="false">Equipos!D861</f>
        <v>Monitor Multiparámetros</v>
      </c>
      <c r="C863" s="101" t="str">
        <f aca="false">Equipos!E861</f>
        <v>Endoscopía</v>
      </c>
      <c r="D863" s="101" t="str">
        <f aca="false">Equipos!G861</f>
        <v>CDT</v>
      </c>
      <c r="E863" s="101" t="str">
        <f aca="false">Equipos!I861</f>
        <v>Bistos</v>
      </c>
      <c r="F863" s="101" t="str">
        <f aca="false">Equipos!J861</f>
        <v>BT-770</v>
      </c>
      <c r="G863" s="100" t="str">
        <f aca="false">Equipos!K861</f>
        <v>DGM40018</v>
      </c>
      <c r="H863" s="101"/>
      <c r="I863" s="102"/>
      <c r="J863" s="102"/>
      <c r="K863" s="103" t="s">
        <v>330</v>
      </c>
      <c r="L863" s="103" t="s">
        <v>328</v>
      </c>
      <c r="M863" s="102"/>
      <c r="N863" s="102"/>
      <c r="O863" s="102"/>
      <c r="P863" s="102"/>
      <c r="Q863" s="102"/>
      <c r="R863" s="102"/>
      <c r="S863" s="102"/>
      <c r="T863" s="102"/>
      <c r="U863" s="101" t="n">
        <f aca="false">V863+W863+X863+COUNTIF(I863:T863,"R")</f>
        <v>2</v>
      </c>
      <c r="V863" s="101" t="n">
        <f aca="false">COUNTIF(I863:T863,"E")</f>
        <v>1</v>
      </c>
      <c r="W863" s="101" t="n">
        <f aca="false">COUNTIF(I863:T863,"X")</f>
        <v>0</v>
      </c>
      <c r="X863" s="101" t="n">
        <f aca="false">COUNTIF(I863:T863,"C2")+COUNTIF(I863:T863,"C3")</f>
        <v>0</v>
      </c>
      <c r="Y863" s="101" t="n">
        <f aca="true">SUMPRODUCT((I863:INDEX(I863:T863,MONTH(TODAY()))="X")*1)</f>
        <v>0</v>
      </c>
      <c r="Z863" s="104" t="n">
        <f aca="false">IFERROR(V863/U863,"")</f>
        <v>0.5</v>
      </c>
    </row>
    <row r="864" customFormat="false" ht="15" hidden="false" customHeight="true" outlineLevel="0" collapsed="false">
      <c r="A864" s="100" t="str">
        <f aca="false">Equipos!C862</f>
        <v>2-121526</v>
      </c>
      <c r="B864" s="101" t="str">
        <f aca="false">Equipos!D862</f>
        <v>Monitor Multiparámetros</v>
      </c>
      <c r="C864" s="101" t="str">
        <f aca="false">Equipos!E862</f>
        <v>Medicina</v>
      </c>
      <c r="D864" s="101" t="n">
        <f aca="false">Equipos!G862</f>
        <v>0</v>
      </c>
      <c r="E864" s="101" t="str">
        <f aca="false">Equipos!I862</f>
        <v>Bistos</v>
      </c>
      <c r="F864" s="101" t="str">
        <f aca="false">Equipos!J862</f>
        <v>BT-770</v>
      </c>
      <c r="G864" s="100" t="str">
        <f aca="false">Equipos!K862</f>
        <v>DGM40013</v>
      </c>
      <c r="H864" s="101"/>
      <c r="I864" s="102"/>
      <c r="J864" s="103" t="s">
        <v>328</v>
      </c>
      <c r="K864" s="102"/>
      <c r="L864" s="102"/>
      <c r="M864" s="102"/>
      <c r="N864" s="102"/>
      <c r="O864" s="102"/>
      <c r="P864" s="102"/>
      <c r="Q864" s="102"/>
      <c r="R864" s="102"/>
      <c r="S864" s="102"/>
      <c r="T864" s="102"/>
      <c r="U864" s="101" t="n">
        <f aca="false">V864+W864+X864+COUNTIF(I864:T864,"R")</f>
        <v>1</v>
      </c>
      <c r="V864" s="101" t="n">
        <f aca="false">COUNTIF(I864:T864,"E")</f>
        <v>1</v>
      </c>
      <c r="W864" s="101" t="n">
        <f aca="false">COUNTIF(I864:T864,"X")</f>
        <v>0</v>
      </c>
      <c r="X864" s="101" t="n">
        <f aca="false">COUNTIF(I864:T864,"C2")+COUNTIF(I864:T864,"C3")</f>
        <v>0</v>
      </c>
      <c r="Y864" s="101" t="n">
        <f aca="true">SUMPRODUCT((I864:INDEX(I864:T864,MONTH(TODAY()))="X")*1)</f>
        <v>0</v>
      </c>
      <c r="Z864" s="104" t="n">
        <f aca="false">IFERROR(V864/U864,"")</f>
        <v>1</v>
      </c>
    </row>
    <row r="865" customFormat="false" ht="15" hidden="false" customHeight="true" outlineLevel="0" collapsed="false">
      <c r="A865" s="100" t="str">
        <f aca="false">Equipos!C863</f>
        <v>2-121527</v>
      </c>
      <c r="B865" s="101" t="str">
        <f aca="false">Equipos!D863</f>
        <v>Monitor Multiparámetros</v>
      </c>
      <c r="C865" s="101" t="str">
        <f aca="false">Equipos!E863</f>
        <v>Medicina</v>
      </c>
      <c r="D865" s="101" t="str">
        <f aca="false">Equipos!G863</f>
        <v>Sala de equipos EPA</v>
      </c>
      <c r="E865" s="101" t="str">
        <f aca="false">Equipos!I863</f>
        <v>Bistos</v>
      </c>
      <c r="F865" s="101" t="str">
        <f aca="false">Equipos!J863</f>
        <v>BT-770</v>
      </c>
      <c r="G865" s="100" t="str">
        <f aca="false">Equipos!K863</f>
        <v>DGM40037</v>
      </c>
      <c r="H865" s="101"/>
      <c r="I865" s="102"/>
      <c r="J865" s="103" t="s">
        <v>328</v>
      </c>
      <c r="K865" s="102"/>
      <c r="L865" s="102"/>
      <c r="M865" s="102"/>
      <c r="N865" s="102"/>
      <c r="O865" s="102"/>
      <c r="P865" s="102"/>
      <c r="Q865" s="102"/>
      <c r="R865" s="102"/>
      <c r="S865" s="102"/>
      <c r="T865" s="102"/>
      <c r="U865" s="101" t="n">
        <f aca="false">V865+W865+X865+COUNTIF(I865:T865,"R")</f>
        <v>1</v>
      </c>
      <c r="V865" s="101" t="n">
        <f aca="false">COUNTIF(I865:T865,"E")</f>
        <v>1</v>
      </c>
      <c r="W865" s="101" t="n">
        <f aca="false">COUNTIF(I865:T865,"X")</f>
        <v>0</v>
      </c>
      <c r="X865" s="101" t="n">
        <f aca="false">COUNTIF(I865:T865,"C2")+COUNTIF(I865:T865,"C3")</f>
        <v>0</v>
      </c>
      <c r="Y865" s="101" t="n">
        <f aca="true">SUMPRODUCT((I865:INDEX(I865:T865,MONTH(TODAY()))="X")*1)</f>
        <v>0</v>
      </c>
      <c r="Z865" s="104" t="n">
        <f aca="false">IFERROR(V865/U865,"")</f>
        <v>1</v>
      </c>
    </row>
    <row r="866" customFormat="false" ht="15" hidden="false" customHeight="true" outlineLevel="0" collapsed="false">
      <c r="A866" s="100" t="str">
        <f aca="false">Equipos!C864</f>
        <v>2-121528</v>
      </c>
      <c r="B866" s="101" t="str">
        <f aca="false">Equipos!D864</f>
        <v>Monitor Multiparámetros</v>
      </c>
      <c r="C866" s="101" t="str">
        <f aca="false">Equipos!E864</f>
        <v>Medicina</v>
      </c>
      <c r="D866" s="101" t="n">
        <f aca="false">Equipos!G864</f>
        <v>0</v>
      </c>
      <c r="E866" s="101" t="str">
        <f aca="false">Equipos!I864</f>
        <v>Bistos</v>
      </c>
      <c r="F866" s="101" t="str">
        <f aca="false">Equipos!J864</f>
        <v>BT-770</v>
      </c>
      <c r="G866" s="100" t="str">
        <f aca="false">Equipos!K864</f>
        <v>DGM40028</v>
      </c>
      <c r="H866" s="101"/>
      <c r="I866" s="102"/>
      <c r="J866" s="103" t="s">
        <v>328</v>
      </c>
      <c r="K866" s="102"/>
      <c r="L866" s="102"/>
      <c r="M866" s="102"/>
      <c r="N866" s="102"/>
      <c r="O866" s="102"/>
      <c r="P866" s="102"/>
      <c r="Q866" s="102"/>
      <c r="R866" s="102"/>
      <c r="S866" s="102"/>
      <c r="T866" s="102"/>
      <c r="U866" s="101" t="n">
        <f aca="false">V866+W866+X866+COUNTIF(I866:T866,"R")</f>
        <v>1</v>
      </c>
      <c r="V866" s="101" t="n">
        <f aca="false">COUNTIF(I866:T866,"E")</f>
        <v>1</v>
      </c>
      <c r="W866" s="101" t="n">
        <f aca="false">COUNTIF(I866:T866,"X")</f>
        <v>0</v>
      </c>
      <c r="X866" s="101" t="n">
        <f aca="false">COUNTIF(I866:T866,"C2")+COUNTIF(I866:T866,"C3")</f>
        <v>0</v>
      </c>
      <c r="Y866" s="101" t="n">
        <f aca="true">SUMPRODUCT((I866:INDEX(I866:T866,MONTH(TODAY()))="X")*1)</f>
        <v>0</v>
      </c>
      <c r="Z866" s="104" t="n">
        <f aca="false">IFERROR(V866/U866,"")</f>
        <v>1</v>
      </c>
    </row>
    <row r="867" customFormat="false" ht="15" hidden="false" customHeight="true" outlineLevel="0" collapsed="false">
      <c r="A867" s="100" t="str">
        <f aca="false">Equipos!C865</f>
        <v>2-121529</v>
      </c>
      <c r="B867" s="101" t="str">
        <f aca="false">Equipos!D865</f>
        <v>Monitor Multiparámetros</v>
      </c>
      <c r="C867" s="101" t="str">
        <f aca="false">Equipos!E865</f>
        <v>Cirugía Infantil</v>
      </c>
      <c r="D867" s="101" t="str">
        <f aca="false">Equipos!G865</f>
        <v>6to piso</v>
      </c>
      <c r="E867" s="101" t="str">
        <f aca="false">Equipos!I865</f>
        <v>Bistos</v>
      </c>
      <c r="F867" s="101" t="str">
        <f aca="false">Equipos!J865</f>
        <v>BT-770</v>
      </c>
      <c r="G867" s="100" t="str">
        <f aca="false">Equipos!K865</f>
        <v>DGM40016</v>
      </c>
      <c r="H867" s="101"/>
      <c r="I867" s="103" t="s">
        <v>330</v>
      </c>
      <c r="J867" s="103" t="s">
        <v>328</v>
      </c>
      <c r="K867" s="102"/>
      <c r="L867" s="102"/>
      <c r="M867" s="102"/>
      <c r="N867" s="102"/>
      <c r="O867" s="102"/>
      <c r="P867" s="102"/>
      <c r="Q867" s="102"/>
      <c r="R867" s="102"/>
      <c r="S867" s="102"/>
      <c r="T867" s="102"/>
      <c r="U867" s="101" t="n">
        <f aca="false">V867+W867+X867+COUNTIF(I867:T867,"R")</f>
        <v>2</v>
      </c>
      <c r="V867" s="101" t="n">
        <f aca="false">COUNTIF(I867:T867,"E")</f>
        <v>1</v>
      </c>
      <c r="W867" s="101" t="n">
        <f aca="false">COUNTIF(I867:T867,"X")</f>
        <v>0</v>
      </c>
      <c r="X867" s="101" t="n">
        <f aca="false">COUNTIF(I867:T867,"C2")+COUNTIF(I867:T867,"C3")</f>
        <v>0</v>
      </c>
      <c r="Y867" s="101" t="n">
        <f aca="true">SUMPRODUCT((I867:INDEX(I867:T867,MONTH(TODAY()))="X")*1)</f>
        <v>0</v>
      </c>
      <c r="Z867" s="104" t="n">
        <f aca="false">IFERROR(V867/U867,"")</f>
        <v>0.5</v>
      </c>
    </row>
    <row r="868" customFormat="false" ht="15" hidden="false" customHeight="true" outlineLevel="0" collapsed="false">
      <c r="A868" s="100" t="str">
        <f aca="false">Equipos!C866</f>
        <v>2-121530</v>
      </c>
      <c r="B868" s="101" t="str">
        <f aca="false">Equipos!D866</f>
        <v>Monitor Multiparámetros</v>
      </c>
      <c r="C868" s="101" t="str">
        <f aca="false">Equipos!E866</f>
        <v>Medicina</v>
      </c>
      <c r="D868" s="101" t="str">
        <f aca="false">Equipos!G866</f>
        <v>Sala de procedimiento TNA</v>
      </c>
      <c r="E868" s="101" t="str">
        <f aca="false">Equipos!I866</f>
        <v>Bistos</v>
      </c>
      <c r="F868" s="101" t="str">
        <f aca="false">Equipos!J866</f>
        <v>BT-770</v>
      </c>
      <c r="G868" s="100" t="str">
        <f aca="false">Equipos!K866</f>
        <v>DGM40026</v>
      </c>
      <c r="H868" s="101"/>
      <c r="I868" s="102"/>
      <c r="J868" s="103" t="s">
        <v>328</v>
      </c>
      <c r="K868" s="102"/>
      <c r="L868" s="102"/>
      <c r="M868" s="102"/>
      <c r="N868" s="102"/>
      <c r="O868" s="102"/>
      <c r="P868" s="102"/>
      <c r="Q868" s="102"/>
      <c r="R868" s="102"/>
      <c r="S868" s="102"/>
      <c r="T868" s="102"/>
      <c r="U868" s="101" t="n">
        <f aca="false">V868+W868+X868+COUNTIF(I868:T868,"R")</f>
        <v>1</v>
      </c>
      <c r="V868" s="101" t="n">
        <f aca="false">COUNTIF(I868:T868,"E")</f>
        <v>1</v>
      </c>
      <c r="W868" s="101" t="n">
        <f aca="false">COUNTIF(I868:T868,"X")</f>
        <v>0</v>
      </c>
      <c r="X868" s="101" t="n">
        <f aca="false">COUNTIF(I868:T868,"C2")+COUNTIF(I868:T868,"C3")</f>
        <v>0</v>
      </c>
      <c r="Y868" s="101" t="n">
        <f aca="true">SUMPRODUCT((I868:INDEX(I868:T868,MONTH(TODAY()))="X")*1)</f>
        <v>0</v>
      </c>
      <c r="Z868" s="104" t="n">
        <f aca="false">IFERROR(V868/U868,"")</f>
        <v>1</v>
      </c>
    </row>
    <row r="869" customFormat="false" ht="15" hidden="false" customHeight="true" outlineLevel="0" collapsed="false">
      <c r="A869" s="100" t="str">
        <f aca="false">Equipos!C867</f>
        <v>2-121531</v>
      </c>
      <c r="B869" s="101" t="str">
        <f aca="false">Equipos!D867</f>
        <v>Monitor Multiparámetros</v>
      </c>
      <c r="C869" s="101" t="str">
        <f aca="false">Equipos!E867</f>
        <v>Medicina</v>
      </c>
      <c r="D869" s="101" t="str">
        <f aca="false">Equipos!G867</f>
        <v>597-4</v>
      </c>
      <c r="E869" s="101" t="str">
        <f aca="false">Equipos!I867</f>
        <v>Bistos</v>
      </c>
      <c r="F869" s="101" t="str">
        <f aca="false">Equipos!J867</f>
        <v>BT-770</v>
      </c>
      <c r="G869" s="100" t="str">
        <f aca="false">Equipos!K867</f>
        <v>DGM40019</v>
      </c>
      <c r="H869" s="101"/>
      <c r="I869" s="102"/>
      <c r="J869" s="103" t="s">
        <v>328</v>
      </c>
      <c r="K869" s="102"/>
      <c r="L869" s="102"/>
      <c r="M869" s="102"/>
      <c r="N869" s="102"/>
      <c r="O869" s="102"/>
      <c r="P869" s="102"/>
      <c r="Q869" s="102"/>
      <c r="R869" s="102"/>
      <c r="S869" s="102"/>
      <c r="T869" s="102"/>
      <c r="U869" s="101" t="n">
        <f aca="false">V869+W869+X869+COUNTIF(I869:T869,"R")</f>
        <v>1</v>
      </c>
      <c r="V869" s="101" t="n">
        <f aca="false">COUNTIF(I869:T869,"E")</f>
        <v>1</v>
      </c>
      <c r="W869" s="101" t="n">
        <f aca="false">COUNTIF(I869:T869,"X")</f>
        <v>0</v>
      </c>
      <c r="X869" s="101" t="n">
        <f aca="false">COUNTIF(I869:T869,"C2")+COUNTIF(I869:T869,"C3")</f>
        <v>0</v>
      </c>
      <c r="Y869" s="101" t="n">
        <f aca="true">SUMPRODUCT((I869:INDEX(I869:T869,MONTH(TODAY()))="X")*1)</f>
        <v>0</v>
      </c>
      <c r="Z869" s="104" t="n">
        <f aca="false">IFERROR(V869/U869,"")</f>
        <v>1</v>
      </c>
    </row>
    <row r="870" customFormat="false" ht="15" hidden="false" customHeight="true" outlineLevel="0" collapsed="false">
      <c r="A870" s="100" t="str">
        <f aca="false">Equipos!C868</f>
        <v>2-121532</v>
      </c>
      <c r="B870" s="101" t="str">
        <f aca="false">Equipos!D868</f>
        <v>Monitor Multiparámetros</v>
      </c>
      <c r="C870" s="101" t="str">
        <f aca="false">Equipos!E868</f>
        <v>Medicina</v>
      </c>
      <c r="D870" s="101" t="n">
        <f aca="false">Equipos!G868</f>
        <v>0</v>
      </c>
      <c r="E870" s="101" t="str">
        <f aca="false">Equipos!I868</f>
        <v>Bistos</v>
      </c>
      <c r="F870" s="101" t="str">
        <f aca="false">Equipos!J868</f>
        <v>BT-770</v>
      </c>
      <c r="G870" s="100" t="str">
        <f aca="false">Equipos!K868</f>
        <v>DGM40041</v>
      </c>
      <c r="H870" s="101"/>
      <c r="I870" s="102"/>
      <c r="J870" s="103" t="s">
        <v>328</v>
      </c>
      <c r="K870" s="102"/>
      <c r="L870" s="102"/>
      <c r="M870" s="102"/>
      <c r="N870" s="102"/>
      <c r="O870" s="102"/>
      <c r="P870" s="102"/>
      <c r="Q870" s="102"/>
      <c r="R870" s="102"/>
      <c r="S870" s="102"/>
      <c r="T870" s="102"/>
      <c r="U870" s="101" t="n">
        <f aca="false">V870+W870+X870+COUNTIF(I870:T870,"R")</f>
        <v>1</v>
      </c>
      <c r="V870" s="101" t="n">
        <f aca="false">COUNTIF(I870:T870,"E")</f>
        <v>1</v>
      </c>
      <c r="W870" s="101" t="n">
        <f aca="false">COUNTIF(I870:T870,"X")</f>
        <v>0</v>
      </c>
      <c r="X870" s="101" t="n">
        <f aca="false">COUNTIF(I870:T870,"C2")+COUNTIF(I870:T870,"C3")</f>
        <v>0</v>
      </c>
      <c r="Y870" s="101" t="n">
        <f aca="true">SUMPRODUCT((I870:INDEX(I870:T870,MONTH(TODAY()))="X")*1)</f>
        <v>0</v>
      </c>
      <c r="Z870" s="104" t="n">
        <f aca="false">IFERROR(V870/U870,"")</f>
        <v>1</v>
      </c>
    </row>
    <row r="871" customFormat="false" ht="15" hidden="false" customHeight="true" outlineLevel="0" collapsed="false">
      <c r="A871" s="100" t="str">
        <f aca="false">Equipos!C869</f>
        <v>2-121533</v>
      </c>
      <c r="B871" s="101" t="str">
        <f aca="false">Equipos!D869</f>
        <v>Monitor Multiparámetros</v>
      </c>
      <c r="C871" s="101" t="str">
        <f aca="false">Equipos!E869</f>
        <v>Medicina (Prestado a medicina cardiovascular)</v>
      </c>
      <c r="D871" s="101" t="n">
        <f aca="false">Equipos!G869</f>
        <v>0</v>
      </c>
      <c r="E871" s="101" t="str">
        <f aca="false">Equipos!I869</f>
        <v>Bistos</v>
      </c>
      <c r="F871" s="101" t="str">
        <f aca="false">Equipos!J869</f>
        <v>BT-770</v>
      </c>
      <c r="G871" s="100" t="str">
        <f aca="false">Equipos!K869</f>
        <v>DGM40042</v>
      </c>
      <c r="H871" s="101"/>
      <c r="I871" s="102"/>
      <c r="J871" s="103" t="s">
        <v>330</v>
      </c>
      <c r="K871" s="103" t="s">
        <v>328</v>
      </c>
      <c r="L871" s="102"/>
      <c r="M871" s="102"/>
      <c r="N871" s="102"/>
      <c r="O871" s="102"/>
      <c r="P871" s="102"/>
      <c r="Q871" s="102"/>
      <c r="R871" s="102"/>
      <c r="S871" s="102"/>
      <c r="T871" s="102"/>
      <c r="U871" s="101" t="n">
        <f aca="false">V871+W871+X871+COUNTIF(I871:T871,"R")</f>
        <v>2</v>
      </c>
      <c r="V871" s="101" t="n">
        <f aca="false">COUNTIF(I871:T871,"E")</f>
        <v>1</v>
      </c>
      <c r="W871" s="101" t="n">
        <f aca="false">COUNTIF(I871:T871,"X")</f>
        <v>0</v>
      </c>
      <c r="X871" s="101" t="n">
        <f aca="false">COUNTIF(I871:T871,"C2")+COUNTIF(I871:T871,"C3")</f>
        <v>0</v>
      </c>
      <c r="Y871" s="101" t="n">
        <f aca="true">SUMPRODUCT((I871:INDEX(I871:T871,MONTH(TODAY()))="X")*1)</f>
        <v>0</v>
      </c>
      <c r="Z871" s="104" t="n">
        <f aca="false">IFERROR(V871/U871,"")</f>
        <v>0.5</v>
      </c>
    </row>
    <row r="872" customFormat="false" ht="15" hidden="false" customHeight="true" outlineLevel="0" collapsed="false">
      <c r="A872" s="100" t="str">
        <f aca="false">Equipos!C870</f>
        <v>2-121534</v>
      </c>
      <c r="B872" s="101" t="str">
        <f aca="false">Equipos!D870</f>
        <v>Monitor Multiparámetros</v>
      </c>
      <c r="C872" s="101" t="str">
        <f aca="false">Equipos!E870</f>
        <v>Medicina (Prestado a medicina cardiovascular)</v>
      </c>
      <c r="D872" s="101" t="n">
        <f aca="false">Equipos!G870</f>
        <v>0</v>
      </c>
      <c r="E872" s="101" t="str">
        <f aca="false">Equipos!I870</f>
        <v>Bistos</v>
      </c>
      <c r="F872" s="101" t="str">
        <f aca="false">Equipos!J870</f>
        <v>BT-770</v>
      </c>
      <c r="G872" s="100" t="str">
        <f aca="false">Equipos!K870</f>
        <v>DGM40023</v>
      </c>
      <c r="H872" s="101"/>
      <c r="I872" s="102"/>
      <c r="J872" s="103" t="s">
        <v>330</v>
      </c>
      <c r="K872" s="103" t="s">
        <v>328</v>
      </c>
      <c r="L872" s="102"/>
      <c r="M872" s="102"/>
      <c r="N872" s="102"/>
      <c r="O872" s="102"/>
      <c r="P872" s="102"/>
      <c r="Q872" s="102"/>
      <c r="R872" s="102"/>
      <c r="S872" s="102"/>
      <c r="T872" s="102"/>
      <c r="U872" s="101" t="n">
        <f aca="false">V872+W872+X872+COUNTIF(I872:T872,"R")</f>
        <v>2</v>
      </c>
      <c r="V872" s="101" t="n">
        <f aca="false">COUNTIF(I872:T872,"E")</f>
        <v>1</v>
      </c>
      <c r="W872" s="101" t="n">
        <f aca="false">COUNTIF(I872:T872,"X")</f>
        <v>0</v>
      </c>
      <c r="X872" s="101" t="n">
        <f aca="false">COUNTIF(I872:T872,"C2")+COUNTIF(I872:T872,"C3")</f>
        <v>0</v>
      </c>
      <c r="Y872" s="101" t="n">
        <f aca="true">SUMPRODUCT((I872:INDEX(I872:T872,MONTH(TODAY()))="X")*1)</f>
        <v>0</v>
      </c>
      <c r="Z872" s="104" t="n">
        <f aca="false">IFERROR(V872/U872,"")</f>
        <v>0.5</v>
      </c>
    </row>
    <row r="873" customFormat="false" ht="15" hidden="false" customHeight="true" outlineLevel="0" collapsed="false">
      <c r="A873" s="100" t="str">
        <f aca="false">Equipos!C871</f>
        <v>2-121535</v>
      </c>
      <c r="B873" s="101" t="str">
        <f aca="false">Equipos!D871</f>
        <v>Monitor Multiparámetros</v>
      </c>
      <c r="C873" s="101" t="str">
        <f aca="false">Equipos!E871</f>
        <v>Medicina</v>
      </c>
      <c r="D873" s="101" t="str">
        <f aca="false">Equipos!G871</f>
        <v>598-2</v>
      </c>
      <c r="E873" s="101" t="str">
        <f aca="false">Equipos!I871</f>
        <v>Bistos</v>
      </c>
      <c r="F873" s="101" t="str">
        <f aca="false">Equipos!J871</f>
        <v>BT-770</v>
      </c>
      <c r="G873" s="100" t="str">
        <f aca="false">Equipos!K871</f>
        <v>DGM40032</v>
      </c>
      <c r="H873" s="101"/>
      <c r="I873" s="102"/>
      <c r="J873" s="103" t="s">
        <v>328</v>
      </c>
      <c r="K873" s="102"/>
      <c r="L873" s="102"/>
      <c r="M873" s="102"/>
      <c r="N873" s="102"/>
      <c r="O873" s="102"/>
      <c r="P873" s="102"/>
      <c r="Q873" s="102"/>
      <c r="R873" s="102"/>
      <c r="S873" s="102"/>
      <c r="T873" s="102"/>
      <c r="U873" s="101" t="n">
        <f aca="false">V873+W873+X873+COUNTIF(I873:T873,"R")</f>
        <v>1</v>
      </c>
      <c r="V873" s="101" t="n">
        <f aca="false">COUNTIF(I873:T873,"E")</f>
        <v>1</v>
      </c>
      <c r="W873" s="101" t="n">
        <f aca="false">COUNTIF(I873:T873,"X")</f>
        <v>0</v>
      </c>
      <c r="X873" s="101" t="n">
        <f aca="false">COUNTIF(I873:T873,"C2")+COUNTIF(I873:T873,"C3")</f>
        <v>0</v>
      </c>
      <c r="Y873" s="101" t="n">
        <f aca="true">SUMPRODUCT((I873:INDEX(I873:T873,MONTH(TODAY()))="X")*1)</f>
        <v>0</v>
      </c>
      <c r="Z873" s="104" t="n">
        <f aca="false">IFERROR(V873/U873,"")</f>
        <v>1</v>
      </c>
    </row>
    <row r="874" customFormat="false" ht="15" hidden="false" customHeight="true" outlineLevel="0" collapsed="false">
      <c r="A874" s="100" t="str">
        <f aca="false">Equipos!C872</f>
        <v>2-121536</v>
      </c>
      <c r="B874" s="101" t="str">
        <f aca="false">Equipos!D872</f>
        <v>Monitor Multiparámetros</v>
      </c>
      <c r="C874" s="101" t="str">
        <f aca="false">Equipos!E872</f>
        <v>Pediatría</v>
      </c>
      <c r="D874" s="101" t="str">
        <f aca="false">Equipos!G872</f>
        <v>EP 699</v>
      </c>
      <c r="E874" s="101" t="str">
        <f aca="false">Equipos!I872</f>
        <v>Bistos</v>
      </c>
      <c r="F874" s="101" t="str">
        <f aca="false">Equipos!J872</f>
        <v>BT-770</v>
      </c>
      <c r="G874" s="100" t="str">
        <f aca="false">Equipos!K872</f>
        <v>DGM40040</v>
      </c>
      <c r="H874" s="101"/>
      <c r="I874" s="103" t="s">
        <v>332</v>
      </c>
      <c r="J874" s="102"/>
      <c r="K874" s="102"/>
      <c r="L874" s="102"/>
      <c r="M874" s="102"/>
      <c r="N874" s="102"/>
      <c r="O874" s="102"/>
      <c r="P874" s="102"/>
      <c r="Q874" s="102"/>
      <c r="R874" s="102"/>
      <c r="S874" s="102"/>
      <c r="T874" s="102"/>
      <c r="U874" s="101" t="n">
        <f aca="false">V874+W874+X874+COUNTIF(I874:T874,"R")</f>
        <v>1</v>
      </c>
      <c r="V874" s="101" t="n">
        <f aca="false">COUNTIF(I874:T874,"E")</f>
        <v>0</v>
      </c>
      <c r="W874" s="101" t="n">
        <f aca="false">COUNTIF(I874:T874,"X")</f>
        <v>0</v>
      </c>
      <c r="X874" s="101" t="n">
        <f aca="false">COUNTIF(I874:T874,"C2")+COUNTIF(I874:T874,"C3")</f>
        <v>1</v>
      </c>
      <c r="Y874" s="101" t="n">
        <f aca="true">SUMPRODUCT((I874:INDEX(I874:T874,MONTH(TODAY()))="X")*1)</f>
        <v>0</v>
      </c>
      <c r="Z874" s="104" t="n">
        <f aca="false">IFERROR(V874/U874,"")</f>
        <v>0</v>
      </c>
    </row>
    <row r="875" customFormat="false" ht="15" hidden="false" customHeight="true" outlineLevel="0" collapsed="false">
      <c r="A875" s="100" t="str">
        <f aca="false">Equipos!C873</f>
        <v>2-121537</v>
      </c>
      <c r="B875" s="101" t="str">
        <f aca="false">Equipos!D873</f>
        <v>Monitor Multiparámetros</v>
      </c>
      <c r="C875" s="101" t="str">
        <f aca="false">Equipos!E873</f>
        <v>Pediatría</v>
      </c>
      <c r="D875" s="101" t="str">
        <f aca="false">Equipos!G873</f>
        <v>Lactantes</v>
      </c>
      <c r="E875" s="101" t="str">
        <f aca="false">Equipos!I873</f>
        <v>Bistos</v>
      </c>
      <c r="F875" s="101" t="str">
        <f aca="false">Equipos!J873</f>
        <v>BT-770</v>
      </c>
      <c r="G875" s="100" t="str">
        <f aca="false">Equipos!K873</f>
        <v>DGM40021</v>
      </c>
      <c r="H875" s="101"/>
      <c r="I875" s="103" t="s">
        <v>332</v>
      </c>
      <c r="J875" s="103" t="s">
        <v>328</v>
      </c>
      <c r="K875" s="102"/>
      <c r="L875" s="102"/>
      <c r="M875" s="102"/>
      <c r="N875" s="102"/>
      <c r="O875" s="102"/>
      <c r="P875" s="102"/>
      <c r="Q875" s="102"/>
      <c r="R875" s="102"/>
      <c r="S875" s="102"/>
      <c r="T875" s="102"/>
      <c r="U875" s="101" t="n">
        <f aca="false">V875+W875+X875+COUNTIF(I875:T875,"R")</f>
        <v>2</v>
      </c>
      <c r="V875" s="101" t="n">
        <f aca="false">COUNTIF(I875:T875,"E")</f>
        <v>1</v>
      </c>
      <c r="W875" s="101" t="n">
        <f aca="false">COUNTIF(I875:T875,"X")</f>
        <v>0</v>
      </c>
      <c r="X875" s="101" t="n">
        <f aca="false">COUNTIF(I875:T875,"C2")+COUNTIF(I875:T875,"C3")</f>
        <v>1</v>
      </c>
      <c r="Y875" s="101" t="n">
        <f aca="true">SUMPRODUCT((I875:INDEX(I875:T875,MONTH(TODAY()))="X")*1)</f>
        <v>0</v>
      </c>
      <c r="Z875" s="104" t="n">
        <f aca="false">IFERROR(V875/U875,"")</f>
        <v>0.5</v>
      </c>
    </row>
    <row r="876" customFormat="false" ht="15" hidden="false" customHeight="true" outlineLevel="0" collapsed="false">
      <c r="A876" s="100" t="str">
        <f aca="false">Equipos!C874</f>
        <v>2-121538</v>
      </c>
      <c r="B876" s="101" t="str">
        <f aca="false">Equipos!D874</f>
        <v>Monitor Multiparámetros</v>
      </c>
      <c r="C876" s="101" t="str">
        <f aca="false">Equipos!E874</f>
        <v>Pediatría</v>
      </c>
      <c r="D876" s="101" t="str">
        <f aca="false">Equipos!G874</f>
        <v>Lactantes</v>
      </c>
      <c r="E876" s="101" t="str">
        <f aca="false">Equipos!I874</f>
        <v>Bistos</v>
      </c>
      <c r="F876" s="101" t="str">
        <f aca="false">Equipos!J874</f>
        <v>BT-770</v>
      </c>
      <c r="G876" s="100" t="str">
        <f aca="false">Equipos!K874</f>
        <v>DGM40036</v>
      </c>
      <c r="H876" s="101"/>
      <c r="I876" s="103" t="s">
        <v>332</v>
      </c>
      <c r="J876" s="102"/>
      <c r="K876" s="102"/>
      <c r="L876" s="102"/>
      <c r="M876" s="102"/>
      <c r="N876" s="102"/>
      <c r="O876" s="102"/>
      <c r="P876" s="102"/>
      <c r="Q876" s="102"/>
      <c r="R876" s="102"/>
      <c r="S876" s="102"/>
      <c r="T876" s="102"/>
      <c r="U876" s="101" t="n">
        <f aca="false">V876+W876+X876+COUNTIF(I876:T876,"R")</f>
        <v>1</v>
      </c>
      <c r="V876" s="101" t="n">
        <f aca="false">COUNTIF(I876:T876,"E")</f>
        <v>0</v>
      </c>
      <c r="W876" s="101" t="n">
        <f aca="false">COUNTIF(I876:T876,"X")</f>
        <v>0</v>
      </c>
      <c r="X876" s="101" t="n">
        <f aca="false">COUNTIF(I876:T876,"C2")+COUNTIF(I876:T876,"C3")</f>
        <v>1</v>
      </c>
      <c r="Y876" s="101" t="n">
        <f aca="true">SUMPRODUCT((I876:INDEX(I876:T876,MONTH(TODAY()))="X")*1)</f>
        <v>0</v>
      </c>
      <c r="Z876" s="104" t="n">
        <f aca="false">IFERROR(V876/U876,"")</f>
        <v>0</v>
      </c>
    </row>
    <row r="877" customFormat="false" ht="15" hidden="false" customHeight="true" outlineLevel="0" collapsed="false">
      <c r="A877" s="100" t="str">
        <f aca="false">Equipos!C875</f>
        <v>2-121539</v>
      </c>
      <c r="B877" s="101" t="str">
        <f aca="false">Equipos!D875</f>
        <v>Monitor Multiparámetros</v>
      </c>
      <c r="C877" s="101" t="str">
        <f aca="false">Equipos!E875</f>
        <v>Pediatría</v>
      </c>
      <c r="D877" s="101" t="str">
        <f aca="false">Equipos!G875</f>
        <v>EP 699</v>
      </c>
      <c r="E877" s="101" t="str">
        <f aca="false">Equipos!I875</f>
        <v>Bistos</v>
      </c>
      <c r="F877" s="101" t="str">
        <f aca="false">Equipos!J875</f>
        <v>BT-770</v>
      </c>
      <c r="G877" s="100" t="str">
        <f aca="false">Equipos!K875</f>
        <v>DGM40015</v>
      </c>
      <c r="H877" s="101"/>
      <c r="I877" s="103" t="s">
        <v>332</v>
      </c>
      <c r="J877" s="103" t="s">
        <v>328</v>
      </c>
      <c r="K877" s="102"/>
      <c r="L877" s="102"/>
      <c r="M877" s="102"/>
      <c r="N877" s="102"/>
      <c r="O877" s="102"/>
      <c r="P877" s="102"/>
      <c r="Q877" s="102"/>
      <c r="R877" s="102"/>
      <c r="S877" s="102"/>
      <c r="T877" s="102"/>
      <c r="U877" s="101" t="n">
        <f aca="false">V877+W877+X877+COUNTIF(I877:T877,"R")</f>
        <v>2</v>
      </c>
      <c r="V877" s="101" t="n">
        <f aca="false">COUNTIF(I877:T877,"E")</f>
        <v>1</v>
      </c>
      <c r="W877" s="101" t="n">
        <f aca="false">COUNTIF(I877:T877,"X")</f>
        <v>0</v>
      </c>
      <c r="X877" s="101" t="n">
        <f aca="false">COUNTIF(I877:T877,"C2")+COUNTIF(I877:T877,"C3")</f>
        <v>1</v>
      </c>
      <c r="Y877" s="101" t="n">
        <f aca="true">SUMPRODUCT((I877:INDEX(I877:T877,MONTH(TODAY()))="X")*1)</f>
        <v>0</v>
      </c>
      <c r="Z877" s="104" t="n">
        <f aca="false">IFERROR(V877/U877,"")</f>
        <v>0.5</v>
      </c>
    </row>
    <row r="878" customFormat="false" ht="15" hidden="false" customHeight="true" outlineLevel="0" collapsed="false">
      <c r="A878" s="100" t="str">
        <f aca="false">Equipos!C876</f>
        <v>2-121540</v>
      </c>
      <c r="B878" s="101" t="str">
        <f aca="false">Equipos!D876</f>
        <v>Monitor Multiparámetros</v>
      </c>
      <c r="C878" s="101" t="str">
        <f aca="false">Equipos!E876</f>
        <v>Pediatría</v>
      </c>
      <c r="D878" s="101" t="n">
        <f aca="false">Equipos!G876</f>
        <v>0</v>
      </c>
      <c r="E878" s="101" t="str">
        <f aca="false">Equipos!I876</f>
        <v>Bistos</v>
      </c>
      <c r="F878" s="101" t="str">
        <f aca="false">Equipos!J876</f>
        <v>BT-770</v>
      </c>
      <c r="G878" s="100" t="str">
        <f aca="false">Equipos!K876</f>
        <v>DGM40031</v>
      </c>
      <c r="H878" s="101"/>
      <c r="I878" s="103" t="s">
        <v>330</v>
      </c>
      <c r="J878" s="103" t="s">
        <v>328</v>
      </c>
      <c r="K878" s="102"/>
      <c r="L878" s="102"/>
      <c r="M878" s="102"/>
      <c r="N878" s="102"/>
      <c r="O878" s="102"/>
      <c r="P878" s="102"/>
      <c r="Q878" s="102"/>
      <c r="R878" s="102"/>
      <c r="S878" s="102"/>
      <c r="T878" s="102"/>
      <c r="U878" s="101" t="n">
        <f aca="false">V878+W878+X878+COUNTIF(I878:T878,"R")</f>
        <v>2</v>
      </c>
      <c r="V878" s="101" t="n">
        <f aca="false">COUNTIF(I878:T878,"E")</f>
        <v>1</v>
      </c>
      <c r="W878" s="101" t="n">
        <f aca="false">COUNTIF(I878:T878,"X")</f>
        <v>0</v>
      </c>
      <c r="X878" s="101" t="n">
        <f aca="false">COUNTIF(I878:T878,"C2")+COUNTIF(I878:T878,"C3")</f>
        <v>0</v>
      </c>
      <c r="Y878" s="101" t="n">
        <f aca="true">SUMPRODUCT((I878:INDEX(I878:T878,MONTH(TODAY()))="X")*1)</f>
        <v>0</v>
      </c>
      <c r="Z878" s="104" t="n">
        <f aca="false">IFERROR(V878/U878,"")</f>
        <v>0.5</v>
      </c>
    </row>
    <row r="879" customFormat="false" ht="15" hidden="false" customHeight="true" outlineLevel="0" collapsed="false">
      <c r="A879" s="100" t="str">
        <f aca="false">Equipos!C877</f>
        <v>2-121541</v>
      </c>
      <c r="B879" s="101" t="str">
        <f aca="false">Equipos!D877</f>
        <v>Monitor Multiparámetros</v>
      </c>
      <c r="C879" s="101" t="str">
        <f aca="false">Equipos!E877</f>
        <v>Pediatría</v>
      </c>
      <c r="D879" s="101" t="str">
        <f aca="false">Equipos!G877</f>
        <v>EP 696</v>
      </c>
      <c r="E879" s="101" t="str">
        <f aca="false">Equipos!I877</f>
        <v>Bistos</v>
      </c>
      <c r="F879" s="101" t="str">
        <f aca="false">Equipos!J877</f>
        <v>BT-770</v>
      </c>
      <c r="G879" s="100" t="str">
        <f aca="false">Equipos!K877</f>
        <v>DGM40038</v>
      </c>
      <c r="H879" s="101"/>
      <c r="I879" s="103" t="s">
        <v>330</v>
      </c>
      <c r="J879" s="103" t="s">
        <v>328</v>
      </c>
      <c r="K879" s="102"/>
      <c r="L879" s="102"/>
      <c r="M879" s="102"/>
      <c r="N879" s="102"/>
      <c r="O879" s="102"/>
      <c r="P879" s="102"/>
      <c r="Q879" s="102"/>
      <c r="R879" s="102"/>
      <c r="S879" s="102"/>
      <c r="T879" s="102"/>
      <c r="U879" s="101" t="n">
        <f aca="false">V879+W879+X879+COUNTIF(I879:T879,"R")</f>
        <v>2</v>
      </c>
      <c r="V879" s="101" t="n">
        <f aca="false">COUNTIF(I879:T879,"E")</f>
        <v>1</v>
      </c>
      <c r="W879" s="101" t="n">
        <f aca="false">COUNTIF(I879:T879,"X")</f>
        <v>0</v>
      </c>
      <c r="X879" s="101" t="n">
        <f aca="false">COUNTIF(I879:T879,"C2")+COUNTIF(I879:T879,"C3")</f>
        <v>0</v>
      </c>
      <c r="Y879" s="101" t="n">
        <f aca="true">SUMPRODUCT((I879:INDEX(I879:T879,MONTH(TODAY()))="X")*1)</f>
        <v>0</v>
      </c>
      <c r="Z879" s="104" t="n">
        <f aca="false">IFERROR(V879/U879,"")</f>
        <v>0.5</v>
      </c>
    </row>
    <row r="880" customFormat="false" ht="15" hidden="false" customHeight="true" outlineLevel="0" collapsed="false">
      <c r="A880" s="100" t="str">
        <f aca="false">Equipos!C878</f>
        <v>2-121542</v>
      </c>
      <c r="B880" s="101" t="str">
        <f aca="false">Equipos!D878</f>
        <v>Monitor Multiparámetros</v>
      </c>
      <c r="C880" s="101" t="str">
        <f aca="false">Equipos!E878</f>
        <v>Pediatría</v>
      </c>
      <c r="D880" s="101" t="str">
        <f aca="false">Equipos!G878</f>
        <v>TB 605</v>
      </c>
      <c r="E880" s="101" t="str">
        <f aca="false">Equipos!I878</f>
        <v>Bistos</v>
      </c>
      <c r="F880" s="101" t="str">
        <f aca="false">Equipos!J878</f>
        <v>BT-770</v>
      </c>
      <c r="G880" s="100" t="str">
        <f aca="false">Equipos!K878</f>
        <v>DGM40030</v>
      </c>
      <c r="H880" s="101"/>
      <c r="I880" s="103" t="s">
        <v>330</v>
      </c>
      <c r="J880" s="103" t="s">
        <v>328</v>
      </c>
      <c r="K880" s="102"/>
      <c r="L880" s="102"/>
      <c r="M880" s="102"/>
      <c r="N880" s="102"/>
      <c r="O880" s="102"/>
      <c r="P880" s="102"/>
      <c r="Q880" s="102"/>
      <c r="R880" s="102"/>
      <c r="S880" s="102"/>
      <c r="T880" s="102"/>
      <c r="U880" s="101" t="n">
        <f aca="false">V880+W880+X880+COUNTIF(I880:T880,"R")</f>
        <v>2</v>
      </c>
      <c r="V880" s="101" t="n">
        <f aca="false">COUNTIF(I880:T880,"E")</f>
        <v>1</v>
      </c>
      <c r="W880" s="101" t="n">
        <f aca="false">COUNTIF(I880:T880,"X")</f>
        <v>0</v>
      </c>
      <c r="X880" s="101" t="n">
        <f aca="false">COUNTIF(I880:T880,"C2")+COUNTIF(I880:T880,"C3")</f>
        <v>0</v>
      </c>
      <c r="Y880" s="101" t="n">
        <f aca="true">SUMPRODUCT((I880:INDEX(I880:T880,MONTH(TODAY()))="X")*1)</f>
        <v>0</v>
      </c>
      <c r="Z880" s="104" t="n">
        <f aca="false">IFERROR(V880/U880,"")</f>
        <v>0.5</v>
      </c>
    </row>
    <row r="881" customFormat="false" ht="15" hidden="false" customHeight="true" outlineLevel="0" collapsed="false">
      <c r="A881" s="100" t="str">
        <f aca="false">Equipos!C879</f>
        <v>2-121543</v>
      </c>
      <c r="B881" s="101" t="str">
        <f aca="false">Equipos!D879</f>
        <v>Monitor Multiparámetros</v>
      </c>
      <c r="C881" s="101" t="str">
        <f aca="false">Equipos!E879</f>
        <v>Pediatría</v>
      </c>
      <c r="D881" s="101" t="str">
        <f aca="false">Equipos!G879</f>
        <v>EP 695</v>
      </c>
      <c r="E881" s="101" t="str">
        <f aca="false">Equipos!I879</f>
        <v>Bistos</v>
      </c>
      <c r="F881" s="101" t="str">
        <f aca="false">Equipos!J879</f>
        <v>BT-770</v>
      </c>
      <c r="G881" s="100" t="str">
        <f aca="false">Equipos!K879</f>
        <v>DGM40029</v>
      </c>
      <c r="H881" s="101"/>
      <c r="I881" s="103" t="s">
        <v>330</v>
      </c>
      <c r="J881" s="103" t="s">
        <v>328</v>
      </c>
      <c r="K881" s="102"/>
      <c r="L881" s="102"/>
      <c r="M881" s="102"/>
      <c r="N881" s="102"/>
      <c r="O881" s="102"/>
      <c r="P881" s="102"/>
      <c r="Q881" s="102"/>
      <c r="R881" s="102"/>
      <c r="S881" s="102"/>
      <c r="T881" s="102"/>
      <c r="U881" s="101" t="n">
        <f aca="false">V881+W881+X881+COUNTIF(I881:T881,"R")</f>
        <v>2</v>
      </c>
      <c r="V881" s="101" t="n">
        <f aca="false">COUNTIF(I881:T881,"E")</f>
        <v>1</v>
      </c>
      <c r="W881" s="101" t="n">
        <f aca="false">COUNTIF(I881:T881,"X")</f>
        <v>0</v>
      </c>
      <c r="X881" s="101" t="n">
        <f aca="false">COUNTIF(I881:T881,"C2")+COUNTIF(I881:T881,"C3")</f>
        <v>0</v>
      </c>
      <c r="Y881" s="101" t="n">
        <f aca="true">SUMPRODUCT((I881:INDEX(I881:T881,MONTH(TODAY()))="X")*1)</f>
        <v>0</v>
      </c>
      <c r="Z881" s="104" t="n">
        <f aca="false">IFERROR(V881/U881,"")</f>
        <v>0.5</v>
      </c>
    </row>
    <row r="882" customFormat="false" ht="15" hidden="false" customHeight="true" outlineLevel="0" collapsed="false">
      <c r="A882" s="100" t="str">
        <f aca="false">Equipos!C880</f>
        <v>2-121564</v>
      </c>
      <c r="B882" s="101" t="str">
        <f aca="false">Equipos!D880</f>
        <v>Monitor Multiparámetros</v>
      </c>
      <c r="C882" s="101" t="str">
        <f aca="false">Equipos!E880</f>
        <v>Urgencias Gineco-Obstétricas</v>
      </c>
      <c r="D882" s="101" t="str">
        <f aca="false">Equipos!G880</f>
        <v>Preparto</v>
      </c>
      <c r="E882" s="101" t="str">
        <f aca="false">Equipos!I880</f>
        <v>Nihon Kohden </v>
      </c>
      <c r="F882" s="101" t="str">
        <f aca="false">Equipos!J880</f>
        <v>PVM-2701</v>
      </c>
      <c r="G882" s="100" t="str">
        <f aca="false">Equipos!K880</f>
        <v>132816</v>
      </c>
      <c r="H882" s="101"/>
      <c r="I882" s="102"/>
      <c r="J882" s="102"/>
      <c r="K882" s="102"/>
      <c r="L882" s="102"/>
      <c r="M882" s="102" t="s">
        <v>329</v>
      </c>
      <c r="N882" s="102"/>
      <c r="O882" s="102"/>
      <c r="P882" s="102"/>
      <c r="Q882" s="102"/>
      <c r="R882" s="102"/>
      <c r="S882" s="102"/>
      <c r="T882" s="102"/>
      <c r="U882" s="101" t="n">
        <f aca="false">V882+W882+X882+COUNTIF(I882:T882,"R")</f>
        <v>1</v>
      </c>
      <c r="V882" s="101" t="n">
        <f aca="false">COUNTIF(I882:T882,"E")</f>
        <v>0</v>
      </c>
      <c r="W882" s="101" t="n">
        <f aca="false">COUNTIF(I882:T882,"X")</f>
        <v>1</v>
      </c>
      <c r="X882" s="101" t="n">
        <f aca="false">COUNTIF(I882:T882,"C2")+COUNTIF(I882:T882,"C3")</f>
        <v>0</v>
      </c>
      <c r="Y882" s="101" t="n">
        <f aca="true">SUMPRODUCT((I882:INDEX(I882:T882,MONTH(TODAY()))="X")*1)</f>
        <v>1</v>
      </c>
      <c r="Z882" s="104" t="n">
        <f aca="false">IFERROR(V882/U882,"")</f>
        <v>0</v>
      </c>
    </row>
    <row r="883" customFormat="false" ht="15" hidden="false" customHeight="true" outlineLevel="0" collapsed="false">
      <c r="A883" s="100" t="str">
        <f aca="false">Equipos!C881</f>
        <v>2-121565</v>
      </c>
      <c r="B883" s="101" t="str">
        <f aca="false">Equipos!D881</f>
        <v>Monitor Multiparámetros</v>
      </c>
      <c r="C883" s="101" t="str">
        <f aca="false">Equipos!E881</f>
        <v>Urgencias Gineco-Obstétricas</v>
      </c>
      <c r="D883" s="101" t="str">
        <f aca="false">Equipos!G881</f>
        <v>Preparto</v>
      </c>
      <c r="E883" s="101" t="str">
        <f aca="false">Equipos!I881</f>
        <v>Nihon Kohden </v>
      </c>
      <c r="F883" s="101" t="str">
        <f aca="false">Equipos!J881</f>
        <v>PVM-2701</v>
      </c>
      <c r="G883" s="100" t="str">
        <f aca="false">Equipos!K881</f>
        <v>132818</v>
      </c>
      <c r="H883" s="101"/>
      <c r="I883" s="102"/>
      <c r="J883" s="102"/>
      <c r="K883" s="102"/>
      <c r="L883" s="102"/>
      <c r="M883" s="102" t="s">
        <v>329</v>
      </c>
      <c r="N883" s="102"/>
      <c r="O883" s="102"/>
      <c r="P883" s="102"/>
      <c r="Q883" s="102"/>
      <c r="R883" s="102"/>
      <c r="S883" s="102"/>
      <c r="T883" s="102"/>
      <c r="U883" s="101" t="n">
        <f aca="false">V883+W883+X883+COUNTIF(I883:T883,"R")</f>
        <v>1</v>
      </c>
      <c r="V883" s="101" t="n">
        <f aca="false">COUNTIF(I883:T883,"E")</f>
        <v>0</v>
      </c>
      <c r="W883" s="101" t="n">
        <f aca="false">COUNTIF(I883:T883,"X")</f>
        <v>1</v>
      </c>
      <c r="X883" s="101" t="n">
        <f aca="false">COUNTIF(I883:T883,"C2")+COUNTIF(I883:T883,"C3")</f>
        <v>0</v>
      </c>
      <c r="Y883" s="101" t="n">
        <f aca="true">SUMPRODUCT((I883:INDEX(I883:T883,MONTH(TODAY()))="X")*1)</f>
        <v>1</v>
      </c>
      <c r="Z883" s="104" t="n">
        <f aca="false">IFERROR(V883/U883,"")</f>
        <v>0</v>
      </c>
    </row>
    <row r="884" customFormat="false" ht="15" hidden="false" customHeight="true" outlineLevel="0" collapsed="false">
      <c r="A884" s="100" t="str">
        <f aca="false">Equipos!C882</f>
        <v>2-121566</v>
      </c>
      <c r="B884" s="101" t="str">
        <f aca="false">Equipos!D882</f>
        <v>Monitor Multiparámetros</v>
      </c>
      <c r="C884" s="101" t="str">
        <f aca="false">Equipos!E882</f>
        <v>Urgencias Gineco-Obstétricas</v>
      </c>
      <c r="D884" s="101" t="str">
        <f aca="false">Equipos!G882</f>
        <v>Preparto</v>
      </c>
      <c r="E884" s="101" t="str">
        <f aca="false">Equipos!I882</f>
        <v>Nihon Kohden </v>
      </c>
      <c r="F884" s="101" t="str">
        <f aca="false">Equipos!J882</f>
        <v>PVM-2701</v>
      </c>
      <c r="G884" s="100" t="str">
        <f aca="false">Equipos!K882</f>
        <v>132819</v>
      </c>
      <c r="H884" s="101"/>
      <c r="I884" s="102"/>
      <c r="J884" s="102"/>
      <c r="K884" s="102"/>
      <c r="L884" s="102"/>
      <c r="M884" s="102" t="s">
        <v>329</v>
      </c>
      <c r="N884" s="102"/>
      <c r="O884" s="102"/>
      <c r="P884" s="102"/>
      <c r="Q884" s="102"/>
      <c r="R884" s="102"/>
      <c r="S884" s="102"/>
      <c r="T884" s="102"/>
      <c r="U884" s="101" t="n">
        <f aca="false">V884+W884+X884+COUNTIF(I884:T884,"R")</f>
        <v>1</v>
      </c>
      <c r="V884" s="101" t="n">
        <f aca="false">COUNTIF(I884:T884,"E")</f>
        <v>0</v>
      </c>
      <c r="W884" s="101" t="n">
        <f aca="false">COUNTIF(I884:T884,"X")</f>
        <v>1</v>
      </c>
      <c r="X884" s="101" t="n">
        <f aca="false">COUNTIF(I884:T884,"C2")+COUNTIF(I884:T884,"C3")</f>
        <v>0</v>
      </c>
      <c r="Y884" s="101" t="n">
        <f aca="true">SUMPRODUCT((I884:INDEX(I884:T884,MONTH(TODAY()))="X")*1)</f>
        <v>1</v>
      </c>
      <c r="Z884" s="104" t="n">
        <f aca="false">IFERROR(V884/U884,"")</f>
        <v>0</v>
      </c>
    </row>
    <row r="885" customFormat="false" ht="15" hidden="false" customHeight="true" outlineLevel="0" collapsed="false">
      <c r="A885" s="100" t="str">
        <f aca="false">Equipos!C883</f>
        <v>2-121691</v>
      </c>
      <c r="B885" s="101" t="str">
        <f aca="false">Equipos!D883</f>
        <v>Monitor Multiparámetros</v>
      </c>
      <c r="C885" s="101" t="str">
        <f aca="false">Equipos!E883</f>
        <v>Hemato Oncología Adulto</v>
      </c>
      <c r="D885" s="101" t="n">
        <f aca="false">Equipos!G883</f>
        <v>0</v>
      </c>
      <c r="E885" s="101" t="str">
        <f aca="false">Equipos!I883</f>
        <v>Nihon Kohden </v>
      </c>
      <c r="F885" s="101" t="str">
        <f aca="false">Equipos!J883</f>
        <v>PVM-4763K</v>
      </c>
      <c r="G885" s="100" t="str">
        <f aca="false">Equipos!K883</f>
        <v>2943</v>
      </c>
      <c r="H885" s="101"/>
      <c r="I885" s="102"/>
      <c r="J885" s="102"/>
      <c r="K885" s="103" t="s">
        <v>330</v>
      </c>
      <c r="L885" s="103" t="s">
        <v>328</v>
      </c>
      <c r="M885" s="102"/>
      <c r="N885" s="102"/>
      <c r="O885" s="102"/>
      <c r="P885" s="102"/>
      <c r="Q885" s="102"/>
      <c r="R885" s="102"/>
      <c r="S885" s="102"/>
      <c r="T885" s="102"/>
      <c r="U885" s="101" t="n">
        <f aca="false">V885+W885+X885+COUNTIF(I885:T885,"R")</f>
        <v>2</v>
      </c>
      <c r="V885" s="101" t="n">
        <f aca="false">COUNTIF(I885:T885,"E")</f>
        <v>1</v>
      </c>
      <c r="W885" s="101" t="n">
        <f aca="false">COUNTIF(I885:T885,"X")</f>
        <v>0</v>
      </c>
      <c r="X885" s="101" t="n">
        <f aca="false">COUNTIF(I885:T885,"C2")+COUNTIF(I885:T885,"C3")</f>
        <v>0</v>
      </c>
      <c r="Y885" s="101" t="n">
        <f aca="true">SUMPRODUCT((I885:INDEX(I885:T885,MONTH(TODAY()))="X")*1)</f>
        <v>0</v>
      </c>
      <c r="Z885" s="104" t="n">
        <f aca="false">IFERROR(V885/U885,"")</f>
        <v>0.5</v>
      </c>
    </row>
    <row r="886" customFormat="false" ht="15" hidden="false" customHeight="true" outlineLevel="0" collapsed="false">
      <c r="A886" s="100" t="str">
        <f aca="false">Equipos!C884</f>
        <v>2-121692</v>
      </c>
      <c r="B886" s="101" t="str">
        <f aca="false">Equipos!D884</f>
        <v>Monitor Multiparámetros</v>
      </c>
      <c r="C886" s="101" t="str">
        <f aca="false">Equipos!E884</f>
        <v>Hemato Oncología Adulto</v>
      </c>
      <c r="D886" s="101" t="n">
        <f aca="false">Equipos!G884</f>
        <v>0</v>
      </c>
      <c r="E886" s="101" t="str">
        <f aca="false">Equipos!I884</f>
        <v>Nihon Kohden </v>
      </c>
      <c r="F886" s="101" t="str">
        <f aca="false">Equipos!J884</f>
        <v>PVM-4763K</v>
      </c>
      <c r="G886" s="100" t="str">
        <f aca="false">Equipos!K884</f>
        <v>2731</v>
      </c>
      <c r="H886" s="101"/>
      <c r="I886" s="102"/>
      <c r="J886" s="103" t="s">
        <v>330</v>
      </c>
      <c r="K886" s="103" t="s">
        <v>332</v>
      </c>
      <c r="L886" s="102"/>
      <c r="M886" s="103"/>
      <c r="N886" s="102"/>
      <c r="O886" s="102"/>
      <c r="P886" s="102"/>
      <c r="Q886" s="102"/>
      <c r="R886" s="102"/>
      <c r="S886" s="102"/>
      <c r="T886" s="102"/>
      <c r="U886" s="101" t="n">
        <f aca="false">V886+W886+X886+COUNTIF(I886:T886,"R")</f>
        <v>2</v>
      </c>
      <c r="V886" s="101" t="n">
        <f aca="false">COUNTIF(I886:T886,"E")</f>
        <v>0</v>
      </c>
      <c r="W886" s="101" t="n">
        <f aca="false">COUNTIF(I886:T886,"X")</f>
        <v>0</v>
      </c>
      <c r="X886" s="101" t="n">
        <f aca="false">COUNTIF(I886:T886,"C2")+COUNTIF(I886:T886,"C3")</f>
        <v>1</v>
      </c>
      <c r="Y886" s="101" t="n">
        <f aca="true">SUMPRODUCT((I886:INDEX(I886:T886,MONTH(TODAY()))="X")*1)</f>
        <v>0</v>
      </c>
      <c r="Z886" s="104" t="n">
        <f aca="false">IFERROR(V886/U886,"")</f>
        <v>0</v>
      </c>
    </row>
    <row r="887" customFormat="false" ht="15" hidden="false" customHeight="true" outlineLevel="0" collapsed="false">
      <c r="A887" s="100" t="str">
        <f aca="false">Equipos!C885</f>
        <v>2-121693</v>
      </c>
      <c r="B887" s="101" t="str">
        <f aca="false">Equipos!D885</f>
        <v>Monitor Multiparámetros</v>
      </c>
      <c r="C887" s="101" t="str">
        <f aca="false">Equipos!E885</f>
        <v>Hemato Oncología Adulto</v>
      </c>
      <c r="D887" s="101" t="n">
        <f aca="false">Equipos!G885</f>
        <v>0</v>
      </c>
      <c r="E887" s="101" t="str">
        <f aca="false">Equipos!I885</f>
        <v>Nihon Kohden </v>
      </c>
      <c r="F887" s="101" t="str">
        <f aca="false">Equipos!J885</f>
        <v>PVM-4763K</v>
      </c>
      <c r="G887" s="100" t="str">
        <f aca="false">Equipos!K885</f>
        <v>2915</v>
      </c>
      <c r="H887" s="101"/>
      <c r="I887" s="102"/>
      <c r="J887" s="102"/>
      <c r="K887" s="103" t="s">
        <v>332</v>
      </c>
      <c r="L887" s="102"/>
      <c r="M887" s="102"/>
      <c r="N887" s="102"/>
      <c r="O887" s="102"/>
      <c r="P887" s="102"/>
      <c r="Q887" s="102"/>
      <c r="R887" s="102"/>
      <c r="S887" s="102"/>
      <c r="T887" s="102"/>
      <c r="U887" s="101" t="n">
        <f aca="false">V887+W887+X887+COUNTIF(I887:T887,"R")</f>
        <v>1</v>
      </c>
      <c r="V887" s="101" t="n">
        <f aca="false">COUNTIF(I887:T887,"E")</f>
        <v>0</v>
      </c>
      <c r="W887" s="101" t="n">
        <f aca="false">COUNTIF(I887:T887,"X")</f>
        <v>0</v>
      </c>
      <c r="X887" s="101" t="n">
        <f aca="false">COUNTIF(I887:T887,"C2")+COUNTIF(I887:T887,"C3")</f>
        <v>1</v>
      </c>
      <c r="Y887" s="101" t="n">
        <f aca="true">SUMPRODUCT((I887:INDEX(I887:T887,MONTH(TODAY()))="X")*1)</f>
        <v>0</v>
      </c>
      <c r="Z887" s="104" t="n">
        <f aca="false">IFERROR(V887/U887,"")</f>
        <v>0</v>
      </c>
    </row>
    <row r="888" customFormat="false" ht="15" hidden="false" customHeight="true" outlineLevel="0" collapsed="false">
      <c r="A888" s="100" t="str">
        <f aca="false">Equipos!C886</f>
        <v>2-121694</v>
      </c>
      <c r="B888" s="101" t="str">
        <f aca="false">Equipos!D886</f>
        <v>Monitor Multiparámetros</v>
      </c>
      <c r="C888" s="101" t="str">
        <f aca="false">Equipos!E886</f>
        <v>Hemato Oncología Adulto</v>
      </c>
      <c r="D888" s="101" t="n">
        <f aca="false">Equipos!G886</f>
        <v>0</v>
      </c>
      <c r="E888" s="101" t="str">
        <f aca="false">Equipos!I886</f>
        <v>Nihon Kohden </v>
      </c>
      <c r="F888" s="101" t="str">
        <f aca="false">Equipos!J886</f>
        <v>PVM-4763K</v>
      </c>
      <c r="G888" s="100" t="str">
        <f aca="false">Equipos!K886</f>
        <v>02922.</v>
      </c>
      <c r="H888" s="101"/>
      <c r="I888" s="102"/>
      <c r="J888" s="102"/>
      <c r="K888" s="103" t="s">
        <v>330</v>
      </c>
      <c r="L888" s="103" t="s">
        <v>328</v>
      </c>
      <c r="M888" s="102"/>
      <c r="N888" s="102"/>
      <c r="O888" s="102"/>
      <c r="P888" s="102"/>
      <c r="Q888" s="102"/>
      <c r="R888" s="102"/>
      <c r="S888" s="102"/>
      <c r="T888" s="102"/>
      <c r="U888" s="101" t="n">
        <f aca="false">V888+W888+X888+COUNTIF(I888:T888,"R")</f>
        <v>2</v>
      </c>
      <c r="V888" s="101" t="n">
        <f aca="false">COUNTIF(I888:T888,"E")</f>
        <v>1</v>
      </c>
      <c r="W888" s="101" t="n">
        <f aca="false">COUNTIF(I888:T888,"X")</f>
        <v>0</v>
      </c>
      <c r="X888" s="101" t="n">
        <f aca="false">COUNTIF(I888:T888,"C2")+COUNTIF(I888:T888,"C3")</f>
        <v>0</v>
      </c>
      <c r="Y888" s="101" t="n">
        <f aca="true">SUMPRODUCT((I888:INDEX(I888:T888,MONTH(TODAY()))="X")*1)</f>
        <v>0</v>
      </c>
      <c r="Z888" s="104" t="n">
        <f aca="false">IFERROR(V888/U888,"")</f>
        <v>0.5</v>
      </c>
    </row>
    <row r="889" customFormat="false" ht="15" hidden="false" customHeight="true" outlineLevel="0" collapsed="false">
      <c r="A889" s="100" t="str">
        <f aca="false">Equipos!C887</f>
        <v>2-118718</v>
      </c>
      <c r="B889" s="101" t="str">
        <f aca="false">Equipos!D887</f>
        <v>Monitor Multiparámetros</v>
      </c>
      <c r="C889" s="101" t="str">
        <f aca="false">Equipos!E887</f>
        <v>Servicio Social</v>
      </c>
      <c r="D889" s="101" t="str">
        <f aca="false">Equipos!G887</f>
        <v>Domicilio</v>
      </c>
      <c r="E889" s="101" t="str">
        <f aca="false">Equipos!I887</f>
        <v>General Meditech</v>
      </c>
      <c r="F889" s="101" t="str">
        <f aca="false">Equipos!J887</f>
        <v>G3H</v>
      </c>
      <c r="G889" s="100" t="str">
        <f aca="false">Equipos!K887</f>
        <v>G3HQ40045</v>
      </c>
      <c r="H889" s="101"/>
      <c r="I889" s="102"/>
      <c r="J889" s="102"/>
      <c r="K889" s="102"/>
      <c r="L889" s="103" t="s">
        <v>330</v>
      </c>
      <c r="M889" s="103" t="s">
        <v>328</v>
      </c>
      <c r="N889" s="102"/>
      <c r="O889" s="102"/>
      <c r="P889" s="102"/>
      <c r="Q889" s="102"/>
      <c r="R889" s="102"/>
      <c r="S889" s="102"/>
      <c r="T889" s="102"/>
      <c r="U889" s="101" t="n">
        <f aca="false">V889+W889+X889+COUNTIF(I889:T889,"R")</f>
        <v>2</v>
      </c>
      <c r="V889" s="101" t="n">
        <f aca="false">COUNTIF(I889:T889,"E")</f>
        <v>1</v>
      </c>
      <c r="W889" s="101" t="n">
        <f aca="false">COUNTIF(I889:T889,"X")</f>
        <v>0</v>
      </c>
      <c r="X889" s="101" t="n">
        <f aca="false">COUNTIF(I889:T889,"C2")+COUNTIF(I889:T889,"C3")</f>
        <v>0</v>
      </c>
      <c r="Y889" s="101" t="n">
        <f aca="true">SUMPRODUCT((I889:INDEX(I889:T889,MONTH(TODAY()))="X")*1)</f>
        <v>0</v>
      </c>
      <c r="Z889" s="104" t="n">
        <f aca="false">IFERROR(V889/U889,"")</f>
        <v>0.5</v>
      </c>
    </row>
    <row r="890" customFormat="false" ht="15" hidden="false" customHeight="true" outlineLevel="0" collapsed="false">
      <c r="A890" s="100" t="str">
        <f aca="false">Equipos!C888</f>
        <v>2-117350</v>
      </c>
      <c r="B890" s="101" t="str">
        <f aca="false">Equipos!D888</f>
        <v>Monitor Multiparámetros</v>
      </c>
      <c r="C890" s="101" t="str">
        <f aca="false">Equipos!E888</f>
        <v>Servicio Social</v>
      </c>
      <c r="D890" s="101" t="str">
        <f aca="false">Equipos!G888</f>
        <v>Domicilio</v>
      </c>
      <c r="E890" s="101" t="str">
        <f aca="false">Equipos!I888</f>
        <v>General Meditech</v>
      </c>
      <c r="F890" s="101" t="str">
        <f aca="false">Equipos!J888</f>
        <v>G3F</v>
      </c>
      <c r="G890" s="100" t="str">
        <f aca="false">Equipos!K888</f>
        <v>G3FPB0029</v>
      </c>
      <c r="H890" s="101"/>
      <c r="I890" s="102"/>
      <c r="J890" s="102"/>
      <c r="K890" s="102"/>
      <c r="L890" s="103" t="s">
        <v>328</v>
      </c>
      <c r="M890" s="102"/>
      <c r="N890" s="102"/>
      <c r="O890" s="102"/>
      <c r="P890" s="102"/>
      <c r="Q890" s="102"/>
      <c r="R890" s="102"/>
      <c r="S890" s="102"/>
      <c r="T890" s="102"/>
      <c r="U890" s="101" t="n">
        <f aca="false">V890+W890+X890+COUNTIF(I890:T890,"R")</f>
        <v>1</v>
      </c>
      <c r="V890" s="101" t="n">
        <f aca="false">COUNTIF(I890:T890,"E")</f>
        <v>1</v>
      </c>
      <c r="W890" s="101" t="n">
        <f aca="false">COUNTIF(I890:T890,"X")</f>
        <v>0</v>
      </c>
      <c r="X890" s="101" t="n">
        <f aca="false">COUNTIF(I890:T890,"C2")+COUNTIF(I890:T890,"C3")</f>
        <v>0</v>
      </c>
      <c r="Y890" s="101" t="n">
        <f aca="true">SUMPRODUCT((I890:INDEX(I890:T890,MONTH(TODAY()))="X")*1)</f>
        <v>0</v>
      </c>
      <c r="Z890" s="104" t="n">
        <f aca="false">IFERROR(V890/U890,"")</f>
        <v>1</v>
      </c>
    </row>
    <row r="891" customFormat="false" ht="15" hidden="false" customHeight="true" outlineLevel="0" collapsed="false">
      <c r="A891" s="100" t="str">
        <f aca="false">Equipos!C889</f>
        <v>2-121711</v>
      </c>
      <c r="B891" s="101" t="str">
        <f aca="false">Equipos!D889</f>
        <v>Monitor Multiparámetros</v>
      </c>
      <c r="C891" s="101" t="str">
        <f aca="false">Equipos!E889</f>
        <v>CDT</v>
      </c>
      <c r="D891" s="101" t="str">
        <f aca="false">Equipos!G889</f>
        <v>Box 6</v>
      </c>
      <c r="E891" s="101" t="str">
        <f aca="false">Equipos!I889</f>
        <v>Philips</v>
      </c>
      <c r="F891" s="101" t="str">
        <f aca="false">Equipos!J889</f>
        <v>CM100</v>
      </c>
      <c r="G891" s="100" t="str">
        <f aca="false">Equipos!K889</f>
        <v>CN92392265</v>
      </c>
      <c r="H891" s="101"/>
      <c r="I891" s="102"/>
      <c r="J891" s="102"/>
      <c r="K891" s="103" t="s">
        <v>330</v>
      </c>
      <c r="L891" s="103" t="s">
        <v>328</v>
      </c>
      <c r="M891" s="102"/>
      <c r="N891" s="102"/>
      <c r="O891" s="102"/>
      <c r="P891" s="102"/>
      <c r="Q891" s="102"/>
      <c r="R891" s="102"/>
      <c r="S891" s="102"/>
      <c r="T891" s="102"/>
      <c r="U891" s="101" t="n">
        <f aca="false">V891+W891+X891+COUNTIF(I891:T891,"R")</f>
        <v>2</v>
      </c>
      <c r="V891" s="101" t="n">
        <f aca="false">COUNTIF(I891:T891,"E")</f>
        <v>1</v>
      </c>
      <c r="W891" s="101" t="n">
        <f aca="false">COUNTIF(I891:T891,"X")</f>
        <v>0</v>
      </c>
      <c r="X891" s="101" t="n">
        <f aca="false">COUNTIF(I891:T891,"C2")+COUNTIF(I891:T891,"C3")</f>
        <v>0</v>
      </c>
      <c r="Y891" s="101" t="n">
        <f aca="true">SUMPRODUCT((I891:INDEX(I891:T891,MONTH(TODAY()))="X")*1)</f>
        <v>0</v>
      </c>
      <c r="Z891" s="104" t="n">
        <f aca="false">IFERROR(V891/U891,"")</f>
        <v>0.5</v>
      </c>
    </row>
    <row r="892" customFormat="false" ht="15" hidden="false" customHeight="true" outlineLevel="0" collapsed="false">
      <c r="A892" s="100" t="str">
        <f aca="false">Equipos!C890</f>
        <v>2-121712</v>
      </c>
      <c r="B892" s="101" t="str">
        <f aca="false">Equipos!D890</f>
        <v>Monitor Multiparámetros</v>
      </c>
      <c r="C892" s="101" t="str">
        <f aca="false">Equipos!E890</f>
        <v>Quimioterapia Ambulatoria Adulto</v>
      </c>
      <c r="D892" s="101" t="str">
        <f aca="false">Equipos!G890</f>
        <v>EPC-P2</v>
      </c>
      <c r="E892" s="101" t="str">
        <f aca="false">Equipos!I890</f>
        <v>Philips</v>
      </c>
      <c r="F892" s="101" t="str">
        <f aca="false">Equipos!J890</f>
        <v>CM100</v>
      </c>
      <c r="G892" s="100" t="str">
        <f aca="false">Equipos!K890</f>
        <v>CN92373992</v>
      </c>
      <c r="H892" s="101"/>
      <c r="I892" s="102"/>
      <c r="J892" s="102"/>
      <c r="K892" s="103" t="s">
        <v>330</v>
      </c>
      <c r="L892" s="103" t="s">
        <v>328</v>
      </c>
      <c r="M892" s="102"/>
      <c r="N892" s="102"/>
      <c r="O892" s="102"/>
      <c r="P892" s="102"/>
      <c r="Q892" s="102"/>
      <c r="R892" s="102"/>
      <c r="S892" s="102"/>
      <c r="T892" s="102"/>
      <c r="U892" s="101" t="n">
        <f aca="false">V892+W892+X892+COUNTIF(I892:T892,"R")</f>
        <v>2</v>
      </c>
      <c r="V892" s="101" t="n">
        <f aca="false">COUNTIF(I892:T892,"E")</f>
        <v>1</v>
      </c>
      <c r="W892" s="101" t="n">
        <f aca="false">COUNTIF(I892:T892,"X")</f>
        <v>0</v>
      </c>
      <c r="X892" s="101" t="n">
        <f aca="false">COUNTIF(I892:T892,"C2")+COUNTIF(I892:T892,"C3")</f>
        <v>0</v>
      </c>
      <c r="Y892" s="101" t="n">
        <f aca="true">SUMPRODUCT((I892:INDEX(I892:T892,MONTH(TODAY()))="X")*1)</f>
        <v>0</v>
      </c>
      <c r="Z892" s="104" t="n">
        <f aca="false">IFERROR(V892/U892,"")</f>
        <v>0.5</v>
      </c>
    </row>
    <row r="893" customFormat="false" ht="15" hidden="false" customHeight="true" outlineLevel="0" collapsed="false">
      <c r="A893" s="100" t="str">
        <f aca="false">Equipos!C891</f>
        <v>2-121714</v>
      </c>
      <c r="B893" s="101" t="str">
        <f aca="false">Equipos!D891</f>
        <v>Monitor Multiparámetros</v>
      </c>
      <c r="C893" s="101" t="str">
        <f aca="false">Equipos!E891</f>
        <v>Quimioterapia Ambulatoria Adulto</v>
      </c>
      <c r="D893" s="101" t="str">
        <f aca="false">Equipos!G891</f>
        <v>EPC-P2</v>
      </c>
      <c r="E893" s="101" t="str">
        <f aca="false">Equipos!I891</f>
        <v>Philips</v>
      </c>
      <c r="F893" s="101" t="str">
        <f aca="false">Equipos!J891</f>
        <v>CM100</v>
      </c>
      <c r="G893" s="100" t="str">
        <f aca="false">Equipos!K891</f>
        <v>CN92392228</v>
      </c>
      <c r="H893" s="101"/>
      <c r="I893" s="102"/>
      <c r="J893" s="102"/>
      <c r="K893" s="103" t="s">
        <v>330</v>
      </c>
      <c r="L893" s="103" t="s">
        <v>328</v>
      </c>
      <c r="M893" s="102"/>
      <c r="N893" s="102"/>
      <c r="O893" s="102"/>
      <c r="P893" s="102"/>
      <c r="Q893" s="102"/>
      <c r="R893" s="102"/>
      <c r="S893" s="102"/>
      <c r="T893" s="102"/>
      <c r="U893" s="101" t="n">
        <f aca="false">V893+W893+X893+COUNTIF(I893:T893,"R")</f>
        <v>2</v>
      </c>
      <c r="V893" s="101" t="n">
        <f aca="false">COUNTIF(I893:T893,"E")</f>
        <v>1</v>
      </c>
      <c r="W893" s="101" t="n">
        <f aca="false">COUNTIF(I893:T893,"X")</f>
        <v>0</v>
      </c>
      <c r="X893" s="101" t="n">
        <f aca="false">COUNTIF(I893:T893,"C2")+COUNTIF(I893:T893,"C3")</f>
        <v>0</v>
      </c>
      <c r="Y893" s="101" t="n">
        <f aca="true">SUMPRODUCT((I893:INDEX(I893:T893,MONTH(TODAY()))="X")*1)</f>
        <v>0</v>
      </c>
      <c r="Z893" s="104" t="n">
        <f aca="false">IFERROR(V893/U893,"")</f>
        <v>0.5</v>
      </c>
    </row>
    <row r="894" customFormat="false" ht="15" hidden="false" customHeight="true" outlineLevel="0" collapsed="false">
      <c r="A894" s="100" t="str">
        <f aca="false">Equipos!C892</f>
        <v>2-121715</v>
      </c>
      <c r="B894" s="101" t="str">
        <f aca="false">Equipos!D892</f>
        <v>Monitor Multiparámetros</v>
      </c>
      <c r="C894" s="101" t="str">
        <f aca="false">Equipos!E892</f>
        <v>Quimioterapia Ambulatoria Adulto</v>
      </c>
      <c r="D894" s="101" t="str">
        <f aca="false">Equipos!G892</f>
        <v>EPC-P2</v>
      </c>
      <c r="E894" s="101" t="str">
        <f aca="false">Equipos!I892</f>
        <v>Philips</v>
      </c>
      <c r="F894" s="101" t="str">
        <f aca="false">Equipos!J892</f>
        <v>CM100</v>
      </c>
      <c r="G894" s="100" t="str">
        <f aca="false">Equipos!K892</f>
        <v>CN92392229</v>
      </c>
      <c r="H894" s="101"/>
      <c r="I894" s="102"/>
      <c r="J894" s="102"/>
      <c r="K894" s="103" t="s">
        <v>330</v>
      </c>
      <c r="L894" s="103" t="s">
        <v>328</v>
      </c>
      <c r="M894" s="102"/>
      <c r="N894" s="102"/>
      <c r="O894" s="102"/>
      <c r="P894" s="102"/>
      <c r="Q894" s="102"/>
      <c r="R894" s="102"/>
      <c r="S894" s="102"/>
      <c r="T894" s="102"/>
      <c r="U894" s="101" t="n">
        <f aca="false">V894+W894+X894+COUNTIF(I894:T894,"R")</f>
        <v>2</v>
      </c>
      <c r="V894" s="101" t="n">
        <f aca="false">COUNTIF(I894:T894,"E")</f>
        <v>1</v>
      </c>
      <c r="W894" s="101" t="n">
        <f aca="false">COUNTIF(I894:T894,"X")</f>
        <v>0</v>
      </c>
      <c r="X894" s="101" t="n">
        <f aca="false">COUNTIF(I894:T894,"C2")+COUNTIF(I894:T894,"C3")</f>
        <v>0</v>
      </c>
      <c r="Y894" s="101" t="n">
        <f aca="true">SUMPRODUCT((I894:INDEX(I894:T894,MONTH(TODAY()))="X")*1)</f>
        <v>0</v>
      </c>
      <c r="Z894" s="104" t="n">
        <f aca="false">IFERROR(V894/U894,"")</f>
        <v>0.5</v>
      </c>
    </row>
    <row r="895" customFormat="false" ht="15" hidden="false" customHeight="true" outlineLevel="0" collapsed="false">
      <c r="A895" s="100" t="str">
        <f aca="false">Equipos!C893</f>
        <v>2-121716</v>
      </c>
      <c r="B895" s="101" t="str">
        <f aca="false">Equipos!D893</f>
        <v>Monitor Multiparámetros</v>
      </c>
      <c r="C895" s="101" t="str">
        <f aca="false">Equipos!E893</f>
        <v>Quimioterapia Ambulatoria Adulto</v>
      </c>
      <c r="D895" s="101" t="str">
        <f aca="false">Equipos!G893</f>
        <v>EPC-P2</v>
      </c>
      <c r="E895" s="101" t="str">
        <f aca="false">Equipos!I893</f>
        <v>Philips</v>
      </c>
      <c r="F895" s="101" t="str">
        <f aca="false">Equipos!J893</f>
        <v>CM100</v>
      </c>
      <c r="G895" s="100" t="str">
        <f aca="false">Equipos!K893</f>
        <v>CN92392230</v>
      </c>
      <c r="H895" s="101"/>
      <c r="I895" s="102"/>
      <c r="J895" s="102"/>
      <c r="K895" s="103" t="s">
        <v>330</v>
      </c>
      <c r="L895" s="103" t="s">
        <v>328</v>
      </c>
      <c r="M895" s="102"/>
      <c r="N895" s="102"/>
      <c r="O895" s="102"/>
      <c r="P895" s="102"/>
      <c r="Q895" s="102"/>
      <c r="R895" s="102"/>
      <c r="S895" s="102"/>
      <c r="T895" s="102"/>
      <c r="U895" s="101" t="n">
        <f aca="false">V895+W895+X895+COUNTIF(I895:T895,"R")</f>
        <v>2</v>
      </c>
      <c r="V895" s="101" t="n">
        <f aca="false">COUNTIF(I895:T895,"E")</f>
        <v>1</v>
      </c>
      <c r="W895" s="101" t="n">
        <f aca="false">COUNTIF(I895:T895,"X")</f>
        <v>0</v>
      </c>
      <c r="X895" s="101" t="n">
        <f aca="false">COUNTIF(I895:T895,"C2")+COUNTIF(I895:T895,"C3")</f>
        <v>0</v>
      </c>
      <c r="Y895" s="101" t="n">
        <f aca="true">SUMPRODUCT((I895:INDEX(I895:T895,MONTH(TODAY()))="X")*1)</f>
        <v>0</v>
      </c>
      <c r="Z895" s="104" t="n">
        <f aca="false">IFERROR(V895/U895,"")</f>
        <v>0.5</v>
      </c>
    </row>
    <row r="896" customFormat="false" ht="15" hidden="false" customHeight="true" outlineLevel="0" collapsed="false">
      <c r="A896" s="100" t="str">
        <f aca="false">Equipos!C894</f>
        <v>2-121717</v>
      </c>
      <c r="B896" s="101" t="str">
        <f aca="false">Equipos!D894</f>
        <v>Monitor Multiparámetros</v>
      </c>
      <c r="C896" s="101" t="str">
        <f aca="false">Equipos!E894</f>
        <v>Quimioterapia Ambulatoria Adulto</v>
      </c>
      <c r="D896" s="101" t="str">
        <f aca="false">Equipos!G894</f>
        <v>EPC-P2</v>
      </c>
      <c r="E896" s="101" t="str">
        <f aca="false">Equipos!I894</f>
        <v>Philips</v>
      </c>
      <c r="F896" s="101" t="str">
        <f aca="false">Equipos!J894</f>
        <v>CM100</v>
      </c>
      <c r="G896" s="100" t="str">
        <f aca="false">Equipos!K894</f>
        <v>CN92392264</v>
      </c>
      <c r="H896" s="101"/>
      <c r="I896" s="102"/>
      <c r="J896" s="102"/>
      <c r="K896" s="103" t="s">
        <v>330</v>
      </c>
      <c r="L896" s="103" t="s">
        <v>328</v>
      </c>
      <c r="M896" s="102"/>
      <c r="N896" s="102"/>
      <c r="O896" s="102"/>
      <c r="P896" s="102"/>
      <c r="Q896" s="102"/>
      <c r="R896" s="102"/>
      <c r="S896" s="102"/>
      <c r="T896" s="102"/>
      <c r="U896" s="101" t="n">
        <f aca="false">V896+W896+X896+COUNTIF(I896:T896,"R")</f>
        <v>2</v>
      </c>
      <c r="V896" s="101" t="n">
        <f aca="false">COUNTIF(I896:T896,"E")</f>
        <v>1</v>
      </c>
      <c r="W896" s="101" t="n">
        <f aca="false">COUNTIF(I896:T896,"X")</f>
        <v>0</v>
      </c>
      <c r="X896" s="101" t="n">
        <f aca="false">COUNTIF(I896:T896,"C2")+COUNTIF(I896:T896,"C3")</f>
        <v>0</v>
      </c>
      <c r="Y896" s="101" t="n">
        <f aca="true">SUMPRODUCT((I896:INDEX(I896:T896,MONTH(TODAY()))="X")*1)</f>
        <v>0</v>
      </c>
      <c r="Z896" s="104" t="n">
        <f aca="false">IFERROR(V896/U896,"")</f>
        <v>0.5</v>
      </c>
    </row>
    <row r="897" customFormat="false" ht="15" hidden="false" customHeight="true" outlineLevel="0" collapsed="false">
      <c r="A897" s="100" t="str">
        <f aca="false">Equipos!C895</f>
        <v>2-121791</v>
      </c>
      <c r="B897" s="101" t="str">
        <f aca="false">Equipos!D895</f>
        <v>Monitor Multiparámetros</v>
      </c>
      <c r="C897" s="101" t="str">
        <f aca="false">Equipos!E895</f>
        <v>Endoscopía</v>
      </c>
      <c r="D897" s="101" t="n">
        <f aca="false">Equipos!G895</f>
        <v>0</v>
      </c>
      <c r="E897" s="101" t="str">
        <f aca="false">Equipos!I895</f>
        <v>Philips</v>
      </c>
      <c r="F897" s="101" t="str">
        <f aca="false">Equipos!J895</f>
        <v>CM120</v>
      </c>
      <c r="G897" s="100" t="str">
        <f aca="false">Equipos!K895</f>
        <v>CN92395201</v>
      </c>
      <c r="H897" s="101"/>
      <c r="I897" s="102"/>
      <c r="J897" s="102"/>
      <c r="K897" s="103" t="s">
        <v>330</v>
      </c>
      <c r="L897" s="103" t="s">
        <v>328</v>
      </c>
      <c r="M897" s="102"/>
      <c r="N897" s="102"/>
      <c r="O897" s="102"/>
      <c r="P897" s="102"/>
      <c r="Q897" s="102"/>
      <c r="R897" s="102"/>
      <c r="S897" s="102"/>
      <c r="T897" s="102"/>
      <c r="U897" s="101" t="n">
        <f aca="false">V897+W897+X897+COUNTIF(I897:T897,"R")</f>
        <v>2</v>
      </c>
      <c r="V897" s="101" t="n">
        <f aca="false">COUNTIF(I897:T897,"E")</f>
        <v>1</v>
      </c>
      <c r="W897" s="101" t="n">
        <f aca="false">COUNTIF(I897:T897,"X")</f>
        <v>0</v>
      </c>
      <c r="X897" s="101" t="n">
        <f aca="false">COUNTIF(I897:T897,"C2")+COUNTIF(I897:T897,"C3")</f>
        <v>0</v>
      </c>
      <c r="Y897" s="101" t="n">
        <f aca="true">SUMPRODUCT((I897:INDEX(I897:T897,MONTH(TODAY()))="X")*1)</f>
        <v>0</v>
      </c>
      <c r="Z897" s="104" t="n">
        <f aca="false">IFERROR(V897/U897,"")</f>
        <v>0.5</v>
      </c>
    </row>
    <row r="898" customFormat="false" ht="15" hidden="false" customHeight="true" outlineLevel="0" collapsed="false">
      <c r="A898" s="100" t="str">
        <f aca="false">Equipos!C896</f>
        <v>2-121792</v>
      </c>
      <c r="B898" s="101" t="str">
        <f aca="false">Equipos!D896</f>
        <v>Monitor Multiparámetros</v>
      </c>
      <c r="C898" s="101" t="str">
        <f aca="false">Equipos!E896</f>
        <v>Endoscopía</v>
      </c>
      <c r="D898" s="101" t="n">
        <f aca="false">Equipos!G896</f>
        <v>0</v>
      </c>
      <c r="E898" s="101" t="str">
        <f aca="false">Equipos!I896</f>
        <v>Philips</v>
      </c>
      <c r="F898" s="101" t="str">
        <f aca="false">Equipos!J896</f>
        <v>CM120</v>
      </c>
      <c r="G898" s="100" t="str">
        <f aca="false">Equipos!K896</f>
        <v>CN92395203</v>
      </c>
      <c r="H898" s="101"/>
      <c r="I898" s="102"/>
      <c r="J898" s="102"/>
      <c r="K898" s="103" t="s">
        <v>330</v>
      </c>
      <c r="L898" s="103" t="s">
        <v>328</v>
      </c>
      <c r="M898" s="102"/>
      <c r="N898" s="102"/>
      <c r="O898" s="102"/>
      <c r="P898" s="102"/>
      <c r="Q898" s="102"/>
      <c r="R898" s="102"/>
      <c r="S898" s="102"/>
      <c r="T898" s="102"/>
      <c r="U898" s="101" t="n">
        <f aca="false">V898+W898+X898+COUNTIF(I898:T898,"R")</f>
        <v>2</v>
      </c>
      <c r="V898" s="101" t="n">
        <f aca="false">COUNTIF(I898:T898,"E")</f>
        <v>1</v>
      </c>
      <c r="W898" s="101" t="n">
        <f aca="false">COUNTIF(I898:T898,"X")</f>
        <v>0</v>
      </c>
      <c r="X898" s="101" t="n">
        <f aca="false">COUNTIF(I898:T898,"C2")+COUNTIF(I898:T898,"C3")</f>
        <v>0</v>
      </c>
      <c r="Y898" s="101" t="n">
        <f aca="true">SUMPRODUCT((I898:INDEX(I898:T898,MONTH(TODAY()))="X")*1)</f>
        <v>0</v>
      </c>
      <c r="Z898" s="104" t="n">
        <f aca="false">IFERROR(V898/U898,"")</f>
        <v>0.5</v>
      </c>
    </row>
    <row r="899" customFormat="false" ht="15" hidden="false" customHeight="true" outlineLevel="0" collapsed="false">
      <c r="A899" s="100" t="str">
        <f aca="false">Equipos!C897</f>
        <v>2-121554</v>
      </c>
      <c r="B899" s="101" t="str">
        <f aca="false">Equipos!D897</f>
        <v>Monitor Multiparámetros</v>
      </c>
      <c r="C899" s="101" t="str">
        <f aca="false">Equipos!E897</f>
        <v>Urgencia Infantil</v>
      </c>
      <c r="D899" s="101" t="str">
        <f aca="false">Equipos!G897</f>
        <v>SUI Box 2</v>
      </c>
      <c r="E899" s="101" t="str">
        <f aca="false">Equipos!I897</f>
        <v>Nihon Kohden </v>
      </c>
      <c r="F899" s="101" t="str">
        <f aca="false">Equipos!J897</f>
        <v>PVM-2701</v>
      </c>
      <c r="G899" s="100" t="str">
        <f aca="false">Equipos!K897</f>
        <v>0132821.</v>
      </c>
      <c r="H899" s="101"/>
      <c r="I899" s="102"/>
      <c r="J899" s="102"/>
      <c r="K899" s="103" t="s">
        <v>328</v>
      </c>
      <c r="L899" s="102"/>
      <c r="M899" s="102"/>
      <c r="N899" s="102"/>
      <c r="O899" s="102"/>
      <c r="P899" s="102"/>
      <c r="Q899" s="102"/>
      <c r="R899" s="102"/>
      <c r="S899" s="102"/>
      <c r="T899" s="102"/>
      <c r="U899" s="101" t="n">
        <f aca="false">V899+W899+X899+COUNTIF(I899:T899,"R")</f>
        <v>1</v>
      </c>
      <c r="V899" s="101" t="n">
        <f aca="false">COUNTIF(I899:T899,"E")</f>
        <v>1</v>
      </c>
      <c r="W899" s="101" t="n">
        <f aca="false">COUNTIF(I899:T899,"X")</f>
        <v>0</v>
      </c>
      <c r="X899" s="101" t="n">
        <f aca="false">COUNTIF(I899:T899,"C2")+COUNTIF(I899:T899,"C3")</f>
        <v>0</v>
      </c>
      <c r="Y899" s="101" t="n">
        <f aca="true">SUMPRODUCT((I899:INDEX(I899:T899,MONTH(TODAY()))="X")*1)</f>
        <v>0</v>
      </c>
      <c r="Z899" s="104" t="n">
        <f aca="false">IFERROR(V899/U899,"")</f>
        <v>1</v>
      </c>
    </row>
    <row r="900" customFormat="false" ht="15" hidden="false" customHeight="true" outlineLevel="0" collapsed="false">
      <c r="A900" s="100" t="str">
        <f aca="false">Equipos!C898</f>
        <v>2-121555</v>
      </c>
      <c r="B900" s="101" t="str">
        <f aca="false">Equipos!D898</f>
        <v>Monitor Multiparámetros</v>
      </c>
      <c r="C900" s="101" t="str">
        <f aca="false">Equipos!E898</f>
        <v>Urgencia Infantil</v>
      </c>
      <c r="D900" s="101" t="str">
        <f aca="false">Equipos!G898</f>
        <v>SUI Box 3</v>
      </c>
      <c r="E900" s="101" t="str">
        <f aca="false">Equipos!I898</f>
        <v>Nihon Kohden </v>
      </c>
      <c r="F900" s="101" t="str">
        <f aca="false">Equipos!J898</f>
        <v>PVM-2701</v>
      </c>
      <c r="G900" s="100" t="str">
        <f aca="false">Equipos!K898</f>
        <v>0132822.</v>
      </c>
      <c r="H900" s="101"/>
      <c r="I900" s="102"/>
      <c r="J900" s="102"/>
      <c r="K900" s="103" t="s">
        <v>328</v>
      </c>
      <c r="L900" s="102"/>
      <c r="M900" s="102"/>
      <c r="N900" s="102"/>
      <c r="O900" s="102"/>
      <c r="P900" s="102"/>
      <c r="Q900" s="102"/>
      <c r="R900" s="102"/>
      <c r="S900" s="102"/>
      <c r="T900" s="102"/>
      <c r="U900" s="101" t="n">
        <f aca="false">V900+W900+X900+COUNTIF(I900:T900,"R")</f>
        <v>1</v>
      </c>
      <c r="V900" s="101" t="n">
        <f aca="false">COUNTIF(I900:T900,"E")</f>
        <v>1</v>
      </c>
      <c r="W900" s="101" t="n">
        <f aca="false">COUNTIF(I900:T900,"X")</f>
        <v>0</v>
      </c>
      <c r="X900" s="101" t="n">
        <f aca="false">COUNTIF(I900:T900,"C2")+COUNTIF(I900:T900,"C3")</f>
        <v>0</v>
      </c>
      <c r="Y900" s="101" t="n">
        <f aca="true">SUMPRODUCT((I900:INDEX(I900:T900,MONTH(TODAY()))="X")*1)</f>
        <v>0</v>
      </c>
      <c r="Z900" s="104" t="n">
        <f aca="false">IFERROR(V900/U900,"")</f>
        <v>1</v>
      </c>
    </row>
    <row r="901" customFormat="false" ht="15" hidden="false" customHeight="true" outlineLevel="0" collapsed="false">
      <c r="A901" s="100" t="str">
        <f aca="false">Equipos!C899</f>
        <v>2-121556</v>
      </c>
      <c r="B901" s="101" t="str">
        <f aca="false">Equipos!D899</f>
        <v>Monitor Multiparámetros</v>
      </c>
      <c r="C901" s="101" t="str">
        <f aca="false">Equipos!E899</f>
        <v>Urgencia Infantil</v>
      </c>
      <c r="D901" s="101" t="str">
        <f aca="false">Equipos!G899</f>
        <v>SUI IRA</v>
      </c>
      <c r="E901" s="101" t="str">
        <f aca="false">Equipos!I899</f>
        <v>Nihon Kohden </v>
      </c>
      <c r="F901" s="101" t="str">
        <f aca="false">Equipos!J899</f>
        <v>PVM-2701</v>
      </c>
      <c r="G901" s="100" t="str">
        <f aca="false">Equipos!K899</f>
        <v>0132823.</v>
      </c>
      <c r="H901" s="101"/>
      <c r="I901" s="102"/>
      <c r="J901" s="102"/>
      <c r="K901" s="103" t="s">
        <v>328</v>
      </c>
      <c r="L901" s="102"/>
      <c r="M901" s="102"/>
      <c r="N901" s="102"/>
      <c r="O901" s="102"/>
      <c r="P901" s="102"/>
      <c r="Q901" s="102"/>
      <c r="R901" s="102"/>
      <c r="S901" s="102"/>
      <c r="T901" s="102"/>
      <c r="U901" s="101" t="n">
        <f aca="false">V901+W901+X901+COUNTIF(I901:T901,"R")</f>
        <v>1</v>
      </c>
      <c r="V901" s="101" t="n">
        <f aca="false">COUNTIF(I901:T901,"E")</f>
        <v>1</v>
      </c>
      <c r="W901" s="101" t="n">
        <f aca="false">COUNTIF(I901:T901,"X")</f>
        <v>0</v>
      </c>
      <c r="X901" s="101" t="n">
        <f aca="false">COUNTIF(I901:T901,"C2")+COUNTIF(I901:T901,"C3")</f>
        <v>0</v>
      </c>
      <c r="Y901" s="101" t="n">
        <f aca="true">SUMPRODUCT((I901:INDEX(I901:T901,MONTH(TODAY()))="X")*1)</f>
        <v>0</v>
      </c>
      <c r="Z901" s="104" t="n">
        <f aca="false">IFERROR(V901/U901,"")</f>
        <v>1</v>
      </c>
    </row>
    <row r="902" customFormat="false" ht="15" hidden="false" customHeight="true" outlineLevel="0" collapsed="false">
      <c r="A902" s="100" t="str">
        <f aca="false">Equipos!C900</f>
        <v>2-121557</v>
      </c>
      <c r="B902" s="101" t="str">
        <f aca="false">Equipos!D900</f>
        <v>Monitor Multiparámetros</v>
      </c>
      <c r="C902" s="101" t="str">
        <f aca="false">Equipos!E900</f>
        <v>Urgencia Infantil</v>
      </c>
      <c r="D902" s="101" t="str">
        <f aca="false">Equipos!G900</f>
        <v>SUI Observaci√≥n</v>
      </c>
      <c r="E902" s="101" t="str">
        <f aca="false">Equipos!I900</f>
        <v>Nihon Kohden </v>
      </c>
      <c r="F902" s="101" t="str">
        <f aca="false">Equipos!J900</f>
        <v>PVM-2701</v>
      </c>
      <c r="G902" s="100" t="str">
        <f aca="false">Equipos!K900</f>
        <v>0132824.</v>
      </c>
      <c r="H902" s="101"/>
      <c r="I902" s="102"/>
      <c r="J902" s="102"/>
      <c r="K902" s="103" t="s">
        <v>328</v>
      </c>
      <c r="L902" s="102"/>
      <c r="M902" s="102"/>
      <c r="N902" s="102"/>
      <c r="O902" s="102"/>
      <c r="P902" s="102"/>
      <c r="Q902" s="102"/>
      <c r="R902" s="102"/>
      <c r="S902" s="102"/>
      <c r="T902" s="102"/>
      <c r="U902" s="101" t="n">
        <f aca="false">V902+W902+X902+COUNTIF(I902:T902,"R")</f>
        <v>1</v>
      </c>
      <c r="V902" s="101" t="n">
        <f aca="false">COUNTIF(I902:T902,"E")</f>
        <v>1</v>
      </c>
      <c r="W902" s="101" t="n">
        <f aca="false">COUNTIF(I902:T902,"X")</f>
        <v>0</v>
      </c>
      <c r="X902" s="101" t="n">
        <f aca="false">COUNTIF(I902:T902,"C2")+COUNTIF(I902:T902,"C3")</f>
        <v>0</v>
      </c>
      <c r="Y902" s="101" t="n">
        <f aca="true">SUMPRODUCT((I902:INDEX(I902:T902,MONTH(TODAY()))="X")*1)</f>
        <v>0</v>
      </c>
      <c r="Z902" s="104" t="n">
        <f aca="false">IFERROR(V902/U902,"")</f>
        <v>1</v>
      </c>
    </row>
    <row r="903" customFormat="false" ht="15" hidden="false" customHeight="true" outlineLevel="0" collapsed="false">
      <c r="A903" s="100" t="str">
        <f aca="false">Equipos!C901</f>
        <v>2-121558</v>
      </c>
      <c r="B903" s="101" t="str">
        <f aca="false">Equipos!D901</f>
        <v>Monitor Multiparámetros</v>
      </c>
      <c r="C903" s="101" t="str">
        <f aca="false">Equipos!E901</f>
        <v>Urgencia Infantil</v>
      </c>
      <c r="D903" s="101" t="str">
        <f aca="false">Equipos!G901</f>
        <v>SUI Box 4</v>
      </c>
      <c r="E903" s="101" t="str">
        <f aca="false">Equipos!I901</f>
        <v>Nihon Kohden </v>
      </c>
      <c r="F903" s="101" t="str">
        <f aca="false">Equipos!J901</f>
        <v>PVM-2701</v>
      </c>
      <c r="G903" s="100" t="str">
        <f aca="false">Equipos!K901</f>
        <v>0132825.</v>
      </c>
      <c r="H903" s="101"/>
      <c r="I903" s="102"/>
      <c r="J903" s="102"/>
      <c r="K903" s="103" t="s">
        <v>328</v>
      </c>
      <c r="L903" s="102"/>
      <c r="M903" s="102"/>
      <c r="N903" s="102"/>
      <c r="O903" s="102"/>
      <c r="P903" s="102"/>
      <c r="Q903" s="102"/>
      <c r="R903" s="102"/>
      <c r="S903" s="102"/>
      <c r="T903" s="102"/>
      <c r="U903" s="101" t="n">
        <f aca="false">V903+W903+X903+COUNTIF(I903:T903,"R")</f>
        <v>1</v>
      </c>
      <c r="V903" s="101" t="n">
        <f aca="false">COUNTIF(I903:T903,"E")</f>
        <v>1</v>
      </c>
      <c r="W903" s="101" t="n">
        <f aca="false">COUNTIF(I903:T903,"X")</f>
        <v>0</v>
      </c>
      <c r="X903" s="101" t="n">
        <f aca="false">COUNTIF(I903:T903,"C2")+COUNTIF(I903:T903,"C3")</f>
        <v>0</v>
      </c>
      <c r="Y903" s="101" t="n">
        <f aca="true">SUMPRODUCT((I903:INDEX(I903:T903,MONTH(TODAY()))="X")*1)</f>
        <v>0</v>
      </c>
      <c r="Z903" s="104" t="n">
        <f aca="false">IFERROR(V903/U903,"")</f>
        <v>1</v>
      </c>
    </row>
    <row r="904" customFormat="false" ht="15" hidden="false" customHeight="true" outlineLevel="0" collapsed="false">
      <c r="A904" s="100" t="str">
        <f aca="false">Equipos!C902</f>
        <v>2-121559</v>
      </c>
      <c r="B904" s="101" t="str">
        <f aca="false">Equipos!D902</f>
        <v>Monitor Multiparámetros</v>
      </c>
      <c r="C904" s="101" t="str">
        <f aca="false">Equipos!E902</f>
        <v>Urgencia Infantil</v>
      </c>
      <c r="D904" s="101" t="str">
        <f aca="false">Equipos!G902</f>
        <v>SUI Box 1</v>
      </c>
      <c r="E904" s="101" t="str">
        <f aca="false">Equipos!I902</f>
        <v>Nihon Kohden </v>
      </c>
      <c r="F904" s="101" t="str">
        <f aca="false">Equipos!J902</f>
        <v>PVM-2701</v>
      </c>
      <c r="G904" s="100" t="str">
        <f aca="false">Equipos!K902</f>
        <v>0132826.</v>
      </c>
      <c r="H904" s="101"/>
      <c r="I904" s="102"/>
      <c r="J904" s="102"/>
      <c r="K904" s="103" t="s">
        <v>328</v>
      </c>
      <c r="L904" s="102"/>
      <c r="M904" s="102"/>
      <c r="N904" s="102"/>
      <c r="O904" s="102"/>
      <c r="P904" s="102"/>
      <c r="Q904" s="102"/>
      <c r="R904" s="102"/>
      <c r="S904" s="102"/>
      <c r="T904" s="102"/>
      <c r="U904" s="101" t="n">
        <f aca="false">V904+W904+X904+COUNTIF(I904:T904,"R")</f>
        <v>1</v>
      </c>
      <c r="V904" s="101" t="n">
        <f aca="false">COUNTIF(I904:T904,"E")</f>
        <v>1</v>
      </c>
      <c r="W904" s="101" t="n">
        <f aca="false">COUNTIF(I904:T904,"X")</f>
        <v>0</v>
      </c>
      <c r="X904" s="101" t="n">
        <f aca="false">COUNTIF(I904:T904,"C2")+COUNTIF(I904:T904,"C3")</f>
        <v>0</v>
      </c>
      <c r="Y904" s="101" t="n">
        <f aca="true">SUMPRODUCT((I904:INDEX(I904:T904,MONTH(TODAY()))="X")*1)</f>
        <v>0</v>
      </c>
      <c r="Z904" s="104" t="n">
        <f aca="false">IFERROR(V904/U904,"")</f>
        <v>1</v>
      </c>
    </row>
    <row r="905" customFormat="false" ht="15" hidden="false" customHeight="true" outlineLevel="0" collapsed="false">
      <c r="A905" s="100" t="str">
        <f aca="false">Equipos!C903</f>
        <v>2-121560</v>
      </c>
      <c r="B905" s="101" t="str">
        <f aca="false">Equipos!D903</f>
        <v>Monitor Multiparámetros</v>
      </c>
      <c r="C905" s="101" t="str">
        <f aca="false">Equipos!E903</f>
        <v>Urgencia Infantil</v>
      </c>
      <c r="D905" s="101" t="str">
        <f aca="false">Equipos!G903</f>
        <v>SUI TMT </v>
      </c>
      <c r="E905" s="101" t="str">
        <f aca="false">Equipos!I903</f>
        <v>Nihon Kohden </v>
      </c>
      <c r="F905" s="101" t="str">
        <f aca="false">Equipos!J903</f>
        <v>PVM-2701</v>
      </c>
      <c r="G905" s="100" t="str">
        <f aca="false">Equipos!K903</f>
        <v>0132829.</v>
      </c>
      <c r="H905" s="101"/>
      <c r="I905" s="102"/>
      <c r="J905" s="102"/>
      <c r="K905" s="103" t="s">
        <v>328</v>
      </c>
      <c r="L905" s="102"/>
      <c r="M905" s="102"/>
      <c r="N905" s="102"/>
      <c r="O905" s="102"/>
      <c r="P905" s="102"/>
      <c r="Q905" s="102"/>
      <c r="R905" s="102"/>
      <c r="S905" s="102"/>
      <c r="T905" s="102"/>
      <c r="U905" s="101" t="n">
        <f aca="false">V905+W905+X905+COUNTIF(I905:T905,"R")</f>
        <v>1</v>
      </c>
      <c r="V905" s="101" t="n">
        <f aca="false">COUNTIF(I905:T905,"E")</f>
        <v>1</v>
      </c>
      <c r="W905" s="101" t="n">
        <f aca="false">COUNTIF(I905:T905,"X")</f>
        <v>0</v>
      </c>
      <c r="X905" s="101" t="n">
        <f aca="false">COUNTIF(I905:T905,"C2")+COUNTIF(I905:T905,"C3")</f>
        <v>0</v>
      </c>
      <c r="Y905" s="101" t="n">
        <f aca="true">SUMPRODUCT((I905:INDEX(I905:T905,MONTH(TODAY()))="X")*1)</f>
        <v>0</v>
      </c>
      <c r="Z905" s="104" t="n">
        <f aca="false">IFERROR(V905/U905,"")</f>
        <v>1</v>
      </c>
    </row>
    <row r="906" customFormat="false" ht="15" hidden="false" customHeight="true" outlineLevel="0" collapsed="false">
      <c r="A906" s="100" t="str">
        <f aca="false">Equipos!C904</f>
        <v>2-121561</v>
      </c>
      <c r="B906" s="101" t="str">
        <f aca="false">Equipos!D904</f>
        <v>Monitor Multiparámetros</v>
      </c>
      <c r="C906" s="101" t="str">
        <f aca="false">Equipos!E904</f>
        <v>Urgencia Infantil</v>
      </c>
      <c r="D906" s="101" t="str">
        <f aca="false">Equipos!G904</f>
        <v>Priorización SUI</v>
      </c>
      <c r="E906" s="101" t="str">
        <f aca="false">Equipos!I904</f>
        <v>Nihon Kohden </v>
      </c>
      <c r="F906" s="101" t="str">
        <f aca="false">Equipos!J904</f>
        <v>PVM-2701</v>
      </c>
      <c r="G906" s="100" t="str">
        <f aca="false">Equipos!K904</f>
        <v>0132834.</v>
      </c>
      <c r="H906" s="101"/>
      <c r="I906" s="102"/>
      <c r="J906" s="102"/>
      <c r="K906" s="103" t="s">
        <v>328</v>
      </c>
      <c r="L906" s="102"/>
      <c r="M906" s="102"/>
      <c r="N906" s="102"/>
      <c r="O906" s="102"/>
      <c r="P906" s="102"/>
      <c r="Q906" s="102"/>
      <c r="R906" s="102"/>
      <c r="S906" s="102"/>
      <c r="T906" s="102"/>
      <c r="U906" s="101" t="n">
        <f aca="false">V906+W906+X906+COUNTIF(I906:T906,"R")</f>
        <v>1</v>
      </c>
      <c r="V906" s="101" t="n">
        <f aca="false">COUNTIF(I906:T906,"E")</f>
        <v>1</v>
      </c>
      <c r="W906" s="101" t="n">
        <f aca="false">COUNTIF(I906:T906,"X")</f>
        <v>0</v>
      </c>
      <c r="X906" s="101" t="n">
        <f aca="false">COUNTIF(I906:T906,"C2")+COUNTIF(I906:T906,"C3")</f>
        <v>0</v>
      </c>
      <c r="Y906" s="101" t="n">
        <f aca="true">SUMPRODUCT((I906:INDEX(I906:T906,MONTH(TODAY()))="X")*1)</f>
        <v>0</v>
      </c>
      <c r="Z906" s="104" t="n">
        <f aca="false">IFERROR(V906/U906,"")</f>
        <v>1</v>
      </c>
    </row>
    <row r="907" customFormat="false" ht="15" hidden="false" customHeight="true" outlineLevel="0" collapsed="false">
      <c r="A907" s="100" t="str">
        <f aca="false">Equipos!C905</f>
        <v>2-121562</v>
      </c>
      <c r="B907" s="101" t="str">
        <f aca="false">Equipos!D905</f>
        <v>Monitor Multiparámetros</v>
      </c>
      <c r="C907" s="101" t="str">
        <f aca="false">Equipos!E905</f>
        <v>Urgencia Infantil</v>
      </c>
      <c r="D907" s="101" t="str">
        <f aca="false">Equipos!G905</f>
        <v>SUI Observaci√≥n</v>
      </c>
      <c r="E907" s="101" t="str">
        <f aca="false">Equipos!I905</f>
        <v>Nihon Kohden </v>
      </c>
      <c r="F907" s="101" t="str">
        <f aca="false">Equipos!J905</f>
        <v>BSM-3763</v>
      </c>
      <c r="G907" s="100" t="str">
        <f aca="false">Equipos!K905</f>
        <v>19109.</v>
      </c>
      <c r="H907" s="101"/>
      <c r="I907" s="102"/>
      <c r="J907" s="102"/>
      <c r="K907" s="103" t="s">
        <v>328</v>
      </c>
      <c r="L907" s="102"/>
      <c r="M907" s="102"/>
      <c r="N907" s="102"/>
      <c r="O907" s="102"/>
      <c r="P907" s="102"/>
      <c r="Q907" s="102"/>
      <c r="R907" s="102"/>
      <c r="S907" s="102"/>
      <c r="T907" s="102"/>
      <c r="U907" s="101" t="n">
        <f aca="false">V907+W907+X907+COUNTIF(I907:T907,"R")</f>
        <v>1</v>
      </c>
      <c r="V907" s="101" t="n">
        <f aca="false">COUNTIF(I907:T907,"E")</f>
        <v>1</v>
      </c>
      <c r="W907" s="101" t="n">
        <f aca="false">COUNTIF(I907:T907,"X")</f>
        <v>0</v>
      </c>
      <c r="X907" s="101" t="n">
        <f aca="false">COUNTIF(I907:T907,"C2")+COUNTIF(I907:T907,"C3")</f>
        <v>0</v>
      </c>
      <c r="Y907" s="101" t="n">
        <f aca="true">SUMPRODUCT((I907:INDEX(I907:T907,MONTH(TODAY()))="X")*1)</f>
        <v>0</v>
      </c>
      <c r="Z907" s="104" t="n">
        <f aca="false">IFERROR(V907/U907,"")</f>
        <v>1</v>
      </c>
    </row>
    <row r="908" customFormat="false" ht="15" hidden="false" customHeight="true" outlineLevel="0" collapsed="false">
      <c r="A908" s="100" t="str">
        <f aca="false">Equipos!C906</f>
        <v>2-121563</v>
      </c>
      <c r="B908" s="101" t="str">
        <f aca="false">Equipos!D906</f>
        <v>Monitor Multiparámetros</v>
      </c>
      <c r="C908" s="101" t="str">
        <f aca="false">Equipos!E906</f>
        <v>Urgencia Infantil</v>
      </c>
      <c r="D908" s="101" t="str">
        <f aca="false">Equipos!G906</f>
        <v>Reanimación SUI</v>
      </c>
      <c r="E908" s="101" t="str">
        <f aca="false">Equipos!I906</f>
        <v>Nihon Kohden </v>
      </c>
      <c r="F908" s="101" t="str">
        <f aca="false">Equipos!J906</f>
        <v>BSM-1763</v>
      </c>
      <c r="G908" s="100" t="str">
        <f aca="false">Equipos!K906</f>
        <v>08813.</v>
      </c>
      <c r="H908" s="101"/>
      <c r="I908" s="102"/>
      <c r="J908" s="102"/>
      <c r="K908" s="103" t="s">
        <v>328</v>
      </c>
      <c r="L908" s="102"/>
      <c r="M908" s="102"/>
      <c r="N908" s="102"/>
      <c r="O908" s="102"/>
      <c r="P908" s="102"/>
      <c r="Q908" s="102"/>
      <c r="R908" s="102"/>
      <c r="S908" s="102"/>
      <c r="T908" s="102"/>
      <c r="U908" s="101" t="n">
        <f aca="false">V908+W908+X908+COUNTIF(I908:T908,"R")</f>
        <v>1</v>
      </c>
      <c r="V908" s="101" t="n">
        <f aca="false">COUNTIF(I908:T908,"E")</f>
        <v>1</v>
      </c>
      <c r="W908" s="101" t="n">
        <f aca="false">COUNTIF(I908:T908,"X")</f>
        <v>0</v>
      </c>
      <c r="X908" s="101" t="n">
        <f aca="false">COUNTIF(I908:T908,"C2")+COUNTIF(I908:T908,"C3")</f>
        <v>0</v>
      </c>
      <c r="Y908" s="101" t="n">
        <f aca="true">SUMPRODUCT((I908:INDEX(I908:T908,MONTH(TODAY()))="X")*1)</f>
        <v>0</v>
      </c>
      <c r="Z908" s="104" t="n">
        <f aca="false">IFERROR(V908/U908,"")</f>
        <v>1</v>
      </c>
    </row>
    <row r="909" customFormat="false" ht="15" hidden="false" customHeight="true" outlineLevel="0" collapsed="false">
      <c r="A909" s="100" t="str">
        <f aca="false">Equipos!C907</f>
        <v>2-121798</v>
      </c>
      <c r="B909" s="101" t="str">
        <f aca="false">Equipos!D907</f>
        <v>Monitor Multiparámetros</v>
      </c>
      <c r="C909" s="101" t="str">
        <f aca="false">Equipos!E907</f>
        <v>Pabellón CMA</v>
      </c>
      <c r="D909" s="101" t="n">
        <f aca="false">Equipos!G907</f>
        <v>0</v>
      </c>
      <c r="E909" s="101" t="str">
        <f aca="false">Equipos!I907</f>
        <v>Mindray</v>
      </c>
      <c r="F909" s="101" t="str">
        <f aca="false">Equipos!J907</f>
        <v>BeneVision N1</v>
      </c>
      <c r="G909" s="100" t="str">
        <f aca="false">Equipos!K907</f>
        <v>AA3-14033891</v>
      </c>
      <c r="H909" s="101"/>
      <c r="I909" s="102"/>
      <c r="J909" s="102"/>
      <c r="K909" s="102"/>
      <c r="L909" s="102"/>
      <c r="M909" s="103" t="s">
        <v>329</v>
      </c>
      <c r="N909" s="102"/>
      <c r="O909" s="102"/>
      <c r="P909" s="102"/>
      <c r="Q909" s="102"/>
      <c r="R909" s="102"/>
      <c r="S909" s="102"/>
      <c r="T909" s="102"/>
      <c r="U909" s="101" t="n">
        <f aca="false">V909+W909+X909+COUNTIF(I909:T909,"R")</f>
        <v>1</v>
      </c>
      <c r="V909" s="101" t="n">
        <f aca="false">COUNTIF(I909:T909,"E")</f>
        <v>0</v>
      </c>
      <c r="W909" s="101" t="n">
        <f aca="false">COUNTIF(I909:T909,"X")</f>
        <v>1</v>
      </c>
      <c r="X909" s="101" t="n">
        <f aca="false">COUNTIF(I909:T909,"C2")+COUNTIF(I909:T909,"C3")</f>
        <v>0</v>
      </c>
      <c r="Y909" s="101" t="n">
        <f aca="true">SUMPRODUCT((I909:INDEX(I909:T909,MONTH(TODAY()))="X")*1)</f>
        <v>1</v>
      </c>
      <c r="Z909" s="104" t="n">
        <f aca="false">IFERROR(V909/U909,"")</f>
        <v>0</v>
      </c>
    </row>
    <row r="910" customFormat="false" ht="15" hidden="false" customHeight="true" outlineLevel="0" collapsed="false">
      <c r="A910" s="100" t="str">
        <f aca="false">Equipos!C908</f>
        <v>2-122346</v>
      </c>
      <c r="B910" s="101" t="str">
        <f aca="false">Equipos!D908</f>
        <v>Monitor Multiparámetros</v>
      </c>
      <c r="C910" s="101" t="str">
        <f aca="false">Equipos!E908</f>
        <v>Ginecología</v>
      </c>
      <c r="D910" s="101" t="n">
        <f aca="false">Equipos!G908</f>
        <v>0</v>
      </c>
      <c r="E910" s="101" t="str">
        <f aca="false">Equipos!I908</f>
        <v>Philips</v>
      </c>
      <c r="F910" s="101" t="str">
        <f aca="false">Equipos!J908</f>
        <v>CM100</v>
      </c>
      <c r="G910" s="100" t="str">
        <f aca="false">Equipos!K908</f>
        <v>CN92392254</v>
      </c>
      <c r="H910" s="101"/>
      <c r="I910" s="102"/>
      <c r="J910" s="102"/>
      <c r="K910" s="102"/>
      <c r="L910" s="102"/>
      <c r="M910" s="103" t="s">
        <v>329</v>
      </c>
      <c r="N910" s="102"/>
      <c r="O910" s="102"/>
      <c r="P910" s="102"/>
      <c r="Q910" s="102"/>
      <c r="R910" s="102"/>
      <c r="S910" s="102"/>
      <c r="T910" s="102"/>
      <c r="U910" s="101" t="n">
        <f aca="false">V910+W910+X910+COUNTIF(I910:T910,"R")</f>
        <v>1</v>
      </c>
      <c r="V910" s="101" t="n">
        <f aca="false">COUNTIF(I910:T910,"E")</f>
        <v>0</v>
      </c>
      <c r="W910" s="101" t="n">
        <f aca="false">COUNTIF(I910:T910,"X")</f>
        <v>1</v>
      </c>
      <c r="X910" s="101" t="n">
        <f aca="false">COUNTIF(I910:T910,"C2")+COUNTIF(I910:T910,"C3")</f>
        <v>0</v>
      </c>
      <c r="Y910" s="101" t="n">
        <f aca="true">SUMPRODUCT((I910:INDEX(I910:T910,MONTH(TODAY()))="X")*1)</f>
        <v>1</v>
      </c>
      <c r="Z910" s="104" t="n">
        <f aca="false">IFERROR(V910/U910,"")</f>
        <v>0</v>
      </c>
    </row>
    <row r="911" customFormat="false" ht="15" hidden="false" customHeight="true" outlineLevel="0" collapsed="false">
      <c r="A911" s="100" t="str">
        <f aca="false">Equipos!C909</f>
        <v>2-124761</v>
      </c>
      <c r="B911" s="101" t="str">
        <f aca="false">Equipos!D909</f>
        <v>Monitor Multiparámetros</v>
      </c>
      <c r="C911" s="101" t="str">
        <f aca="false">Equipos!E909</f>
        <v>Servicio Social</v>
      </c>
      <c r="D911" s="101" t="n">
        <f aca="false">Equipos!G909</f>
        <v>0</v>
      </c>
      <c r="E911" s="101" t="str">
        <f aca="false">Equipos!I909</f>
        <v>Sinohero</v>
      </c>
      <c r="F911" s="101" t="str">
        <f aca="false">Equipos!J909</f>
        <v>H5</v>
      </c>
      <c r="G911" s="100" t="str">
        <f aca="false">Equipos!K909</f>
        <v>22060100008</v>
      </c>
      <c r="H911" s="101"/>
      <c r="I911" s="102"/>
      <c r="J911" s="102"/>
      <c r="K911" s="102"/>
      <c r="L911" s="103" t="s">
        <v>328</v>
      </c>
      <c r="M911" s="102"/>
      <c r="N911" s="102"/>
      <c r="O911" s="102"/>
      <c r="P911" s="102"/>
      <c r="Q911" s="102"/>
      <c r="R911" s="102"/>
      <c r="S911" s="102"/>
      <c r="T911" s="102"/>
      <c r="U911" s="101" t="n">
        <f aca="false">V911+W911+X911+COUNTIF(I911:T911,"R")</f>
        <v>1</v>
      </c>
      <c r="V911" s="101" t="n">
        <f aca="false">COUNTIF(I911:T911,"E")</f>
        <v>1</v>
      </c>
      <c r="W911" s="101" t="n">
        <f aca="false">COUNTIF(I911:T911,"X")</f>
        <v>0</v>
      </c>
      <c r="X911" s="101" t="n">
        <f aca="false">COUNTIF(I911:T911,"C2")+COUNTIF(I911:T911,"C3")</f>
        <v>0</v>
      </c>
      <c r="Y911" s="101" t="n">
        <f aca="true">SUMPRODUCT((I911:INDEX(I911:T911,MONTH(TODAY()))="X")*1)</f>
        <v>0</v>
      </c>
      <c r="Z911" s="104" t="n">
        <f aca="false">IFERROR(V911/U911,"")</f>
        <v>1</v>
      </c>
    </row>
    <row r="912" customFormat="false" ht="15" hidden="false" customHeight="true" outlineLevel="0" collapsed="false">
      <c r="A912" s="100" t="str">
        <f aca="false">Equipos!C910</f>
        <v>2-124762</v>
      </c>
      <c r="B912" s="101" t="str">
        <f aca="false">Equipos!D910</f>
        <v>Monitor Multiparámetros</v>
      </c>
      <c r="C912" s="101" t="str">
        <f aca="false">Equipos!E910</f>
        <v>Servicio Social</v>
      </c>
      <c r="D912" s="101" t="n">
        <f aca="false">Equipos!G910</f>
        <v>0</v>
      </c>
      <c r="E912" s="101" t="str">
        <f aca="false">Equipos!I910</f>
        <v>Sinohero</v>
      </c>
      <c r="F912" s="101" t="str">
        <f aca="false">Equipos!J910</f>
        <v>H5</v>
      </c>
      <c r="G912" s="100" t="str">
        <f aca="false">Equipos!K910</f>
        <v>22060100003</v>
      </c>
      <c r="H912" s="101"/>
      <c r="I912" s="102"/>
      <c r="J912" s="102"/>
      <c r="K912" s="102"/>
      <c r="L912" s="103" t="s">
        <v>330</v>
      </c>
      <c r="M912" s="102"/>
      <c r="N912" s="102"/>
      <c r="O912" s="102"/>
      <c r="P912" s="102"/>
      <c r="Q912" s="102"/>
      <c r="R912" s="102"/>
      <c r="S912" s="102"/>
      <c r="T912" s="102"/>
      <c r="U912" s="101" t="n">
        <f aca="false">V912+W912+X912+COUNTIF(I912:T912,"R")</f>
        <v>1</v>
      </c>
      <c r="V912" s="101" t="n">
        <f aca="false">COUNTIF(I912:T912,"E")</f>
        <v>0</v>
      </c>
      <c r="W912" s="101" t="n">
        <f aca="false">COUNTIF(I912:T912,"X")</f>
        <v>0</v>
      </c>
      <c r="X912" s="101" t="n">
        <f aca="false">COUNTIF(I912:T912,"C2")+COUNTIF(I912:T912,"C3")</f>
        <v>0</v>
      </c>
      <c r="Y912" s="101" t="n">
        <f aca="true">SUMPRODUCT((I912:INDEX(I912:T912,MONTH(TODAY()))="X")*1)</f>
        <v>0</v>
      </c>
      <c r="Z912" s="104" t="n">
        <f aca="false">IFERROR(V912/U912,"")</f>
        <v>0</v>
      </c>
    </row>
    <row r="913" customFormat="false" ht="15" hidden="false" customHeight="true" outlineLevel="0" collapsed="false">
      <c r="A913" s="100" t="str">
        <f aca="false">Equipos!C911</f>
        <v>2-124831</v>
      </c>
      <c r="B913" s="101" t="str">
        <f aca="false">Equipos!D911</f>
        <v>Monitor Multiparámetros</v>
      </c>
      <c r="C913" s="101" t="str">
        <f aca="false">Equipos!E911</f>
        <v>Urgencia Adulto</v>
      </c>
      <c r="D913" s="101" t="n">
        <f aca="false">Equipos!G911</f>
        <v>0</v>
      </c>
      <c r="E913" s="101" t="str">
        <f aca="false">Equipos!I911</f>
        <v>Drager</v>
      </c>
      <c r="F913" s="101" t="str">
        <f aca="false">Equipos!J911</f>
        <v>Vista 120 S</v>
      </c>
      <c r="G913" s="100" t="str">
        <f aca="false">Equipos!K911</f>
        <v>S2SRC0509</v>
      </c>
      <c r="H913" s="101"/>
      <c r="I913" s="102"/>
      <c r="J913" s="102"/>
      <c r="K913" s="103" t="s">
        <v>328</v>
      </c>
      <c r="L913" s="102"/>
      <c r="M913" s="102"/>
      <c r="N913" s="102"/>
      <c r="O913" s="102"/>
      <c r="P913" s="102"/>
      <c r="Q913" s="102"/>
      <c r="R913" s="102"/>
      <c r="S913" s="102"/>
      <c r="T913" s="102"/>
      <c r="U913" s="101" t="n">
        <f aca="false">V913+W913+X913+COUNTIF(I913:T913,"R")</f>
        <v>1</v>
      </c>
      <c r="V913" s="101" t="n">
        <f aca="false">COUNTIF(I913:T913,"E")</f>
        <v>1</v>
      </c>
      <c r="W913" s="101" t="n">
        <f aca="false">COUNTIF(I913:T913,"X")</f>
        <v>0</v>
      </c>
      <c r="X913" s="101" t="n">
        <f aca="false">COUNTIF(I913:T913,"C2")+COUNTIF(I913:T913,"C3")</f>
        <v>0</v>
      </c>
      <c r="Y913" s="101" t="n">
        <f aca="true">SUMPRODUCT((I913:INDEX(I913:T913,MONTH(TODAY()))="X")*1)</f>
        <v>0</v>
      </c>
      <c r="Z913" s="104" t="n">
        <f aca="false">IFERROR(V913/U913,"")</f>
        <v>1</v>
      </c>
    </row>
    <row r="914" customFormat="false" ht="15" hidden="false" customHeight="true" outlineLevel="0" collapsed="false">
      <c r="A914" s="100" t="str">
        <f aca="false">Equipos!C912</f>
        <v>2-124832</v>
      </c>
      <c r="B914" s="101" t="str">
        <f aca="false">Equipos!D912</f>
        <v>Monitor Multiparámetros</v>
      </c>
      <c r="C914" s="101" t="str">
        <f aca="false">Equipos!E912</f>
        <v>Urgencia Adulto</v>
      </c>
      <c r="D914" s="101" t="n">
        <f aca="false">Equipos!G912</f>
        <v>0</v>
      </c>
      <c r="E914" s="101" t="str">
        <f aca="false">Equipos!I912</f>
        <v>Drager</v>
      </c>
      <c r="F914" s="101" t="str">
        <f aca="false">Equipos!J912</f>
        <v>Vista 120 S</v>
      </c>
      <c r="G914" s="100" t="str">
        <f aca="false">Equipos!K912</f>
        <v>S2SNE1555</v>
      </c>
      <c r="H914" s="101"/>
      <c r="I914" s="102"/>
      <c r="J914" s="102"/>
      <c r="K914" s="103" t="s">
        <v>328</v>
      </c>
      <c r="L914" s="102"/>
      <c r="M914" s="102"/>
      <c r="N914" s="102"/>
      <c r="O914" s="102"/>
      <c r="P914" s="102"/>
      <c r="Q914" s="102"/>
      <c r="R914" s="102"/>
      <c r="S914" s="102"/>
      <c r="T914" s="102"/>
      <c r="U914" s="101" t="n">
        <f aca="false">V914+W914+X914+COUNTIF(I914:T914,"R")</f>
        <v>1</v>
      </c>
      <c r="V914" s="101" t="n">
        <f aca="false">COUNTIF(I914:T914,"E")</f>
        <v>1</v>
      </c>
      <c r="W914" s="101" t="n">
        <f aca="false">COUNTIF(I914:T914,"X")</f>
        <v>0</v>
      </c>
      <c r="X914" s="101" t="n">
        <f aca="false">COUNTIF(I914:T914,"C2")+COUNTIF(I914:T914,"C3")</f>
        <v>0</v>
      </c>
      <c r="Y914" s="101" t="n">
        <f aca="true">SUMPRODUCT((I914:INDEX(I914:T914,MONTH(TODAY()))="X")*1)</f>
        <v>0</v>
      </c>
      <c r="Z914" s="104" t="n">
        <f aca="false">IFERROR(V914/U914,"")</f>
        <v>1</v>
      </c>
    </row>
    <row r="915" customFormat="false" ht="15" hidden="false" customHeight="true" outlineLevel="0" collapsed="false">
      <c r="A915" s="100" t="str">
        <f aca="false">Equipos!C913</f>
        <v>2-124842</v>
      </c>
      <c r="B915" s="101" t="str">
        <f aca="false">Equipos!D913</f>
        <v>Monitor Multiparámetros</v>
      </c>
      <c r="C915" s="101" t="str">
        <f aca="false">Equipos!E913</f>
        <v>Urgencia Adulto</v>
      </c>
      <c r="D915" s="101" t="n">
        <f aca="false">Equipos!G913</f>
        <v>0</v>
      </c>
      <c r="E915" s="101" t="str">
        <f aca="false">Equipos!I913</f>
        <v>Drager</v>
      </c>
      <c r="F915" s="101" t="str">
        <f aca="false">Equipos!J913</f>
        <v>Vista 120</v>
      </c>
      <c r="G915" s="100" t="str">
        <f aca="false">Equipos!K913</f>
        <v>VGSRC0520</v>
      </c>
      <c r="H915" s="101"/>
      <c r="I915" s="102"/>
      <c r="J915" s="102"/>
      <c r="K915" s="103" t="s">
        <v>328</v>
      </c>
      <c r="L915" s="102"/>
      <c r="M915" s="102"/>
      <c r="N915" s="102"/>
      <c r="O915" s="102"/>
      <c r="P915" s="102"/>
      <c r="Q915" s="102"/>
      <c r="R915" s="102"/>
      <c r="S915" s="102"/>
      <c r="T915" s="102"/>
      <c r="U915" s="101" t="n">
        <f aca="false">V915+W915+X915+COUNTIF(I915:T915,"R")</f>
        <v>1</v>
      </c>
      <c r="V915" s="101" t="n">
        <f aca="false">COUNTIF(I915:T915,"E")</f>
        <v>1</v>
      </c>
      <c r="W915" s="101" t="n">
        <f aca="false">COUNTIF(I915:T915,"X")</f>
        <v>0</v>
      </c>
      <c r="X915" s="101" t="n">
        <f aca="false">COUNTIF(I915:T915,"C2")+COUNTIF(I915:T915,"C3")</f>
        <v>0</v>
      </c>
      <c r="Y915" s="101" t="n">
        <f aca="true">SUMPRODUCT((I915:INDEX(I915:T915,MONTH(TODAY()))="X")*1)</f>
        <v>0</v>
      </c>
      <c r="Z915" s="104" t="n">
        <f aca="false">IFERROR(V915/U915,"")</f>
        <v>1</v>
      </c>
    </row>
    <row r="916" customFormat="false" ht="15" hidden="false" customHeight="true" outlineLevel="0" collapsed="false">
      <c r="A916" s="100" t="str">
        <f aca="false">Equipos!C914</f>
        <v>2-124843</v>
      </c>
      <c r="B916" s="101" t="str">
        <f aca="false">Equipos!D914</f>
        <v>Monitor Multiparámetros</v>
      </c>
      <c r="C916" s="101" t="str">
        <f aca="false">Equipos!E914</f>
        <v>Urgencia Adulto</v>
      </c>
      <c r="D916" s="101" t="n">
        <f aca="false">Equipos!G914</f>
        <v>0</v>
      </c>
      <c r="E916" s="101" t="str">
        <f aca="false">Equipos!I914</f>
        <v>Drager</v>
      </c>
      <c r="F916" s="101" t="str">
        <f aca="false">Equipos!J914</f>
        <v>Vista 120</v>
      </c>
      <c r="G916" s="100" t="str">
        <f aca="false">Equipos!K914</f>
        <v>VGSRC0467</v>
      </c>
      <c r="H916" s="101"/>
      <c r="I916" s="102"/>
      <c r="J916" s="102"/>
      <c r="K916" s="103" t="s">
        <v>328</v>
      </c>
      <c r="L916" s="102"/>
      <c r="M916" s="102"/>
      <c r="N916" s="102"/>
      <c r="O916" s="102"/>
      <c r="P916" s="102"/>
      <c r="Q916" s="102"/>
      <c r="R916" s="102"/>
      <c r="S916" s="102"/>
      <c r="T916" s="102"/>
      <c r="U916" s="101" t="n">
        <f aca="false">V916+W916+X916+COUNTIF(I916:T916,"R")</f>
        <v>1</v>
      </c>
      <c r="V916" s="101" t="n">
        <f aca="false">COUNTIF(I916:T916,"E")</f>
        <v>1</v>
      </c>
      <c r="W916" s="101" t="n">
        <f aca="false">COUNTIF(I916:T916,"X")</f>
        <v>0</v>
      </c>
      <c r="X916" s="101" t="n">
        <f aca="false">COUNTIF(I916:T916,"C2")+COUNTIF(I916:T916,"C3")</f>
        <v>0</v>
      </c>
      <c r="Y916" s="101" t="n">
        <f aca="true">SUMPRODUCT((I916:INDEX(I916:T916,MONTH(TODAY()))="X")*1)</f>
        <v>0</v>
      </c>
      <c r="Z916" s="104" t="n">
        <f aca="false">IFERROR(V916/U916,"")</f>
        <v>1</v>
      </c>
    </row>
    <row r="917" customFormat="false" ht="15" hidden="false" customHeight="true" outlineLevel="0" collapsed="false">
      <c r="A917" s="100" t="str">
        <f aca="false">Equipos!C915</f>
        <v>2-124844</v>
      </c>
      <c r="B917" s="101" t="str">
        <f aca="false">Equipos!D915</f>
        <v>Monitor Multiparámetros</v>
      </c>
      <c r="C917" s="101" t="str">
        <f aca="false">Equipos!E915</f>
        <v>Urgencia Adulto</v>
      </c>
      <c r="D917" s="101" t="n">
        <f aca="false">Equipos!G915</f>
        <v>0</v>
      </c>
      <c r="E917" s="101" t="str">
        <f aca="false">Equipos!I915</f>
        <v>Drager</v>
      </c>
      <c r="F917" s="101" t="str">
        <f aca="false">Equipos!J915</f>
        <v>Vista 120</v>
      </c>
      <c r="G917" s="100" t="str">
        <f aca="false">Equipos!K915</f>
        <v>VGSRC0512</v>
      </c>
      <c r="H917" s="101"/>
      <c r="I917" s="102"/>
      <c r="J917" s="102"/>
      <c r="K917" s="103" t="s">
        <v>328</v>
      </c>
      <c r="L917" s="102"/>
      <c r="M917" s="102"/>
      <c r="N917" s="102"/>
      <c r="O917" s="102"/>
      <c r="P917" s="102"/>
      <c r="Q917" s="102"/>
      <c r="R917" s="102"/>
      <c r="S917" s="102"/>
      <c r="T917" s="102"/>
      <c r="U917" s="101" t="n">
        <f aca="false">V917+W917+X917+COUNTIF(I917:T917,"R")</f>
        <v>1</v>
      </c>
      <c r="V917" s="101" t="n">
        <f aca="false">COUNTIF(I917:T917,"E")</f>
        <v>1</v>
      </c>
      <c r="W917" s="101" t="n">
        <f aca="false">COUNTIF(I917:T917,"X")</f>
        <v>0</v>
      </c>
      <c r="X917" s="101" t="n">
        <f aca="false">COUNTIF(I917:T917,"C2")+COUNTIF(I917:T917,"C3")</f>
        <v>0</v>
      </c>
      <c r="Y917" s="101" t="n">
        <f aca="true">SUMPRODUCT((I917:INDEX(I917:T917,MONTH(TODAY()))="X")*1)</f>
        <v>0</v>
      </c>
      <c r="Z917" s="104" t="n">
        <f aca="false">IFERROR(V917/U917,"")</f>
        <v>1</v>
      </c>
    </row>
    <row r="918" customFormat="false" ht="15" hidden="false" customHeight="true" outlineLevel="0" collapsed="false">
      <c r="A918" s="100" t="str">
        <f aca="false">Equipos!C916</f>
        <v>2-124845</v>
      </c>
      <c r="B918" s="101" t="str">
        <f aca="false">Equipos!D916</f>
        <v>Monitor Multiparámetros</v>
      </c>
      <c r="C918" s="101" t="str">
        <f aca="false">Equipos!E916</f>
        <v>Urgencia Adulto</v>
      </c>
      <c r="D918" s="101" t="n">
        <f aca="false">Equipos!G916</f>
        <v>0</v>
      </c>
      <c r="E918" s="101" t="str">
        <f aca="false">Equipos!I916</f>
        <v>Drager</v>
      </c>
      <c r="F918" s="101" t="str">
        <f aca="false">Equipos!J916</f>
        <v>Vista 120</v>
      </c>
      <c r="G918" s="100" t="str">
        <f aca="false">Equipos!K916</f>
        <v>VGSRC0472</v>
      </c>
      <c r="H918" s="101"/>
      <c r="I918" s="102"/>
      <c r="J918" s="102"/>
      <c r="K918" s="103" t="s">
        <v>328</v>
      </c>
      <c r="L918" s="102"/>
      <c r="M918" s="102"/>
      <c r="N918" s="102"/>
      <c r="O918" s="102"/>
      <c r="P918" s="102"/>
      <c r="Q918" s="102"/>
      <c r="R918" s="102"/>
      <c r="S918" s="102"/>
      <c r="T918" s="102"/>
      <c r="U918" s="101" t="n">
        <f aca="false">V918+W918+X918+COUNTIF(I918:T918,"R")</f>
        <v>1</v>
      </c>
      <c r="V918" s="101" t="n">
        <f aca="false">COUNTIF(I918:T918,"E")</f>
        <v>1</v>
      </c>
      <c r="W918" s="101" t="n">
        <f aca="false">COUNTIF(I918:T918,"X")</f>
        <v>0</v>
      </c>
      <c r="X918" s="101" t="n">
        <f aca="false">COUNTIF(I918:T918,"C2")+COUNTIF(I918:T918,"C3")</f>
        <v>0</v>
      </c>
      <c r="Y918" s="101" t="n">
        <f aca="true">SUMPRODUCT((I918:INDEX(I918:T918,MONTH(TODAY()))="X")*1)</f>
        <v>0</v>
      </c>
      <c r="Z918" s="104" t="n">
        <f aca="false">IFERROR(V918/U918,"")</f>
        <v>1</v>
      </c>
    </row>
    <row r="919" customFormat="false" ht="15" hidden="false" customHeight="true" outlineLevel="0" collapsed="false">
      <c r="A919" s="100" t="str">
        <f aca="false">Equipos!C917</f>
        <v>2-124846</v>
      </c>
      <c r="B919" s="101" t="str">
        <f aca="false">Equipos!D917</f>
        <v>Monitor Multiparámetros</v>
      </c>
      <c r="C919" s="101" t="str">
        <f aca="false">Equipos!E917</f>
        <v>Urgencia Adulto</v>
      </c>
      <c r="D919" s="101" t="n">
        <f aca="false">Equipos!G917</f>
        <v>0</v>
      </c>
      <c r="E919" s="101" t="str">
        <f aca="false">Equipos!I917</f>
        <v>Drager</v>
      </c>
      <c r="F919" s="101" t="str">
        <f aca="false">Equipos!J917</f>
        <v>Vista 120</v>
      </c>
      <c r="G919" s="100" t="str">
        <f aca="false">Equipos!K917</f>
        <v>VGSRC0490</v>
      </c>
      <c r="H919" s="101"/>
      <c r="I919" s="102"/>
      <c r="J919" s="102"/>
      <c r="K919" s="103" t="s">
        <v>328</v>
      </c>
      <c r="L919" s="102"/>
      <c r="M919" s="102"/>
      <c r="N919" s="102"/>
      <c r="O919" s="102"/>
      <c r="P919" s="102"/>
      <c r="Q919" s="102"/>
      <c r="R919" s="102"/>
      <c r="S919" s="102"/>
      <c r="T919" s="102"/>
      <c r="U919" s="101" t="n">
        <f aca="false">V919+W919+X919+COUNTIF(I919:T919,"R")</f>
        <v>1</v>
      </c>
      <c r="V919" s="101" t="n">
        <f aca="false">COUNTIF(I919:T919,"E")</f>
        <v>1</v>
      </c>
      <c r="W919" s="101" t="n">
        <f aca="false">COUNTIF(I919:T919,"X")</f>
        <v>0</v>
      </c>
      <c r="X919" s="101" t="n">
        <f aca="false">COUNTIF(I919:T919,"C2")+COUNTIF(I919:T919,"C3")</f>
        <v>0</v>
      </c>
      <c r="Y919" s="101" t="n">
        <f aca="true">SUMPRODUCT((I919:INDEX(I919:T919,MONTH(TODAY()))="X")*1)</f>
        <v>0</v>
      </c>
      <c r="Z919" s="104" t="n">
        <f aca="false">IFERROR(V919/U919,"")</f>
        <v>1</v>
      </c>
    </row>
    <row r="920" customFormat="false" ht="15" hidden="false" customHeight="true" outlineLevel="0" collapsed="false">
      <c r="A920" s="100" t="str">
        <f aca="false">Equipos!C918</f>
        <v>2-124847</v>
      </c>
      <c r="B920" s="101" t="str">
        <f aca="false">Equipos!D918</f>
        <v>Monitor Multiparámetros</v>
      </c>
      <c r="C920" s="101" t="str">
        <f aca="false">Equipos!E918</f>
        <v>Urgencia Adulto</v>
      </c>
      <c r="D920" s="101" t="n">
        <f aca="false">Equipos!G918</f>
        <v>0</v>
      </c>
      <c r="E920" s="101" t="str">
        <f aca="false">Equipos!I918</f>
        <v>Drager</v>
      </c>
      <c r="F920" s="101" t="str">
        <f aca="false">Equipos!J918</f>
        <v>Vista 120</v>
      </c>
      <c r="G920" s="100" t="str">
        <f aca="false">Equipos!K918</f>
        <v>VGSRC0495</v>
      </c>
      <c r="H920" s="101"/>
      <c r="I920" s="102"/>
      <c r="J920" s="102"/>
      <c r="K920" s="103" t="s">
        <v>328</v>
      </c>
      <c r="L920" s="102"/>
      <c r="M920" s="102"/>
      <c r="N920" s="102"/>
      <c r="O920" s="102"/>
      <c r="P920" s="102"/>
      <c r="Q920" s="102"/>
      <c r="R920" s="102"/>
      <c r="S920" s="102"/>
      <c r="T920" s="102"/>
      <c r="U920" s="101" t="n">
        <f aca="false">V920+W920+X920+COUNTIF(I920:T920,"R")</f>
        <v>1</v>
      </c>
      <c r="V920" s="101" t="n">
        <f aca="false">COUNTIF(I920:T920,"E")</f>
        <v>1</v>
      </c>
      <c r="W920" s="101" t="n">
        <f aca="false">COUNTIF(I920:T920,"X")</f>
        <v>0</v>
      </c>
      <c r="X920" s="101" t="n">
        <f aca="false">COUNTIF(I920:T920,"C2")+COUNTIF(I920:T920,"C3")</f>
        <v>0</v>
      </c>
      <c r="Y920" s="101" t="n">
        <f aca="true">SUMPRODUCT((I920:INDEX(I920:T920,MONTH(TODAY()))="X")*1)</f>
        <v>0</v>
      </c>
      <c r="Z920" s="104" t="n">
        <f aca="false">IFERROR(V920/U920,"")</f>
        <v>1</v>
      </c>
    </row>
    <row r="921" customFormat="false" ht="15" hidden="false" customHeight="true" outlineLevel="0" collapsed="false">
      <c r="A921" s="100" t="str">
        <f aca="false">Equipos!C919</f>
        <v>2-124848</v>
      </c>
      <c r="B921" s="101" t="str">
        <f aca="false">Equipos!D919</f>
        <v>Monitor Multiparámetros</v>
      </c>
      <c r="C921" s="101" t="str">
        <f aca="false">Equipos!E919</f>
        <v>Urgencia Adulto</v>
      </c>
      <c r="D921" s="101" t="n">
        <f aca="false">Equipos!G919</f>
        <v>0</v>
      </c>
      <c r="E921" s="101" t="str">
        <f aca="false">Equipos!I919</f>
        <v>Drager</v>
      </c>
      <c r="F921" s="101" t="str">
        <f aca="false">Equipos!J919</f>
        <v>Vista 120</v>
      </c>
      <c r="G921" s="100" t="str">
        <f aca="false">Equipos!K919</f>
        <v>VGSRC0521</v>
      </c>
      <c r="H921" s="101"/>
      <c r="I921" s="102"/>
      <c r="J921" s="102"/>
      <c r="K921" s="103" t="s">
        <v>328</v>
      </c>
      <c r="L921" s="102"/>
      <c r="M921" s="102"/>
      <c r="N921" s="102"/>
      <c r="O921" s="102"/>
      <c r="P921" s="102"/>
      <c r="Q921" s="102"/>
      <c r="R921" s="102"/>
      <c r="S921" s="102"/>
      <c r="T921" s="102"/>
      <c r="U921" s="101" t="n">
        <f aca="false">V921+W921+X921+COUNTIF(I921:T921,"R")</f>
        <v>1</v>
      </c>
      <c r="V921" s="101" t="n">
        <f aca="false">COUNTIF(I921:T921,"E")</f>
        <v>1</v>
      </c>
      <c r="W921" s="101" t="n">
        <f aca="false">COUNTIF(I921:T921,"X")</f>
        <v>0</v>
      </c>
      <c r="X921" s="101" t="n">
        <f aca="false">COUNTIF(I921:T921,"C2")+COUNTIF(I921:T921,"C3")</f>
        <v>0</v>
      </c>
      <c r="Y921" s="101" t="n">
        <f aca="true">SUMPRODUCT((I921:INDEX(I921:T921,MONTH(TODAY()))="X")*1)</f>
        <v>0</v>
      </c>
      <c r="Z921" s="104" t="n">
        <f aca="false">IFERROR(V921/U921,"")</f>
        <v>1</v>
      </c>
    </row>
    <row r="922" customFormat="false" ht="15" hidden="false" customHeight="true" outlineLevel="0" collapsed="false">
      <c r="A922" s="100" t="str">
        <f aca="false">Equipos!C920</f>
        <v>2-124849</v>
      </c>
      <c r="B922" s="101" t="str">
        <f aca="false">Equipos!D920</f>
        <v>Monitor Multiparámetros</v>
      </c>
      <c r="C922" s="101" t="str">
        <f aca="false">Equipos!E920</f>
        <v>Urgencia Adulto</v>
      </c>
      <c r="D922" s="101" t="n">
        <f aca="false">Equipos!G920</f>
        <v>0</v>
      </c>
      <c r="E922" s="101" t="str">
        <f aca="false">Equipos!I920</f>
        <v>Drager</v>
      </c>
      <c r="F922" s="101" t="str">
        <f aca="false">Equipos!J920</f>
        <v>Vista 120</v>
      </c>
      <c r="G922" s="100" t="str">
        <f aca="false">Equipos!K920</f>
        <v>VGSRC0543</v>
      </c>
      <c r="H922" s="101"/>
      <c r="I922" s="102"/>
      <c r="J922" s="102"/>
      <c r="K922" s="103" t="s">
        <v>328</v>
      </c>
      <c r="L922" s="102"/>
      <c r="M922" s="102"/>
      <c r="N922" s="102"/>
      <c r="O922" s="102"/>
      <c r="P922" s="102"/>
      <c r="Q922" s="102"/>
      <c r="R922" s="102"/>
      <c r="S922" s="102"/>
      <c r="T922" s="102"/>
      <c r="U922" s="101" t="n">
        <f aca="false">V922+W922+X922+COUNTIF(I922:T922,"R")</f>
        <v>1</v>
      </c>
      <c r="V922" s="101" t="n">
        <f aca="false">COUNTIF(I922:T922,"E")</f>
        <v>1</v>
      </c>
      <c r="W922" s="101" t="n">
        <f aca="false">COUNTIF(I922:T922,"X")</f>
        <v>0</v>
      </c>
      <c r="X922" s="101" t="n">
        <f aca="false">COUNTIF(I922:T922,"C2")+COUNTIF(I922:T922,"C3")</f>
        <v>0</v>
      </c>
      <c r="Y922" s="101" t="n">
        <f aca="true">SUMPRODUCT((I922:INDEX(I922:T922,MONTH(TODAY()))="X")*1)</f>
        <v>0</v>
      </c>
      <c r="Z922" s="104" t="n">
        <f aca="false">IFERROR(V922/U922,"")</f>
        <v>1</v>
      </c>
    </row>
    <row r="923" customFormat="false" ht="15" hidden="false" customHeight="true" outlineLevel="0" collapsed="false">
      <c r="A923" s="100" t="str">
        <f aca="false">Equipos!C921</f>
        <v>2-124850</v>
      </c>
      <c r="B923" s="101" t="str">
        <f aca="false">Equipos!D921</f>
        <v>Monitor Multiparámetros</v>
      </c>
      <c r="C923" s="101" t="str">
        <f aca="false">Equipos!E921</f>
        <v>Urgencia Adulto</v>
      </c>
      <c r="D923" s="101" t="n">
        <f aca="false">Equipos!G921</f>
        <v>0</v>
      </c>
      <c r="E923" s="101" t="str">
        <f aca="false">Equipos!I921</f>
        <v>Drager</v>
      </c>
      <c r="F923" s="101" t="str">
        <f aca="false">Equipos!J921</f>
        <v>Vista 120</v>
      </c>
      <c r="G923" s="100" t="str">
        <f aca="false">Equipos!K921</f>
        <v>VGSRC0538</v>
      </c>
      <c r="H923" s="101"/>
      <c r="I923" s="102"/>
      <c r="J923" s="102"/>
      <c r="K923" s="103" t="s">
        <v>328</v>
      </c>
      <c r="L923" s="102"/>
      <c r="M923" s="102"/>
      <c r="N923" s="102"/>
      <c r="O923" s="102"/>
      <c r="P923" s="102"/>
      <c r="Q923" s="102"/>
      <c r="R923" s="102"/>
      <c r="S923" s="102"/>
      <c r="T923" s="102"/>
      <c r="U923" s="101" t="n">
        <f aca="false">V923+W923+X923+COUNTIF(I923:T923,"R")</f>
        <v>1</v>
      </c>
      <c r="V923" s="101" t="n">
        <f aca="false">COUNTIF(I923:T923,"E")</f>
        <v>1</v>
      </c>
      <c r="W923" s="101" t="n">
        <f aca="false">COUNTIF(I923:T923,"X")</f>
        <v>0</v>
      </c>
      <c r="X923" s="101" t="n">
        <f aca="false">COUNTIF(I923:T923,"C2")+COUNTIF(I923:T923,"C3")</f>
        <v>0</v>
      </c>
      <c r="Y923" s="101" t="n">
        <f aca="true">SUMPRODUCT((I923:INDEX(I923:T923,MONTH(TODAY()))="X")*1)</f>
        <v>0</v>
      </c>
      <c r="Z923" s="104" t="n">
        <f aca="false">IFERROR(V923/U923,"")</f>
        <v>1</v>
      </c>
    </row>
    <row r="924" customFormat="false" ht="15" hidden="false" customHeight="true" outlineLevel="0" collapsed="false">
      <c r="A924" s="100" t="str">
        <f aca="false">Equipos!C922</f>
        <v>2-133676</v>
      </c>
      <c r="B924" s="101" t="str">
        <f aca="false">Equipos!D922</f>
        <v>Monitor Multiparámetros</v>
      </c>
      <c r="C924" s="101" t="str">
        <f aca="false">Equipos!E922</f>
        <v>CDT</v>
      </c>
      <c r="D924" s="101" t="str">
        <f aca="false">Equipos!G922</f>
        <v>CDT Administracion / CEM 3ER PISO</v>
      </c>
      <c r="E924" s="101" t="str">
        <f aca="false">Equipos!I922</f>
        <v>Northern</v>
      </c>
      <c r="F924" s="101" t="str">
        <f aca="false">Equipos!J922</f>
        <v>Aquarius ECG</v>
      </c>
      <c r="G924" s="100" t="str">
        <f aca="false">Equipos!K922</f>
        <v>JH01B910008</v>
      </c>
      <c r="H924" s="101"/>
      <c r="I924" s="102"/>
      <c r="J924" s="102"/>
      <c r="K924" s="103" t="s">
        <v>330</v>
      </c>
      <c r="L924" s="103" t="s">
        <v>328</v>
      </c>
      <c r="M924" s="102"/>
      <c r="N924" s="102"/>
      <c r="O924" s="102"/>
      <c r="P924" s="102"/>
      <c r="Q924" s="102"/>
      <c r="R924" s="102"/>
      <c r="S924" s="102"/>
      <c r="T924" s="102"/>
      <c r="U924" s="101" t="n">
        <f aca="false">V924+W924+X924+COUNTIF(I924:T924,"R")</f>
        <v>2</v>
      </c>
      <c r="V924" s="101" t="n">
        <f aca="false">COUNTIF(I924:T924,"E")</f>
        <v>1</v>
      </c>
      <c r="W924" s="101" t="n">
        <f aca="false">COUNTIF(I924:T924,"X")</f>
        <v>0</v>
      </c>
      <c r="X924" s="101" t="n">
        <f aca="false">COUNTIF(I924:T924,"C2")+COUNTIF(I924:T924,"C3")</f>
        <v>0</v>
      </c>
      <c r="Y924" s="101" t="n">
        <f aca="true">SUMPRODUCT((I924:INDEX(I924:T924,MONTH(TODAY()))="X")*1)</f>
        <v>0</v>
      </c>
      <c r="Z924" s="104" t="n">
        <f aca="false">IFERROR(V924/U924,"")</f>
        <v>0.5</v>
      </c>
    </row>
    <row r="925" customFormat="false" ht="15" hidden="false" customHeight="true" outlineLevel="0" collapsed="false">
      <c r="A925" s="100" t="str">
        <f aca="false">Equipos!C923</f>
        <v>2-133677</v>
      </c>
      <c r="B925" s="101" t="str">
        <f aca="false">Equipos!D923</f>
        <v>Monitor Multiparámetros</v>
      </c>
      <c r="C925" s="101" t="str">
        <f aca="false">Equipos!E923</f>
        <v>CDT</v>
      </c>
      <c r="D925" s="101" t="str">
        <f aca="false">Equipos!G923</f>
        <v>CDT Administracion / Seran reubicados</v>
      </c>
      <c r="E925" s="101" t="str">
        <f aca="false">Equipos!I923</f>
        <v>Northern</v>
      </c>
      <c r="F925" s="101" t="str">
        <f aca="false">Equipos!J923</f>
        <v>Aquarius ECG</v>
      </c>
      <c r="G925" s="100" t="str">
        <f aca="false">Equipos!K923</f>
        <v>JH01B910020</v>
      </c>
      <c r="H925" s="101"/>
      <c r="I925" s="102"/>
      <c r="J925" s="102"/>
      <c r="K925" s="103" t="s">
        <v>330</v>
      </c>
      <c r="L925" s="103" t="s">
        <v>328</v>
      </c>
      <c r="M925" s="102"/>
      <c r="N925" s="102"/>
      <c r="O925" s="102"/>
      <c r="P925" s="102"/>
      <c r="Q925" s="102"/>
      <c r="R925" s="102"/>
      <c r="S925" s="102"/>
      <c r="T925" s="102"/>
      <c r="U925" s="101" t="n">
        <f aca="false">V925+W925+X925+COUNTIF(I925:T925,"R")</f>
        <v>2</v>
      </c>
      <c r="V925" s="101" t="n">
        <f aca="false">COUNTIF(I925:T925,"E")</f>
        <v>1</v>
      </c>
      <c r="W925" s="101" t="n">
        <f aca="false">COUNTIF(I925:T925,"X")</f>
        <v>0</v>
      </c>
      <c r="X925" s="101" t="n">
        <f aca="false">COUNTIF(I925:T925,"C2")+COUNTIF(I925:T925,"C3")</f>
        <v>0</v>
      </c>
      <c r="Y925" s="101" t="n">
        <f aca="true">SUMPRODUCT((I925:INDEX(I925:T925,MONTH(TODAY()))="X")*1)</f>
        <v>0</v>
      </c>
      <c r="Z925" s="104" t="n">
        <f aca="false">IFERROR(V925/U925,"")</f>
        <v>0.5</v>
      </c>
    </row>
    <row r="926" customFormat="false" ht="15" hidden="false" customHeight="true" outlineLevel="0" collapsed="false">
      <c r="A926" s="100" t="str">
        <f aca="false">Equipos!C924</f>
        <v>2-133678</v>
      </c>
      <c r="B926" s="101" t="str">
        <f aca="false">Equipos!D924</f>
        <v>Monitor Multiparámetros</v>
      </c>
      <c r="C926" s="101" t="str">
        <f aca="false">Equipos!E924</f>
        <v>CDT</v>
      </c>
      <c r="D926" s="101" t="str">
        <f aca="false">Equipos!G924</f>
        <v>CDT Administracion / CEM 3ER PISO</v>
      </c>
      <c r="E926" s="101" t="str">
        <f aca="false">Equipos!I924</f>
        <v>Northern</v>
      </c>
      <c r="F926" s="101" t="str">
        <f aca="false">Equipos!J924</f>
        <v>Aquarius ECG</v>
      </c>
      <c r="G926" s="100" t="str">
        <f aca="false">Equipos!K924</f>
        <v>JH01B910011</v>
      </c>
      <c r="H926" s="101"/>
      <c r="I926" s="102"/>
      <c r="J926" s="102"/>
      <c r="K926" s="103" t="s">
        <v>330</v>
      </c>
      <c r="L926" s="103" t="s">
        <v>328</v>
      </c>
      <c r="M926" s="102"/>
      <c r="N926" s="102"/>
      <c r="O926" s="102"/>
      <c r="P926" s="102"/>
      <c r="Q926" s="102"/>
      <c r="R926" s="102"/>
      <c r="S926" s="102"/>
      <c r="T926" s="102"/>
      <c r="U926" s="101" t="n">
        <f aca="false">V926+W926+X926+COUNTIF(I926:T926,"R")</f>
        <v>2</v>
      </c>
      <c r="V926" s="101" t="n">
        <f aca="false">COUNTIF(I926:T926,"E")</f>
        <v>1</v>
      </c>
      <c r="W926" s="101" t="n">
        <f aca="false">COUNTIF(I926:T926,"X")</f>
        <v>0</v>
      </c>
      <c r="X926" s="101" t="n">
        <f aca="false">COUNTIF(I926:T926,"C2")+COUNTIF(I926:T926,"C3")</f>
        <v>0</v>
      </c>
      <c r="Y926" s="101" t="n">
        <f aca="true">SUMPRODUCT((I926:INDEX(I926:T926,MONTH(TODAY()))="X")*1)</f>
        <v>0</v>
      </c>
      <c r="Z926" s="104" t="n">
        <f aca="false">IFERROR(V926/U926,"")</f>
        <v>0.5</v>
      </c>
    </row>
    <row r="927" customFormat="false" ht="15" hidden="false" customHeight="true" outlineLevel="0" collapsed="false">
      <c r="A927" s="100" t="str">
        <f aca="false">Equipos!C925</f>
        <v>2-133679</v>
      </c>
      <c r="B927" s="101" t="str">
        <f aca="false">Equipos!D925</f>
        <v>Monitor Multiparámetros</v>
      </c>
      <c r="C927" s="101" t="str">
        <f aca="false">Equipos!E925</f>
        <v>CDT</v>
      </c>
      <c r="D927" s="101" t="str">
        <f aca="false">Equipos!G925</f>
        <v>CDT Administracion / Seran reubicados</v>
      </c>
      <c r="E927" s="101" t="str">
        <f aca="false">Equipos!I925</f>
        <v>Northern</v>
      </c>
      <c r="F927" s="101" t="str">
        <f aca="false">Equipos!J925</f>
        <v>Aquarius ECG</v>
      </c>
      <c r="G927" s="100" t="str">
        <f aca="false">Equipos!K925</f>
        <v>JH01B910002</v>
      </c>
      <c r="H927" s="101"/>
      <c r="I927" s="102"/>
      <c r="J927" s="102"/>
      <c r="K927" s="103" t="s">
        <v>330</v>
      </c>
      <c r="L927" s="103" t="s">
        <v>328</v>
      </c>
      <c r="M927" s="102"/>
      <c r="N927" s="102"/>
      <c r="O927" s="102"/>
      <c r="P927" s="102"/>
      <c r="Q927" s="102"/>
      <c r="R927" s="102"/>
      <c r="S927" s="102"/>
      <c r="T927" s="102"/>
      <c r="U927" s="101" t="n">
        <f aca="false">V927+W927+X927+COUNTIF(I927:T927,"R")</f>
        <v>2</v>
      </c>
      <c r="V927" s="101" t="n">
        <f aca="false">COUNTIF(I927:T927,"E")</f>
        <v>1</v>
      </c>
      <c r="W927" s="101" t="n">
        <f aca="false">COUNTIF(I927:T927,"X")</f>
        <v>0</v>
      </c>
      <c r="X927" s="101" t="n">
        <f aca="false">COUNTIF(I927:T927,"C2")+COUNTIF(I927:T927,"C3")</f>
        <v>0</v>
      </c>
      <c r="Y927" s="101" t="n">
        <f aca="true">SUMPRODUCT((I927:INDEX(I927:T927,MONTH(TODAY()))="X")*1)</f>
        <v>0</v>
      </c>
      <c r="Z927" s="104" t="n">
        <f aca="false">IFERROR(V927/U927,"")</f>
        <v>0.5</v>
      </c>
    </row>
    <row r="928" customFormat="false" ht="15" hidden="false" customHeight="true" outlineLevel="0" collapsed="false">
      <c r="A928" s="100" t="n">
        <f aca="false">Equipos!C926</f>
        <v>0</v>
      </c>
      <c r="B928" s="101" t="n">
        <f aca="false">Equipos!D926</f>
        <v>0</v>
      </c>
      <c r="C928" s="101" t="n">
        <f aca="false">Equipos!E926</f>
        <v>0</v>
      </c>
      <c r="D928" s="101" t="n">
        <f aca="false">Equipos!G926</f>
        <v>0</v>
      </c>
      <c r="E928" s="101" t="n">
        <f aca="false">Equipos!I926</f>
        <v>0</v>
      </c>
      <c r="F928" s="101" t="n">
        <f aca="false">Equipos!J926</f>
        <v>0</v>
      </c>
      <c r="G928" s="100" t="n">
        <f aca="false">Equipos!K926</f>
        <v>0</v>
      </c>
      <c r="H928" s="101"/>
      <c r="I928" s="102"/>
      <c r="J928" s="102"/>
      <c r="K928" s="102"/>
      <c r="L928" s="102"/>
      <c r="M928" s="102"/>
      <c r="N928" s="102"/>
      <c r="O928" s="102"/>
      <c r="P928" s="102"/>
      <c r="Q928" s="102"/>
      <c r="R928" s="102"/>
      <c r="S928" s="102"/>
      <c r="T928" s="102"/>
      <c r="U928" s="101" t="n">
        <f aca="false">V928+W928+X928+COUNTIF(I928:T928,"R")</f>
        <v>0</v>
      </c>
      <c r="V928" s="101" t="n">
        <f aca="false">COUNTIF(I928:T928,"E")</f>
        <v>0</v>
      </c>
      <c r="W928" s="101" t="n">
        <f aca="false">COUNTIF(I928:T928,"X")</f>
        <v>0</v>
      </c>
      <c r="X928" s="101" t="n">
        <f aca="false">COUNTIF(I928:T928,"C2")+COUNTIF(I928:T928,"C3")</f>
        <v>0</v>
      </c>
      <c r="Y928" s="101" t="n">
        <f aca="true">SUMPRODUCT((I928:INDEX(I928:T928,MONTH(TODAY()))="X")*1)</f>
        <v>0</v>
      </c>
      <c r="Z928" s="104" t="str">
        <f aca="false">IFERROR(V928/U928,"")</f>
        <v/>
      </c>
    </row>
    <row r="929" customFormat="false" ht="15" hidden="false" customHeight="true" outlineLevel="0" collapsed="false">
      <c r="A929" s="100" t="n">
        <f aca="false">Equipos!C927</f>
        <v>0</v>
      </c>
      <c r="B929" s="101" t="n">
        <f aca="false">Equipos!D927</f>
        <v>0</v>
      </c>
      <c r="C929" s="101" t="n">
        <f aca="false">Equipos!E927</f>
        <v>0</v>
      </c>
      <c r="D929" s="101" t="n">
        <f aca="false">Equipos!G927</f>
        <v>0</v>
      </c>
      <c r="E929" s="101" t="n">
        <f aca="false">Equipos!I927</f>
        <v>0</v>
      </c>
      <c r="F929" s="101" t="n">
        <f aca="false">Equipos!J927</f>
        <v>0</v>
      </c>
      <c r="G929" s="100" t="n">
        <f aca="false">Equipos!K927</f>
        <v>0</v>
      </c>
      <c r="H929" s="101"/>
      <c r="I929" s="102"/>
      <c r="J929" s="102"/>
      <c r="K929" s="102"/>
      <c r="L929" s="102"/>
      <c r="M929" s="102"/>
      <c r="N929" s="102"/>
      <c r="O929" s="102"/>
      <c r="P929" s="102"/>
      <c r="Q929" s="102"/>
      <c r="R929" s="102"/>
      <c r="S929" s="102"/>
      <c r="T929" s="102"/>
      <c r="U929" s="101" t="n">
        <f aca="false">V929+W929+X929+COUNTIF(I929:T929,"R")</f>
        <v>0</v>
      </c>
      <c r="V929" s="101" t="n">
        <f aca="false">COUNTIF(I929:T929,"E")</f>
        <v>0</v>
      </c>
      <c r="W929" s="101" t="n">
        <f aca="false">COUNTIF(I929:T929,"X")</f>
        <v>0</v>
      </c>
      <c r="X929" s="101" t="n">
        <f aca="false">COUNTIF(I929:T929,"C2")+COUNTIF(I929:T929,"C3")</f>
        <v>0</v>
      </c>
      <c r="Y929" s="101" t="n">
        <f aca="true">SUMPRODUCT((I929:INDEX(I929:T929,MONTH(TODAY()))="X")*1)</f>
        <v>0</v>
      </c>
      <c r="Z929" s="104" t="str">
        <f aca="false">IFERROR(V929/U929,"")</f>
        <v/>
      </c>
    </row>
    <row r="930" customFormat="false" ht="15" hidden="false" customHeight="true" outlineLevel="0" collapsed="false">
      <c r="A930" s="100" t="n">
        <f aca="false">Equipos!C928</f>
        <v>0</v>
      </c>
      <c r="B930" s="101" t="n">
        <f aca="false">Equipos!D928</f>
        <v>0</v>
      </c>
      <c r="C930" s="101" t="n">
        <f aca="false">Equipos!E928</f>
        <v>0</v>
      </c>
      <c r="D930" s="101" t="n">
        <f aca="false">Equipos!G928</f>
        <v>0</v>
      </c>
      <c r="E930" s="101" t="n">
        <f aca="false">Equipos!I928</f>
        <v>0</v>
      </c>
      <c r="F930" s="101" t="n">
        <f aca="false">Equipos!J928</f>
        <v>0</v>
      </c>
      <c r="G930" s="100" t="n">
        <f aca="false">Equipos!K928</f>
        <v>0</v>
      </c>
      <c r="H930" s="101"/>
      <c r="I930" s="102"/>
      <c r="J930" s="102"/>
      <c r="K930" s="102"/>
      <c r="L930" s="102"/>
      <c r="M930" s="102"/>
      <c r="N930" s="102"/>
      <c r="O930" s="102"/>
      <c r="P930" s="102"/>
      <c r="Q930" s="102"/>
      <c r="R930" s="102"/>
      <c r="S930" s="102"/>
      <c r="T930" s="102"/>
      <c r="U930" s="101" t="n">
        <f aca="false">V930+W930+X930+COUNTIF(I930:T930,"R")</f>
        <v>0</v>
      </c>
      <c r="V930" s="101" t="n">
        <f aca="false">COUNTIF(I930:T930,"E")</f>
        <v>0</v>
      </c>
      <c r="W930" s="101" t="n">
        <f aca="false">COUNTIF(I930:T930,"X")</f>
        <v>0</v>
      </c>
      <c r="X930" s="101" t="n">
        <f aca="false">COUNTIF(I930:T930,"C2")+COUNTIF(I930:T930,"C3")</f>
        <v>0</v>
      </c>
      <c r="Y930" s="101" t="n">
        <f aca="true">SUMPRODUCT((I930:INDEX(I930:T930,MONTH(TODAY()))="X")*1)</f>
        <v>0</v>
      </c>
      <c r="Z930" s="104" t="str">
        <f aca="false">IFERROR(V930/U930,"")</f>
        <v/>
      </c>
    </row>
    <row r="931" customFormat="false" ht="15" hidden="false" customHeight="true" outlineLevel="0" collapsed="false">
      <c r="A931" s="100" t="n">
        <f aca="false">Equipos!C929</f>
        <v>0</v>
      </c>
      <c r="B931" s="101" t="n">
        <f aca="false">Equipos!D929</f>
        <v>0</v>
      </c>
      <c r="C931" s="101" t="n">
        <f aca="false">Equipos!E929</f>
        <v>0</v>
      </c>
      <c r="D931" s="101" t="n">
        <f aca="false">Equipos!G929</f>
        <v>0</v>
      </c>
      <c r="E931" s="101" t="n">
        <f aca="false">Equipos!I929</f>
        <v>0</v>
      </c>
      <c r="F931" s="101" t="n">
        <f aca="false">Equipos!J929</f>
        <v>0</v>
      </c>
      <c r="G931" s="100" t="n">
        <f aca="false">Equipos!K929</f>
        <v>0</v>
      </c>
      <c r="H931" s="101"/>
      <c r="I931" s="102"/>
      <c r="J931" s="102"/>
      <c r="K931" s="102"/>
      <c r="L931" s="102"/>
      <c r="M931" s="102"/>
      <c r="N931" s="102"/>
      <c r="O931" s="102"/>
      <c r="P931" s="102"/>
      <c r="Q931" s="102"/>
      <c r="R931" s="102"/>
      <c r="S931" s="102"/>
      <c r="T931" s="102"/>
      <c r="U931" s="101" t="n">
        <f aca="false">V931+W931+X931+COUNTIF(I931:T931,"R")</f>
        <v>0</v>
      </c>
      <c r="V931" s="101" t="n">
        <f aca="false">COUNTIF(I931:T931,"E")</f>
        <v>0</v>
      </c>
      <c r="W931" s="101" t="n">
        <f aca="false">COUNTIF(I931:T931,"X")</f>
        <v>0</v>
      </c>
      <c r="X931" s="101" t="n">
        <f aca="false">COUNTIF(I931:T931,"C2")+COUNTIF(I931:T931,"C3")</f>
        <v>0</v>
      </c>
      <c r="Y931" s="101" t="n">
        <f aca="true">SUMPRODUCT((I931:INDEX(I931:T931,MONTH(TODAY()))="X")*1)</f>
        <v>0</v>
      </c>
      <c r="Z931" s="104" t="str">
        <f aca="false">IFERROR(V931/U931,"")</f>
        <v/>
      </c>
    </row>
    <row r="932" customFormat="false" ht="15" hidden="false" customHeight="true" outlineLevel="0" collapsed="false">
      <c r="A932" s="100" t="str">
        <f aca="false">Equipos!C930</f>
        <v>2-006455</v>
      </c>
      <c r="B932" s="101" t="str">
        <f aca="false">Equipos!D930</f>
        <v>Máquina Diálisis</v>
      </c>
      <c r="C932" s="101" t="str">
        <f aca="false">Equipos!E930</f>
        <v>Hemodiálisis</v>
      </c>
      <c r="D932" s="101" t="str">
        <f aca="false">Equipos!G930</f>
        <v>EPB-P1</v>
      </c>
      <c r="E932" s="101" t="str">
        <f aca="false">Equipos!I930</f>
        <v>Fresenius</v>
      </c>
      <c r="F932" s="101" t="str">
        <f aca="false">Equipos!J930</f>
        <v>4008B(s)</v>
      </c>
      <c r="G932" s="100" t="str">
        <f aca="false">Equipos!K930</f>
        <v>8VCAJN47</v>
      </c>
      <c r="H932" s="101"/>
      <c r="I932" s="103" t="s">
        <v>333</v>
      </c>
      <c r="J932" s="102"/>
      <c r="K932" s="102"/>
      <c r="L932" s="102" t="s">
        <v>329</v>
      </c>
      <c r="M932" s="102"/>
      <c r="N932" s="102"/>
      <c r="O932" s="102"/>
      <c r="P932" s="102"/>
      <c r="Q932" s="102"/>
      <c r="R932" s="102"/>
      <c r="S932" s="102"/>
      <c r="T932" s="102"/>
      <c r="U932" s="101" t="n">
        <f aca="false">V932+W932+X932+COUNTIF(I932:T932,"R")</f>
        <v>1</v>
      </c>
      <c r="V932" s="101" t="n">
        <f aca="false">COUNTIF(I932:T932,"E")</f>
        <v>0</v>
      </c>
      <c r="W932" s="101" t="n">
        <f aca="false">COUNTIF(I932:T932,"X")</f>
        <v>1</v>
      </c>
      <c r="X932" s="101" t="n">
        <f aca="false">COUNTIF(I932:T932,"C2")+COUNTIF(I932:T932,"C3")</f>
        <v>0</v>
      </c>
      <c r="Y932" s="101" t="n">
        <f aca="true">SUMPRODUCT((I932:INDEX(I932:T932,MONTH(TODAY()))="X")*1)</f>
        <v>1</v>
      </c>
      <c r="Z932" s="104" t="n">
        <f aca="false">IFERROR(V932/U932,"")</f>
        <v>0</v>
      </c>
    </row>
    <row r="933" customFormat="false" ht="15" hidden="false" customHeight="true" outlineLevel="0" collapsed="false">
      <c r="A933" s="100" t="str">
        <f aca="false">Equipos!C931</f>
        <v>2-006460</v>
      </c>
      <c r="B933" s="101" t="str">
        <f aca="false">Equipos!D931</f>
        <v>Máquina Diálisis</v>
      </c>
      <c r="C933" s="101" t="str">
        <f aca="false">Equipos!E931</f>
        <v>Hemodiálisis</v>
      </c>
      <c r="D933" s="101" t="str">
        <f aca="false">Equipos!G931</f>
        <v>EPB-P1</v>
      </c>
      <c r="E933" s="101" t="str">
        <f aca="false">Equipos!I931</f>
        <v>Fresenius</v>
      </c>
      <c r="F933" s="101" t="str">
        <f aca="false">Equipos!J931</f>
        <v>4008B(s)</v>
      </c>
      <c r="G933" s="100" t="str">
        <f aca="false">Equipos!K931</f>
        <v>9VCAPR03</v>
      </c>
      <c r="H933" s="101"/>
      <c r="I933" s="102"/>
      <c r="J933" s="103" t="s">
        <v>333</v>
      </c>
      <c r="K933" s="102"/>
      <c r="L933" s="102" t="s">
        <v>329</v>
      </c>
      <c r="M933" s="102"/>
      <c r="N933" s="102"/>
      <c r="O933" s="102"/>
      <c r="P933" s="102"/>
      <c r="Q933" s="102"/>
      <c r="R933" s="102"/>
      <c r="S933" s="102"/>
      <c r="T933" s="102"/>
      <c r="U933" s="101" t="n">
        <f aca="false">V933+W933+X933+COUNTIF(I933:T933,"R")</f>
        <v>1</v>
      </c>
      <c r="V933" s="101" t="n">
        <f aca="false">COUNTIF(I933:T933,"E")</f>
        <v>0</v>
      </c>
      <c r="W933" s="101" t="n">
        <f aca="false">COUNTIF(I933:T933,"X")</f>
        <v>1</v>
      </c>
      <c r="X933" s="101" t="n">
        <f aca="false">COUNTIF(I933:T933,"C2")+COUNTIF(I933:T933,"C3")</f>
        <v>0</v>
      </c>
      <c r="Y933" s="101" t="n">
        <f aca="true">SUMPRODUCT((I933:INDEX(I933:T933,MONTH(TODAY()))="X")*1)</f>
        <v>1</v>
      </c>
      <c r="Z933" s="104" t="n">
        <f aca="false">IFERROR(V933/U933,"")</f>
        <v>0</v>
      </c>
    </row>
    <row r="934" customFormat="false" ht="15" hidden="false" customHeight="true" outlineLevel="0" collapsed="false">
      <c r="A934" s="100" t="n">
        <f aca="false">Equipos!C932</f>
        <v>0</v>
      </c>
      <c r="B934" s="101" t="n">
        <f aca="false">Equipos!D932</f>
        <v>0</v>
      </c>
      <c r="C934" s="101" t="n">
        <f aca="false">Equipos!E932</f>
        <v>0</v>
      </c>
      <c r="D934" s="101" t="n">
        <f aca="false">Equipos!G932</f>
        <v>0</v>
      </c>
      <c r="E934" s="101" t="n">
        <f aca="false">Equipos!I932</f>
        <v>0</v>
      </c>
      <c r="F934" s="101" t="n">
        <f aca="false">Equipos!J932</f>
        <v>0</v>
      </c>
      <c r="G934" s="100" t="n">
        <f aca="false">Equipos!K932</f>
        <v>0</v>
      </c>
      <c r="H934" s="101"/>
      <c r="I934" s="102"/>
      <c r="J934" s="102"/>
      <c r="K934" s="102"/>
      <c r="L934" s="102"/>
      <c r="M934" s="102"/>
      <c r="N934" s="102"/>
      <c r="O934" s="102"/>
      <c r="P934" s="102"/>
      <c r="Q934" s="102"/>
      <c r="R934" s="102"/>
      <c r="S934" s="102"/>
      <c r="T934" s="102"/>
      <c r="U934" s="101" t="n">
        <f aca="false">V934+W934+X934+COUNTIF(I934:T934,"R")</f>
        <v>0</v>
      </c>
      <c r="V934" s="101" t="n">
        <f aca="false">COUNTIF(I934:T934,"E")</f>
        <v>0</v>
      </c>
      <c r="W934" s="101" t="n">
        <f aca="false">COUNTIF(I934:T934,"X")</f>
        <v>0</v>
      </c>
      <c r="X934" s="101" t="n">
        <f aca="false">COUNTIF(I934:T934,"C2")+COUNTIF(I934:T934,"C3")</f>
        <v>0</v>
      </c>
      <c r="Y934" s="101" t="n">
        <f aca="true">SUMPRODUCT((I934:INDEX(I934:T934,MONTH(TODAY()))="X")*1)</f>
        <v>0</v>
      </c>
      <c r="Z934" s="104" t="str">
        <f aca="false">IFERROR(V934/U934,"")</f>
        <v/>
      </c>
    </row>
    <row r="935" customFormat="false" ht="15" hidden="false" customHeight="true" outlineLevel="0" collapsed="false">
      <c r="A935" s="100" t="str">
        <f aca="false">Equipos!C933</f>
        <v>2-113999</v>
      </c>
      <c r="B935" s="101" t="str">
        <f aca="false">Equipos!D933</f>
        <v>Máquina Diálisis</v>
      </c>
      <c r="C935" s="101" t="str">
        <f aca="false">Equipos!E933</f>
        <v>UPC Adulto</v>
      </c>
      <c r="D935" s="101" t="n">
        <f aca="false">Equipos!G933</f>
        <v>0</v>
      </c>
      <c r="E935" s="101" t="str">
        <f aca="false">Equipos!I933</f>
        <v>Fresenius</v>
      </c>
      <c r="F935" s="101" t="str">
        <f aca="false">Equipos!J933</f>
        <v>4008B(s)</v>
      </c>
      <c r="G935" s="100" t="str">
        <f aca="false">Equipos!K933</f>
        <v>8VCAJN39</v>
      </c>
      <c r="H935" s="101"/>
      <c r="I935" s="102"/>
      <c r="J935" s="102"/>
      <c r="K935" s="102"/>
      <c r="L935" s="103" t="s">
        <v>330</v>
      </c>
      <c r="M935" s="103" t="s">
        <v>328</v>
      </c>
      <c r="N935" s="102"/>
      <c r="O935" s="102"/>
      <c r="P935" s="102"/>
      <c r="Q935" s="102"/>
      <c r="R935" s="102"/>
      <c r="S935" s="102"/>
      <c r="T935" s="102"/>
      <c r="U935" s="101" t="n">
        <f aca="false">V935+W935+X935+COUNTIF(I935:T935,"R")</f>
        <v>2</v>
      </c>
      <c r="V935" s="101" t="n">
        <f aca="false">COUNTIF(I935:T935,"E")</f>
        <v>1</v>
      </c>
      <c r="W935" s="101" t="n">
        <f aca="false">COUNTIF(I935:T935,"X")</f>
        <v>0</v>
      </c>
      <c r="X935" s="101" t="n">
        <f aca="false">COUNTIF(I935:T935,"C2")+COUNTIF(I935:T935,"C3")</f>
        <v>0</v>
      </c>
      <c r="Y935" s="101" t="n">
        <f aca="true">SUMPRODUCT((I935:INDEX(I935:T935,MONTH(TODAY()))="X")*1)</f>
        <v>0</v>
      </c>
      <c r="Z935" s="104" t="n">
        <f aca="false">IFERROR(V935/U935,"")</f>
        <v>0.5</v>
      </c>
    </row>
    <row r="936" customFormat="false" ht="15" hidden="false" customHeight="true" outlineLevel="0" collapsed="false">
      <c r="A936" s="100" t="n">
        <f aca="false">Equipos!C934</f>
        <v>0</v>
      </c>
      <c r="B936" s="101" t="n">
        <f aca="false">Equipos!D934</f>
        <v>0</v>
      </c>
      <c r="C936" s="101" t="n">
        <f aca="false">Equipos!E934</f>
        <v>0</v>
      </c>
      <c r="D936" s="101" t="n">
        <f aca="false">Equipos!G934</f>
        <v>0</v>
      </c>
      <c r="E936" s="101" t="n">
        <f aca="false">Equipos!I934</f>
        <v>0</v>
      </c>
      <c r="F936" s="101" t="n">
        <f aca="false">Equipos!J934</f>
        <v>0</v>
      </c>
      <c r="G936" s="100" t="n">
        <f aca="false">Equipos!K934</f>
        <v>0</v>
      </c>
      <c r="H936" s="101"/>
      <c r="I936" s="102"/>
      <c r="J936" s="102"/>
      <c r="K936" s="102"/>
      <c r="L936" s="102"/>
      <c r="M936" s="102"/>
      <c r="N936" s="102"/>
      <c r="O936" s="102"/>
      <c r="P936" s="102"/>
      <c r="Q936" s="102"/>
      <c r="R936" s="102"/>
      <c r="S936" s="102"/>
      <c r="T936" s="102"/>
      <c r="U936" s="101" t="n">
        <f aca="false">V936+W936+X936+COUNTIF(I936:T936,"R")</f>
        <v>0</v>
      </c>
      <c r="V936" s="101" t="n">
        <f aca="false">COUNTIF(I936:T936,"E")</f>
        <v>0</v>
      </c>
      <c r="W936" s="101" t="n">
        <f aca="false">COUNTIF(I936:T936,"X")</f>
        <v>0</v>
      </c>
      <c r="X936" s="101" t="n">
        <f aca="false">COUNTIF(I936:T936,"C2")+COUNTIF(I936:T936,"C3")</f>
        <v>0</v>
      </c>
      <c r="Y936" s="101" t="n">
        <f aca="true">SUMPRODUCT((I936:INDEX(I936:T936,MONTH(TODAY()))="X")*1)</f>
        <v>0</v>
      </c>
      <c r="Z936" s="104" t="str">
        <f aca="false">IFERROR(V936/U936,"")</f>
        <v/>
      </c>
    </row>
    <row r="937" customFormat="false" ht="15" hidden="false" customHeight="true" outlineLevel="0" collapsed="false">
      <c r="A937" s="100" t="n">
        <f aca="false">Equipos!C935</f>
        <v>0</v>
      </c>
      <c r="B937" s="101" t="n">
        <f aca="false">Equipos!D935</f>
        <v>0</v>
      </c>
      <c r="C937" s="101" t="n">
        <f aca="false">Equipos!E935</f>
        <v>0</v>
      </c>
      <c r="D937" s="101" t="n">
        <f aca="false">Equipos!G935</f>
        <v>0</v>
      </c>
      <c r="E937" s="101" t="n">
        <f aca="false">Equipos!I935</f>
        <v>0</v>
      </c>
      <c r="F937" s="101" t="n">
        <f aca="false">Equipos!J935</f>
        <v>0</v>
      </c>
      <c r="G937" s="100" t="n">
        <f aca="false">Equipos!K935</f>
        <v>0</v>
      </c>
      <c r="H937" s="101"/>
      <c r="I937" s="102"/>
      <c r="J937" s="102"/>
      <c r="K937" s="102"/>
      <c r="L937" s="102"/>
      <c r="M937" s="102"/>
      <c r="N937" s="102"/>
      <c r="O937" s="102"/>
      <c r="P937" s="102"/>
      <c r="Q937" s="102"/>
      <c r="R937" s="102"/>
      <c r="S937" s="102"/>
      <c r="T937" s="102"/>
      <c r="U937" s="101" t="n">
        <f aca="false">V937+W937+X937+COUNTIF(I937:T937,"R")</f>
        <v>0</v>
      </c>
      <c r="V937" s="101" t="n">
        <f aca="false">COUNTIF(I937:T937,"E")</f>
        <v>0</v>
      </c>
      <c r="W937" s="101" t="n">
        <f aca="false">COUNTIF(I937:T937,"X")</f>
        <v>0</v>
      </c>
      <c r="X937" s="101" t="n">
        <f aca="false">COUNTIF(I937:T937,"C2")+COUNTIF(I937:T937,"C3")</f>
        <v>0</v>
      </c>
      <c r="Y937" s="101" t="n">
        <f aca="true">SUMPRODUCT((I937:INDEX(I937:T937,MONTH(TODAY()))="X")*1)</f>
        <v>0</v>
      </c>
      <c r="Z937" s="104" t="str">
        <f aca="false">IFERROR(V937/U937,"")</f>
        <v/>
      </c>
    </row>
    <row r="938" customFormat="false" ht="15" hidden="false" customHeight="true" outlineLevel="0" collapsed="false">
      <c r="A938" s="100" t="n">
        <f aca="false">Equipos!C936</f>
        <v>0</v>
      </c>
      <c r="B938" s="101" t="n">
        <f aca="false">Equipos!D936</f>
        <v>0</v>
      </c>
      <c r="C938" s="101" t="n">
        <f aca="false">Equipos!E936</f>
        <v>0</v>
      </c>
      <c r="D938" s="101" t="n">
        <f aca="false">Equipos!G936</f>
        <v>0</v>
      </c>
      <c r="E938" s="101" t="n">
        <f aca="false">Equipos!I936</f>
        <v>0</v>
      </c>
      <c r="F938" s="101" t="n">
        <f aca="false">Equipos!J936</f>
        <v>0</v>
      </c>
      <c r="G938" s="100" t="n">
        <f aca="false">Equipos!K936</f>
        <v>0</v>
      </c>
      <c r="H938" s="101"/>
      <c r="I938" s="102"/>
      <c r="J938" s="102"/>
      <c r="K938" s="102"/>
      <c r="L938" s="102"/>
      <c r="M938" s="102"/>
      <c r="N938" s="102"/>
      <c r="O938" s="102"/>
      <c r="P938" s="102"/>
      <c r="Q938" s="102"/>
      <c r="R938" s="102"/>
      <c r="S938" s="102"/>
      <c r="T938" s="102"/>
      <c r="U938" s="101" t="n">
        <f aca="false">V938+W938+X938+COUNTIF(I938:T938,"R")</f>
        <v>0</v>
      </c>
      <c r="V938" s="101" t="n">
        <f aca="false">COUNTIF(I938:T938,"E")</f>
        <v>0</v>
      </c>
      <c r="W938" s="101" t="n">
        <f aca="false">COUNTIF(I938:T938,"X")</f>
        <v>0</v>
      </c>
      <c r="X938" s="101" t="n">
        <f aca="false">COUNTIF(I938:T938,"C2")+COUNTIF(I938:T938,"C3")</f>
        <v>0</v>
      </c>
      <c r="Y938" s="101" t="n">
        <f aca="true">SUMPRODUCT((I938:INDEX(I938:T938,MONTH(TODAY()))="X")*1)</f>
        <v>0</v>
      </c>
      <c r="Z938" s="104" t="str">
        <f aca="false">IFERROR(V938/U938,"")</f>
        <v/>
      </c>
    </row>
    <row r="939" customFormat="false" ht="15" hidden="false" customHeight="true" outlineLevel="0" collapsed="false">
      <c r="A939" s="100" t="str">
        <f aca="false">Equipos!C937</f>
        <v>2-133198</v>
      </c>
      <c r="B939" s="101" t="str">
        <f aca="false">Equipos!D937</f>
        <v>Máquina Diálisis</v>
      </c>
      <c r="C939" s="101" t="str">
        <f aca="false">Equipos!E937</f>
        <v>UPC Adulto</v>
      </c>
      <c r="D939" s="101" t="n">
        <f aca="false">Equipos!G937</f>
        <v>0</v>
      </c>
      <c r="E939" s="101" t="str">
        <f aca="false">Equipos!I937</f>
        <v>Fresenius</v>
      </c>
      <c r="F939" s="101" t="str">
        <f aca="false">Equipos!J937</f>
        <v>MultiFiltrate PRO</v>
      </c>
      <c r="G939" s="100" t="str">
        <f aca="false">Equipos!K937</f>
        <v>2FTG6886</v>
      </c>
      <c r="H939" s="101"/>
      <c r="I939" s="102"/>
      <c r="J939" s="102"/>
      <c r="K939" s="102"/>
      <c r="L939" s="103" t="s">
        <v>328</v>
      </c>
      <c r="M939" s="102"/>
      <c r="N939" s="102"/>
      <c r="O939" s="102"/>
      <c r="P939" s="102"/>
      <c r="Q939" s="102"/>
      <c r="R939" s="102"/>
      <c r="S939" s="102"/>
      <c r="T939" s="102"/>
      <c r="U939" s="101" t="n">
        <f aca="false">V939+W939+X939+COUNTIF(I939:T939,"R")</f>
        <v>1</v>
      </c>
      <c r="V939" s="101" t="n">
        <f aca="false">COUNTIF(I939:T939,"E")</f>
        <v>1</v>
      </c>
      <c r="W939" s="101" t="n">
        <f aca="false">COUNTIF(I939:T939,"X")</f>
        <v>0</v>
      </c>
      <c r="X939" s="101" t="n">
        <f aca="false">COUNTIF(I939:T939,"C2")+COUNTIF(I939:T939,"C3")</f>
        <v>0</v>
      </c>
      <c r="Y939" s="101" t="n">
        <f aca="true">SUMPRODUCT((I939:INDEX(I939:T939,MONTH(TODAY()))="X")*1)</f>
        <v>0</v>
      </c>
      <c r="Z939" s="104" t="n">
        <f aca="false">IFERROR(V939/U939,"")</f>
        <v>1</v>
      </c>
    </row>
    <row r="940" customFormat="false" ht="15" hidden="false" customHeight="true" outlineLevel="0" collapsed="false">
      <c r="A940" s="100" t="str">
        <f aca="false">Equipos!C938</f>
        <v>2-133199</v>
      </c>
      <c r="B940" s="101" t="str">
        <f aca="false">Equipos!D938</f>
        <v>Máquina Diálisis</v>
      </c>
      <c r="C940" s="101" t="str">
        <f aca="false">Equipos!E938</f>
        <v>UPC Adulto</v>
      </c>
      <c r="D940" s="101" t="n">
        <f aca="false">Equipos!G938</f>
        <v>0</v>
      </c>
      <c r="E940" s="101" t="str">
        <f aca="false">Equipos!I938</f>
        <v>Fresenius</v>
      </c>
      <c r="F940" s="101" t="str">
        <f aca="false">Equipos!J938</f>
        <v>MultiFiltrate PRO</v>
      </c>
      <c r="G940" s="100" t="str">
        <f aca="false">Equipos!K938</f>
        <v>2FTG6885</v>
      </c>
      <c r="H940" s="101"/>
      <c r="I940" s="102"/>
      <c r="J940" s="102"/>
      <c r="K940" s="102"/>
      <c r="L940" s="103" t="s">
        <v>328</v>
      </c>
      <c r="M940" s="102"/>
      <c r="N940" s="102"/>
      <c r="O940" s="102"/>
      <c r="P940" s="102"/>
      <c r="Q940" s="102"/>
      <c r="R940" s="102"/>
      <c r="S940" s="102"/>
      <c r="T940" s="102"/>
      <c r="U940" s="101" t="n">
        <f aca="false">V940+W940+X940+COUNTIF(I940:T940,"R")</f>
        <v>1</v>
      </c>
      <c r="V940" s="101" t="n">
        <f aca="false">COUNTIF(I940:T940,"E")</f>
        <v>1</v>
      </c>
      <c r="W940" s="101" t="n">
        <f aca="false">COUNTIF(I940:T940,"X")</f>
        <v>0</v>
      </c>
      <c r="X940" s="101" t="n">
        <f aca="false">COUNTIF(I940:T940,"C2")+COUNTIF(I940:T940,"C3")</f>
        <v>0</v>
      </c>
      <c r="Y940" s="101" t="n">
        <f aca="true">SUMPRODUCT((I940:INDEX(I940:T940,MONTH(TODAY()))="X")*1)</f>
        <v>0</v>
      </c>
      <c r="Z940" s="104" t="n">
        <f aca="false">IFERROR(V940/U940,"")</f>
        <v>1</v>
      </c>
    </row>
    <row r="941" customFormat="false" ht="15" hidden="false" customHeight="true" outlineLevel="0" collapsed="false">
      <c r="A941" s="100" t="str">
        <f aca="false">Equipos!C939</f>
        <v>2-133200</v>
      </c>
      <c r="B941" s="101" t="str">
        <f aca="false">Equipos!D939</f>
        <v>Máquina Diálisis</v>
      </c>
      <c r="C941" s="101" t="str">
        <f aca="false">Equipos!E939</f>
        <v>UPC Adulto</v>
      </c>
      <c r="D941" s="101" t="n">
        <f aca="false">Equipos!G939</f>
        <v>0</v>
      </c>
      <c r="E941" s="101" t="str">
        <f aca="false">Equipos!I939</f>
        <v>Fresenius</v>
      </c>
      <c r="F941" s="101" t="str">
        <f aca="false">Equipos!J939</f>
        <v>MultiFiltrate PRO</v>
      </c>
      <c r="G941" s="100" t="str">
        <f aca="false">Equipos!K939</f>
        <v>2FTG6884</v>
      </c>
      <c r="H941" s="101"/>
      <c r="I941" s="102"/>
      <c r="J941" s="102"/>
      <c r="K941" s="102"/>
      <c r="L941" s="103" t="s">
        <v>328</v>
      </c>
      <c r="M941" s="102"/>
      <c r="N941" s="102"/>
      <c r="O941" s="102"/>
      <c r="P941" s="102"/>
      <c r="Q941" s="102"/>
      <c r="R941" s="102"/>
      <c r="S941" s="102"/>
      <c r="T941" s="102"/>
      <c r="U941" s="101" t="n">
        <f aca="false">V941+W941+X941+COUNTIF(I941:T941,"R")</f>
        <v>1</v>
      </c>
      <c r="V941" s="101" t="n">
        <f aca="false">COUNTIF(I941:T941,"E")</f>
        <v>1</v>
      </c>
      <c r="W941" s="101" t="n">
        <f aca="false">COUNTIF(I941:T941,"X")</f>
        <v>0</v>
      </c>
      <c r="X941" s="101" t="n">
        <f aca="false">COUNTIF(I941:T941,"C2")+COUNTIF(I941:T941,"C3")</f>
        <v>0</v>
      </c>
      <c r="Y941" s="101" t="n">
        <f aca="true">SUMPRODUCT((I941:INDEX(I941:T941,MONTH(TODAY()))="X")*1)</f>
        <v>0</v>
      </c>
      <c r="Z941" s="104" t="n">
        <f aca="false">IFERROR(V941/U941,"")</f>
        <v>1</v>
      </c>
    </row>
    <row r="942" customFormat="false" ht="15" hidden="false" customHeight="true" outlineLevel="0" collapsed="false">
      <c r="A942" s="100" t="n">
        <f aca="false">Equipos!C940</f>
        <v>0</v>
      </c>
      <c r="B942" s="101" t="n">
        <f aca="false">Equipos!D940</f>
        <v>0</v>
      </c>
      <c r="C942" s="101" t="n">
        <f aca="false">Equipos!E940</f>
        <v>0</v>
      </c>
      <c r="D942" s="101" t="n">
        <f aca="false">Equipos!G940</f>
        <v>0</v>
      </c>
      <c r="E942" s="101" t="n">
        <f aca="false">Equipos!I940</f>
        <v>0</v>
      </c>
      <c r="F942" s="101" t="n">
        <f aca="false">Equipos!J940</f>
        <v>0</v>
      </c>
      <c r="G942" s="100" t="n">
        <f aca="false">Equipos!K940</f>
        <v>0</v>
      </c>
      <c r="H942" s="101"/>
      <c r="I942" s="102"/>
      <c r="J942" s="102"/>
      <c r="K942" s="102"/>
      <c r="L942" s="102"/>
      <c r="M942" s="102"/>
      <c r="N942" s="102"/>
      <c r="O942" s="102"/>
      <c r="P942" s="102"/>
      <c r="Q942" s="102"/>
      <c r="R942" s="102"/>
      <c r="S942" s="102"/>
      <c r="T942" s="102"/>
      <c r="U942" s="101" t="n">
        <f aca="false">V942+W942+X942+COUNTIF(I942:T942,"R")</f>
        <v>0</v>
      </c>
      <c r="V942" s="101" t="n">
        <f aca="false">COUNTIF(I942:T942,"E")</f>
        <v>0</v>
      </c>
      <c r="W942" s="101" t="n">
        <f aca="false">COUNTIF(I942:T942,"X")</f>
        <v>0</v>
      </c>
      <c r="X942" s="101" t="n">
        <f aca="false">COUNTIF(I942:T942,"C2")+COUNTIF(I942:T942,"C3")</f>
        <v>0</v>
      </c>
      <c r="Y942" s="101" t="n">
        <f aca="true">SUMPRODUCT((I942:INDEX(I942:T942,MONTH(TODAY()))="X")*1)</f>
        <v>0</v>
      </c>
      <c r="Z942" s="104" t="str">
        <f aca="false">IFERROR(V942/U942,"")</f>
        <v/>
      </c>
    </row>
    <row r="943" customFormat="false" ht="15" hidden="false" customHeight="true" outlineLevel="0" collapsed="false">
      <c r="A943" s="100" t="n">
        <f aca="false">Equipos!C941</f>
        <v>0</v>
      </c>
      <c r="B943" s="101" t="n">
        <f aca="false">Equipos!D941</f>
        <v>0</v>
      </c>
      <c r="C943" s="101" t="n">
        <f aca="false">Equipos!E941</f>
        <v>0</v>
      </c>
      <c r="D943" s="101" t="n">
        <f aca="false">Equipos!G941</f>
        <v>0</v>
      </c>
      <c r="E943" s="101" t="n">
        <f aca="false">Equipos!I941</f>
        <v>0</v>
      </c>
      <c r="F943" s="101" t="n">
        <f aca="false">Equipos!J941</f>
        <v>0</v>
      </c>
      <c r="G943" s="100" t="n">
        <f aca="false">Equipos!K941</f>
        <v>0</v>
      </c>
      <c r="H943" s="101"/>
      <c r="I943" s="102"/>
      <c r="J943" s="102"/>
      <c r="K943" s="102"/>
      <c r="L943" s="102"/>
      <c r="M943" s="102"/>
      <c r="N943" s="102"/>
      <c r="O943" s="102"/>
      <c r="P943" s="102"/>
      <c r="Q943" s="102"/>
      <c r="R943" s="102"/>
      <c r="S943" s="102"/>
      <c r="T943" s="102"/>
      <c r="U943" s="101" t="n">
        <f aca="false">V943+W943+X943+COUNTIF(I943:T943,"R")</f>
        <v>0</v>
      </c>
      <c r="V943" s="101" t="n">
        <f aca="false">COUNTIF(I943:T943,"E")</f>
        <v>0</v>
      </c>
      <c r="W943" s="101" t="n">
        <f aca="false">COUNTIF(I943:T943,"X")</f>
        <v>0</v>
      </c>
      <c r="X943" s="101" t="n">
        <f aca="false">COUNTIF(I943:T943,"C2")+COUNTIF(I943:T943,"C3")</f>
        <v>0</v>
      </c>
      <c r="Y943" s="101" t="n">
        <f aca="true">SUMPRODUCT((I943:INDEX(I943:T943,MONTH(TODAY()))="X")*1)</f>
        <v>0</v>
      </c>
      <c r="Z943" s="104" t="str">
        <f aca="false">IFERROR(V943/U943,"")</f>
        <v/>
      </c>
    </row>
    <row r="944" customFormat="false" ht="15" hidden="false" customHeight="true" outlineLevel="0" collapsed="false">
      <c r="A944" s="100" t="n">
        <f aca="false">Equipos!C942</f>
        <v>0</v>
      </c>
      <c r="B944" s="101" t="n">
        <f aca="false">Equipos!D942</f>
        <v>0</v>
      </c>
      <c r="C944" s="101" t="n">
        <f aca="false">Equipos!E942</f>
        <v>0</v>
      </c>
      <c r="D944" s="101" t="n">
        <f aca="false">Equipos!G942</f>
        <v>0</v>
      </c>
      <c r="E944" s="101" t="n">
        <f aca="false">Equipos!I942</f>
        <v>0</v>
      </c>
      <c r="F944" s="101" t="n">
        <f aca="false">Equipos!J942</f>
        <v>0</v>
      </c>
      <c r="G944" s="100" t="n">
        <f aca="false">Equipos!K942</f>
        <v>0</v>
      </c>
      <c r="H944" s="101"/>
      <c r="I944" s="102"/>
      <c r="J944" s="102"/>
      <c r="K944" s="102"/>
      <c r="L944" s="102"/>
      <c r="M944" s="102"/>
      <c r="N944" s="102"/>
      <c r="O944" s="102"/>
      <c r="P944" s="102"/>
      <c r="Q944" s="102"/>
      <c r="R944" s="102"/>
      <c r="S944" s="102"/>
      <c r="T944" s="102"/>
      <c r="U944" s="101" t="n">
        <f aca="false">V944+W944+X944+COUNTIF(I944:T944,"R")</f>
        <v>0</v>
      </c>
      <c r="V944" s="101" t="n">
        <f aca="false">COUNTIF(I944:T944,"E")</f>
        <v>0</v>
      </c>
      <c r="W944" s="101" t="n">
        <f aca="false">COUNTIF(I944:T944,"X")</f>
        <v>0</v>
      </c>
      <c r="X944" s="101" t="n">
        <f aca="false">COUNTIF(I944:T944,"C2")+COUNTIF(I944:T944,"C3")</f>
        <v>0</v>
      </c>
      <c r="Y944" s="101" t="n">
        <f aca="true">SUMPRODUCT((I944:INDEX(I944:T944,MONTH(TODAY()))="X")*1)</f>
        <v>0</v>
      </c>
      <c r="Z944" s="104" t="str">
        <f aca="false">IFERROR(V944/U944,"")</f>
        <v/>
      </c>
    </row>
    <row r="945" customFormat="false" ht="15" hidden="false" customHeight="true" outlineLevel="0" collapsed="false">
      <c r="A945" s="100" t="n">
        <f aca="false">Equipos!C943</f>
        <v>0</v>
      </c>
      <c r="B945" s="101" t="n">
        <f aca="false">Equipos!D943</f>
        <v>0</v>
      </c>
      <c r="C945" s="101" t="n">
        <f aca="false">Equipos!E943</f>
        <v>0</v>
      </c>
      <c r="D945" s="101" t="n">
        <f aca="false">Equipos!G943</f>
        <v>0</v>
      </c>
      <c r="E945" s="101" t="n">
        <f aca="false">Equipos!I943</f>
        <v>0</v>
      </c>
      <c r="F945" s="101" t="n">
        <f aca="false">Equipos!J943</f>
        <v>0</v>
      </c>
      <c r="G945" s="100" t="n">
        <f aca="false">Equipos!K943</f>
        <v>0</v>
      </c>
      <c r="H945" s="101"/>
      <c r="I945" s="102"/>
      <c r="J945" s="102"/>
      <c r="K945" s="102"/>
      <c r="L945" s="102"/>
      <c r="M945" s="102"/>
      <c r="N945" s="102"/>
      <c r="O945" s="102"/>
      <c r="P945" s="102"/>
      <c r="Q945" s="102"/>
      <c r="R945" s="102"/>
      <c r="S945" s="102"/>
      <c r="T945" s="102"/>
      <c r="U945" s="101" t="n">
        <f aca="false">V945+W945+X945+COUNTIF(I945:T945,"R")</f>
        <v>0</v>
      </c>
      <c r="V945" s="101" t="n">
        <f aca="false">COUNTIF(I945:T945,"E")</f>
        <v>0</v>
      </c>
      <c r="W945" s="101" t="n">
        <f aca="false">COUNTIF(I945:T945,"X")</f>
        <v>0</v>
      </c>
      <c r="X945" s="101" t="n">
        <f aca="false">COUNTIF(I945:T945,"C2")+COUNTIF(I945:T945,"C3")</f>
        <v>0</v>
      </c>
      <c r="Y945" s="101" t="n">
        <f aca="true">SUMPRODUCT((I945:INDEX(I945:T945,MONTH(TODAY()))="X")*1)</f>
        <v>0</v>
      </c>
      <c r="Z945" s="104" t="str">
        <f aca="false">IFERROR(V945/U945,"")</f>
        <v/>
      </c>
    </row>
    <row r="946" customFormat="false" ht="15" hidden="false" customHeight="true" outlineLevel="0" collapsed="false">
      <c r="A946" s="100" t="str">
        <f aca="false">Equipos!C944</f>
        <v>2-006456</v>
      </c>
      <c r="B946" s="101" t="str">
        <f aca="false">Equipos!D944</f>
        <v>Máquina Diálisis</v>
      </c>
      <c r="C946" s="101" t="str">
        <f aca="false">Equipos!E944</f>
        <v>Hemodiálisis</v>
      </c>
      <c r="D946" s="101" t="str">
        <f aca="false">Equipos!G944</f>
        <v>EPB-P1</v>
      </c>
      <c r="E946" s="101" t="str">
        <f aca="false">Equipos!I944</f>
        <v>Fresenius</v>
      </c>
      <c r="F946" s="101" t="str">
        <f aca="false">Equipos!J944</f>
        <v>4008B</v>
      </c>
      <c r="G946" s="100" t="str">
        <f aca="false">Equipos!K944</f>
        <v>OV5APR17</v>
      </c>
      <c r="H946" s="101"/>
      <c r="I946" s="102"/>
      <c r="J946" s="102"/>
      <c r="K946" s="102"/>
      <c r="L946" s="102"/>
      <c r="M946" s="103" t="s">
        <v>328</v>
      </c>
      <c r="N946" s="102"/>
      <c r="O946" s="102"/>
      <c r="P946" s="102"/>
      <c r="Q946" s="102"/>
      <c r="R946" s="102"/>
      <c r="S946" s="102"/>
      <c r="T946" s="102"/>
      <c r="U946" s="101" t="n">
        <f aca="false">V946+W946+X946+COUNTIF(I946:T946,"R")</f>
        <v>1</v>
      </c>
      <c r="V946" s="101" t="n">
        <f aca="false">COUNTIF(I946:T946,"E")</f>
        <v>1</v>
      </c>
      <c r="W946" s="101" t="n">
        <f aca="false">COUNTIF(I946:T946,"X")</f>
        <v>0</v>
      </c>
      <c r="X946" s="101" t="n">
        <f aca="false">COUNTIF(I946:T946,"C2")+COUNTIF(I946:T946,"C3")</f>
        <v>0</v>
      </c>
      <c r="Y946" s="101" t="n">
        <f aca="true">SUMPRODUCT((I946:INDEX(I946:T946,MONTH(TODAY()))="X")*1)</f>
        <v>0</v>
      </c>
      <c r="Z946" s="104" t="n">
        <f aca="false">IFERROR(V946/U946,"")</f>
        <v>1</v>
      </c>
    </row>
    <row r="947" customFormat="false" ht="15" hidden="false" customHeight="true" outlineLevel="0" collapsed="false">
      <c r="A947" s="100" t="str">
        <f aca="false">Equipos!C945</f>
        <v>2-016016</v>
      </c>
      <c r="B947" s="101" t="str">
        <f aca="false">Equipos!D945</f>
        <v>Máquina Diálisis</v>
      </c>
      <c r="C947" s="101" t="str">
        <f aca="false">Equipos!E945</f>
        <v>UPC Pediátrica</v>
      </c>
      <c r="D947" s="101" t="n">
        <f aca="false">Equipos!G945</f>
        <v>0</v>
      </c>
      <c r="E947" s="101" t="str">
        <f aca="false">Equipos!I945</f>
        <v>Gambro</v>
      </c>
      <c r="F947" s="101" t="str">
        <f aca="false">Equipos!J945</f>
        <v>Prismaflex</v>
      </c>
      <c r="G947" s="100" t="str">
        <f aca="false">Equipos!K945</f>
        <v>PA10283</v>
      </c>
      <c r="H947" s="101"/>
      <c r="I947" s="102"/>
      <c r="J947" s="102"/>
      <c r="K947" s="102"/>
      <c r="L947" s="103" t="s">
        <v>328</v>
      </c>
      <c r="M947" s="102"/>
      <c r="N947" s="102"/>
      <c r="O947" s="102"/>
      <c r="P947" s="102"/>
      <c r="Q947" s="102"/>
      <c r="R947" s="102"/>
      <c r="S947" s="102"/>
      <c r="T947" s="102"/>
      <c r="U947" s="101" t="n">
        <f aca="false">V947+W947+X947+COUNTIF(I947:T947,"R")</f>
        <v>1</v>
      </c>
      <c r="V947" s="101" t="n">
        <f aca="false">COUNTIF(I947:T947,"E")</f>
        <v>1</v>
      </c>
      <c r="W947" s="101" t="n">
        <f aca="false">COUNTIF(I947:T947,"X")</f>
        <v>0</v>
      </c>
      <c r="X947" s="101" t="n">
        <f aca="false">COUNTIF(I947:T947,"C2")+COUNTIF(I947:T947,"C3")</f>
        <v>0</v>
      </c>
      <c r="Y947" s="101" t="n">
        <f aca="true">SUMPRODUCT((I947:INDEX(I947:T947,MONTH(TODAY()))="X")*1)</f>
        <v>0</v>
      </c>
      <c r="Z947" s="104" t="n">
        <f aca="false">IFERROR(V947/U947,"")</f>
        <v>1</v>
      </c>
    </row>
    <row r="948" customFormat="false" ht="15" hidden="false" customHeight="true" outlineLevel="0" collapsed="false">
      <c r="A948" s="100" t="str">
        <f aca="false">Equipos!C946</f>
        <v>2-013586</v>
      </c>
      <c r="B948" s="101" t="str">
        <f aca="false">Equipos!D946</f>
        <v>Máquina Diálisis</v>
      </c>
      <c r="C948" s="101" t="str">
        <f aca="false">Equipos!E946</f>
        <v>UPC Adulto</v>
      </c>
      <c r="D948" s="101" t="n">
        <f aca="false">Equipos!G946</f>
        <v>0</v>
      </c>
      <c r="E948" s="101" t="str">
        <f aca="false">Equipos!I946</f>
        <v>Fresenius</v>
      </c>
      <c r="F948" s="101" t="str">
        <f aca="false">Equipos!J946</f>
        <v>4008S</v>
      </c>
      <c r="G948" s="100" t="str">
        <f aca="false">Equipos!K946</f>
        <v>5SXAEL56</v>
      </c>
      <c r="H948" s="101"/>
      <c r="I948" s="102"/>
      <c r="J948" s="102"/>
      <c r="K948" s="102"/>
      <c r="L948" s="103" t="s">
        <v>328</v>
      </c>
      <c r="M948" s="102"/>
      <c r="N948" s="102"/>
      <c r="O948" s="102"/>
      <c r="P948" s="102"/>
      <c r="Q948" s="102"/>
      <c r="R948" s="102"/>
      <c r="S948" s="102"/>
      <c r="T948" s="102"/>
      <c r="U948" s="101" t="n">
        <f aca="false">V948+W948+X948+COUNTIF(I948:T948,"R")</f>
        <v>1</v>
      </c>
      <c r="V948" s="101" t="n">
        <f aca="false">COUNTIF(I948:T948,"E")</f>
        <v>1</v>
      </c>
      <c r="W948" s="101" t="n">
        <f aca="false">COUNTIF(I948:T948,"X")</f>
        <v>0</v>
      </c>
      <c r="X948" s="101" t="n">
        <f aca="false">COUNTIF(I948:T948,"C2")+COUNTIF(I948:T948,"C3")</f>
        <v>0</v>
      </c>
      <c r="Y948" s="101" t="n">
        <f aca="true">SUMPRODUCT((I948:INDEX(I948:T948,MONTH(TODAY()))="X")*1)</f>
        <v>0</v>
      </c>
      <c r="Z948" s="104" t="n">
        <f aca="false">IFERROR(V948/U948,"")</f>
        <v>1</v>
      </c>
    </row>
    <row r="949" customFormat="false" ht="15" hidden="false" customHeight="true" outlineLevel="0" collapsed="false">
      <c r="A949" s="100" t="str">
        <f aca="false">Equipos!C947</f>
        <v>2-111213</v>
      </c>
      <c r="B949" s="101" t="str">
        <f aca="false">Equipos!D947</f>
        <v>Máquina Diálisis</v>
      </c>
      <c r="C949" s="101" t="str">
        <f aca="false">Equipos!E947</f>
        <v>UPC Adulto</v>
      </c>
      <c r="D949" s="101" t="n">
        <f aca="false">Equipos!G947</f>
        <v>0</v>
      </c>
      <c r="E949" s="101" t="str">
        <f aca="false">Equipos!I947</f>
        <v>Fresenius</v>
      </c>
      <c r="F949" s="101" t="str">
        <f aca="false">Equipos!J947</f>
        <v>4008S</v>
      </c>
      <c r="G949" s="100" t="str">
        <f aca="false">Equipos!K947</f>
        <v>5SXAEL57</v>
      </c>
      <c r="H949" s="101"/>
      <c r="I949" s="102"/>
      <c r="J949" s="102"/>
      <c r="K949" s="102"/>
      <c r="L949" s="103" t="s">
        <v>328</v>
      </c>
      <c r="M949" s="102"/>
      <c r="N949" s="102"/>
      <c r="O949" s="102"/>
      <c r="P949" s="102"/>
      <c r="Q949" s="102"/>
      <c r="R949" s="102"/>
      <c r="S949" s="102"/>
      <c r="T949" s="102"/>
      <c r="U949" s="101" t="n">
        <f aca="false">V949+W949+X949+COUNTIF(I949:T949,"R")</f>
        <v>1</v>
      </c>
      <c r="V949" s="101" t="n">
        <f aca="false">COUNTIF(I949:T949,"E")</f>
        <v>1</v>
      </c>
      <c r="W949" s="101" t="n">
        <f aca="false">COUNTIF(I949:T949,"X")</f>
        <v>0</v>
      </c>
      <c r="X949" s="101" t="n">
        <f aca="false">COUNTIF(I949:T949,"C2")+COUNTIF(I949:T949,"C3")</f>
        <v>0</v>
      </c>
      <c r="Y949" s="101" t="n">
        <f aca="true">SUMPRODUCT((I949:INDEX(I949:T949,MONTH(TODAY()))="X")*1)</f>
        <v>0</v>
      </c>
      <c r="Z949" s="104" t="n">
        <f aca="false">IFERROR(V949/U949,"")</f>
        <v>1</v>
      </c>
    </row>
    <row r="950" customFormat="false" ht="15" hidden="false" customHeight="true" outlineLevel="0" collapsed="false">
      <c r="A950" s="100" t="str">
        <f aca="false">Equipos!C948</f>
        <v>2-027619</v>
      </c>
      <c r="B950" s="101" t="str">
        <f aca="false">Equipos!D948</f>
        <v>Máquina Diálisis</v>
      </c>
      <c r="C950" s="101" t="str">
        <f aca="false">Equipos!E948</f>
        <v>UPC Adulto</v>
      </c>
      <c r="D950" s="101" t="n">
        <f aca="false">Equipos!G948</f>
        <v>0</v>
      </c>
      <c r="E950" s="101" t="str">
        <f aca="false">Equipos!I948</f>
        <v>Fresenius</v>
      </c>
      <c r="F950" s="101" t="str">
        <f aca="false">Equipos!J948</f>
        <v>4008S</v>
      </c>
      <c r="G950" s="100" t="str">
        <f aca="false">Equipos!K948</f>
        <v>5SXAEL58</v>
      </c>
      <c r="H950" s="101"/>
      <c r="I950" s="102"/>
      <c r="J950" s="102"/>
      <c r="K950" s="102"/>
      <c r="L950" s="103" t="s">
        <v>328</v>
      </c>
      <c r="M950" s="102"/>
      <c r="N950" s="102"/>
      <c r="O950" s="102"/>
      <c r="P950" s="102"/>
      <c r="Q950" s="102"/>
      <c r="R950" s="102"/>
      <c r="S950" s="102"/>
      <c r="T950" s="102"/>
      <c r="U950" s="101" t="n">
        <f aca="false">V950+W950+X950+COUNTIF(I950:T950,"R")</f>
        <v>1</v>
      </c>
      <c r="V950" s="101" t="n">
        <f aca="false">COUNTIF(I950:T950,"E")</f>
        <v>1</v>
      </c>
      <c r="W950" s="101" t="n">
        <f aca="false">COUNTIF(I950:T950,"X")</f>
        <v>0</v>
      </c>
      <c r="X950" s="101" t="n">
        <f aca="false">COUNTIF(I950:T950,"C2")+COUNTIF(I950:T950,"C3")</f>
        <v>0</v>
      </c>
      <c r="Y950" s="101" t="n">
        <f aca="true">SUMPRODUCT((I950:INDEX(I950:T950,MONTH(TODAY()))="X")*1)</f>
        <v>0</v>
      </c>
      <c r="Z950" s="104" t="n">
        <f aca="false">IFERROR(V950/U950,"")</f>
        <v>1</v>
      </c>
    </row>
    <row r="951" customFormat="false" ht="15" hidden="false" customHeight="true" outlineLevel="0" collapsed="false">
      <c r="A951" s="100" t="n">
        <f aca="false">Equipos!C949</f>
        <v>0</v>
      </c>
      <c r="B951" s="101" t="n">
        <f aca="false">Equipos!D949</f>
        <v>0</v>
      </c>
      <c r="C951" s="101" t="n">
        <f aca="false">Equipos!E949</f>
        <v>0</v>
      </c>
      <c r="D951" s="101" t="n">
        <f aca="false">Equipos!G949</f>
        <v>0</v>
      </c>
      <c r="E951" s="101" t="n">
        <f aca="false">Equipos!I949</f>
        <v>0</v>
      </c>
      <c r="F951" s="101" t="n">
        <f aca="false">Equipos!J949</f>
        <v>0</v>
      </c>
      <c r="G951" s="100" t="n">
        <f aca="false">Equipos!K949</f>
        <v>0</v>
      </c>
      <c r="H951" s="101"/>
      <c r="I951" s="102"/>
      <c r="J951" s="102"/>
      <c r="K951" s="102"/>
      <c r="L951" s="102"/>
      <c r="M951" s="102"/>
      <c r="N951" s="102"/>
      <c r="O951" s="102"/>
      <c r="P951" s="102"/>
      <c r="Q951" s="102"/>
      <c r="R951" s="102"/>
      <c r="S951" s="102"/>
      <c r="T951" s="102"/>
      <c r="U951" s="101" t="n">
        <f aca="false">V951+W951+X951+COUNTIF(I951:T951,"R")</f>
        <v>0</v>
      </c>
      <c r="V951" s="101" t="n">
        <f aca="false">COUNTIF(I951:T951,"E")</f>
        <v>0</v>
      </c>
      <c r="W951" s="101" t="n">
        <f aca="false">COUNTIF(I951:T951,"X")</f>
        <v>0</v>
      </c>
      <c r="X951" s="101" t="n">
        <f aca="false">COUNTIF(I951:T951,"C2")+COUNTIF(I951:T951,"C3")</f>
        <v>0</v>
      </c>
      <c r="Y951" s="101" t="n">
        <f aca="true">SUMPRODUCT((I951:INDEX(I951:T951,MONTH(TODAY()))="X")*1)</f>
        <v>0</v>
      </c>
      <c r="Z951" s="104" t="str">
        <f aca="false">IFERROR(V951/U951,"")</f>
        <v/>
      </c>
    </row>
    <row r="952" customFormat="false" ht="15" hidden="false" customHeight="true" outlineLevel="0" collapsed="false">
      <c r="A952" s="100" t="n">
        <f aca="false">Equipos!C950</f>
        <v>0</v>
      </c>
      <c r="B952" s="101" t="n">
        <f aca="false">Equipos!D950</f>
        <v>0</v>
      </c>
      <c r="C952" s="101" t="n">
        <f aca="false">Equipos!E950</f>
        <v>0</v>
      </c>
      <c r="D952" s="101" t="n">
        <f aca="false">Equipos!G950</f>
        <v>0</v>
      </c>
      <c r="E952" s="101" t="n">
        <f aca="false">Equipos!I950</f>
        <v>0</v>
      </c>
      <c r="F952" s="101" t="n">
        <f aca="false">Equipos!J950</f>
        <v>0</v>
      </c>
      <c r="G952" s="100" t="n">
        <f aca="false">Equipos!K950</f>
        <v>0</v>
      </c>
      <c r="H952" s="101"/>
      <c r="I952" s="102"/>
      <c r="J952" s="102"/>
      <c r="K952" s="102"/>
      <c r="L952" s="102"/>
      <c r="M952" s="102"/>
      <c r="N952" s="102"/>
      <c r="O952" s="102"/>
      <c r="P952" s="102"/>
      <c r="Q952" s="102"/>
      <c r="R952" s="102"/>
      <c r="S952" s="102"/>
      <c r="T952" s="102"/>
      <c r="U952" s="101" t="n">
        <f aca="false">V952+W952+X952+COUNTIF(I952:T952,"R")</f>
        <v>0</v>
      </c>
      <c r="V952" s="101" t="n">
        <f aca="false">COUNTIF(I952:T952,"E")</f>
        <v>0</v>
      </c>
      <c r="W952" s="101" t="n">
        <f aca="false">COUNTIF(I952:T952,"X")</f>
        <v>0</v>
      </c>
      <c r="X952" s="101" t="n">
        <f aca="false">COUNTIF(I952:T952,"C2")+COUNTIF(I952:T952,"C3")</f>
        <v>0</v>
      </c>
      <c r="Y952" s="101" t="n">
        <f aca="true">SUMPRODUCT((I952:INDEX(I952:T952,MONTH(TODAY()))="X")*1)</f>
        <v>0</v>
      </c>
      <c r="Z952" s="104" t="str">
        <f aca="false">IFERROR(V952/U952,"")</f>
        <v/>
      </c>
    </row>
    <row r="953" customFormat="false" ht="15" hidden="false" customHeight="true" outlineLevel="0" collapsed="false">
      <c r="A953" s="100" t="n">
        <f aca="false">Equipos!C951</f>
        <v>0</v>
      </c>
      <c r="B953" s="101" t="n">
        <f aca="false">Equipos!D951</f>
        <v>0</v>
      </c>
      <c r="C953" s="101" t="n">
        <f aca="false">Equipos!E951</f>
        <v>0</v>
      </c>
      <c r="D953" s="101" t="n">
        <f aca="false">Equipos!G951</f>
        <v>0</v>
      </c>
      <c r="E953" s="101" t="n">
        <f aca="false">Equipos!I951</f>
        <v>0</v>
      </c>
      <c r="F953" s="101" t="n">
        <f aca="false">Equipos!J951</f>
        <v>0</v>
      </c>
      <c r="G953" s="100" t="n">
        <f aca="false">Equipos!K951</f>
        <v>0</v>
      </c>
      <c r="H953" s="101"/>
      <c r="I953" s="102"/>
      <c r="J953" s="102"/>
      <c r="K953" s="102"/>
      <c r="L953" s="102"/>
      <c r="M953" s="102"/>
      <c r="N953" s="102"/>
      <c r="O953" s="102"/>
      <c r="P953" s="102"/>
      <c r="Q953" s="102"/>
      <c r="R953" s="102"/>
      <c r="S953" s="102"/>
      <c r="T953" s="102"/>
      <c r="U953" s="101" t="n">
        <f aca="false">V953+W953+X953+COUNTIF(I953:T953,"R")</f>
        <v>0</v>
      </c>
      <c r="V953" s="101" t="n">
        <f aca="false">COUNTIF(I953:T953,"E")</f>
        <v>0</v>
      </c>
      <c r="W953" s="101" t="n">
        <f aca="false">COUNTIF(I953:T953,"X")</f>
        <v>0</v>
      </c>
      <c r="X953" s="101" t="n">
        <f aca="false">COUNTIF(I953:T953,"C2")+COUNTIF(I953:T953,"C3")</f>
        <v>0</v>
      </c>
      <c r="Y953" s="101" t="n">
        <f aca="true">SUMPRODUCT((I953:INDEX(I953:T953,MONTH(TODAY()))="X")*1)</f>
        <v>0</v>
      </c>
      <c r="Z953" s="104" t="str">
        <f aca="false">IFERROR(V953/U953,"")</f>
        <v/>
      </c>
    </row>
    <row r="954" customFormat="false" ht="15" hidden="false" customHeight="true" outlineLevel="0" collapsed="false">
      <c r="A954" s="100" t="n">
        <f aca="false">Equipos!C952</f>
        <v>0</v>
      </c>
      <c r="B954" s="101" t="n">
        <f aca="false">Equipos!D952</f>
        <v>0</v>
      </c>
      <c r="C954" s="101" t="n">
        <f aca="false">Equipos!E952</f>
        <v>0</v>
      </c>
      <c r="D954" s="101" t="n">
        <f aca="false">Equipos!G952</f>
        <v>0</v>
      </c>
      <c r="E954" s="101" t="n">
        <f aca="false">Equipos!I952</f>
        <v>0</v>
      </c>
      <c r="F954" s="101" t="n">
        <f aca="false">Equipos!J952</f>
        <v>0</v>
      </c>
      <c r="G954" s="100" t="n">
        <f aca="false">Equipos!K952</f>
        <v>0</v>
      </c>
      <c r="H954" s="101"/>
      <c r="I954" s="102"/>
      <c r="J954" s="102"/>
      <c r="K954" s="102"/>
      <c r="L954" s="102"/>
      <c r="M954" s="102"/>
      <c r="N954" s="102"/>
      <c r="O954" s="102"/>
      <c r="P954" s="102"/>
      <c r="Q954" s="102"/>
      <c r="R954" s="102"/>
      <c r="S954" s="102"/>
      <c r="T954" s="102"/>
      <c r="U954" s="101" t="n">
        <f aca="false">V954+W954+X954+COUNTIF(I954:T954,"R")</f>
        <v>0</v>
      </c>
      <c r="V954" s="101" t="n">
        <f aca="false">COUNTIF(I954:T954,"E")</f>
        <v>0</v>
      </c>
      <c r="W954" s="101" t="n">
        <f aca="false">COUNTIF(I954:T954,"X")</f>
        <v>0</v>
      </c>
      <c r="X954" s="101" t="n">
        <f aca="false">COUNTIF(I954:T954,"C2")+COUNTIF(I954:T954,"C3")</f>
        <v>0</v>
      </c>
      <c r="Y954" s="101" t="n">
        <f aca="true">SUMPRODUCT((I954:INDEX(I954:T954,MONTH(TODAY()))="X")*1)</f>
        <v>0</v>
      </c>
      <c r="Z954" s="104" t="str">
        <f aca="false">IFERROR(V954/U954,"")</f>
        <v/>
      </c>
    </row>
    <row r="955" customFormat="false" ht="15" hidden="false" customHeight="true" outlineLevel="0" collapsed="false">
      <c r="A955" s="100" t="n">
        <f aca="false">Equipos!C953</f>
        <v>0</v>
      </c>
      <c r="B955" s="101" t="n">
        <f aca="false">Equipos!D953</f>
        <v>0</v>
      </c>
      <c r="C955" s="101" t="n">
        <f aca="false">Equipos!E953</f>
        <v>0</v>
      </c>
      <c r="D955" s="101" t="n">
        <f aca="false">Equipos!G953</f>
        <v>0</v>
      </c>
      <c r="E955" s="101" t="n">
        <f aca="false">Equipos!I953</f>
        <v>0</v>
      </c>
      <c r="F955" s="101" t="n">
        <f aca="false">Equipos!J953</f>
        <v>0</v>
      </c>
      <c r="G955" s="100" t="n">
        <f aca="false">Equipos!K953</f>
        <v>0</v>
      </c>
      <c r="H955" s="101"/>
      <c r="I955" s="102"/>
      <c r="J955" s="102"/>
      <c r="K955" s="102"/>
      <c r="L955" s="102"/>
      <c r="M955" s="102"/>
      <c r="N955" s="102"/>
      <c r="O955" s="102"/>
      <c r="P955" s="102"/>
      <c r="Q955" s="102"/>
      <c r="R955" s="102"/>
      <c r="S955" s="102"/>
      <c r="T955" s="102"/>
      <c r="U955" s="101" t="n">
        <f aca="false">V955+W955+X955+COUNTIF(I955:T955,"R")</f>
        <v>0</v>
      </c>
      <c r="V955" s="101" t="n">
        <f aca="false">COUNTIF(I955:T955,"E")</f>
        <v>0</v>
      </c>
      <c r="W955" s="101" t="n">
        <f aca="false">COUNTIF(I955:T955,"X")</f>
        <v>0</v>
      </c>
      <c r="X955" s="101" t="n">
        <f aca="false">COUNTIF(I955:T955,"C2")+COUNTIF(I955:T955,"C3")</f>
        <v>0</v>
      </c>
      <c r="Y955" s="101" t="n">
        <f aca="true">SUMPRODUCT((I955:INDEX(I955:T955,MONTH(TODAY()))="X")*1)</f>
        <v>0</v>
      </c>
      <c r="Z955" s="104" t="str">
        <f aca="false">IFERROR(V955/U955,"")</f>
        <v/>
      </c>
    </row>
    <row r="956" customFormat="false" ht="15" hidden="false" customHeight="true" outlineLevel="0" collapsed="false">
      <c r="A956" s="100" t="n">
        <f aca="false">Equipos!C954</f>
        <v>0</v>
      </c>
      <c r="B956" s="101" t="n">
        <f aca="false">Equipos!D954</f>
        <v>0</v>
      </c>
      <c r="C956" s="101" t="n">
        <f aca="false">Equipos!E954</f>
        <v>0</v>
      </c>
      <c r="D956" s="101" t="n">
        <f aca="false">Equipos!G954</f>
        <v>0</v>
      </c>
      <c r="E956" s="101" t="n">
        <f aca="false">Equipos!I954</f>
        <v>0</v>
      </c>
      <c r="F956" s="101" t="n">
        <f aca="false">Equipos!J954</f>
        <v>0</v>
      </c>
      <c r="G956" s="100" t="n">
        <f aca="false">Equipos!K954</f>
        <v>0</v>
      </c>
      <c r="H956" s="101"/>
      <c r="I956" s="102"/>
      <c r="J956" s="102"/>
      <c r="K956" s="102"/>
      <c r="L956" s="102"/>
      <c r="M956" s="102"/>
      <c r="N956" s="102"/>
      <c r="O956" s="102"/>
      <c r="P956" s="102"/>
      <c r="Q956" s="102"/>
      <c r="R956" s="102"/>
      <c r="S956" s="102"/>
      <c r="T956" s="102"/>
      <c r="U956" s="101" t="n">
        <f aca="false">V956+W956+X956+COUNTIF(I956:T956,"R")</f>
        <v>0</v>
      </c>
      <c r="V956" s="101" t="n">
        <f aca="false">COUNTIF(I956:T956,"E")</f>
        <v>0</v>
      </c>
      <c r="W956" s="101" t="n">
        <f aca="false">COUNTIF(I956:T956,"X")</f>
        <v>0</v>
      </c>
      <c r="X956" s="101" t="n">
        <f aca="false">COUNTIF(I956:T956,"C2")+COUNTIF(I956:T956,"C3")</f>
        <v>0</v>
      </c>
      <c r="Y956" s="101" t="n">
        <f aca="true">SUMPRODUCT((I956:INDEX(I956:T956,MONTH(TODAY()))="X")*1)</f>
        <v>0</v>
      </c>
      <c r="Z956" s="104" t="str">
        <f aca="false">IFERROR(V956/U956,"")</f>
        <v/>
      </c>
    </row>
    <row r="957" customFormat="false" ht="15" hidden="false" customHeight="true" outlineLevel="0" collapsed="false">
      <c r="A957" s="100" t="str">
        <f aca="false">Equipos!C955</f>
        <v>2-128041</v>
      </c>
      <c r="B957" s="101" t="str">
        <f aca="false">Equipos!D955</f>
        <v>Máquina Diálisis</v>
      </c>
      <c r="C957" s="101" t="str">
        <f aca="false">Equipos!E955</f>
        <v>Hemodiálisis</v>
      </c>
      <c r="D957" s="101" t="n">
        <f aca="false">Equipos!G955</f>
        <v>0</v>
      </c>
      <c r="E957" s="101" t="str">
        <f aca="false">Equipos!I955</f>
        <v>Fresenius</v>
      </c>
      <c r="F957" s="101" t="str">
        <f aca="false">Equipos!J955</f>
        <v>4008S</v>
      </c>
      <c r="G957" s="100" t="str">
        <f aca="false">Equipos!K955</f>
        <v>3SXA4HC6</v>
      </c>
      <c r="H957" s="101"/>
      <c r="I957" s="102"/>
      <c r="J957" s="102"/>
      <c r="K957" s="102"/>
      <c r="L957" s="102"/>
      <c r="M957" s="103" t="s">
        <v>329</v>
      </c>
      <c r="N957" s="102"/>
      <c r="O957" s="102"/>
      <c r="P957" s="102"/>
      <c r="Q957" s="102"/>
      <c r="R957" s="102"/>
      <c r="S957" s="102"/>
      <c r="T957" s="102"/>
      <c r="U957" s="101" t="n">
        <f aca="false">V957+W957+X957+COUNTIF(I957:T957,"R")</f>
        <v>1</v>
      </c>
      <c r="V957" s="101" t="n">
        <f aca="false">COUNTIF(I957:T957,"E")</f>
        <v>0</v>
      </c>
      <c r="W957" s="101" t="n">
        <f aca="false">COUNTIF(I957:T957,"X")</f>
        <v>1</v>
      </c>
      <c r="X957" s="101" t="n">
        <f aca="false">COUNTIF(I957:T957,"C2")+COUNTIF(I957:T957,"C3")</f>
        <v>0</v>
      </c>
      <c r="Y957" s="101" t="n">
        <f aca="true">SUMPRODUCT((I957:INDEX(I957:T957,MONTH(TODAY()))="X")*1)</f>
        <v>1</v>
      </c>
      <c r="Z957" s="104" t="n">
        <f aca="false">IFERROR(V957/U957,"")</f>
        <v>0</v>
      </c>
    </row>
    <row r="958" customFormat="false" ht="15" hidden="false" customHeight="true" outlineLevel="0" collapsed="false">
      <c r="A958" s="100" t="str">
        <f aca="false">Equipos!C956</f>
        <v>2-128043</v>
      </c>
      <c r="B958" s="101" t="str">
        <f aca="false">Equipos!D956</f>
        <v>Máquina Diálisis</v>
      </c>
      <c r="C958" s="101" t="str">
        <f aca="false">Equipos!E956</f>
        <v>Hemodiálisis</v>
      </c>
      <c r="D958" s="101" t="n">
        <f aca="false">Equipos!G956</f>
        <v>0</v>
      </c>
      <c r="E958" s="101" t="str">
        <f aca="false">Equipos!I956</f>
        <v>Fresenius</v>
      </c>
      <c r="F958" s="101" t="str">
        <f aca="false">Equipos!J956</f>
        <v>4008S</v>
      </c>
      <c r="G958" s="100" t="str">
        <f aca="false">Equipos!K956</f>
        <v>3SXA4HC2</v>
      </c>
      <c r="H958" s="101"/>
      <c r="I958" s="102"/>
      <c r="J958" s="102"/>
      <c r="K958" s="102"/>
      <c r="L958" s="102"/>
      <c r="M958" s="103" t="s">
        <v>328</v>
      </c>
      <c r="N958" s="102"/>
      <c r="O958" s="102"/>
      <c r="P958" s="102"/>
      <c r="Q958" s="102"/>
      <c r="R958" s="102"/>
      <c r="S958" s="102"/>
      <c r="T958" s="102"/>
      <c r="U958" s="101" t="n">
        <f aca="false">V958+W958+X958+COUNTIF(I958:T958,"R")</f>
        <v>1</v>
      </c>
      <c r="V958" s="101" t="n">
        <f aca="false">COUNTIF(I958:T958,"E")</f>
        <v>1</v>
      </c>
      <c r="W958" s="101" t="n">
        <f aca="false">COUNTIF(I958:T958,"X")</f>
        <v>0</v>
      </c>
      <c r="X958" s="101" t="n">
        <f aca="false">COUNTIF(I958:T958,"C2")+COUNTIF(I958:T958,"C3")</f>
        <v>0</v>
      </c>
      <c r="Y958" s="101" t="n">
        <f aca="true">SUMPRODUCT((I958:INDEX(I958:T958,MONTH(TODAY()))="X")*1)</f>
        <v>0</v>
      </c>
      <c r="Z958" s="104" t="n">
        <f aca="false">IFERROR(V958/U958,"")</f>
        <v>1</v>
      </c>
    </row>
    <row r="959" customFormat="false" ht="15" hidden="false" customHeight="true" outlineLevel="0" collapsed="false">
      <c r="A959" s="100" t="str">
        <f aca="false">Equipos!C957</f>
        <v>2-128044</v>
      </c>
      <c r="B959" s="101" t="str">
        <f aca="false">Equipos!D957</f>
        <v>Máquina Diálisis</v>
      </c>
      <c r="C959" s="101" t="str">
        <f aca="false">Equipos!E957</f>
        <v>Hemodiálisis</v>
      </c>
      <c r="D959" s="101" t="n">
        <f aca="false">Equipos!G957</f>
        <v>0</v>
      </c>
      <c r="E959" s="101" t="str">
        <f aca="false">Equipos!I957</f>
        <v>Fresenius</v>
      </c>
      <c r="F959" s="101" t="str">
        <f aca="false">Equipos!J957</f>
        <v>4008S</v>
      </c>
      <c r="G959" s="100" t="str">
        <f aca="false">Equipos!K957</f>
        <v>3SXA4HDK</v>
      </c>
      <c r="H959" s="101"/>
      <c r="I959" s="102"/>
      <c r="J959" s="102"/>
      <c r="K959" s="102"/>
      <c r="L959" s="102"/>
      <c r="M959" s="103" t="s">
        <v>328</v>
      </c>
      <c r="N959" s="102"/>
      <c r="O959" s="102"/>
      <c r="P959" s="102"/>
      <c r="Q959" s="102"/>
      <c r="R959" s="102"/>
      <c r="S959" s="102"/>
      <c r="T959" s="102"/>
      <c r="U959" s="101" t="n">
        <f aca="false">V959+W959+X959+COUNTIF(I959:T959,"R")</f>
        <v>1</v>
      </c>
      <c r="V959" s="101" t="n">
        <f aca="false">COUNTIF(I959:T959,"E")</f>
        <v>1</v>
      </c>
      <c r="W959" s="101" t="n">
        <f aca="false">COUNTIF(I959:T959,"X")</f>
        <v>0</v>
      </c>
      <c r="X959" s="101" t="n">
        <f aca="false">COUNTIF(I959:T959,"C2")+COUNTIF(I959:T959,"C3")</f>
        <v>0</v>
      </c>
      <c r="Y959" s="101" t="n">
        <f aca="true">SUMPRODUCT((I959:INDEX(I959:T959,MONTH(TODAY()))="X")*1)</f>
        <v>0</v>
      </c>
      <c r="Z959" s="104" t="n">
        <f aca="false">IFERROR(V959/U959,"")</f>
        <v>1</v>
      </c>
    </row>
    <row r="960" customFormat="false" ht="15" hidden="false" customHeight="true" outlineLevel="0" collapsed="false">
      <c r="A960" s="100" t="str">
        <f aca="false">Equipos!C958</f>
        <v>2-128045</v>
      </c>
      <c r="B960" s="101" t="str">
        <f aca="false">Equipos!D958</f>
        <v>Máquina Diálisis</v>
      </c>
      <c r="C960" s="101" t="str">
        <f aca="false">Equipos!E958</f>
        <v>Hemodiálisis</v>
      </c>
      <c r="D960" s="101" t="n">
        <f aca="false">Equipos!G958</f>
        <v>0</v>
      </c>
      <c r="E960" s="101" t="str">
        <f aca="false">Equipos!I958</f>
        <v>Fresenius</v>
      </c>
      <c r="F960" s="101" t="str">
        <f aca="false">Equipos!J958</f>
        <v>4008S</v>
      </c>
      <c r="G960" s="100" t="str">
        <f aca="false">Equipos!K958</f>
        <v>3SXA4HDJ</v>
      </c>
      <c r="H960" s="101"/>
      <c r="I960" s="102"/>
      <c r="J960" s="102"/>
      <c r="K960" s="102"/>
      <c r="L960" s="102"/>
      <c r="M960" s="103" t="s">
        <v>328</v>
      </c>
      <c r="N960" s="102"/>
      <c r="O960" s="102"/>
      <c r="P960" s="102"/>
      <c r="Q960" s="102"/>
      <c r="R960" s="102"/>
      <c r="S960" s="102"/>
      <c r="T960" s="102"/>
      <c r="U960" s="101" t="n">
        <f aca="false">V960+W960+X960+COUNTIF(I960:T960,"R")</f>
        <v>1</v>
      </c>
      <c r="V960" s="101" t="n">
        <f aca="false">COUNTIF(I960:T960,"E")</f>
        <v>1</v>
      </c>
      <c r="W960" s="101" t="n">
        <f aca="false">COUNTIF(I960:T960,"X")</f>
        <v>0</v>
      </c>
      <c r="X960" s="101" t="n">
        <f aca="false">COUNTIF(I960:T960,"C2")+COUNTIF(I960:T960,"C3")</f>
        <v>0</v>
      </c>
      <c r="Y960" s="101" t="n">
        <f aca="true">SUMPRODUCT((I960:INDEX(I960:T960,MONTH(TODAY()))="X")*1)</f>
        <v>0</v>
      </c>
      <c r="Z960" s="104" t="n">
        <f aca="false">IFERROR(V960/U960,"")</f>
        <v>1</v>
      </c>
    </row>
    <row r="961" customFormat="false" ht="15" hidden="false" customHeight="true" outlineLevel="0" collapsed="false">
      <c r="A961" s="100" t="str">
        <f aca="false">Equipos!C959</f>
        <v>2-128046</v>
      </c>
      <c r="B961" s="101" t="str">
        <f aca="false">Equipos!D959</f>
        <v>Máquina Diálisis</v>
      </c>
      <c r="C961" s="101" t="str">
        <f aca="false">Equipos!E959</f>
        <v>Hemodiálisis</v>
      </c>
      <c r="D961" s="101" t="n">
        <f aca="false">Equipos!G959</f>
        <v>0</v>
      </c>
      <c r="E961" s="101" t="str">
        <f aca="false">Equipos!I959</f>
        <v>Fresenius</v>
      </c>
      <c r="F961" s="101" t="str">
        <f aca="false">Equipos!J959</f>
        <v>4008S</v>
      </c>
      <c r="G961" s="100" t="str">
        <f aca="false">Equipos!K959</f>
        <v>3SXA4HD0</v>
      </c>
      <c r="H961" s="101"/>
      <c r="I961" s="102"/>
      <c r="J961" s="102"/>
      <c r="K961" s="102"/>
      <c r="L961" s="102"/>
      <c r="M961" s="103" t="s">
        <v>328</v>
      </c>
      <c r="N961" s="102"/>
      <c r="O961" s="102"/>
      <c r="P961" s="102"/>
      <c r="Q961" s="102"/>
      <c r="R961" s="102"/>
      <c r="S961" s="102"/>
      <c r="T961" s="102"/>
      <c r="U961" s="101" t="n">
        <f aca="false">V961+W961+X961+COUNTIF(I961:T961,"R")</f>
        <v>1</v>
      </c>
      <c r="V961" s="101" t="n">
        <f aca="false">COUNTIF(I961:T961,"E")</f>
        <v>1</v>
      </c>
      <c r="W961" s="101" t="n">
        <f aca="false">COUNTIF(I961:T961,"X")</f>
        <v>0</v>
      </c>
      <c r="X961" s="101" t="n">
        <f aca="false">COUNTIF(I961:T961,"C2")+COUNTIF(I961:T961,"C3")</f>
        <v>0</v>
      </c>
      <c r="Y961" s="101" t="n">
        <f aca="true">SUMPRODUCT((I961:INDEX(I961:T961,MONTH(TODAY()))="X")*1)</f>
        <v>0</v>
      </c>
      <c r="Z961" s="104" t="n">
        <f aca="false">IFERROR(V961/U961,"")</f>
        <v>1</v>
      </c>
    </row>
    <row r="962" customFormat="false" ht="15" hidden="false" customHeight="true" outlineLevel="0" collapsed="false">
      <c r="A962" s="100" t="str">
        <f aca="false">Equipos!C960</f>
        <v>2-128047</v>
      </c>
      <c r="B962" s="101" t="str">
        <f aca="false">Equipos!D960</f>
        <v>Máquina Diálisis</v>
      </c>
      <c r="C962" s="101" t="str">
        <f aca="false">Equipos!E960</f>
        <v>Hemodiálisis</v>
      </c>
      <c r="D962" s="101" t="n">
        <f aca="false">Equipos!G960</f>
        <v>0</v>
      </c>
      <c r="E962" s="101" t="str">
        <f aca="false">Equipos!I960</f>
        <v>Fresenius</v>
      </c>
      <c r="F962" s="101" t="str">
        <f aca="false">Equipos!J960</f>
        <v>4008S</v>
      </c>
      <c r="G962" s="100" t="str">
        <f aca="false">Equipos!K960</f>
        <v>3SXA4HD1</v>
      </c>
      <c r="H962" s="101"/>
      <c r="I962" s="102"/>
      <c r="J962" s="102"/>
      <c r="K962" s="102"/>
      <c r="L962" s="102"/>
      <c r="M962" s="103" t="s">
        <v>328</v>
      </c>
      <c r="N962" s="102"/>
      <c r="O962" s="102"/>
      <c r="P962" s="102"/>
      <c r="Q962" s="102"/>
      <c r="R962" s="102"/>
      <c r="S962" s="102"/>
      <c r="T962" s="102"/>
      <c r="U962" s="101" t="n">
        <f aca="false">V962+W962+X962+COUNTIF(I962:T962,"R")</f>
        <v>1</v>
      </c>
      <c r="V962" s="101" t="n">
        <f aca="false">COUNTIF(I962:T962,"E")</f>
        <v>1</v>
      </c>
      <c r="W962" s="101" t="n">
        <f aca="false">COUNTIF(I962:T962,"X")</f>
        <v>0</v>
      </c>
      <c r="X962" s="101" t="n">
        <f aca="false">COUNTIF(I962:T962,"C2")+COUNTIF(I962:T962,"C3")</f>
        <v>0</v>
      </c>
      <c r="Y962" s="101" t="n">
        <f aca="true">SUMPRODUCT((I962:INDEX(I962:T962,MONTH(TODAY()))="X")*1)</f>
        <v>0</v>
      </c>
      <c r="Z962" s="104" t="n">
        <f aca="false">IFERROR(V962/U962,"")</f>
        <v>1</v>
      </c>
    </row>
    <row r="963" customFormat="false" ht="15" hidden="false" customHeight="true" outlineLevel="0" collapsed="false">
      <c r="A963" s="100" t="str">
        <f aca="false">Equipos!C961</f>
        <v>2-128048</v>
      </c>
      <c r="B963" s="101" t="str">
        <f aca="false">Equipos!D961</f>
        <v>Máquina Diálisis</v>
      </c>
      <c r="C963" s="101" t="str">
        <f aca="false">Equipos!E961</f>
        <v>Hemodiálisis</v>
      </c>
      <c r="D963" s="101" t="n">
        <f aca="false">Equipos!G961</f>
        <v>0</v>
      </c>
      <c r="E963" s="101" t="str">
        <f aca="false">Equipos!I961</f>
        <v>Fresenius</v>
      </c>
      <c r="F963" s="101" t="str">
        <f aca="false">Equipos!J961</f>
        <v>4008S</v>
      </c>
      <c r="G963" s="100" t="str">
        <f aca="false">Equipos!K961</f>
        <v>3SXA4HCJ</v>
      </c>
      <c r="H963" s="101"/>
      <c r="I963" s="102"/>
      <c r="J963" s="102"/>
      <c r="K963" s="102"/>
      <c r="L963" s="102"/>
      <c r="M963" s="103" t="s">
        <v>328</v>
      </c>
      <c r="N963" s="102"/>
      <c r="O963" s="102"/>
      <c r="P963" s="102"/>
      <c r="Q963" s="102"/>
      <c r="R963" s="102"/>
      <c r="S963" s="102"/>
      <c r="T963" s="102"/>
      <c r="U963" s="101" t="n">
        <f aca="false">V963+W963+X963+COUNTIF(I963:T963,"R")</f>
        <v>1</v>
      </c>
      <c r="V963" s="101" t="n">
        <f aca="false">COUNTIF(I963:T963,"E")</f>
        <v>1</v>
      </c>
      <c r="W963" s="101" t="n">
        <f aca="false">COUNTIF(I963:T963,"X")</f>
        <v>0</v>
      </c>
      <c r="X963" s="101" t="n">
        <f aca="false">COUNTIF(I963:T963,"C2")+COUNTIF(I963:T963,"C3")</f>
        <v>0</v>
      </c>
      <c r="Y963" s="101" t="n">
        <f aca="true">SUMPRODUCT((I963:INDEX(I963:T963,MONTH(TODAY()))="X")*1)</f>
        <v>0</v>
      </c>
      <c r="Z963" s="104" t="n">
        <f aca="false">IFERROR(V963/U963,"")</f>
        <v>1</v>
      </c>
    </row>
    <row r="964" customFormat="false" ht="15" hidden="false" customHeight="true" outlineLevel="0" collapsed="false">
      <c r="A964" s="100" t="str">
        <f aca="false">Equipos!C962</f>
        <v>2-128050</v>
      </c>
      <c r="B964" s="101" t="str">
        <f aca="false">Equipos!D962</f>
        <v>Máquina Diálisis</v>
      </c>
      <c r="C964" s="101" t="str">
        <f aca="false">Equipos!E962</f>
        <v>Hemodiálisis</v>
      </c>
      <c r="D964" s="101" t="n">
        <f aca="false">Equipos!G962</f>
        <v>0</v>
      </c>
      <c r="E964" s="101" t="str">
        <f aca="false">Equipos!I962</f>
        <v>Fresenius</v>
      </c>
      <c r="F964" s="101" t="str">
        <f aca="false">Equipos!J962</f>
        <v>4008S</v>
      </c>
      <c r="G964" s="100" t="str">
        <f aca="false">Equipos!K962</f>
        <v>3SXA4HC9</v>
      </c>
      <c r="H964" s="101"/>
      <c r="I964" s="102"/>
      <c r="J964" s="102"/>
      <c r="K964" s="102"/>
      <c r="L964" s="102"/>
      <c r="M964" s="103" t="s">
        <v>328</v>
      </c>
      <c r="N964" s="102"/>
      <c r="O964" s="102"/>
      <c r="P964" s="102"/>
      <c r="Q964" s="102"/>
      <c r="R964" s="102"/>
      <c r="S964" s="102"/>
      <c r="T964" s="102"/>
      <c r="U964" s="101" t="n">
        <f aca="false">V964+W964+X964+COUNTIF(I964:T964,"R")</f>
        <v>1</v>
      </c>
      <c r="V964" s="101" t="n">
        <f aca="false">COUNTIF(I964:T964,"E")</f>
        <v>1</v>
      </c>
      <c r="W964" s="101" t="n">
        <f aca="false">COUNTIF(I964:T964,"X")</f>
        <v>0</v>
      </c>
      <c r="X964" s="101" t="n">
        <f aca="false">COUNTIF(I964:T964,"C2")+COUNTIF(I964:T964,"C3")</f>
        <v>0</v>
      </c>
      <c r="Y964" s="101" t="n">
        <f aca="true">SUMPRODUCT((I964:INDEX(I964:T964,MONTH(TODAY()))="X")*1)</f>
        <v>0</v>
      </c>
      <c r="Z964" s="104" t="n">
        <f aca="false">IFERROR(V964/U964,"")</f>
        <v>1</v>
      </c>
    </row>
    <row r="965" customFormat="false" ht="15" hidden="false" customHeight="true" outlineLevel="0" collapsed="false">
      <c r="A965" s="100" t="str">
        <f aca="false">Equipos!C963</f>
        <v>2-128060</v>
      </c>
      <c r="B965" s="101" t="str">
        <f aca="false">Equipos!D963</f>
        <v>Máquina Diálisis</v>
      </c>
      <c r="C965" s="101" t="str">
        <f aca="false">Equipos!E963</f>
        <v>Hemodiálisis</v>
      </c>
      <c r="D965" s="101" t="n">
        <f aca="false">Equipos!G963</f>
        <v>0</v>
      </c>
      <c r="E965" s="101" t="str">
        <f aca="false">Equipos!I963</f>
        <v>Fresenius</v>
      </c>
      <c r="F965" s="101" t="str">
        <f aca="false">Equipos!J963</f>
        <v>4008S</v>
      </c>
      <c r="G965" s="100" t="str">
        <f aca="false">Equipos!K963</f>
        <v>3SXA4HC0</v>
      </c>
      <c r="H965" s="101"/>
      <c r="I965" s="102"/>
      <c r="J965" s="102"/>
      <c r="K965" s="102"/>
      <c r="L965" s="102"/>
      <c r="M965" s="103" t="s">
        <v>328</v>
      </c>
      <c r="N965" s="102"/>
      <c r="O965" s="102"/>
      <c r="P965" s="102"/>
      <c r="Q965" s="102"/>
      <c r="R965" s="102"/>
      <c r="S965" s="102"/>
      <c r="T965" s="102"/>
      <c r="U965" s="101" t="n">
        <f aca="false">V965+W965+X965+COUNTIF(I965:T965,"R")</f>
        <v>1</v>
      </c>
      <c r="V965" s="101" t="n">
        <f aca="false">COUNTIF(I965:T965,"E")</f>
        <v>1</v>
      </c>
      <c r="W965" s="101" t="n">
        <f aca="false">COUNTIF(I965:T965,"X")</f>
        <v>0</v>
      </c>
      <c r="X965" s="101" t="n">
        <f aca="false">COUNTIF(I965:T965,"C2")+COUNTIF(I965:T965,"C3")</f>
        <v>0</v>
      </c>
      <c r="Y965" s="101" t="n">
        <f aca="true">SUMPRODUCT((I965:INDEX(I965:T965,MONTH(TODAY()))="X")*1)</f>
        <v>0</v>
      </c>
      <c r="Z965" s="104" t="n">
        <f aca="false">IFERROR(V965/U965,"")</f>
        <v>1</v>
      </c>
    </row>
    <row r="966" customFormat="false" ht="15" hidden="false" customHeight="true" outlineLevel="0" collapsed="false">
      <c r="A966" s="100" t="str">
        <f aca="false">Equipos!C964</f>
        <v>2-128062</v>
      </c>
      <c r="B966" s="101" t="str">
        <f aca="false">Equipos!D964</f>
        <v>Máquina Diálisis</v>
      </c>
      <c r="C966" s="101" t="str">
        <f aca="false">Equipos!E964</f>
        <v>UPC Adulto</v>
      </c>
      <c r="D966" s="101" t="n">
        <f aca="false">Equipos!G964</f>
        <v>0</v>
      </c>
      <c r="E966" s="101" t="str">
        <f aca="false">Equipos!I964</f>
        <v>Fresenius</v>
      </c>
      <c r="F966" s="101" t="str">
        <f aca="false">Equipos!J964</f>
        <v>4008S</v>
      </c>
      <c r="G966" s="100" t="str">
        <f aca="false">Equipos!K964</f>
        <v>3SXA4HCP</v>
      </c>
      <c r="H966" s="101"/>
      <c r="I966" s="102"/>
      <c r="J966" s="102"/>
      <c r="K966" s="102"/>
      <c r="L966" s="103" t="s">
        <v>330</v>
      </c>
      <c r="M966" s="103" t="s">
        <v>328</v>
      </c>
      <c r="N966" s="102"/>
      <c r="O966" s="102"/>
      <c r="P966" s="102"/>
      <c r="Q966" s="102"/>
      <c r="R966" s="102"/>
      <c r="S966" s="102"/>
      <c r="T966" s="102"/>
      <c r="U966" s="101" t="n">
        <f aca="false">V966+W966+X966+COUNTIF(I966:T966,"R")</f>
        <v>2</v>
      </c>
      <c r="V966" s="101" t="n">
        <f aca="false">COUNTIF(I966:T966,"E")</f>
        <v>1</v>
      </c>
      <c r="W966" s="101" t="n">
        <f aca="false">COUNTIF(I966:T966,"X")</f>
        <v>0</v>
      </c>
      <c r="X966" s="101" t="n">
        <f aca="false">COUNTIF(I966:T966,"C2")+COUNTIF(I966:T966,"C3")</f>
        <v>0</v>
      </c>
      <c r="Y966" s="101" t="n">
        <f aca="true">SUMPRODUCT((I966:INDEX(I966:T966,MONTH(TODAY()))="X")*1)</f>
        <v>0</v>
      </c>
      <c r="Z966" s="104" t="n">
        <f aca="false">IFERROR(V966/U966,"")</f>
        <v>0.5</v>
      </c>
    </row>
    <row r="967" customFormat="false" ht="15" hidden="false" customHeight="true" outlineLevel="0" collapsed="false">
      <c r="A967" s="100" t="str">
        <f aca="false">Equipos!C965</f>
        <v>2-130653</v>
      </c>
      <c r="B967" s="101" t="str">
        <f aca="false">Equipos!D965</f>
        <v>Máquina Diálisis</v>
      </c>
      <c r="C967" s="101" t="str">
        <f aca="false">Equipos!E965</f>
        <v>Hemodiálisis</v>
      </c>
      <c r="D967" s="101" t="n">
        <f aca="false">Equipos!G965</f>
        <v>0</v>
      </c>
      <c r="E967" s="101" t="str">
        <f aca="false">Equipos!I965</f>
        <v>Fresenius</v>
      </c>
      <c r="F967" s="101" t="str">
        <f aca="false">Equipos!J965</f>
        <v>5008S</v>
      </c>
      <c r="G967" s="100" t="str">
        <f aca="false">Equipos!K965</f>
        <v>0VSANY78</v>
      </c>
      <c r="H967" s="101"/>
      <c r="I967" s="102"/>
      <c r="J967" s="102"/>
      <c r="K967" s="102"/>
      <c r="L967" s="102"/>
      <c r="M967" s="102" t="s">
        <v>329</v>
      </c>
      <c r="N967" s="102"/>
      <c r="O967" s="102"/>
      <c r="P967" s="102"/>
      <c r="Q967" s="102"/>
      <c r="R967" s="102"/>
      <c r="S967" s="102"/>
      <c r="T967" s="102"/>
      <c r="U967" s="101" t="n">
        <f aca="false">V967+W967+X967+COUNTIF(I967:T967,"R")</f>
        <v>1</v>
      </c>
      <c r="V967" s="101" t="n">
        <f aca="false">COUNTIF(I967:T967,"E")</f>
        <v>0</v>
      </c>
      <c r="W967" s="101" t="n">
        <f aca="false">COUNTIF(I967:T967,"X")</f>
        <v>1</v>
      </c>
      <c r="X967" s="101" t="n">
        <f aca="false">COUNTIF(I967:T967,"C2")+COUNTIF(I967:T967,"C3")</f>
        <v>0</v>
      </c>
      <c r="Y967" s="101" t="n">
        <f aca="true">SUMPRODUCT((I967:INDEX(I967:T967,MONTH(TODAY()))="X")*1)</f>
        <v>1</v>
      </c>
      <c r="Z967" s="104" t="n">
        <f aca="false">IFERROR(V967/U967,"")</f>
        <v>0</v>
      </c>
    </row>
    <row r="968" customFormat="false" ht="15" hidden="false" customHeight="true" outlineLevel="0" collapsed="false">
      <c r="A968" s="100" t="str">
        <f aca="false">Equipos!C966</f>
        <v>2-130654</v>
      </c>
      <c r="B968" s="101" t="str">
        <f aca="false">Equipos!D966</f>
        <v>Máquina Diálisis</v>
      </c>
      <c r="C968" s="101" t="str">
        <f aca="false">Equipos!E966</f>
        <v>Hemodiálisis</v>
      </c>
      <c r="D968" s="101" t="n">
        <f aca="false">Equipos!G966</f>
        <v>0</v>
      </c>
      <c r="E968" s="101" t="str">
        <f aca="false">Equipos!I966</f>
        <v>Fresenius</v>
      </c>
      <c r="F968" s="101" t="str">
        <f aca="false">Equipos!J966</f>
        <v>5008S</v>
      </c>
      <c r="G968" s="100" t="str">
        <f aca="false">Equipos!K966</f>
        <v>9VSAMM17</v>
      </c>
      <c r="H968" s="101"/>
      <c r="I968" s="102"/>
      <c r="J968" s="102"/>
      <c r="K968" s="102"/>
      <c r="L968" s="102"/>
      <c r="M968" s="103" t="s">
        <v>329</v>
      </c>
      <c r="N968" s="102"/>
      <c r="O968" s="102"/>
      <c r="P968" s="102"/>
      <c r="Q968" s="102"/>
      <c r="R968" s="102"/>
      <c r="S968" s="102"/>
      <c r="T968" s="102"/>
      <c r="U968" s="101" t="n">
        <f aca="false">V968+W968+X968+COUNTIF(I968:T968,"R")</f>
        <v>1</v>
      </c>
      <c r="V968" s="101" t="n">
        <f aca="false">COUNTIF(I968:T968,"E")</f>
        <v>0</v>
      </c>
      <c r="W968" s="101" t="n">
        <f aca="false">COUNTIF(I968:T968,"X")</f>
        <v>1</v>
      </c>
      <c r="X968" s="101" t="n">
        <f aca="false">COUNTIF(I968:T968,"C2")+COUNTIF(I968:T968,"C3")</f>
        <v>0</v>
      </c>
      <c r="Y968" s="101" t="n">
        <f aca="true">SUMPRODUCT((I968:INDEX(I968:T968,MONTH(TODAY()))="X")*1)</f>
        <v>1</v>
      </c>
      <c r="Z968" s="104" t="n">
        <f aca="false">IFERROR(V968/U968,"")</f>
        <v>0</v>
      </c>
    </row>
    <row r="969" customFormat="false" ht="15" hidden="false" customHeight="true" outlineLevel="0" collapsed="false">
      <c r="A969" s="100" t="str">
        <f aca="false">Equipos!C967</f>
        <v>2-130655</v>
      </c>
      <c r="B969" s="101" t="str">
        <f aca="false">Equipos!D967</f>
        <v>Máquina Diálisis</v>
      </c>
      <c r="C969" s="101" t="str">
        <f aca="false">Equipos!E967</f>
        <v>Hemodiálisis</v>
      </c>
      <c r="D969" s="101" t="n">
        <f aca="false">Equipos!G967</f>
        <v>0</v>
      </c>
      <c r="E969" s="101" t="str">
        <f aca="false">Equipos!I967</f>
        <v>Fresenius</v>
      </c>
      <c r="F969" s="101" t="str">
        <f aca="false">Equipos!J967</f>
        <v>5008S</v>
      </c>
      <c r="G969" s="100" t="str">
        <f aca="false">Equipos!K967</f>
        <v>9VSAMM15</v>
      </c>
      <c r="H969" s="101"/>
      <c r="I969" s="102"/>
      <c r="J969" s="102"/>
      <c r="K969" s="102"/>
      <c r="L969" s="102"/>
      <c r="M969" s="102" t="s">
        <v>329</v>
      </c>
      <c r="N969" s="102"/>
      <c r="O969" s="102"/>
      <c r="P969" s="102"/>
      <c r="Q969" s="102"/>
      <c r="R969" s="102"/>
      <c r="S969" s="102"/>
      <c r="T969" s="102"/>
      <c r="U969" s="101" t="n">
        <f aca="false">V969+W969+X969+COUNTIF(I969:T969,"R")</f>
        <v>1</v>
      </c>
      <c r="V969" s="101" t="n">
        <f aca="false">COUNTIF(I969:T969,"E")</f>
        <v>0</v>
      </c>
      <c r="W969" s="101" t="n">
        <f aca="false">COUNTIF(I969:T969,"X")</f>
        <v>1</v>
      </c>
      <c r="X969" s="101" t="n">
        <f aca="false">COUNTIF(I969:T969,"C2")+COUNTIF(I969:T969,"C3")</f>
        <v>0</v>
      </c>
      <c r="Y969" s="101" t="n">
        <f aca="true">SUMPRODUCT((I969:INDEX(I969:T969,MONTH(TODAY()))="X")*1)</f>
        <v>1</v>
      </c>
      <c r="Z969" s="104" t="n">
        <f aca="false">IFERROR(V969/U969,"")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8E5A"/>
    <pageSetUpPr fitToPage="false"/>
  </sheetPr>
  <dimension ref="A1:Q12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I5" activeCellId="0" sqref="I5"/>
    </sheetView>
  </sheetViews>
  <sheetFormatPr defaultColWidth="9.14843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16"/>
    <col collapsed="false" customWidth="true" hidden="false" outlineLevel="0" max="4" min="4" style="0" width="20"/>
    <col collapsed="false" customWidth="true" hidden="false" outlineLevel="0" max="5" min="5" style="0" width="18"/>
    <col collapsed="false" customWidth="true" hidden="false" outlineLevel="0" max="6" min="6" style="0" width="20"/>
    <col collapsed="false" customWidth="true" hidden="false" outlineLevel="0" max="7" min="7" style="0" width="18"/>
    <col collapsed="false" customWidth="true" hidden="false" outlineLevel="0" max="8" min="8" style="0" width="12"/>
    <col collapsed="false" customWidth="true" hidden="false" outlineLevel="0" max="9" min="9" style="0" width="24"/>
    <col collapsed="false" customWidth="true" hidden="false" outlineLevel="0" max="10" min="10" style="0" width="9"/>
    <col collapsed="false" customWidth="true" hidden="false" outlineLevel="0" max="11" min="11" style="0" width="34"/>
    <col collapsed="false" customWidth="true" hidden="false" outlineLevel="0" max="12" min="12" style="0" width="15"/>
    <col collapsed="false" customWidth="true" hidden="false" outlineLevel="0" max="13" min="13" style="0" width="14"/>
    <col collapsed="false" customWidth="true" hidden="false" outlineLevel="0" max="14" min="14" style="0" width="22"/>
    <col collapsed="false" customWidth="true" hidden="false" outlineLevel="0" max="16" min="15" style="0" width="16"/>
    <col collapsed="false" customWidth="true" hidden="false" outlineLevel="0" max="17" min="17" style="0" width="40"/>
  </cols>
  <sheetData>
    <row r="1" customFormat="false" ht="38.25" hidden="false" customHeight="true" outlineLevel="0" collapsed="false">
      <c r="A1" s="105" t="s">
        <v>20</v>
      </c>
      <c r="B1" s="105" t="s">
        <v>334</v>
      </c>
      <c r="C1" s="105" t="s">
        <v>335</v>
      </c>
      <c r="D1" s="105" t="s">
        <v>336</v>
      </c>
      <c r="E1" s="105" t="s">
        <v>337</v>
      </c>
      <c r="F1" s="105" t="s">
        <v>338</v>
      </c>
      <c r="G1" s="105" t="s">
        <v>339</v>
      </c>
      <c r="H1" s="105" t="s">
        <v>340</v>
      </c>
      <c r="I1" s="105" t="s">
        <v>341</v>
      </c>
      <c r="J1" s="105" t="s">
        <v>294</v>
      </c>
      <c r="K1" s="105" t="s">
        <v>342</v>
      </c>
      <c r="L1" s="105" t="s">
        <v>343</v>
      </c>
      <c r="M1" s="105" t="s">
        <v>344</v>
      </c>
      <c r="N1" s="105" t="s">
        <v>345</v>
      </c>
      <c r="O1" s="105" t="s">
        <v>346</v>
      </c>
      <c r="P1" s="105" t="s">
        <v>347</v>
      </c>
      <c r="Q1" s="105" t="s">
        <v>348</v>
      </c>
    </row>
    <row r="2" customFormat="false" ht="15" hidden="false" customHeight="true" outlineLevel="0" collapsed="false">
      <c r="A2" s="51" t="s">
        <v>349</v>
      </c>
      <c r="B2" s="50" t="str">
        <f aca="false">IFERROR(VLOOKUP($A2,Equipos!$C$2:$M$967,2,FALSE()),"")</f>
        <v>Ventilador Mecánico </v>
      </c>
      <c r="C2" s="50" t="str">
        <f aca="false">IFERROR(VLOOKUP($A2,Equipos!$C$2:$M$967,9,FALSE()),"")</f>
        <v>MV2000TA1F0353</v>
      </c>
      <c r="D2" s="50" t="str">
        <f aca="false">IFERROR(VLOOKUP($A2,Equipos!$C$2:$M$967,3,FALSE()),"")</f>
        <v>UPC Adulto</v>
      </c>
      <c r="E2" s="50" t="str">
        <f aca="false">IFERROR(VLOOKUP($A2,Equipos!$C$2:$M$967,7,FALSE()),"")</f>
        <v>MEK ICS</v>
      </c>
      <c r="F2" s="50" t="str">
        <f aca="false">IFERROR(VLOOKUP($A2,Equipos!$C$2:$M$967,8,FALSE()),"")</f>
        <v>MV2000 EVO5</v>
      </c>
      <c r="G2" s="50" t="s">
        <v>350</v>
      </c>
      <c r="H2" s="50" t="s">
        <v>351</v>
      </c>
      <c r="I2" s="50"/>
      <c r="J2" s="50" t="s">
        <v>352</v>
      </c>
      <c r="K2" s="50" t="str">
        <f aca="false">IFERROR(VLOOKUP($J2,Catálogos!$M$4:$N$17,2,FALSE()),"")</f>
        <v>Mantención Preventiva Realizada</v>
      </c>
      <c r="L2" s="52" t="n">
        <v>45910</v>
      </c>
      <c r="M2" s="50" t="s">
        <v>353</v>
      </c>
      <c r="N2" s="50" t="s">
        <v>162</v>
      </c>
      <c r="O2" s="50"/>
      <c r="P2" s="50"/>
      <c r="Q2" s="50"/>
    </row>
    <row r="3" customFormat="false" ht="15" hidden="false" customHeight="true" outlineLevel="0" collapsed="false">
      <c r="A3" s="51" t="s">
        <v>127</v>
      </c>
      <c r="B3" s="50" t="str">
        <f aca="false">IFERROR(VLOOKUP($A3,Equipos!$C$2:$M$967,2,FALSE()),"")</f>
        <v>Máquina de Anestesia</v>
      </c>
      <c r="C3" s="50" t="str">
        <f aca="false">IFERROR(VLOOKUP($A3,Equipos!$C$2:$M$967,9,FALSE()),"")</f>
        <v>ASMB-0231</v>
      </c>
      <c r="D3" s="50" t="str">
        <f aca="false">IFERROR(VLOOKUP($A3,Equipos!$C$2:$M$967,3,FALSE()),"")</f>
        <v>Pabellón Quirúrgico</v>
      </c>
      <c r="E3" s="50" t="str">
        <f aca="false">IFERROR(VLOOKUP($A3,Equipos!$C$2:$M$967,7,FALSE()),"")</f>
        <v>Drager</v>
      </c>
      <c r="F3" s="50" t="str">
        <f aca="false">IFERROR(VLOOKUP($A3,Equipos!$C$2:$M$967,8,FALSE()),"")</f>
        <v>Primus IE</v>
      </c>
      <c r="G3" s="50" t="s">
        <v>354</v>
      </c>
      <c r="H3" s="50" t="s">
        <v>351</v>
      </c>
      <c r="I3" s="50"/>
      <c r="J3" s="50" t="s">
        <v>331</v>
      </c>
      <c r="K3" s="50" t="str">
        <f aca="false">IFERROR(VLOOKUP($J3,Catálogos!$M$4:$N$17,2,FALSE()),"")</f>
        <v>Reprogramada · Equipo no operativo, a la espera de repuestos o accesorios</v>
      </c>
      <c r="L3" s="52" t="n">
        <v>45960</v>
      </c>
      <c r="M3" s="50" t="s">
        <v>355</v>
      </c>
      <c r="N3" s="50" t="s">
        <v>130</v>
      </c>
      <c r="O3" s="50"/>
      <c r="P3" s="50"/>
      <c r="Q3" s="50"/>
    </row>
    <row r="4" customFormat="false" ht="15" hidden="false" customHeight="true" outlineLevel="0" collapsed="false">
      <c r="A4" s="51" t="s">
        <v>26</v>
      </c>
      <c r="B4" s="50" t="str">
        <f aca="false">IFERROR(VLOOKUP($A4,Equipos!$C$2:$M$967,2,FALSE()),"")</f>
        <v>Ventilador Mecánico </v>
      </c>
      <c r="C4" s="50" t="str">
        <f aca="false">IFERROR(VLOOKUP($A4,Equipos!$C$2:$M$967,9,FALSE()),"")</f>
        <v>ASHK-0151</v>
      </c>
      <c r="D4" s="50" t="str">
        <f aca="false">IFERROR(VLOOKUP($A4,Equipos!$C$2:$M$967,3,FALSE()),"")</f>
        <v>UPC Adulto</v>
      </c>
      <c r="E4" s="50" t="str">
        <f aca="false">IFERROR(VLOOKUP($A4,Equipos!$C$2:$M$967,7,FALSE()),"")</f>
        <v>Drager</v>
      </c>
      <c r="F4" s="50" t="str">
        <f aca="false">IFERROR(VLOOKUP($A4,Equipos!$C$2:$M$967,8,FALSE()),"")</f>
        <v>Evita V300</v>
      </c>
      <c r="G4" s="50" t="s">
        <v>356</v>
      </c>
      <c r="H4" s="50" t="s">
        <v>351</v>
      </c>
      <c r="I4" s="50"/>
      <c r="J4" s="50" t="s">
        <v>357</v>
      </c>
      <c r="K4" s="50" t="str">
        <f aca="false">IFERROR(VLOOKUP($J4,Catálogos!$M$4:$N$17,2,FALSE()),"")</f>
        <v>No Realizada</v>
      </c>
      <c r="L4" s="52" t="n">
        <v>46037</v>
      </c>
      <c r="M4" s="50"/>
      <c r="N4" s="50" t="s">
        <v>162</v>
      </c>
      <c r="O4" s="50"/>
      <c r="P4" s="50"/>
      <c r="Q4" s="50" t="s">
        <v>358</v>
      </c>
    </row>
    <row r="5" customFormat="false" ht="15" hidden="false" customHeight="true" outlineLevel="0" collapsed="false">
      <c r="A5" s="51" t="s">
        <v>25</v>
      </c>
      <c r="B5" s="50" t="str">
        <f aca="false">IFERROR(VLOOKUP($A5,Equipos!$C$2:$M$967,2,FALSE()),"")</f>
        <v>Ventilador Mecánico </v>
      </c>
      <c r="C5" s="50" t="str">
        <f aca="false">IFERROR(VLOOKUP($A5,Equipos!$C$2:$M$967,9,FALSE()),"")</f>
        <v>ASFN-0008</v>
      </c>
      <c r="D5" s="50" t="str">
        <f aca="false">IFERROR(VLOOKUP($A5,Equipos!$C$2:$M$967,3,FALSE()),"")</f>
        <v>UPC Adulto</v>
      </c>
      <c r="E5" s="50" t="str">
        <f aca="false">IFERROR(VLOOKUP($A5,Equipos!$C$2:$M$967,7,FALSE()),"")</f>
        <v>Drager</v>
      </c>
      <c r="F5" s="50" t="str">
        <f aca="false">IFERROR(VLOOKUP($A5,Equipos!$C$2:$M$967,8,FALSE()),"")</f>
        <v>Carina </v>
      </c>
      <c r="G5" s="50" t="s">
        <v>356</v>
      </c>
      <c r="H5" s="50" t="s">
        <v>351</v>
      </c>
      <c r="I5" s="50"/>
      <c r="J5" s="50" t="s">
        <v>357</v>
      </c>
      <c r="K5" s="50" t="str">
        <f aca="false">IFERROR(VLOOKUP($J5,Catálogos!$M$4:$N$17,2,FALSE()),"")</f>
        <v>No Realizada</v>
      </c>
      <c r="L5" s="52" t="n">
        <v>46037</v>
      </c>
      <c r="M5" s="50"/>
      <c r="N5" s="50" t="s">
        <v>162</v>
      </c>
      <c r="O5" s="50"/>
      <c r="P5" s="50"/>
      <c r="Q5" s="50" t="s">
        <v>358</v>
      </c>
    </row>
    <row r="6" customFormat="false" ht="15" hidden="false" customHeight="true" outlineLevel="0" collapsed="false">
      <c r="A6" s="51" t="s">
        <v>359</v>
      </c>
      <c r="B6" s="50" t="str">
        <f aca="false">IFERROR(VLOOKUP($A6,Equipos!$C$2:$M$967,2,FALSE()),"")</f>
        <v>Máquina Diálisis</v>
      </c>
      <c r="C6" s="50" t="str">
        <f aca="false">IFERROR(VLOOKUP($A6,Equipos!$C$2:$M$967,9,FALSE()),"")</f>
        <v>8VCAJN47</v>
      </c>
      <c r="D6" s="50" t="str">
        <f aca="false">IFERROR(VLOOKUP($A6,Equipos!$C$2:$M$967,3,FALSE()),"")</f>
        <v>Hemodiálisis</v>
      </c>
      <c r="E6" s="50" t="str">
        <f aca="false">IFERROR(VLOOKUP($A6,Equipos!$C$2:$M$967,7,FALSE()),"")</f>
        <v>Fresenius</v>
      </c>
      <c r="F6" s="50" t="str">
        <f aca="false">IFERROR(VLOOKUP($A6,Equipos!$C$2:$M$967,8,FALSE()),"")</f>
        <v>4008B(s)</v>
      </c>
      <c r="G6" s="50" t="s">
        <v>356</v>
      </c>
      <c r="H6" s="50" t="s">
        <v>360</v>
      </c>
      <c r="I6" s="50"/>
      <c r="J6" s="50" t="s">
        <v>361</v>
      </c>
      <c r="K6" s="50" t="str">
        <f aca="false">IFERROR(VLOOKUP($J6,Catálogos!$M$4:$N$17,2,FALSE()),"")</f>
        <v>Equipo Dado de Baja</v>
      </c>
      <c r="L6" s="52" t="n">
        <v>46037</v>
      </c>
      <c r="M6" s="50" t="s">
        <v>361</v>
      </c>
      <c r="N6" s="50" t="s">
        <v>253</v>
      </c>
      <c r="O6" s="50"/>
      <c r="P6" s="50"/>
      <c r="Q6" s="50" t="s">
        <v>362</v>
      </c>
    </row>
    <row r="7" customFormat="false" ht="15" hidden="false" customHeight="true" outlineLevel="0" collapsed="false">
      <c r="A7" s="51" t="s">
        <v>363</v>
      </c>
      <c r="B7" s="50" t="str">
        <f aca="false">IFERROR(VLOOKUP($A7,Equipos!$C$2:$M$967,2,FALSE()),"")</f>
        <v>Monitor Multiparámetros</v>
      </c>
      <c r="C7" s="50" t="str">
        <f aca="false">IFERROR(VLOOKUP($A7,Equipos!$C$2:$M$967,9,FALSE()),"")</f>
        <v>DGM40029</v>
      </c>
      <c r="D7" s="50" t="str">
        <f aca="false">IFERROR(VLOOKUP($A7,Equipos!$C$2:$M$967,3,FALSE()),"")</f>
        <v>Pediatría</v>
      </c>
      <c r="E7" s="50" t="str">
        <f aca="false">IFERROR(VLOOKUP($A7,Equipos!$C$2:$M$967,7,FALSE()),"")</f>
        <v>Bistos</v>
      </c>
      <c r="F7" s="50" t="str">
        <f aca="false">IFERROR(VLOOKUP($A7,Equipos!$C$2:$M$967,8,FALSE()),"")</f>
        <v>BT-770</v>
      </c>
      <c r="G7" s="50" t="s">
        <v>356</v>
      </c>
      <c r="H7" s="50" t="s">
        <v>360</v>
      </c>
      <c r="I7" s="50"/>
      <c r="J7" s="50" t="s">
        <v>364</v>
      </c>
      <c r="K7" s="50" t="str">
        <f aca="false">IFERROR(VLOOKUP($J7,Catálogos!$M$4:$N$17,2,FALSE()),"")</f>
        <v>Reprogramada · No disponibilidad de horas hombre del funcionario SEC por alta carga laboral</v>
      </c>
      <c r="L7" s="52" t="n">
        <v>46037</v>
      </c>
      <c r="M7" s="50" t="s">
        <v>353</v>
      </c>
      <c r="N7" s="50" t="s">
        <v>253</v>
      </c>
      <c r="O7" s="50"/>
      <c r="P7" s="50"/>
      <c r="Q7" s="50" t="s">
        <v>362</v>
      </c>
    </row>
    <row r="8" customFormat="false" ht="15" hidden="false" customHeight="true" outlineLevel="0" collapsed="false">
      <c r="A8" s="51" t="s">
        <v>365</v>
      </c>
      <c r="B8" s="50" t="str">
        <f aca="false">IFERROR(VLOOKUP($A8,Equipos!$C$2:$M$967,2,FALSE()),"")</f>
        <v>Monitor Multiparámetros</v>
      </c>
      <c r="C8" s="50" t="str">
        <f aca="false">IFERROR(VLOOKUP($A8,Equipos!$C$2:$M$967,9,FALSE()),"")</f>
        <v>DGM40030</v>
      </c>
      <c r="D8" s="50" t="str">
        <f aca="false">IFERROR(VLOOKUP($A8,Equipos!$C$2:$M$967,3,FALSE()),"")</f>
        <v>Pediatría</v>
      </c>
      <c r="E8" s="50" t="str">
        <f aca="false">IFERROR(VLOOKUP($A8,Equipos!$C$2:$M$967,7,FALSE()),"")</f>
        <v>Bistos</v>
      </c>
      <c r="F8" s="50" t="str">
        <f aca="false">IFERROR(VLOOKUP($A8,Equipos!$C$2:$M$967,8,FALSE()),"")</f>
        <v>BT-770</v>
      </c>
      <c r="G8" s="50" t="s">
        <v>356</v>
      </c>
      <c r="H8" s="50" t="s">
        <v>360</v>
      </c>
      <c r="I8" s="50"/>
      <c r="J8" s="50" t="s">
        <v>364</v>
      </c>
      <c r="K8" s="50" t="str">
        <f aca="false">IFERROR(VLOOKUP($J8,Catálogos!$M$4:$N$17,2,FALSE()),"")</f>
        <v>Reprogramada · No disponibilidad de horas hombre del funcionario SEC por alta carga laboral</v>
      </c>
      <c r="L8" s="52" t="n">
        <v>46037</v>
      </c>
      <c r="M8" s="50" t="s">
        <v>353</v>
      </c>
      <c r="N8" s="50" t="s">
        <v>253</v>
      </c>
      <c r="O8" s="50"/>
      <c r="P8" s="50"/>
      <c r="Q8" s="50" t="s">
        <v>362</v>
      </c>
    </row>
    <row r="9" customFormat="false" ht="15" hidden="false" customHeight="true" outlineLevel="0" collapsed="false">
      <c r="A9" s="51" t="s">
        <v>366</v>
      </c>
      <c r="B9" s="50" t="str">
        <f aca="false">IFERROR(VLOOKUP($A9,Equipos!$C$2:$M$967,2,FALSE()),"")</f>
        <v>Monitor Multiparámetros</v>
      </c>
      <c r="C9" s="50" t="str">
        <f aca="false">IFERROR(VLOOKUP($A9,Equipos!$C$2:$M$967,9,FALSE()),"")</f>
        <v>DGM40038</v>
      </c>
      <c r="D9" s="50" t="str">
        <f aca="false">IFERROR(VLOOKUP($A9,Equipos!$C$2:$M$967,3,FALSE()),"")</f>
        <v>Pediatría</v>
      </c>
      <c r="E9" s="50" t="str">
        <f aca="false">IFERROR(VLOOKUP($A9,Equipos!$C$2:$M$967,7,FALSE()),"")</f>
        <v>Bistos</v>
      </c>
      <c r="F9" s="50" t="str">
        <f aca="false">IFERROR(VLOOKUP($A9,Equipos!$C$2:$M$967,8,FALSE()),"")</f>
        <v>BT-770</v>
      </c>
      <c r="G9" s="50" t="s">
        <v>356</v>
      </c>
      <c r="H9" s="50" t="s">
        <v>360</v>
      </c>
      <c r="I9" s="50"/>
      <c r="J9" s="50" t="s">
        <v>364</v>
      </c>
      <c r="K9" s="50" t="str">
        <f aca="false">IFERROR(VLOOKUP($J9,Catálogos!$M$4:$N$17,2,FALSE()),"")</f>
        <v>Reprogramada · No disponibilidad de horas hombre del funcionario SEC por alta carga laboral</v>
      </c>
      <c r="L9" s="52" t="n">
        <v>46037</v>
      </c>
      <c r="M9" s="50" t="s">
        <v>353</v>
      </c>
      <c r="N9" s="50" t="s">
        <v>253</v>
      </c>
      <c r="O9" s="50"/>
      <c r="P9" s="50"/>
      <c r="Q9" s="50" t="s">
        <v>362</v>
      </c>
    </row>
    <row r="10" customFormat="false" ht="15" hidden="false" customHeight="true" outlineLevel="0" collapsed="false">
      <c r="A10" s="51" t="s">
        <v>367</v>
      </c>
      <c r="B10" s="50" t="str">
        <f aca="false">IFERROR(VLOOKUP($A10,Equipos!$C$2:$M$967,2,FALSE()),"")</f>
        <v>Monitor Multiparámetros</v>
      </c>
      <c r="C10" s="50" t="str">
        <f aca="false">IFERROR(VLOOKUP($A10,Equipos!$C$2:$M$967,9,FALSE()),"")</f>
        <v>DGM40031</v>
      </c>
      <c r="D10" s="50" t="str">
        <f aca="false">IFERROR(VLOOKUP($A10,Equipos!$C$2:$M$967,3,FALSE()),"")</f>
        <v>Pediatría</v>
      </c>
      <c r="E10" s="50" t="str">
        <f aca="false">IFERROR(VLOOKUP($A10,Equipos!$C$2:$M$967,7,FALSE()),"")</f>
        <v>Bistos</v>
      </c>
      <c r="F10" s="50" t="str">
        <f aca="false">IFERROR(VLOOKUP($A10,Equipos!$C$2:$M$967,8,FALSE()),"")</f>
        <v>BT-770</v>
      </c>
      <c r="G10" s="50" t="s">
        <v>356</v>
      </c>
      <c r="H10" s="50" t="s">
        <v>360</v>
      </c>
      <c r="I10" s="50"/>
      <c r="J10" s="50" t="s">
        <v>364</v>
      </c>
      <c r="K10" s="50" t="str">
        <f aca="false">IFERROR(VLOOKUP($J10,Catálogos!$M$4:$N$17,2,FALSE()),"")</f>
        <v>Reprogramada · No disponibilidad de horas hombre del funcionario SEC por alta carga laboral</v>
      </c>
      <c r="L10" s="52" t="n">
        <v>46037</v>
      </c>
      <c r="M10" s="50" t="s">
        <v>353</v>
      </c>
      <c r="N10" s="50" t="s">
        <v>253</v>
      </c>
      <c r="O10" s="50"/>
      <c r="P10" s="50"/>
      <c r="Q10" s="50" t="s">
        <v>362</v>
      </c>
    </row>
    <row r="11" customFormat="false" ht="15" hidden="false" customHeight="true" outlineLevel="0" collapsed="false">
      <c r="A11" s="51" t="s">
        <v>368</v>
      </c>
      <c r="B11" s="50" t="str">
        <f aca="false">IFERROR(VLOOKUP($A11,Equipos!$C$2:$M$967,2,FALSE()),"")</f>
        <v>Monitor Multiparámetros</v>
      </c>
      <c r="C11" s="50" t="str">
        <f aca="false">IFERROR(VLOOKUP($A11,Equipos!$C$2:$M$967,9,FALSE()),"")</f>
        <v>DGM40015</v>
      </c>
      <c r="D11" s="50" t="str">
        <f aca="false">IFERROR(VLOOKUP($A11,Equipos!$C$2:$M$967,3,FALSE()),"")</f>
        <v>Pediatría</v>
      </c>
      <c r="E11" s="50" t="str">
        <f aca="false">IFERROR(VLOOKUP($A11,Equipos!$C$2:$M$967,7,FALSE()),"")</f>
        <v>Bistos</v>
      </c>
      <c r="F11" s="50" t="str">
        <f aca="false">IFERROR(VLOOKUP($A11,Equipos!$C$2:$M$967,8,FALSE()),"")</f>
        <v>BT-770</v>
      </c>
      <c r="G11" s="50" t="s">
        <v>356</v>
      </c>
      <c r="H11" s="50" t="s">
        <v>360</v>
      </c>
      <c r="I11" s="50"/>
      <c r="J11" s="50" t="s">
        <v>332</v>
      </c>
      <c r="K11" s="50" t="str">
        <f aca="false">IFERROR(VLOOKUP($J11,Catálogos!$M$4:$N$17,2,FALSE()),"")</f>
        <v>Reprogramada · Equipo en servicio técnico</v>
      </c>
      <c r="L11" s="52" t="n">
        <v>46037</v>
      </c>
      <c r="M11" s="50" t="s">
        <v>6</v>
      </c>
      <c r="N11" s="50" t="s">
        <v>253</v>
      </c>
      <c r="O11" s="50"/>
      <c r="P11" s="50"/>
      <c r="Q11" s="50" t="s">
        <v>362</v>
      </c>
    </row>
    <row r="12" customFormat="false" ht="15" hidden="false" customHeight="true" outlineLevel="0" collapsed="false">
      <c r="A12" s="51" t="s">
        <v>369</v>
      </c>
      <c r="B12" s="50" t="str">
        <f aca="false">IFERROR(VLOOKUP($A12,Equipos!$C$2:$M$967,2,FALSE()),"")</f>
        <v>Monitor Multiparámetros</v>
      </c>
      <c r="C12" s="50" t="str">
        <f aca="false">IFERROR(VLOOKUP($A12,Equipos!$C$2:$M$967,9,FALSE()),"")</f>
        <v>DGM40036</v>
      </c>
      <c r="D12" s="50" t="str">
        <f aca="false">IFERROR(VLOOKUP($A12,Equipos!$C$2:$M$967,3,FALSE()),"")</f>
        <v>Pediatría</v>
      </c>
      <c r="E12" s="50" t="str">
        <f aca="false">IFERROR(VLOOKUP($A12,Equipos!$C$2:$M$967,7,FALSE()),"")</f>
        <v>Bistos</v>
      </c>
      <c r="F12" s="50" t="str">
        <f aca="false">IFERROR(VLOOKUP($A12,Equipos!$C$2:$M$967,8,FALSE()),"")</f>
        <v>BT-770</v>
      </c>
      <c r="G12" s="50" t="s">
        <v>356</v>
      </c>
      <c r="H12" s="50" t="s">
        <v>360</v>
      </c>
      <c r="I12" s="50"/>
      <c r="J12" s="50" t="s">
        <v>332</v>
      </c>
      <c r="K12" s="50" t="str">
        <f aca="false">IFERROR(VLOOKUP($J12,Catálogos!$M$4:$N$17,2,FALSE()),"")</f>
        <v>Reprogramada · Equipo en servicio técnico</v>
      </c>
      <c r="L12" s="52" t="n">
        <v>46037</v>
      </c>
      <c r="M12" s="50" t="s">
        <v>6</v>
      </c>
      <c r="N12" s="50" t="s">
        <v>253</v>
      </c>
      <c r="O12" s="50"/>
      <c r="P12" s="50"/>
      <c r="Q12" s="50" t="s">
        <v>362</v>
      </c>
    </row>
    <row r="13" customFormat="false" ht="15" hidden="false" customHeight="true" outlineLevel="0" collapsed="false">
      <c r="A13" s="51" t="s">
        <v>370</v>
      </c>
      <c r="B13" s="50" t="str">
        <f aca="false">IFERROR(VLOOKUP($A13,Equipos!$C$2:$M$967,2,FALSE()),"")</f>
        <v>Monitor Multiparámetros</v>
      </c>
      <c r="C13" s="50" t="str">
        <f aca="false">IFERROR(VLOOKUP($A13,Equipos!$C$2:$M$967,9,FALSE()),"")</f>
        <v>DGM40021</v>
      </c>
      <c r="D13" s="50" t="str">
        <f aca="false">IFERROR(VLOOKUP($A13,Equipos!$C$2:$M$967,3,FALSE()),"")</f>
        <v>Pediatría</v>
      </c>
      <c r="E13" s="50" t="str">
        <f aca="false">IFERROR(VLOOKUP($A13,Equipos!$C$2:$M$967,7,FALSE()),"")</f>
        <v>Bistos</v>
      </c>
      <c r="F13" s="50" t="str">
        <f aca="false">IFERROR(VLOOKUP($A13,Equipos!$C$2:$M$967,8,FALSE()),"")</f>
        <v>BT-770</v>
      </c>
      <c r="G13" s="50" t="s">
        <v>356</v>
      </c>
      <c r="H13" s="50" t="s">
        <v>360</v>
      </c>
      <c r="I13" s="50"/>
      <c r="J13" s="50" t="s">
        <v>332</v>
      </c>
      <c r="K13" s="50" t="str">
        <f aca="false">IFERROR(VLOOKUP($J13,Catálogos!$M$4:$N$17,2,FALSE()),"")</f>
        <v>Reprogramada · Equipo en servicio técnico</v>
      </c>
      <c r="L13" s="52" t="n">
        <v>46037</v>
      </c>
      <c r="M13" s="50" t="s">
        <v>6</v>
      </c>
      <c r="N13" s="50" t="s">
        <v>253</v>
      </c>
      <c r="O13" s="50"/>
      <c r="P13" s="50"/>
      <c r="Q13" s="50" t="s">
        <v>362</v>
      </c>
    </row>
    <row r="14" customFormat="false" ht="15" hidden="false" customHeight="true" outlineLevel="0" collapsed="false">
      <c r="A14" s="51" t="s">
        <v>213</v>
      </c>
      <c r="B14" s="50" t="str">
        <f aca="false">IFERROR(VLOOKUP($A14,Equipos!$C$2:$M$967,2,FALSE()),"")</f>
        <v>Monitor Multiparámetros</v>
      </c>
      <c r="C14" s="50" t="str">
        <f aca="false">IFERROR(VLOOKUP($A14,Equipos!$C$2:$M$967,9,FALSE()),"")</f>
        <v>DGM40040</v>
      </c>
      <c r="D14" s="50" t="str">
        <f aca="false">IFERROR(VLOOKUP($A14,Equipos!$C$2:$M$967,3,FALSE()),"")</f>
        <v>Pediatría</v>
      </c>
      <c r="E14" s="50" t="str">
        <f aca="false">IFERROR(VLOOKUP($A14,Equipos!$C$2:$M$967,7,FALSE()),"")</f>
        <v>Bistos</v>
      </c>
      <c r="F14" s="50" t="str">
        <f aca="false">IFERROR(VLOOKUP($A14,Equipos!$C$2:$M$967,8,FALSE()),"")</f>
        <v>BT-770</v>
      </c>
      <c r="G14" s="50" t="s">
        <v>356</v>
      </c>
      <c r="H14" s="50" t="s">
        <v>360</v>
      </c>
      <c r="I14" s="50"/>
      <c r="J14" s="50" t="s">
        <v>332</v>
      </c>
      <c r="K14" s="50" t="str">
        <f aca="false">IFERROR(VLOOKUP($J14,Catálogos!$M$4:$N$17,2,FALSE()),"")</f>
        <v>Reprogramada · Equipo en servicio técnico</v>
      </c>
      <c r="L14" s="52" t="n">
        <v>46037</v>
      </c>
      <c r="M14" s="50" t="s">
        <v>6</v>
      </c>
      <c r="N14" s="50" t="s">
        <v>253</v>
      </c>
      <c r="O14" s="50"/>
      <c r="P14" s="50"/>
      <c r="Q14" s="50" t="s">
        <v>362</v>
      </c>
    </row>
    <row r="15" customFormat="false" ht="15" hidden="false" customHeight="true" outlineLevel="0" collapsed="false">
      <c r="A15" s="51" t="s">
        <v>371</v>
      </c>
      <c r="B15" s="50" t="str">
        <f aca="false">IFERROR(VLOOKUP($A15,Equipos!$C$2:$M$967,2,FALSE()),"")</f>
        <v>Monitor Multiparámetros</v>
      </c>
      <c r="C15" s="50" t="str">
        <f aca="false">IFERROR(VLOOKUP($A15,Equipos!$C$2:$M$967,9,FALSE()),"")</f>
        <v>DGM40016</v>
      </c>
      <c r="D15" s="50" t="str">
        <f aca="false">IFERROR(VLOOKUP($A15,Equipos!$C$2:$M$967,3,FALSE()),"")</f>
        <v>Cirugía Infantil</v>
      </c>
      <c r="E15" s="50" t="str">
        <f aca="false">IFERROR(VLOOKUP($A15,Equipos!$C$2:$M$967,7,FALSE()),"")</f>
        <v>Bistos</v>
      </c>
      <c r="F15" s="50" t="str">
        <f aca="false">IFERROR(VLOOKUP($A15,Equipos!$C$2:$M$967,8,FALSE()),"")</f>
        <v>BT-770</v>
      </c>
      <c r="G15" s="50" t="s">
        <v>356</v>
      </c>
      <c r="H15" s="50" t="s">
        <v>360</v>
      </c>
      <c r="I15" s="50"/>
      <c r="J15" s="50" t="s">
        <v>364</v>
      </c>
      <c r="K15" s="50" t="str">
        <f aca="false">IFERROR(VLOOKUP($J15,Catálogos!$M$4:$N$17,2,FALSE()),"")</f>
        <v>Reprogramada · No disponibilidad de horas hombre del funcionario SEC por alta carga laboral</v>
      </c>
      <c r="L15" s="52" t="n">
        <v>46037</v>
      </c>
      <c r="M15" s="50" t="s">
        <v>353</v>
      </c>
      <c r="N15" s="50" t="s">
        <v>253</v>
      </c>
      <c r="O15" s="50"/>
      <c r="P15" s="50"/>
      <c r="Q15" s="50" t="s">
        <v>362</v>
      </c>
    </row>
    <row r="16" customFormat="false" ht="15" hidden="false" customHeight="true" outlineLevel="0" collapsed="false">
      <c r="A16" s="51" t="s">
        <v>372</v>
      </c>
      <c r="B16" s="50" t="str">
        <f aca="false">IFERROR(VLOOKUP($A16,Equipos!$C$2:$M$967,2,FALSE()),"")</f>
        <v>Monitor Multiparámetros</v>
      </c>
      <c r="C16" s="50" t="str">
        <f aca="false">IFERROR(VLOOKUP($A16,Equipos!$C$2:$M$967,9,FALSE()),"")</f>
        <v>DGLC0111</v>
      </c>
      <c r="D16" s="50" t="str">
        <f aca="false">IFERROR(VLOOKUP($A16,Equipos!$C$2:$M$967,3,FALSE()),"")</f>
        <v>Cirugía Infantil</v>
      </c>
      <c r="E16" s="50" t="str">
        <f aca="false">IFERROR(VLOOKUP($A16,Equipos!$C$2:$M$967,7,FALSE()),"")</f>
        <v>Bistos</v>
      </c>
      <c r="F16" s="50" t="str">
        <f aca="false">IFERROR(VLOOKUP($A16,Equipos!$C$2:$M$967,8,FALSE()),"")</f>
        <v>BT-770</v>
      </c>
      <c r="G16" s="50" t="s">
        <v>356</v>
      </c>
      <c r="H16" s="50" t="s">
        <v>360</v>
      </c>
      <c r="I16" s="50"/>
      <c r="J16" s="50" t="s">
        <v>364</v>
      </c>
      <c r="K16" s="50" t="str">
        <f aca="false">IFERROR(VLOOKUP($J16,Catálogos!$M$4:$N$17,2,FALSE()),"")</f>
        <v>Reprogramada · No disponibilidad de horas hombre del funcionario SEC por alta carga laboral</v>
      </c>
      <c r="L16" s="52" t="n">
        <v>46037</v>
      </c>
      <c r="M16" s="50" t="s">
        <v>353</v>
      </c>
      <c r="N16" s="50" t="s">
        <v>253</v>
      </c>
      <c r="O16" s="50"/>
      <c r="P16" s="50"/>
      <c r="Q16" s="50" t="s">
        <v>362</v>
      </c>
    </row>
    <row r="17" customFormat="false" ht="15" hidden="false" customHeight="true" outlineLevel="0" collapsed="false">
      <c r="A17" s="51" t="s">
        <v>373</v>
      </c>
      <c r="B17" s="50" t="str">
        <f aca="false">IFERROR(VLOOKUP($A17,Equipos!$C$2:$M$967,2,FALSE()),"")</f>
        <v>Monitor Multiparámetros</v>
      </c>
      <c r="C17" s="50" t="str">
        <f aca="false">IFERROR(VLOOKUP($A17,Equipos!$C$2:$M$967,9,FALSE()),"")</f>
        <v>DGLC0125</v>
      </c>
      <c r="D17" s="50" t="str">
        <f aca="false">IFERROR(VLOOKUP($A17,Equipos!$C$2:$M$967,3,FALSE()),"")</f>
        <v>Medicina (Prestado a Pediatría)</v>
      </c>
      <c r="E17" s="50" t="str">
        <f aca="false">IFERROR(VLOOKUP($A17,Equipos!$C$2:$M$967,7,FALSE()),"")</f>
        <v>Bistos</v>
      </c>
      <c r="F17" s="50" t="str">
        <f aca="false">IFERROR(VLOOKUP($A17,Equipos!$C$2:$M$967,8,FALSE()),"")</f>
        <v>BT-770</v>
      </c>
      <c r="G17" s="50" t="s">
        <v>356</v>
      </c>
      <c r="H17" s="50" t="s">
        <v>360</v>
      </c>
      <c r="I17" s="50"/>
      <c r="J17" s="50" t="s">
        <v>374</v>
      </c>
      <c r="K17" s="50" t="str">
        <f aca="false">IFERROR(VLOOKUP($J17,Catálogos!$M$4:$N$17,2,FALSE()),"")</f>
        <v>Reprogramada · Ausencia justificada del funcionario SEC superior a 15 días</v>
      </c>
      <c r="L17" s="52" t="n">
        <v>46037</v>
      </c>
      <c r="M17" s="50" t="s">
        <v>353</v>
      </c>
      <c r="N17" s="50" t="s">
        <v>253</v>
      </c>
      <c r="O17" s="50"/>
      <c r="P17" s="50"/>
      <c r="Q17" s="50" t="s">
        <v>362</v>
      </c>
    </row>
    <row r="18" customFormat="false" ht="15" hidden="false" customHeight="true" outlineLevel="0" collapsed="false">
      <c r="A18" s="51" t="s">
        <v>375</v>
      </c>
      <c r="B18" s="50" t="str">
        <f aca="false">IFERROR(VLOOKUP($A18,Equipos!$C$2:$M$967,2,FALSE()),"")</f>
        <v>Monitor Multiparámetros</v>
      </c>
      <c r="C18" s="50" t="str">
        <f aca="false">IFERROR(VLOOKUP($A18,Equipos!$C$2:$M$967,9,FALSE()),"")</f>
        <v>DGLC0136</v>
      </c>
      <c r="D18" s="50" t="str">
        <f aca="false">IFERROR(VLOOKUP($A18,Equipos!$C$2:$M$967,3,FALSE()),"")</f>
        <v>Pediatría</v>
      </c>
      <c r="E18" s="50" t="str">
        <f aca="false">IFERROR(VLOOKUP($A18,Equipos!$C$2:$M$967,7,FALSE()),"")</f>
        <v>Bistos</v>
      </c>
      <c r="F18" s="50" t="str">
        <f aca="false">IFERROR(VLOOKUP($A18,Equipos!$C$2:$M$967,8,FALSE()),"")</f>
        <v>BT-770</v>
      </c>
      <c r="G18" s="50" t="s">
        <v>356</v>
      </c>
      <c r="H18" s="50" t="s">
        <v>360</v>
      </c>
      <c r="I18" s="50"/>
      <c r="J18" s="50" t="s">
        <v>364</v>
      </c>
      <c r="K18" s="50" t="str">
        <f aca="false">IFERROR(VLOOKUP($J18,Catálogos!$M$4:$N$17,2,FALSE()),"")</f>
        <v>Reprogramada · No disponibilidad de horas hombre del funcionario SEC por alta carga laboral</v>
      </c>
      <c r="L18" s="52" t="n">
        <v>46037</v>
      </c>
      <c r="M18" s="50" t="s">
        <v>353</v>
      </c>
      <c r="N18" s="50" t="s">
        <v>253</v>
      </c>
      <c r="O18" s="50"/>
      <c r="P18" s="50"/>
      <c r="Q18" s="50" t="s">
        <v>362</v>
      </c>
    </row>
    <row r="19" customFormat="false" ht="15" hidden="false" customHeight="true" outlineLevel="0" collapsed="false">
      <c r="A19" s="51" t="s">
        <v>376</v>
      </c>
      <c r="B19" s="50" t="str">
        <f aca="false">IFERROR(VLOOKUP($A19,Equipos!$C$2:$M$967,2,FALSE()),"")</f>
        <v>Monitor Multiparámetros</v>
      </c>
      <c r="C19" s="50" t="str">
        <f aca="false">IFERROR(VLOOKUP($A19,Equipos!$C$2:$M$967,9,FALSE()),"")</f>
        <v>DGLC0115</v>
      </c>
      <c r="D19" s="50" t="str">
        <f aca="false">IFERROR(VLOOKUP($A19,Equipos!$C$2:$M$967,3,FALSE()),"")</f>
        <v>Medicina (Prestado a Pediatría)</v>
      </c>
      <c r="E19" s="50" t="str">
        <f aca="false">IFERROR(VLOOKUP($A19,Equipos!$C$2:$M$967,7,FALSE()),"")</f>
        <v>Bistos</v>
      </c>
      <c r="F19" s="50" t="str">
        <f aca="false">IFERROR(VLOOKUP($A19,Equipos!$C$2:$M$967,8,FALSE()),"")</f>
        <v>BT-770</v>
      </c>
      <c r="G19" s="50" t="s">
        <v>356</v>
      </c>
      <c r="H19" s="50" t="s">
        <v>360</v>
      </c>
      <c r="I19" s="50"/>
      <c r="J19" s="50" t="s">
        <v>374</v>
      </c>
      <c r="K19" s="50" t="str">
        <f aca="false">IFERROR(VLOOKUP($J19,Catálogos!$M$4:$N$17,2,FALSE()),"")</f>
        <v>Reprogramada · Ausencia justificada del funcionario SEC superior a 15 días</v>
      </c>
      <c r="L19" s="52" t="n">
        <v>46037</v>
      </c>
      <c r="M19" s="50" t="s">
        <v>353</v>
      </c>
      <c r="N19" s="50" t="s">
        <v>253</v>
      </c>
      <c r="O19" s="50"/>
      <c r="P19" s="50"/>
      <c r="Q19" s="50" t="s">
        <v>362</v>
      </c>
    </row>
    <row r="20" customFormat="false" ht="15" hidden="false" customHeight="true" outlineLevel="0" collapsed="false">
      <c r="A20" s="51" t="s">
        <v>377</v>
      </c>
      <c r="B20" s="50" t="str">
        <f aca="false">IFERROR(VLOOKUP($A20,Equipos!$C$2:$M$967,2,FALSE()),"")</f>
        <v>Monitor Multiparámetros</v>
      </c>
      <c r="C20" s="50" t="str">
        <f aca="false">IFERROR(VLOOKUP($A20,Equipos!$C$2:$M$967,9,FALSE()),"")</f>
        <v>DGLC0138</v>
      </c>
      <c r="D20" s="50" t="str">
        <f aca="false">IFERROR(VLOOKUP($A20,Equipos!$C$2:$M$967,3,FALSE()),"")</f>
        <v>Medicina (Prestado a Cirugía Infantil )</v>
      </c>
      <c r="E20" s="50" t="str">
        <f aca="false">IFERROR(VLOOKUP($A20,Equipos!$C$2:$M$967,7,FALSE()),"")</f>
        <v>Bistos</v>
      </c>
      <c r="F20" s="50" t="str">
        <f aca="false">IFERROR(VLOOKUP($A20,Equipos!$C$2:$M$967,8,FALSE()),"")</f>
        <v>BT-770</v>
      </c>
      <c r="G20" s="50" t="s">
        <v>356</v>
      </c>
      <c r="H20" s="50" t="s">
        <v>360</v>
      </c>
      <c r="I20" s="50"/>
      <c r="J20" s="50" t="s">
        <v>364</v>
      </c>
      <c r="K20" s="50" t="str">
        <f aca="false">IFERROR(VLOOKUP($J20,Catálogos!$M$4:$N$17,2,FALSE()),"")</f>
        <v>Reprogramada · No disponibilidad de horas hombre del funcionario SEC por alta carga laboral</v>
      </c>
      <c r="L20" s="52" t="n">
        <v>46037</v>
      </c>
      <c r="M20" s="50" t="s">
        <v>353</v>
      </c>
      <c r="N20" s="50" t="s">
        <v>253</v>
      </c>
      <c r="O20" s="50"/>
      <c r="P20" s="50"/>
      <c r="Q20" s="50" t="s">
        <v>362</v>
      </c>
    </row>
    <row r="21" customFormat="false" ht="15" hidden="false" customHeight="true" outlineLevel="0" collapsed="false">
      <c r="A21" s="51" t="s">
        <v>378</v>
      </c>
      <c r="B21" s="50" t="str">
        <f aca="false">IFERROR(VLOOKUP($A21,Equipos!$C$2:$M$967,2,FALSE()),"")</f>
        <v>Monitor Multiparámetros</v>
      </c>
      <c r="C21" s="50" t="str">
        <f aca="false">IFERROR(VLOOKUP($A21,Equipos!$C$2:$M$967,9,FALSE()),"")</f>
        <v>SQE19510026SA</v>
      </c>
      <c r="D21" s="50" t="str">
        <f aca="false">IFERROR(VLOOKUP($A21,Equipos!$C$2:$M$967,3,FALSE()),"")</f>
        <v>UPC Cardiovascular</v>
      </c>
      <c r="E21" s="50" t="str">
        <f aca="false">IFERROR(VLOOKUP($A21,Equipos!$C$2:$M$967,7,FALSE()),"")</f>
        <v>General Electric</v>
      </c>
      <c r="F21" s="50" t="str">
        <f aca="false">IFERROR(VLOOKUP($A21,Equipos!$C$2:$M$967,8,FALSE()),"")</f>
        <v>B105</v>
      </c>
      <c r="G21" s="50" t="s">
        <v>356</v>
      </c>
      <c r="H21" s="50" t="s">
        <v>360</v>
      </c>
      <c r="I21" s="50"/>
      <c r="J21" s="50" t="s">
        <v>374</v>
      </c>
      <c r="K21" s="50" t="str">
        <f aca="false">IFERROR(VLOOKUP($J21,Catálogos!$M$4:$N$17,2,FALSE()),"")</f>
        <v>Reprogramada · Ausencia justificada del funcionario SEC superior a 15 días</v>
      </c>
      <c r="L21" s="52" t="n">
        <v>46037</v>
      </c>
      <c r="M21" s="50" t="s">
        <v>353</v>
      </c>
      <c r="N21" s="50" t="s">
        <v>253</v>
      </c>
      <c r="O21" s="50"/>
      <c r="P21" s="50"/>
      <c r="Q21" s="50" t="s">
        <v>362</v>
      </c>
    </row>
    <row r="22" customFormat="false" ht="15" hidden="false" customHeight="true" outlineLevel="0" collapsed="false">
      <c r="A22" s="51" t="s">
        <v>379</v>
      </c>
      <c r="B22" s="50" t="str">
        <f aca="false">IFERROR(VLOOKUP($A22,Equipos!$C$2:$M$967,2,FALSE()),"")</f>
        <v>Monitor Multiparámetros</v>
      </c>
      <c r="C22" s="50" t="str">
        <f aca="false">IFERROR(VLOOKUP($A22,Equipos!$C$2:$M$967,9,FALSE()),"")</f>
        <v>SP318443451WA</v>
      </c>
      <c r="D22" s="50" t="str">
        <f aca="false">IFERROR(VLOOKUP($A22,Equipos!$C$2:$M$967,3,FALSE()),"")</f>
        <v>UPC Pediátrica</v>
      </c>
      <c r="E22" s="50" t="str">
        <f aca="false">IFERROR(VLOOKUP($A22,Equipos!$C$2:$M$967,7,FALSE()),"")</f>
        <v>General Electric</v>
      </c>
      <c r="F22" s="50" t="str">
        <f aca="false">IFERROR(VLOOKUP($A22,Equipos!$C$2:$M$967,8,FALSE()),"")</f>
        <v>B105</v>
      </c>
      <c r="G22" s="50" t="s">
        <v>356</v>
      </c>
      <c r="H22" s="50" t="s">
        <v>360</v>
      </c>
      <c r="I22" s="50"/>
      <c r="J22" s="50" t="s">
        <v>332</v>
      </c>
      <c r="K22" s="50" t="str">
        <f aca="false">IFERROR(VLOOKUP($J22,Catálogos!$M$4:$N$17,2,FALSE()),"")</f>
        <v>Reprogramada · Equipo en servicio técnico</v>
      </c>
      <c r="L22" s="52" t="n">
        <v>46037</v>
      </c>
      <c r="M22" s="50" t="s">
        <v>6</v>
      </c>
      <c r="N22" s="50" t="s">
        <v>253</v>
      </c>
      <c r="O22" s="50"/>
      <c r="P22" s="50"/>
      <c r="Q22" s="50" t="s">
        <v>362</v>
      </c>
    </row>
    <row r="23" customFormat="false" ht="15" hidden="false" customHeight="true" outlineLevel="0" collapsed="false">
      <c r="A23" s="51" t="s">
        <v>380</v>
      </c>
      <c r="B23" s="50" t="str">
        <f aca="false">IFERROR(VLOOKUP($A23,Equipos!$C$2:$M$967,2,FALSE()),"")</f>
        <v>Monitor Multiparámetros</v>
      </c>
      <c r="C23" s="50" t="str">
        <f aca="false">IFERROR(VLOOKUP($A23,Equipos!$C$2:$M$967,9,FALSE()),"")</f>
        <v>SP318331750WA</v>
      </c>
      <c r="D23" s="50" t="str">
        <f aca="false">IFERROR(VLOOKUP($A23,Equipos!$C$2:$M$967,3,FALSE()),"")</f>
        <v>UPC Pediátrica</v>
      </c>
      <c r="E23" s="50" t="str">
        <f aca="false">IFERROR(VLOOKUP($A23,Equipos!$C$2:$M$967,7,FALSE()),"")</f>
        <v>General Electric</v>
      </c>
      <c r="F23" s="50" t="str">
        <f aca="false">IFERROR(VLOOKUP($A23,Equipos!$C$2:$M$967,8,FALSE()),"")</f>
        <v>B105</v>
      </c>
      <c r="G23" s="50" t="s">
        <v>356</v>
      </c>
      <c r="H23" s="50" t="s">
        <v>360</v>
      </c>
      <c r="I23" s="50"/>
      <c r="J23" s="50" t="s">
        <v>374</v>
      </c>
      <c r="K23" s="50" t="str">
        <f aca="false">IFERROR(VLOOKUP($J23,Catálogos!$M$4:$N$17,2,FALSE()),"")</f>
        <v>Reprogramada · Ausencia justificada del funcionario SEC superior a 15 días</v>
      </c>
      <c r="L23" s="52" t="n">
        <v>46037</v>
      </c>
      <c r="M23" s="50" t="s">
        <v>353</v>
      </c>
      <c r="N23" s="50" t="s">
        <v>253</v>
      </c>
      <c r="O23" s="50"/>
      <c r="P23" s="50"/>
      <c r="Q23" s="50" t="s">
        <v>362</v>
      </c>
    </row>
    <row r="24" customFormat="false" ht="15" hidden="false" customHeight="true" outlineLevel="0" collapsed="false">
      <c r="A24" s="51" t="s">
        <v>381</v>
      </c>
      <c r="B24" s="50" t="str">
        <f aca="false">IFERROR(VLOOKUP($A24,Equipos!$C$2:$M$967,2,FALSE()),"")</f>
        <v>Monitor Multiparámetros</v>
      </c>
      <c r="C24" s="50" t="str">
        <f aca="false">IFERROR(VLOOKUP($A24,Equipos!$C$2:$M$967,9,FALSE()),"")</f>
        <v>DE671E0435</v>
      </c>
      <c r="D24" s="50" t="str">
        <f aca="false">IFERROR(VLOOKUP($A24,Equipos!$C$2:$M$967,3,FALSE()),"")</f>
        <v>Neonatología</v>
      </c>
      <c r="E24" s="50" t="str">
        <f aca="false">IFERROR(VLOOKUP($A24,Equipos!$C$2:$M$967,7,FALSE()),"")</f>
        <v>Philips</v>
      </c>
      <c r="F24" s="50" t="str">
        <f aca="false">IFERROR(VLOOKUP($A24,Equipos!$C$2:$M$967,8,FALSE()),"")</f>
        <v>Intellivue MX550</v>
      </c>
      <c r="G24" s="50" t="s">
        <v>356</v>
      </c>
      <c r="H24" s="50" t="s">
        <v>360</v>
      </c>
      <c r="I24" s="50"/>
      <c r="J24" s="50" t="s">
        <v>352</v>
      </c>
      <c r="K24" s="50" t="str">
        <f aca="false">IFERROR(VLOOKUP($J24,Catálogos!$M$4:$N$17,2,FALSE()),"")</f>
        <v>Mantención Preventiva Realizada</v>
      </c>
      <c r="L24" s="52" t="n">
        <v>46037</v>
      </c>
      <c r="M24" s="50" t="s">
        <v>353</v>
      </c>
      <c r="N24" s="50" t="s">
        <v>253</v>
      </c>
      <c r="O24" s="50"/>
      <c r="P24" s="50"/>
      <c r="Q24" s="50" t="s">
        <v>362</v>
      </c>
    </row>
    <row r="25" customFormat="false" ht="15" hidden="false" customHeight="true" outlineLevel="0" collapsed="false">
      <c r="A25" s="51" t="s">
        <v>382</v>
      </c>
      <c r="B25" s="50" t="str">
        <f aca="false">IFERROR(VLOOKUP($A25,Equipos!$C$2:$M$967,2,FALSE()),"")</f>
        <v>Monitor Multiparámetros</v>
      </c>
      <c r="C25" s="50" t="str">
        <f aca="false">IFERROR(VLOOKUP($A25,Equipos!$C$2:$M$967,9,FALSE()),"")</f>
        <v>DE671E0434</v>
      </c>
      <c r="D25" s="50" t="str">
        <f aca="false">IFERROR(VLOOKUP($A25,Equipos!$C$2:$M$967,3,FALSE()),"")</f>
        <v>Neonatología</v>
      </c>
      <c r="E25" s="50" t="str">
        <f aca="false">IFERROR(VLOOKUP($A25,Equipos!$C$2:$M$967,7,FALSE()),"")</f>
        <v>Philips</v>
      </c>
      <c r="F25" s="50" t="str">
        <f aca="false">IFERROR(VLOOKUP($A25,Equipos!$C$2:$M$967,8,FALSE()),"")</f>
        <v>Intellivue MX550</v>
      </c>
      <c r="G25" s="50" t="s">
        <v>356</v>
      </c>
      <c r="H25" s="50" t="s">
        <v>360</v>
      </c>
      <c r="I25" s="50"/>
      <c r="J25" s="50" t="s">
        <v>352</v>
      </c>
      <c r="K25" s="50" t="str">
        <f aca="false">IFERROR(VLOOKUP($J25,Catálogos!$M$4:$N$17,2,FALSE()),"")</f>
        <v>Mantención Preventiva Realizada</v>
      </c>
      <c r="L25" s="52" t="n">
        <v>46037</v>
      </c>
      <c r="M25" s="50" t="s">
        <v>353</v>
      </c>
      <c r="N25" s="50" t="s">
        <v>253</v>
      </c>
      <c r="O25" s="50"/>
      <c r="P25" s="50"/>
      <c r="Q25" s="50" t="s">
        <v>362</v>
      </c>
    </row>
    <row r="26" customFormat="false" ht="15" hidden="false" customHeight="true" outlineLevel="0" collapsed="false">
      <c r="A26" s="51" t="s">
        <v>383</v>
      </c>
      <c r="B26" s="50" t="str">
        <f aca="false">IFERROR(VLOOKUP($A26,Equipos!$C$2:$M$967,2,FALSE()),"")</f>
        <v>Monitor Multiparámetros</v>
      </c>
      <c r="C26" s="50" t="str">
        <f aca="false">IFERROR(VLOOKUP($A26,Equipos!$C$2:$M$967,9,FALSE()),"")</f>
        <v>DE671E0410</v>
      </c>
      <c r="D26" s="50" t="str">
        <f aca="false">IFERROR(VLOOKUP($A26,Equipos!$C$2:$M$967,3,FALSE()),"")</f>
        <v>Neonatología</v>
      </c>
      <c r="E26" s="50" t="str">
        <f aca="false">IFERROR(VLOOKUP($A26,Equipos!$C$2:$M$967,7,FALSE()),"")</f>
        <v>Philips</v>
      </c>
      <c r="F26" s="50" t="str">
        <f aca="false">IFERROR(VLOOKUP($A26,Equipos!$C$2:$M$967,8,FALSE()),"")</f>
        <v>Intellivue MX550</v>
      </c>
      <c r="G26" s="50" t="s">
        <v>356</v>
      </c>
      <c r="H26" s="50" t="s">
        <v>360</v>
      </c>
      <c r="I26" s="50"/>
      <c r="J26" s="50" t="s">
        <v>352</v>
      </c>
      <c r="K26" s="50" t="str">
        <f aca="false">IFERROR(VLOOKUP($J26,Catálogos!$M$4:$N$17,2,FALSE()),"")</f>
        <v>Mantención Preventiva Realizada</v>
      </c>
      <c r="L26" s="52" t="n">
        <v>46037</v>
      </c>
      <c r="M26" s="50" t="s">
        <v>353</v>
      </c>
      <c r="N26" s="50" t="s">
        <v>253</v>
      </c>
      <c r="O26" s="50"/>
      <c r="P26" s="50"/>
      <c r="Q26" s="50" t="s">
        <v>362</v>
      </c>
    </row>
    <row r="27" customFormat="false" ht="15" hidden="false" customHeight="true" outlineLevel="0" collapsed="false">
      <c r="A27" s="51" t="s">
        <v>384</v>
      </c>
      <c r="B27" s="50" t="str">
        <f aca="false">IFERROR(VLOOKUP($A27,Equipos!$C$2:$M$967,2,FALSE()),"")</f>
        <v>Monitor Multiparámetros</v>
      </c>
      <c r="C27" s="50" t="str">
        <f aca="false">IFERROR(VLOOKUP($A27,Equipos!$C$2:$M$967,9,FALSE()),"")</f>
        <v>DE671E0409</v>
      </c>
      <c r="D27" s="50" t="str">
        <f aca="false">IFERROR(VLOOKUP($A27,Equipos!$C$2:$M$967,3,FALSE()),"")</f>
        <v>Neonatología</v>
      </c>
      <c r="E27" s="50" t="str">
        <f aca="false">IFERROR(VLOOKUP($A27,Equipos!$C$2:$M$967,7,FALSE()),"")</f>
        <v>Philips</v>
      </c>
      <c r="F27" s="50" t="str">
        <f aca="false">IFERROR(VLOOKUP($A27,Equipos!$C$2:$M$967,8,FALSE()),"")</f>
        <v>Intellivue MX550</v>
      </c>
      <c r="G27" s="50" t="s">
        <v>356</v>
      </c>
      <c r="H27" s="50" t="s">
        <v>360</v>
      </c>
      <c r="I27" s="50"/>
      <c r="J27" s="50" t="s">
        <v>352</v>
      </c>
      <c r="K27" s="50" t="str">
        <f aca="false">IFERROR(VLOOKUP($J27,Catálogos!$M$4:$N$17,2,FALSE()),"")</f>
        <v>Mantención Preventiva Realizada</v>
      </c>
      <c r="L27" s="52" t="n">
        <v>46037</v>
      </c>
      <c r="M27" s="50" t="s">
        <v>353</v>
      </c>
      <c r="N27" s="50" t="s">
        <v>253</v>
      </c>
      <c r="O27" s="50"/>
      <c r="P27" s="50"/>
      <c r="Q27" s="50" t="s">
        <v>362</v>
      </c>
    </row>
    <row r="28" customFormat="false" ht="15" hidden="false" customHeight="true" outlineLevel="0" collapsed="false">
      <c r="A28" s="51" t="s">
        <v>385</v>
      </c>
      <c r="B28" s="50" t="str">
        <f aca="false">IFERROR(VLOOKUP($A28,Equipos!$C$2:$M$967,2,FALSE()),"")</f>
        <v>Monitor Multiparámetros</v>
      </c>
      <c r="C28" s="50" t="str">
        <f aca="false">IFERROR(VLOOKUP($A28,Equipos!$C$2:$M$967,9,FALSE()),"")</f>
        <v>DE671E0408</v>
      </c>
      <c r="D28" s="50" t="str">
        <f aca="false">IFERROR(VLOOKUP($A28,Equipos!$C$2:$M$967,3,FALSE()),"")</f>
        <v>Neonatología</v>
      </c>
      <c r="E28" s="50" t="str">
        <f aca="false">IFERROR(VLOOKUP($A28,Equipos!$C$2:$M$967,7,FALSE()),"")</f>
        <v>Philips</v>
      </c>
      <c r="F28" s="50" t="str">
        <f aca="false">IFERROR(VLOOKUP($A28,Equipos!$C$2:$M$967,8,FALSE()),"")</f>
        <v>Intellivue MX550</v>
      </c>
      <c r="G28" s="50" t="s">
        <v>356</v>
      </c>
      <c r="H28" s="50" t="s">
        <v>360</v>
      </c>
      <c r="I28" s="50"/>
      <c r="J28" s="50" t="s">
        <v>352</v>
      </c>
      <c r="K28" s="50" t="str">
        <f aca="false">IFERROR(VLOOKUP($J28,Catálogos!$M$4:$N$17,2,FALSE()),"")</f>
        <v>Mantención Preventiva Realizada</v>
      </c>
      <c r="L28" s="52" t="n">
        <v>46037</v>
      </c>
      <c r="M28" s="50" t="s">
        <v>353</v>
      </c>
      <c r="N28" s="50" t="s">
        <v>253</v>
      </c>
      <c r="O28" s="50"/>
      <c r="P28" s="50"/>
      <c r="Q28" s="50" t="s">
        <v>362</v>
      </c>
    </row>
    <row r="29" customFormat="false" ht="15" hidden="false" customHeight="true" outlineLevel="0" collapsed="false">
      <c r="A29" s="51" t="s">
        <v>386</v>
      </c>
      <c r="B29" s="50" t="str">
        <f aca="false">IFERROR(VLOOKUP($A29,Equipos!$C$2:$M$967,2,FALSE()),"")</f>
        <v>Monitor Multiparámetros</v>
      </c>
      <c r="C29" s="50" t="str">
        <f aca="false">IFERROR(VLOOKUP($A29,Equipos!$C$2:$M$967,9,FALSE()),"")</f>
        <v>DE671E0407</v>
      </c>
      <c r="D29" s="50" t="str">
        <f aca="false">IFERROR(VLOOKUP($A29,Equipos!$C$2:$M$967,3,FALSE()),"")</f>
        <v>Neonatología</v>
      </c>
      <c r="E29" s="50" t="str">
        <f aca="false">IFERROR(VLOOKUP($A29,Equipos!$C$2:$M$967,7,FALSE()),"")</f>
        <v>Philips</v>
      </c>
      <c r="F29" s="50" t="str">
        <f aca="false">IFERROR(VLOOKUP($A29,Equipos!$C$2:$M$967,8,FALSE()),"")</f>
        <v>Intellivue MX550</v>
      </c>
      <c r="G29" s="50" t="s">
        <v>356</v>
      </c>
      <c r="H29" s="50" t="s">
        <v>360</v>
      </c>
      <c r="I29" s="50"/>
      <c r="J29" s="50" t="s">
        <v>352</v>
      </c>
      <c r="K29" s="50" t="str">
        <f aca="false">IFERROR(VLOOKUP($J29,Catálogos!$M$4:$N$17,2,FALSE()),"")</f>
        <v>Mantención Preventiva Realizada</v>
      </c>
      <c r="L29" s="52" t="n">
        <v>46037</v>
      </c>
      <c r="M29" s="50" t="s">
        <v>353</v>
      </c>
      <c r="N29" s="50" t="s">
        <v>253</v>
      </c>
      <c r="O29" s="50"/>
      <c r="P29" s="50"/>
      <c r="Q29" s="50" t="s">
        <v>362</v>
      </c>
    </row>
    <row r="30" customFormat="false" ht="15" hidden="false" customHeight="true" outlineLevel="0" collapsed="false">
      <c r="A30" s="51" t="s">
        <v>387</v>
      </c>
      <c r="B30" s="50" t="str">
        <f aca="false">IFERROR(VLOOKUP($A30,Equipos!$C$2:$M$967,2,FALSE()),"")</f>
        <v>Monitor Multiparámetros</v>
      </c>
      <c r="C30" s="50" t="str">
        <f aca="false">IFERROR(VLOOKUP($A30,Equipos!$C$2:$M$967,9,FALSE()),"")</f>
        <v>DE671E0406</v>
      </c>
      <c r="D30" s="50" t="str">
        <f aca="false">IFERROR(VLOOKUP($A30,Equipos!$C$2:$M$967,3,FALSE()),"")</f>
        <v>Neonatología</v>
      </c>
      <c r="E30" s="50" t="str">
        <f aca="false">IFERROR(VLOOKUP($A30,Equipos!$C$2:$M$967,7,FALSE()),"")</f>
        <v>Philips</v>
      </c>
      <c r="F30" s="50" t="str">
        <f aca="false">IFERROR(VLOOKUP($A30,Equipos!$C$2:$M$967,8,FALSE()),"")</f>
        <v>Intellivue MX550</v>
      </c>
      <c r="G30" s="50" t="s">
        <v>356</v>
      </c>
      <c r="H30" s="50" t="s">
        <v>360</v>
      </c>
      <c r="I30" s="50"/>
      <c r="J30" s="50" t="s">
        <v>364</v>
      </c>
      <c r="K30" s="50" t="str">
        <f aca="false">IFERROR(VLOOKUP($J30,Catálogos!$M$4:$N$17,2,FALSE()),"")</f>
        <v>Reprogramada · No disponibilidad de horas hombre del funcionario SEC por alta carga laboral</v>
      </c>
      <c r="L30" s="52" t="n">
        <v>46037</v>
      </c>
      <c r="M30" s="50" t="s">
        <v>353</v>
      </c>
      <c r="N30" s="50" t="s">
        <v>253</v>
      </c>
      <c r="O30" s="50"/>
      <c r="P30" s="50"/>
      <c r="Q30" s="50" t="s">
        <v>362</v>
      </c>
    </row>
    <row r="31" customFormat="false" ht="15" hidden="false" customHeight="true" outlineLevel="0" collapsed="false">
      <c r="A31" s="51" t="s">
        <v>388</v>
      </c>
      <c r="B31" s="50" t="str">
        <f aca="false">IFERROR(VLOOKUP($A31,Equipos!$C$2:$M$967,2,FALSE()),"")</f>
        <v>Monitor Multiparámetros</v>
      </c>
      <c r="C31" s="50" t="str">
        <f aca="false">IFERROR(VLOOKUP($A31,Equipos!$C$2:$M$967,9,FALSE()),"")</f>
        <v>DE671E0405</v>
      </c>
      <c r="D31" s="50" t="str">
        <f aca="false">IFERROR(VLOOKUP($A31,Equipos!$C$2:$M$967,3,FALSE()),"")</f>
        <v>Neonatología</v>
      </c>
      <c r="E31" s="50" t="str">
        <f aca="false">IFERROR(VLOOKUP($A31,Equipos!$C$2:$M$967,7,FALSE()),"")</f>
        <v>Philips</v>
      </c>
      <c r="F31" s="50" t="str">
        <f aca="false">IFERROR(VLOOKUP($A31,Equipos!$C$2:$M$967,8,FALSE()),"")</f>
        <v>Intellivue MX550</v>
      </c>
      <c r="G31" s="50" t="s">
        <v>356</v>
      </c>
      <c r="H31" s="50" t="s">
        <v>360</v>
      </c>
      <c r="I31" s="50"/>
      <c r="J31" s="50" t="s">
        <v>352</v>
      </c>
      <c r="K31" s="50" t="str">
        <f aca="false">IFERROR(VLOOKUP($J31,Catálogos!$M$4:$N$17,2,FALSE()),"")</f>
        <v>Mantención Preventiva Realizada</v>
      </c>
      <c r="L31" s="52" t="n">
        <v>46037</v>
      </c>
      <c r="M31" s="50" t="s">
        <v>353</v>
      </c>
      <c r="N31" s="50" t="s">
        <v>253</v>
      </c>
      <c r="O31" s="50"/>
      <c r="P31" s="50"/>
      <c r="Q31" s="50" t="s">
        <v>362</v>
      </c>
    </row>
    <row r="32" customFormat="false" ht="15" hidden="false" customHeight="true" outlineLevel="0" collapsed="false">
      <c r="A32" s="51" t="s">
        <v>389</v>
      </c>
      <c r="B32" s="50" t="str">
        <f aca="false">IFERROR(VLOOKUP($A32,Equipos!$C$2:$M$967,2,FALSE()),"")</f>
        <v>Monitor Multiparámetros</v>
      </c>
      <c r="C32" s="50" t="str">
        <f aca="false">IFERROR(VLOOKUP($A32,Equipos!$C$2:$M$967,9,FALSE()),"")</f>
        <v>DE671E0404</v>
      </c>
      <c r="D32" s="50" t="str">
        <f aca="false">IFERROR(VLOOKUP($A32,Equipos!$C$2:$M$967,3,FALSE()),"")</f>
        <v>Neonatología</v>
      </c>
      <c r="E32" s="50" t="str">
        <f aca="false">IFERROR(VLOOKUP($A32,Equipos!$C$2:$M$967,7,FALSE()),"")</f>
        <v>Philips</v>
      </c>
      <c r="F32" s="50" t="str">
        <f aca="false">IFERROR(VLOOKUP($A32,Equipos!$C$2:$M$967,8,FALSE()),"")</f>
        <v>Intellivue MX550</v>
      </c>
      <c r="G32" s="50" t="s">
        <v>356</v>
      </c>
      <c r="H32" s="50" t="s">
        <v>360</v>
      </c>
      <c r="I32" s="50"/>
      <c r="J32" s="50" t="s">
        <v>364</v>
      </c>
      <c r="K32" s="50" t="str">
        <f aca="false">IFERROR(VLOOKUP($J32,Catálogos!$M$4:$N$17,2,FALSE()),"")</f>
        <v>Reprogramada · No disponibilidad de horas hombre del funcionario SEC por alta carga laboral</v>
      </c>
      <c r="L32" s="52" t="n">
        <v>46037</v>
      </c>
      <c r="M32" s="50" t="s">
        <v>353</v>
      </c>
      <c r="N32" s="50" t="s">
        <v>253</v>
      </c>
      <c r="O32" s="50"/>
      <c r="P32" s="50"/>
      <c r="Q32" s="50" t="s">
        <v>362</v>
      </c>
    </row>
    <row r="33" customFormat="false" ht="15" hidden="false" customHeight="true" outlineLevel="0" collapsed="false">
      <c r="A33" s="51" t="s">
        <v>390</v>
      </c>
      <c r="B33" s="50" t="str">
        <f aca="false">IFERROR(VLOOKUP($A33,Equipos!$C$2:$M$967,2,FALSE()),"")</f>
        <v>Monitor Multiparámetros</v>
      </c>
      <c r="C33" s="50" t="str">
        <f aca="false">IFERROR(VLOOKUP($A33,Equipos!$C$2:$M$967,9,FALSE()),"")</f>
        <v>DE671E0403</v>
      </c>
      <c r="D33" s="50" t="str">
        <f aca="false">IFERROR(VLOOKUP($A33,Equipos!$C$2:$M$967,3,FALSE()),"")</f>
        <v>Neonatología</v>
      </c>
      <c r="E33" s="50" t="str">
        <f aca="false">IFERROR(VLOOKUP($A33,Equipos!$C$2:$M$967,7,FALSE()),"")</f>
        <v>Philips</v>
      </c>
      <c r="F33" s="50" t="str">
        <f aca="false">IFERROR(VLOOKUP($A33,Equipos!$C$2:$M$967,8,FALSE()),"")</f>
        <v>Intellivue MX550</v>
      </c>
      <c r="G33" s="50" t="s">
        <v>356</v>
      </c>
      <c r="H33" s="50" t="s">
        <v>360</v>
      </c>
      <c r="I33" s="50"/>
      <c r="J33" s="50" t="s">
        <v>352</v>
      </c>
      <c r="K33" s="50" t="str">
        <f aca="false">IFERROR(VLOOKUP($J33,Catálogos!$M$4:$N$17,2,FALSE()),"")</f>
        <v>Mantención Preventiva Realizada</v>
      </c>
      <c r="L33" s="52" t="n">
        <v>46037</v>
      </c>
      <c r="M33" s="50" t="s">
        <v>353</v>
      </c>
      <c r="N33" s="50" t="s">
        <v>253</v>
      </c>
      <c r="O33" s="50"/>
      <c r="P33" s="50"/>
      <c r="Q33" s="50" t="s">
        <v>362</v>
      </c>
    </row>
    <row r="34" customFormat="false" ht="15" hidden="false" customHeight="true" outlineLevel="0" collapsed="false">
      <c r="A34" s="51" t="s">
        <v>391</v>
      </c>
      <c r="B34" s="50" t="str">
        <f aca="false">IFERROR(VLOOKUP($A34,Equipos!$C$2:$M$967,2,FALSE()),"")</f>
        <v>Monitor Multiparámetros</v>
      </c>
      <c r="C34" s="50" t="str">
        <f aca="false">IFERROR(VLOOKUP($A34,Equipos!$C$2:$M$967,9,FALSE()),"")</f>
        <v>DE671E0401</v>
      </c>
      <c r="D34" s="50" t="str">
        <f aca="false">IFERROR(VLOOKUP($A34,Equipos!$C$2:$M$967,3,FALSE()),"")</f>
        <v>Neonatología</v>
      </c>
      <c r="E34" s="50" t="str">
        <f aca="false">IFERROR(VLOOKUP($A34,Equipos!$C$2:$M$967,7,FALSE()),"")</f>
        <v>Philips</v>
      </c>
      <c r="F34" s="50" t="str">
        <f aca="false">IFERROR(VLOOKUP($A34,Equipos!$C$2:$M$967,8,FALSE()),"")</f>
        <v>Intellivue MX550</v>
      </c>
      <c r="G34" s="50" t="s">
        <v>356</v>
      </c>
      <c r="H34" s="50" t="s">
        <v>360</v>
      </c>
      <c r="I34" s="50"/>
      <c r="J34" s="50" t="s">
        <v>352</v>
      </c>
      <c r="K34" s="50" t="str">
        <f aca="false">IFERROR(VLOOKUP($J34,Catálogos!$M$4:$N$17,2,FALSE()),"")</f>
        <v>Mantención Preventiva Realizada</v>
      </c>
      <c r="L34" s="52" t="n">
        <v>46037</v>
      </c>
      <c r="M34" s="50" t="s">
        <v>353</v>
      </c>
      <c r="N34" s="50" t="s">
        <v>253</v>
      </c>
      <c r="O34" s="50"/>
      <c r="P34" s="50"/>
      <c r="Q34" s="50" t="s">
        <v>362</v>
      </c>
    </row>
    <row r="35" customFormat="false" ht="15" hidden="false" customHeight="true" outlineLevel="0" collapsed="false">
      <c r="A35" s="51" t="s">
        <v>392</v>
      </c>
      <c r="B35" s="50" t="str">
        <f aca="false">IFERROR(VLOOKUP($A35,Equipos!$C$2:$M$967,2,FALSE()),"")</f>
        <v>Monitor Multiparámetros</v>
      </c>
      <c r="C35" s="50" t="str">
        <f aca="false">IFERROR(VLOOKUP($A35,Equipos!$C$2:$M$967,9,FALSE()),"")</f>
        <v>DE671E0399</v>
      </c>
      <c r="D35" s="50" t="str">
        <f aca="false">IFERROR(VLOOKUP($A35,Equipos!$C$2:$M$967,3,FALSE()),"")</f>
        <v>Neonatología</v>
      </c>
      <c r="E35" s="50" t="str">
        <f aca="false">IFERROR(VLOOKUP($A35,Equipos!$C$2:$M$967,7,FALSE()),"")</f>
        <v>Philips</v>
      </c>
      <c r="F35" s="50" t="str">
        <f aca="false">IFERROR(VLOOKUP($A35,Equipos!$C$2:$M$967,8,FALSE()),"")</f>
        <v>Intellivue MX550</v>
      </c>
      <c r="G35" s="50" t="s">
        <v>356</v>
      </c>
      <c r="H35" s="50" t="s">
        <v>360</v>
      </c>
      <c r="I35" s="50"/>
      <c r="J35" s="50" t="s">
        <v>352</v>
      </c>
      <c r="K35" s="50" t="str">
        <f aca="false">IFERROR(VLOOKUP($J35,Catálogos!$M$4:$N$17,2,FALSE()),"")</f>
        <v>Mantención Preventiva Realizada</v>
      </c>
      <c r="L35" s="52" t="n">
        <v>46037</v>
      </c>
      <c r="M35" s="50" t="s">
        <v>353</v>
      </c>
      <c r="N35" s="50" t="s">
        <v>253</v>
      </c>
      <c r="O35" s="50"/>
      <c r="P35" s="50"/>
      <c r="Q35" s="50" t="s">
        <v>362</v>
      </c>
    </row>
    <row r="36" customFormat="false" ht="15" hidden="false" customHeight="true" outlineLevel="0" collapsed="false">
      <c r="A36" s="51" t="s">
        <v>393</v>
      </c>
      <c r="B36" s="50" t="str">
        <f aca="false">IFERROR(VLOOKUP($A36,Equipos!$C$2:$M$967,2,FALSE()),"")</f>
        <v>Monitor Multiparámetros</v>
      </c>
      <c r="C36" s="50" t="str">
        <f aca="false">IFERROR(VLOOKUP($A36,Equipos!$C$2:$M$967,9,FALSE()),"")</f>
        <v>DE671E0398</v>
      </c>
      <c r="D36" s="50" t="str">
        <f aca="false">IFERROR(VLOOKUP($A36,Equipos!$C$2:$M$967,3,FALSE()),"")</f>
        <v>Neonatología</v>
      </c>
      <c r="E36" s="50" t="str">
        <f aca="false">IFERROR(VLOOKUP($A36,Equipos!$C$2:$M$967,7,FALSE()),"")</f>
        <v>Philips</v>
      </c>
      <c r="F36" s="50" t="str">
        <f aca="false">IFERROR(VLOOKUP($A36,Equipos!$C$2:$M$967,8,FALSE()),"")</f>
        <v>Intellivue MX550</v>
      </c>
      <c r="G36" s="50" t="s">
        <v>356</v>
      </c>
      <c r="H36" s="50" t="s">
        <v>360</v>
      </c>
      <c r="I36" s="50"/>
      <c r="J36" s="50" t="s">
        <v>352</v>
      </c>
      <c r="K36" s="50" t="str">
        <f aca="false">IFERROR(VLOOKUP($J36,Catálogos!$M$4:$N$17,2,FALSE()),"")</f>
        <v>Mantención Preventiva Realizada</v>
      </c>
      <c r="L36" s="52" t="n">
        <v>46037</v>
      </c>
      <c r="M36" s="50" t="s">
        <v>353</v>
      </c>
      <c r="N36" s="50" t="s">
        <v>253</v>
      </c>
      <c r="O36" s="50"/>
      <c r="P36" s="50"/>
      <c r="Q36" s="50" t="s">
        <v>362</v>
      </c>
    </row>
    <row r="37" customFormat="false" ht="15" hidden="false" customHeight="true" outlineLevel="0" collapsed="false">
      <c r="A37" s="51" t="s">
        <v>394</v>
      </c>
      <c r="B37" s="50" t="str">
        <f aca="false">IFERROR(VLOOKUP($A37,Equipos!$C$2:$M$967,2,FALSE()),"")</f>
        <v>Monitor Multiparámetros</v>
      </c>
      <c r="C37" s="50" t="str">
        <f aca="false">IFERROR(VLOOKUP($A37,Equipos!$C$2:$M$967,9,FALSE()),"")</f>
        <v>DE671E0397</v>
      </c>
      <c r="D37" s="50" t="str">
        <f aca="false">IFERROR(VLOOKUP($A37,Equipos!$C$2:$M$967,3,FALSE()),"")</f>
        <v>Neonatología</v>
      </c>
      <c r="E37" s="50" t="str">
        <f aca="false">IFERROR(VLOOKUP($A37,Equipos!$C$2:$M$967,7,FALSE()),"")</f>
        <v>Philips</v>
      </c>
      <c r="F37" s="50" t="str">
        <f aca="false">IFERROR(VLOOKUP($A37,Equipos!$C$2:$M$967,8,FALSE()),"")</f>
        <v>Intellivue MX550</v>
      </c>
      <c r="G37" s="50" t="s">
        <v>356</v>
      </c>
      <c r="H37" s="50" t="s">
        <v>360</v>
      </c>
      <c r="I37" s="50"/>
      <c r="J37" s="50" t="s">
        <v>352</v>
      </c>
      <c r="K37" s="50" t="str">
        <f aca="false">IFERROR(VLOOKUP($J37,Catálogos!$M$4:$N$17,2,FALSE()),"")</f>
        <v>Mantención Preventiva Realizada</v>
      </c>
      <c r="L37" s="52" t="n">
        <v>46037</v>
      </c>
      <c r="M37" s="50" t="s">
        <v>353</v>
      </c>
      <c r="N37" s="50" t="s">
        <v>253</v>
      </c>
      <c r="O37" s="50"/>
      <c r="P37" s="50"/>
      <c r="Q37" s="50" t="s">
        <v>362</v>
      </c>
    </row>
    <row r="38" customFormat="false" ht="15" hidden="false" customHeight="true" outlineLevel="0" collapsed="false">
      <c r="A38" s="51" t="s">
        <v>395</v>
      </c>
      <c r="B38" s="50" t="str">
        <f aca="false">IFERROR(VLOOKUP($A38,Equipos!$C$2:$M$967,2,FALSE()),"")</f>
        <v>Monitor Multiparámetros</v>
      </c>
      <c r="C38" s="50" t="str">
        <f aca="false">IFERROR(VLOOKUP($A38,Equipos!$C$2:$M$967,9,FALSE()),"")</f>
        <v>DE671E0396</v>
      </c>
      <c r="D38" s="50" t="str">
        <f aca="false">IFERROR(VLOOKUP($A38,Equipos!$C$2:$M$967,3,FALSE()),"")</f>
        <v>Neonatología</v>
      </c>
      <c r="E38" s="50" t="str">
        <f aca="false">IFERROR(VLOOKUP($A38,Equipos!$C$2:$M$967,7,FALSE()),"")</f>
        <v>Philips</v>
      </c>
      <c r="F38" s="50" t="str">
        <f aca="false">IFERROR(VLOOKUP($A38,Equipos!$C$2:$M$967,8,FALSE()),"")</f>
        <v>Intellivue MX550</v>
      </c>
      <c r="G38" s="50" t="s">
        <v>356</v>
      </c>
      <c r="H38" s="50" t="s">
        <v>360</v>
      </c>
      <c r="I38" s="50"/>
      <c r="J38" s="50" t="s">
        <v>364</v>
      </c>
      <c r="K38" s="50" t="str">
        <f aca="false">IFERROR(VLOOKUP($J38,Catálogos!$M$4:$N$17,2,FALSE()),"")</f>
        <v>Reprogramada · No disponibilidad de horas hombre del funcionario SEC por alta carga laboral</v>
      </c>
      <c r="L38" s="52" t="n">
        <v>46037</v>
      </c>
      <c r="M38" s="50" t="s">
        <v>353</v>
      </c>
      <c r="N38" s="50" t="s">
        <v>253</v>
      </c>
      <c r="O38" s="50"/>
      <c r="P38" s="50"/>
      <c r="Q38" s="50" t="s">
        <v>362</v>
      </c>
    </row>
    <row r="39" customFormat="false" ht="15" hidden="false" customHeight="true" outlineLevel="0" collapsed="false">
      <c r="A39" s="51" t="s">
        <v>396</v>
      </c>
      <c r="B39" s="50" t="str">
        <f aca="false">IFERROR(VLOOKUP($A39,Equipos!$C$2:$M$967,2,FALSE()),"")</f>
        <v>Monitor Multiparámetros</v>
      </c>
      <c r="C39" s="50" t="str">
        <f aca="false">IFERROR(VLOOKUP($A39,Equipos!$C$2:$M$967,9,FALSE()),"")</f>
        <v>DE671E0395</v>
      </c>
      <c r="D39" s="50" t="str">
        <f aca="false">IFERROR(VLOOKUP($A39,Equipos!$C$2:$M$967,3,FALSE()),"")</f>
        <v>Neonatología</v>
      </c>
      <c r="E39" s="50" t="str">
        <f aca="false">IFERROR(VLOOKUP($A39,Equipos!$C$2:$M$967,7,FALSE()),"")</f>
        <v>Philips</v>
      </c>
      <c r="F39" s="50" t="str">
        <f aca="false">IFERROR(VLOOKUP($A39,Equipos!$C$2:$M$967,8,FALSE()),"")</f>
        <v>Intellivue MX550</v>
      </c>
      <c r="G39" s="50" t="s">
        <v>356</v>
      </c>
      <c r="H39" s="50" t="s">
        <v>360</v>
      </c>
      <c r="I39" s="50"/>
      <c r="J39" s="50" t="s">
        <v>352</v>
      </c>
      <c r="K39" s="50" t="str">
        <f aca="false">IFERROR(VLOOKUP($J39,Catálogos!$M$4:$N$17,2,FALSE()),"")</f>
        <v>Mantención Preventiva Realizada</v>
      </c>
      <c r="L39" s="52" t="n">
        <v>46037</v>
      </c>
      <c r="M39" s="50" t="s">
        <v>353</v>
      </c>
      <c r="N39" s="50" t="s">
        <v>253</v>
      </c>
      <c r="O39" s="50"/>
      <c r="P39" s="50"/>
      <c r="Q39" s="50" t="s">
        <v>362</v>
      </c>
    </row>
    <row r="40" customFormat="false" ht="15" hidden="false" customHeight="true" outlineLevel="0" collapsed="false">
      <c r="A40" s="51" t="s">
        <v>397</v>
      </c>
      <c r="B40" s="50" t="str">
        <f aca="false">IFERROR(VLOOKUP($A40,Equipos!$C$2:$M$967,2,FALSE()),"")</f>
        <v>Monitor Multiparámetros</v>
      </c>
      <c r="C40" s="50" t="str">
        <f aca="false">IFERROR(VLOOKUP($A40,Equipos!$C$2:$M$967,9,FALSE()),"")</f>
        <v>DE35137548</v>
      </c>
      <c r="D40" s="50" t="str">
        <f aca="false">IFERROR(VLOOKUP($A40,Equipos!$C$2:$M$967,3,FALSE()),"")</f>
        <v>Neonatología</v>
      </c>
      <c r="E40" s="50" t="str">
        <f aca="false">IFERROR(VLOOKUP($A40,Equipos!$C$2:$M$967,7,FALSE()),"")</f>
        <v>Philips</v>
      </c>
      <c r="F40" s="50" t="str">
        <f aca="false">IFERROR(VLOOKUP($A40,Equipos!$C$2:$M$967,8,FALSE()),"")</f>
        <v>MX500</v>
      </c>
      <c r="G40" s="50" t="s">
        <v>356</v>
      </c>
      <c r="H40" s="50" t="s">
        <v>360</v>
      </c>
      <c r="I40" s="50"/>
      <c r="J40" s="50" t="s">
        <v>352</v>
      </c>
      <c r="K40" s="50" t="str">
        <f aca="false">IFERROR(VLOOKUP($J40,Catálogos!$M$4:$N$17,2,FALSE()),"")</f>
        <v>Mantención Preventiva Realizada</v>
      </c>
      <c r="L40" s="52" t="n">
        <v>46037</v>
      </c>
      <c r="M40" s="50" t="s">
        <v>353</v>
      </c>
      <c r="N40" s="50" t="s">
        <v>253</v>
      </c>
      <c r="O40" s="50"/>
      <c r="P40" s="50"/>
      <c r="Q40" s="50" t="s">
        <v>362</v>
      </c>
    </row>
    <row r="41" customFormat="false" ht="15" hidden="false" customHeight="true" outlineLevel="0" collapsed="false">
      <c r="A41" s="51" t="s">
        <v>398</v>
      </c>
      <c r="B41" s="50" t="str">
        <f aca="false">IFERROR(VLOOKUP($A41,Equipos!$C$2:$M$967,2,FALSE()),"")</f>
        <v>Monitor Multiparámetros</v>
      </c>
      <c r="C41" s="50" t="str">
        <f aca="false">IFERROR(VLOOKUP($A41,Equipos!$C$2:$M$967,9,FALSE()),"")</f>
        <v>260123-M15803660005</v>
      </c>
      <c r="D41" s="50" t="str">
        <f aca="false">IFERROR(VLOOKUP($A41,Equipos!$C$2:$M$967,3,FALSE()),"")</f>
        <v>Pediatría</v>
      </c>
      <c r="E41" s="50" t="str">
        <f aca="false">IFERROR(VLOOKUP($A41,Equipos!$C$2:$M$967,7,FALSE()),"")</f>
        <v>EDAN</v>
      </c>
      <c r="F41" s="50" t="str">
        <f aca="false">IFERROR(VLOOKUP($A41,Equipos!$C$2:$M$967,8,FALSE()),"")</f>
        <v>IM50</v>
      </c>
      <c r="G41" s="50" t="s">
        <v>356</v>
      </c>
      <c r="H41" s="50" t="s">
        <v>360</v>
      </c>
      <c r="I41" s="50"/>
      <c r="J41" s="50" t="s">
        <v>364</v>
      </c>
      <c r="K41" s="50" t="str">
        <f aca="false">IFERROR(VLOOKUP($J41,Catálogos!$M$4:$N$17,2,FALSE()),"")</f>
        <v>Reprogramada · No disponibilidad de horas hombre del funcionario SEC por alta carga laboral</v>
      </c>
      <c r="L41" s="52" t="n">
        <v>46037</v>
      </c>
      <c r="M41" s="50" t="s">
        <v>353</v>
      </c>
      <c r="N41" s="50" t="s">
        <v>253</v>
      </c>
      <c r="O41" s="50"/>
      <c r="P41" s="50"/>
      <c r="Q41" s="50" t="s">
        <v>362</v>
      </c>
    </row>
    <row r="42" customFormat="false" ht="15" hidden="false" customHeight="true" outlineLevel="0" collapsed="false">
      <c r="A42" s="51" t="s">
        <v>399</v>
      </c>
      <c r="B42" s="50" t="str">
        <f aca="false">IFERROR(VLOOKUP($A42,Equipos!$C$2:$M$967,2,FALSE()),"")</f>
        <v>Oxímetro de Pulso</v>
      </c>
      <c r="C42" s="50" t="str">
        <f aca="false">IFERROR(VLOOKUP($A42,Equipos!$C$2:$M$967,9,FALSE()),"")</f>
        <v>225507</v>
      </c>
      <c r="D42" s="50" t="str">
        <f aca="false">IFERROR(VLOOKUP($A42,Equipos!$C$2:$M$967,3,FALSE()),"")</f>
        <v>Neonatología</v>
      </c>
      <c r="E42" s="50" t="str">
        <f aca="false">IFERROR(VLOOKUP($A42,Equipos!$C$2:$M$967,7,FALSE()),"")</f>
        <v>Masimo</v>
      </c>
      <c r="F42" s="50" t="str">
        <f aca="false">IFERROR(VLOOKUP($A42,Equipos!$C$2:$M$967,8,FALSE()),"")</f>
        <v>R7</v>
      </c>
      <c r="G42" s="50" t="s">
        <v>356</v>
      </c>
      <c r="H42" s="50" t="s">
        <v>360</v>
      </c>
      <c r="I42" s="50"/>
      <c r="J42" s="50" t="s">
        <v>352</v>
      </c>
      <c r="K42" s="50" t="str">
        <f aca="false">IFERROR(VLOOKUP($J42,Catálogos!$M$4:$N$17,2,FALSE()),"")</f>
        <v>Mantención Preventiva Realizada</v>
      </c>
      <c r="L42" s="52" t="n">
        <v>46037</v>
      </c>
      <c r="M42" s="50" t="s">
        <v>353</v>
      </c>
      <c r="N42" s="50" t="s">
        <v>253</v>
      </c>
      <c r="O42" s="50"/>
      <c r="P42" s="50"/>
      <c r="Q42" s="50" t="s">
        <v>362</v>
      </c>
    </row>
    <row r="43" customFormat="false" ht="15" hidden="false" customHeight="true" outlineLevel="0" collapsed="false">
      <c r="A43" s="51" t="s">
        <v>400</v>
      </c>
      <c r="B43" s="50" t="str">
        <f aca="false">IFERROR(VLOOKUP($A43,Equipos!$C$2:$M$967,2,FALSE()),"")</f>
        <v>Oxímetro de Pulso</v>
      </c>
      <c r="C43" s="50" t="str">
        <f aca="false">IFERROR(VLOOKUP($A43,Equipos!$C$2:$M$967,9,FALSE()),"")</f>
        <v>225548</v>
      </c>
      <c r="D43" s="50" t="str">
        <f aca="false">IFERROR(VLOOKUP($A43,Equipos!$C$2:$M$967,3,FALSE()),"")</f>
        <v>Neonatología</v>
      </c>
      <c r="E43" s="50" t="str">
        <f aca="false">IFERROR(VLOOKUP($A43,Equipos!$C$2:$M$967,7,FALSE()),"")</f>
        <v>Masimo</v>
      </c>
      <c r="F43" s="50" t="str">
        <f aca="false">IFERROR(VLOOKUP($A43,Equipos!$C$2:$M$967,8,FALSE()),"")</f>
        <v>R7</v>
      </c>
      <c r="G43" s="50" t="s">
        <v>356</v>
      </c>
      <c r="H43" s="50" t="s">
        <v>360</v>
      </c>
      <c r="I43" s="50"/>
      <c r="J43" s="50" t="s">
        <v>352</v>
      </c>
      <c r="K43" s="50" t="str">
        <f aca="false">IFERROR(VLOOKUP($J43,Catálogos!$M$4:$N$17,2,FALSE()),"")</f>
        <v>Mantención Preventiva Realizada</v>
      </c>
      <c r="L43" s="52" t="n">
        <v>46037</v>
      </c>
      <c r="M43" s="50" t="s">
        <v>353</v>
      </c>
      <c r="N43" s="50" t="s">
        <v>253</v>
      </c>
      <c r="O43" s="50"/>
      <c r="P43" s="50"/>
      <c r="Q43" s="50" t="s">
        <v>362</v>
      </c>
    </row>
    <row r="44" customFormat="false" ht="15" hidden="false" customHeight="true" outlineLevel="0" collapsed="false">
      <c r="A44" s="51" t="s">
        <v>401</v>
      </c>
      <c r="B44" s="50" t="str">
        <f aca="false">IFERROR(VLOOKUP($A44,Equipos!$C$2:$M$967,2,FALSE()),"")</f>
        <v>Monitor Multiparámetros</v>
      </c>
      <c r="C44" s="50" t="str">
        <f aca="false">IFERROR(VLOOKUP($A44,Equipos!$C$2:$M$967,9,FALSE()),"")</f>
        <v>5495339950</v>
      </c>
      <c r="D44" s="50" t="str">
        <f aca="false">IFERROR(VLOOKUP($A44,Equipos!$C$2:$M$967,3,FALSE()),"")</f>
        <v>UPC Cardiovascular</v>
      </c>
      <c r="E44" s="50" t="str">
        <f aca="false">IFERROR(VLOOKUP($A44,Equipos!$C$2:$M$967,7,FALSE()),"")</f>
        <v>Drager</v>
      </c>
      <c r="F44" s="50" t="str">
        <f aca="false">IFERROR(VLOOKUP($A44,Equipos!$C$2:$M$967,8,FALSE()),"")</f>
        <v>Infinity Kappa</v>
      </c>
      <c r="G44" s="50" t="s">
        <v>356</v>
      </c>
      <c r="H44" s="50" t="s">
        <v>360</v>
      </c>
      <c r="I44" s="50"/>
      <c r="J44" s="50" t="s">
        <v>374</v>
      </c>
      <c r="K44" s="50" t="str">
        <f aca="false">IFERROR(VLOOKUP($J44,Catálogos!$M$4:$N$17,2,FALSE()),"")</f>
        <v>Reprogramada · Ausencia justificada del funcionario SEC superior a 15 días</v>
      </c>
      <c r="L44" s="52" t="n">
        <v>46037</v>
      </c>
      <c r="M44" s="50" t="s">
        <v>353</v>
      </c>
      <c r="N44" s="50" t="s">
        <v>253</v>
      </c>
      <c r="O44" s="50"/>
      <c r="P44" s="50"/>
      <c r="Q44" s="50" t="s">
        <v>362</v>
      </c>
    </row>
    <row r="45" customFormat="false" ht="15" hidden="false" customHeight="true" outlineLevel="0" collapsed="false">
      <c r="A45" s="51" t="s">
        <v>402</v>
      </c>
      <c r="B45" s="50" t="str">
        <f aca="false">IFERROR(VLOOKUP($A45,Equipos!$C$2:$M$967,2,FALSE()),"")</f>
        <v>Monitor Multiparámetros</v>
      </c>
      <c r="C45" s="50" t="str">
        <f aca="false">IFERROR(VLOOKUP($A45,Equipos!$C$2:$M$967,9,FALSE()),"")</f>
        <v>6007939163</v>
      </c>
      <c r="D45" s="50" t="str">
        <f aca="false">IFERROR(VLOOKUP($A45,Equipos!$C$2:$M$967,3,FALSE()),"")</f>
        <v>UPC Cardiovascular</v>
      </c>
      <c r="E45" s="50" t="str">
        <f aca="false">IFERROR(VLOOKUP($A45,Equipos!$C$2:$M$967,7,FALSE()),"")</f>
        <v>Drager</v>
      </c>
      <c r="F45" s="50" t="str">
        <f aca="false">IFERROR(VLOOKUP($A45,Equipos!$C$2:$M$967,8,FALSE()),"")</f>
        <v>Infinity Delta</v>
      </c>
      <c r="G45" s="50" t="s">
        <v>356</v>
      </c>
      <c r="H45" s="50" t="s">
        <v>360</v>
      </c>
      <c r="I45" s="50"/>
      <c r="J45" s="50" t="s">
        <v>374</v>
      </c>
      <c r="K45" s="50" t="str">
        <f aca="false">IFERROR(VLOOKUP($J45,Catálogos!$M$4:$N$17,2,FALSE()),"")</f>
        <v>Reprogramada · Ausencia justificada del funcionario SEC superior a 15 días</v>
      </c>
      <c r="L45" s="52" t="n">
        <v>46037</v>
      </c>
      <c r="M45" s="50" t="s">
        <v>353</v>
      </c>
      <c r="N45" s="50" t="s">
        <v>253</v>
      </c>
      <c r="O45" s="50"/>
      <c r="P45" s="50"/>
      <c r="Q45" s="50" t="s">
        <v>362</v>
      </c>
    </row>
    <row r="46" customFormat="false" ht="15" hidden="false" customHeight="true" outlineLevel="0" collapsed="false">
      <c r="A46" s="51" t="s">
        <v>403</v>
      </c>
      <c r="B46" s="50" t="str">
        <f aca="false">IFERROR(VLOOKUP($A46,Equipos!$C$2:$M$967,2,FALSE()),"")</f>
        <v>Monitor Multiparámetros</v>
      </c>
      <c r="C46" s="50" t="str">
        <f aca="false">IFERROR(VLOOKUP($A46,Equipos!$C$2:$M$967,9,FALSE()),"")</f>
        <v>VQSHD0234</v>
      </c>
      <c r="D46" s="50" t="str">
        <f aca="false">IFERROR(VLOOKUP($A46,Equipos!$C$2:$M$967,3,FALSE()),"")</f>
        <v>Neonatología</v>
      </c>
      <c r="E46" s="50" t="str">
        <f aca="false">IFERROR(VLOOKUP($A46,Equipos!$C$2:$M$967,7,FALSE()),"")</f>
        <v>Drager</v>
      </c>
      <c r="F46" s="50" t="str">
        <f aca="false">IFERROR(VLOOKUP($A46,Equipos!$C$2:$M$967,8,FALSE()),"")</f>
        <v>Vista 120</v>
      </c>
      <c r="G46" s="50" t="s">
        <v>356</v>
      </c>
      <c r="H46" s="50" t="s">
        <v>360</v>
      </c>
      <c r="I46" s="50"/>
      <c r="J46" s="50" t="s">
        <v>364</v>
      </c>
      <c r="K46" s="50" t="str">
        <f aca="false">IFERROR(VLOOKUP($J46,Catálogos!$M$4:$N$17,2,FALSE()),"")</f>
        <v>Reprogramada · No disponibilidad de horas hombre del funcionario SEC por alta carga laboral</v>
      </c>
      <c r="L46" s="52" t="n">
        <v>46037</v>
      </c>
      <c r="M46" s="50" t="s">
        <v>353</v>
      </c>
      <c r="N46" s="50" t="s">
        <v>253</v>
      </c>
      <c r="O46" s="50"/>
      <c r="P46" s="50"/>
      <c r="Q46" s="50" t="s">
        <v>362</v>
      </c>
    </row>
    <row r="47" customFormat="false" ht="15" hidden="false" customHeight="true" outlineLevel="0" collapsed="false">
      <c r="A47" s="51" t="s">
        <v>404</v>
      </c>
      <c r="B47" s="50" t="str">
        <f aca="false">IFERROR(VLOOKUP($A47,Equipos!$C$2:$M$967,2,FALSE()),"")</f>
        <v>Monitor Multiparámetros</v>
      </c>
      <c r="C47" s="50" t="str">
        <f aca="false">IFERROR(VLOOKUP($A47,Equipos!$C$2:$M$967,9,FALSE()),"")</f>
        <v>VQSHD0233</v>
      </c>
      <c r="D47" s="50" t="str">
        <f aca="false">IFERROR(VLOOKUP($A47,Equipos!$C$2:$M$967,3,FALSE()),"")</f>
        <v>Neonatología</v>
      </c>
      <c r="E47" s="50" t="str">
        <f aca="false">IFERROR(VLOOKUP($A47,Equipos!$C$2:$M$967,7,FALSE()),"")</f>
        <v>Drager</v>
      </c>
      <c r="F47" s="50" t="str">
        <f aca="false">IFERROR(VLOOKUP($A47,Equipos!$C$2:$M$967,8,FALSE()),"")</f>
        <v>Vista 120</v>
      </c>
      <c r="G47" s="50" t="s">
        <v>356</v>
      </c>
      <c r="H47" s="50" t="s">
        <v>360</v>
      </c>
      <c r="I47" s="50"/>
      <c r="J47" s="50" t="s">
        <v>364</v>
      </c>
      <c r="K47" s="50" t="str">
        <f aca="false">IFERROR(VLOOKUP($J47,Catálogos!$M$4:$N$17,2,FALSE()),"")</f>
        <v>Reprogramada · No disponibilidad de horas hombre del funcionario SEC por alta carga laboral</v>
      </c>
      <c r="L47" s="52" t="n">
        <v>46037</v>
      </c>
      <c r="M47" s="50" t="s">
        <v>353</v>
      </c>
      <c r="N47" s="50" t="s">
        <v>253</v>
      </c>
      <c r="O47" s="50"/>
      <c r="P47" s="50"/>
      <c r="Q47" s="50" t="s">
        <v>362</v>
      </c>
    </row>
    <row r="48" customFormat="false" ht="15" hidden="false" customHeight="true" outlineLevel="0" collapsed="false">
      <c r="A48" s="51" t="s">
        <v>405</v>
      </c>
      <c r="B48" s="50" t="str">
        <f aca="false">IFERROR(VLOOKUP($A48,Equipos!$C$2:$M$967,2,FALSE()),"")</f>
        <v>Monitor Multiparámetros</v>
      </c>
      <c r="C48" s="50" t="str">
        <f aca="false">IFERROR(VLOOKUP($A48,Equipos!$C$2:$M$967,9,FALSE()),"")</f>
        <v>VQSHD0226</v>
      </c>
      <c r="D48" s="50" t="str">
        <f aca="false">IFERROR(VLOOKUP($A48,Equipos!$C$2:$M$967,3,FALSE()),"")</f>
        <v>Neonatología</v>
      </c>
      <c r="E48" s="50" t="str">
        <f aca="false">IFERROR(VLOOKUP($A48,Equipos!$C$2:$M$967,7,FALSE()),"")</f>
        <v>Drager</v>
      </c>
      <c r="F48" s="50" t="str">
        <f aca="false">IFERROR(VLOOKUP($A48,Equipos!$C$2:$M$967,8,FALSE()),"")</f>
        <v>Vista 120</v>
      </c>
      <c r="G48" s="50" t="s">
        <v>356</v>
      </c>
      <c r="H48" s="50" t="s">
        <v>360</v>
      </c>
      <c r="I48" s="50"/>
      <c r="J48" s="50" t="s">
        <v>364</v>
      </c>
      <c r="K48" s="50" t="str">
        <f aca="false">IFERROR(VLOOKUP($J48,Catálogos!$M$4:$N$17,2,FALSE()),"")</f>
        <v>Reprogramada · No disponibilidad de horas hombre del funcionario SEC por alta carga laboral</v>
      </c>
      <c r="L48" s="52" t="n">
        <v>46037</v>
      </c>
      <c r="M48" s="50" t="s">
        <v>353</v>
      </c>
      <c r="N48" s="50" t="s">
        <v>253</v>
      </c>
      <c r="O48" s="50"/>
      <c r="P48" s="50"/>
      <c r="Q48" s="50" t="s">
        <v>362</v>
      </c>
    </row>
    <row r="49" customFormat="false" ht="15" hidden="false" customHeight="true" outlineLevel="0" collapsed="false">
      <c r="A49" s="51" t="s">
        <v>406</v>
      </c>
      <c r="B49" s="50" t="str">
        <f aca="false">IFERROR(VLOOKUP($A49,Equipos!$C$2:$M$967,2,FALSE()),"")</f>
        <v>Monitor Multiparámetros</v>
      </c>
      <c r="C49" s="50" t="str">
        <f aca="false">IFERROR(VLOOKUP($A49,Equipos!$C$2:$M$967,9,FALSE()),"")</f>
        <v>VQSHD0197</v>
      </c>
      <c r="D49" s="50" t="str">
        <f aca="false">IFERROR(VLOOKUP($A49,Equipos!$C$2:$M$967,3,FALSE()),"")</f>
        <v>Neonatología</v>
      </c>
      <c r="E49" s="50" t="str">
        <f aca="false">IFERROR(VLOOKUP($A49,Equipos!$C$2:$M$967,7,FALSE()),"")</f>
        <v>Drager</v>
      </c>
      <c r="F49" s="50" t="str">
        <f aca="false">IFERROR(VLOOKUP($A49,Equipos!$C$2:$M$967,8,FALSE()),"")</f>
        <v>Vista 120</v>
      </c>
      <c r="G49" s="50" t="s">
        <v>356</v>
      </c>
      <c r="H49" s="50" t="s">
        <v>360</v>
      </c>
      <c r="I49" s="50"/>
      <c r="J49" s="50" t="s">
        <v>364</v>
      </c>
      <c r="K49" s="50" t="str">
        <f aca="false">IFERROR(VLOOKUP($J49,Catálogos!$M$4:$N$17,2,FALSE()),"")</f>
        <v>Reprogramada · No disponibilidad de horas hombre del funcionario SEC por alta carga laboral</v>
      </c>
      <c r="L49" s="52" t="n">
        <v>46037</v>
      </c>
      <c r="M49" s="50" t="s">
        <v>353</v>
      </c>
      <c r="N49" s="50" t="s">
        <v>253</v>
      </c>
      <c r="O49" s="50"/>
      <c r="P49" s="50"/>
      <c r="Q49" s="50" t="s">
        <v>362</v>
      </c>
    </row>
    <row r="50" customFormat="false" ht="15" hidden="false" customHeight="true" outlineLevel="0" collapsed="false">
      <c r="A50" s="51" t="s">
        <v>407</v>
      </c>
      <c r="B50" s="50" t="str">
        <f aca="false">IFERROR(VLOOKUP($A50,Equipos!$C$2:$M$967,2,FALSE()),"")</f>
        <v>Monitor Multiparámetros</v>
      </c>
      <c r="C50" s="50" t="str">
        <f aca="false">IFERROR(VLOOKUP($A50,Equipos!$C$2:$M$967,9,FALSE()),"")</f>
        <v>VQSHD0194</v>
      </c>
      <c r="D50" s="50" t="str">
        <f aca="false">IFERROR(VLOOKUP($A50,Equipos!$C$2:$M$967,3,FALSE()),"")</f>
        <v>Neonatología</v>
      </c>
      <c r="E50" s="50" t="str">
        <f aca="false">IFERROR(VLOOKUP($A50,Equipos!$C$2:$M$967,7,FALSE()),"")</f>
        <v>Drager</v>
      </c>
      <c r="F50" s="50" t="str">
        <f aca="false">IFERROR(VLOOKUP($A50,Equipos!$C$2:$M$967,8,FALSE()),"")</f>
        <v>Vista 120</v>
      </c>
      <c r="G50" s="50" t="s">
        <v>356</v>
      </c>
      <c r="H50" s="50" t="s">
        <v>360</v>
      </c>
      <c r="I50" s="50"/>
      <c r="J50" s="50" t="s">
        <v>364</v>
      </c>
      <c r="K50" s="50" t="str">
        <f aca="false">IFERROR(VLOOKUP($J50,Catálogos!$M$4:$N$17,2,FALSE()),"")</f>
        <v>Reprogramada · No disponibilidad de horas hombre del funcionario SEC por alta carga laboral</v>
      </c>
      <c r="L50" s="52" t="n">
        <v>46037</v>
      </c>
      <c r="M50" s="50" t="s">
        <v>353</v>
      </c>
      <c r="N50" s="50" t="s">
        <v>253</v>
      </c>
      <c r="O50" s="50"/>
      <c r="P50" s="50"/>
      <c r="Q50" s="50" t="s">
        <v>362</v>
      </c>
    </row>
    <row r="51" customFormat="false" ht="15" hidden="false" customHeight="true" outlineLevel="0" collapsed="false">
      <c r="A51" s="51" t="s">
        <v>408</v>
      </c>
      <c r="B51" s="50" t="str">
        <f aca="false">IFERROR(VLOOKUP($A51,Equipos!$C$2:$M$967,2,FALSE()),"")</f>
        <v>Monitor Multiparámetros</v>
      </c>
      <c r="C51" s="50" t="str">
        <f aca="false">IFERROR(VLOOKUP($A51,Equipos!$C$2:$M$967,9,FALSE()),"")</f>
        <v>VQSHD0174</v>
      </c>
      <c r="D51" s="50" t="str">
        <f aca="false">IFERROR(VLOOKUP($A51,Equipos!$C$2:$M$967,3,FALSE()),"")</f>
        <v>Neonatología</v>
      </c>
      <c r="E51" s="50" t="str">
        <f aca="false">IFERROR(VLOOKUP($A51,Equipos!$C$2:$M$967,7,FALSE()),"")</f>
        <v>Drager</v>
      </c>
      <c r="F51" s="50" t="str">
        <f aca="false">IFERROR(VLOOKUP($A51,Equipos!$C$2:$M$967,8,FALSE()),"")</f>
        <v>Vista 120</v>
      </c>
      <c r="G51" s="50" t="s">
        <v>356</v>
      </c>
      <c r="H51" s="50" t="s">
        <v>360</v>
      </c>
      <c r="I51" s="50"/>
      <c r="J51" s="50" t="s">
        <v>364</v>
      </c>
      <c r="K51" s="50" t="str">
        <f aca="false">IFERROR(VLOOKUP($J51,Catálogos!$M$4:$N$17,2,FALSE()),"")</f>
        <v>Reprogramada · No disponibilidad de horas hombre del funcionario SEC por alta carga laboral</v>
      </c>
      <c r="L51" s="52" t="n">
        <v>46037</v>
      </c>
      <c r="M51" s="50" t="s">
        <v>353</v>
      </c>
      <c r="N51" s="50" t="s">
        <v>253</v>
      </c>
      <c r="O51" s="50"/>
      <c r="P51" s="50"/>
      <c r="Q51" s="50" t="s">
        <v>362</v>
      </c>
    </row>
    <row r="52" customFormat="false" ht="15" hidden="false" customHeight="true" outlineLevel="0" collapsed="false">
      <c r="A52" s="51" t="s">
        <v>409</v>
      </c>
      <c r="B52" s="50" t="str">
        <f aca="false">IFERROR(VLOOKUP($A52,Equipos!$C$2:$M$967,2,FALSE()),"")</f>
        <v>Monitor Multiparámetros</v>
      </c>
      <c r="C52" s="50" t="str">
        <f aca="false">IFERROR(VLOOKUP($A52,Equipos!$C$2:$M$967,9,FALSE()),"")</f>
        <v>VQSHD0173</v>
      </c>
      <c r="D52" s="50" t="str">
        <f aca="false">IFERROR(VLOOKUP($A52,Equipos!$C$2:$M$967,3,FALSE()),"")</f>
        <v>Neonatología</v>
      </c>
      <c r="E52" s="50" t="str">
        <f aca="false">IFERROR(VLOOKUP($A52,Equipos!$C$2:$M$967,7,FALSE()),"")</f>
        <v>Drager</v>
      </c>
      <c r="F52" s="50" t="str">
        <f aca="false">IFERROR(VLOOKUP($A52,Equipos!$C$2:$M$967,8,FALSE()),"")</f>
        <v>Vista 120</v>
      </c>
      <c r="G52" s="50" t="s">
        <v>356</v>
      </c>
      <c r="H52" s="50" t="s">
        <v>360</v>
      </c>
      <c r="I52" s="50"/>
      <c r="J52" s="50" t="s">
        <v>364</v>
      </c>
      <c r="K52" s="50" t="str">
        <f aca="false">IFERROR(VLOOKUP($J52,Catálogos!$M$4:$N$17,2,FALSE()),"")</f>
        <v>Reprogramada · No disponibilidad de horas hombre del funcionario SEC por alta carga laboral</v>
      </c>
      <c r="L52" s="52" t="n">
        <v>46037</v>
      </c>
      <c r="M52" s="50" t="s">
        <v>353</v>
      </c>
      <c r="N52" s="50" t="s">
        <v>253</v>
      </c>
      <c r="O52" s="50"/>
      <c r="P52" s="50"/>
      <c r="Q52" s="50" t="s">
        <v>362</v>
      </c>
    </row>
    <row r="53" customFormat="false" ht="15" hidden="false" customHeight="true" outlineLevel="0" collapsed="false">
      <c r="A53" s="51" t="s">
        <v>410</v>
      </c>
      <c r="B53" s="50" t="str">
        <f aca="false">IFERROR(VLOOKUP($A53,Equipos!$C$2:$M$967,2,FALSE()),"")</f>
        <v>Monitor Multiparámetros</v>
      </c>
      <c r="C53" s="50" t="str">
        <f aca="false">IFERROR(VLOOKUP($A53,Equipos!$C$2:$M$967,9,FALSE()),"")</f>
        <v>VQSHD0171</v>
      </c>
      <c r="D53" s="50" t="str">
        <f aca="false">IFERROR(VLOOKUP($A53,Equipos!$C$2:$M$967,3,FALSE()),"")</f>
        <v>Neonatología</v>
      </c>
      <c r="E53" s="50" t="str">
        <f aca="false">IFERROR(VLOOKUP($A53,Equipos!$C$2:$M$967,7,FALSE()),"")</f>
        <v>Drager</v>
      </c>
      <c r="F53" s="50" t="str">
        <f aca="false">IFERROR(VLOOKUP($A53,Equipos!$C$2:$M$967,8,FALSE()),"")</f>
        <v>Vista 120</v>
      </c>
      <c r="G53" s="50" t="s">
        <v>356</v>
      </c>
      <c r="H53" s="50" t="s">
        <v>360</v>
      </c>
      <c r="I53" s="50"/>
      <c r="J53" s="50" t="s">
        <v>364</v>
      </c>
      <c r="K53" s="50" t="str">
        <f aca="false">IFERROR(VLOOKUP($J53,Catálogos!$M$4:$N$17,2,FALSE()),"")</f>
        <v>Reprogramada · No disponibilidad de horas hombre del funcionario SEC por alta carga laboral</v>
      </c>
      <c r="L53" s="52" t="n">
        <v>46037</v>
      </c>
      <c r="M53" s="50" t="s">
        <v>353</v>
      </c>
      <c r="N53" s="50" t="s">
        <v>253</v>
      </c>
      <c r="O53" s="50"/>
      <c r="P53" s="50"/>
      <c r="Q53" s="50" t="s">
        <v>362</v>
      </c>
    </row>
    <row r="54" customFormat="false" ht="15" hidden="false" customHeight="true" outlineLevel="0" collapsed="false">
      <c r="A54" s="51" t="s">
        <v>411</v>
      </c>
      <c r="B54" s="50" t="str">
        <f aca="false">IFERROR(VLOOKUP($A54,Equipos!$C$2:$M$967,2,FALSE()),"")</f>
        <v>Monitor Multiparámetros</v>
      </c>
      <c r="C54" s="50" t="str">
        <f aca="false">IFERROR(VLOOKUP($A54,Equipos!$C$2:$M$967,9,FALSE()),"")</f>
        <v>VQSHD0170</v>
      </c>
      <c r="D54" s="50" t="str">
        <f aca="false">IFERROR(VLOOKUP($A54,Equipos!$C$2:$M$967,3,FALSE()),"")</f>
        <v>Neonatología</v>
      </c>
      <c r="E54" s="50" t="str">
        <f aca="false">IFERROR(VLOOKUP($A54,Equipos!$C$2:$M$967,7,FALSE()),"")</f>
        <v>Drager</v>
      </c>
      <c r="F54" s="50" t="str">
        <f aca="false">IFERROR(VLOOKUP($A54,Equipos!$C$2:$M$967,8,FALSE()),"")</f>
        <v>Vista 120</v>
      </c>
      <c r="G54" s="50" t="s">
        <v>356</v>
      </c>
      <c r="H54" s="50" t="s">
        <v>360</v>
      </c>
      <c r="I54" s="50"/>
      <c r="J54" s="50" t="s">
        <v>364</v>
      </c>
      <c r="K54" s="50" t="str">
        <f aca="false">IFERROR(VLOOKUP($J54,Catálogos!$M$4:$N$17,2,FALSE()),"")</f>
        <v>Reprogramada · No disponibilidad de horas hombre del funcionario SEC por alta carga laboral</v>
      </c>
      <c r="L54" s="52" t="n">
        <v>46037</v>
      </c>
      <c r="M54" s="50" t="s">
        <v>353</v>
      </c>
      <c r="N54" s="50" t="s">
        <v>253</v>
      </c>
      <c r="O54" s="50"/>
      <c r="P54" s="50"/>
      <c r="Q54" s="50" t="s">
        <v>362</v>
      </c>
    </row>
    <row r="55" customFormat="false" ht="15" hidden="false" customHeight="true" outlineLevel="0" collapsed="false">
      <c r="A55" s="51" t="s">
        <v>412</v>
      </c>
      <c r="B55" s="50" t="str">
        <f aca="false">IFERROR(VLOOKUP($A55,Equipos!$C$2:$M$967,2,FALSE()),"")</f>
        <v>Monitor Multiparámetros</v>
      </c>
      <c r="C55" s="50" t="str">
        <f aca="false">IFERROR(VLOOKUP($A55,Equipos!$C$2:$M$967,9,FALSE()),"")</f>
        <v>VQSHD0169</v>
      </c>
      <c r="D55" s="50" t="str">
        <f aca="false">IFERROR(VLOOKUP($A55,Equipos!$C$2:$M$967,3,FALSE()),"")</f>
        <v>Neonatología</v>
      </c>
      <c r="E55" s="50" t="str">
        <f aca="false">IFERROR(VLOOKUP($A55,Equipos!$C$2:$M$967,7,FALSE()),"")</f>
        <v>Drager</v>
      </c>
      <c r="F55" s="50" t="str">
        <f aca="false">IFERROR(VLOOKUP($A55,Equipos!$C$2:$M$967,8,FALSE()),"")</f>
        <v>Vista 120</v>
      </c>
      <c r="G55" s="50" t="s">
        <v>356</v>
      </c>
      <c r="H55" s="50" t="s">
        <v>360</v>
      </c>
      <c r="I55" s="50"/>
      <c r="J55" s="50" t="s">
        <v>364</v>
      </c>
      <c r="K55" s="50" t="str">
        <f aca="false">IFERROR(VLOOKUP($J55,Catálogos!$M$4:$N$17,2,FALSE()),"")</f>
        <v>Reprogramada · No disponibilidad de horas hombre del funcionario SEC por alta carga laboral</v>
      </c>
      <c r="L55" s="52" t="n">
        <v>46037</v>
      </c>
      <c r="M55" s="50" t="s">
        <v>353</v>
      </c>
      <c r="N55" s="50" t="s">
        <v>253</v>
      </c>
      <c r="O55" s="50"/>
      <c r="P55" s="50"/>
      <c r="Q55" s="50" t="s">
        <v>362</v>
      </c>
    </row>
    <row r="56" customFormat="false" ht="15" hidden="false" customHeight="true" outlineLevel="0" collapsed="false">
      <c r="A56" s="51" t="s">
        <v>413</v>
      </c>
      <c r="B56" s="50" t="str">
        <f aca="false">IFERROR(VLOOKUP($A56,Equipos!$C$2:$M$967,2,FALSE()),"")</f>
        <v>Monitor Multiparámetros</v>
      </c>
      <c r="C56" s="50" t="str">
        <f aca="false">IFERROR(VLOOKUP($A56,Equipos!$C$2:$M$967,9,FALSE()),"")</f>
        <v>VQSHD0166</v>
      </c>
      <c r="D56" s="50" t="str">
        <f aca="false">IFERROR(VLOOKUP($A56,Equipos!$C$2:$M$967,3,FALSE()),"")</f>
        <v>Neonatología</v>
      </c>
      <c r="E56" s="50" t="str">
        <f aca="false">IFERROR(VLOOKUP($A56,Equipos!$C$2:$M$967,7,FALSE()),"")</f>
        <v>Drager</v>
      </c>
      <c r="F56" s="50" t="str">
        <f aca="false">IFERROR(VLOOKUP($A56,Equipos!$C$2:$M$967,8,FALSE()),"")</f>
        <v>Vista 120</v>
      </c>
      <c r="G56" s="50" t="s">
        <v>356</v>
      </c>
      <c r="H56" s="50" t="s">
        <v>360</v>
      </c>
      <c r="I56" s="50"/>
      <c r="J56" s="50" t="s">
        <v>364</v>
      </c>
      <c r="K56" s="50" t="str">
        <f aca="false">IFERROR(VLOOKUP($J56,Catálogos!$M$4:$N$17,2,FALSE()),"")</f>
        <v>Reprogramada · No disponibilidad de horas hombre del funcionario SEC por alta carga laboral</v>
      </c>
      <c r="L56" s="52" t="n">
        <v>46037</v>
      </c>
      <c r="M56" s="50" t="s">
        <v>353</v>
      </c>
      <c r="N56" s="50" t="s">
        <v>253</v>
      </c>
      <c r="O56" s="50"/>
      <c r="P56" s="50"/>
      <c r="Q56" s="50" t="s">
        <v>362</v>
      </c>
    </row>
    <row r="57" customFormat="false" ht="15" hidden="false" customHeight="true" outlineLevel="0" collapsed="false">
      <c r="A57" s="51" t="s">
        <v>414</v>
      </c>
      <c r="B57" s="50" t="str">
        <f aca="false">IFERROR(VLOOKUP($A57,Equipos!$C$2:$M$967,2,FALSE()),"")</f>
        <v>Monitor Multiparámetros</v>
      </c>
      <c r="C57" s="50" t="str">
        <f aca="false">IFERROR(VLOOKUP($A57,Equipos!$C$2:$M$967,9,FALSE()),"")</f>
        <v>VQSHD0160</v>
      </c>
      <c r="D57" s="50" t="str">
        <f aca="false">IFERROR(VLOOKUP($A57,Equipos!$C$2:$M$967,3,FALSE()),"")</f>
        <v>Neonatología</v>
      </c>
      <c r="E57" s="50" t="str">
        <f aca="false">IFERROR(VLOOKUP($A57,Equipos!$C$2:$M$967,7,FALSE()),"")</f>
        <v>Drager</v>
      </c>
      <c r="F57" s="50" t="str">
        <f aca="false">IFERROR(VLOOKUP($A57,Equipos!$C$2:$M$967,8,FALSE()),"")</f>
        <v>Vista 120</v>
      </c>
      <c r="G57" s="50" t="s">
        <v>356</v>
      </c>
      <c r="H57" s="50" t="s">
        <v>360</v>
      </c>
      <c r="I57" s="50"/>
      <c r="J57" s="50" t="s">
        <v>364</v>
      </c>
      <c r="K57" s="50" t="str">
        <f aca="false">IFERROR(VLOOKUP($J57,Catálogos!$M$4:$N$17,2,FALSE()),"")</f>
        <v>Reprogramada · No disponibilidad de horas hombre del funcionario SEC por alta carga laboral</v>
      </c>
      <c r="L57" s="52" t="n">
        <v>46037</v>
      </c>
      <c r="M57" s="50" t="s">
        <v>353</v>
      </c>
      <c r="N57" s="50" t="s">
        <v>253</v>
      </c>
      <c r="O57" s="50"/>
      <c r="P57" s="50"/>
      <c r="Q57" s="50" t="s">
        <v>362</v>
      </c>
    </row>
    <row r="58" customFormat="false" ht="15" hidden="false" customHeight="true" outlineLevel="0" collapsed="false">
      <c r="A58" s="51" t="s">
        <v>415</v>
      </c>
      <c r="B58" s="50" t="str">
        <f aca="false">IFERROR(VLOOKUP($A58,Equipos!$C$2:$M$967,2,FALSE()),"")</f>
        <v>Monitor Multiparámetros</v>
      </c>
      <c r="C58" s="50" t="str">
        <f aca="false">IFERROR(VLOOKUP($A58,Equipos!$C$2:$M$967,9,FALSE()),"")</f>
        <v>VQSHD0158</v>
      </c>
      <c r="D58" s="50" t="str">
        <f aca="false">IFERROR(VLOOKUP($A58,Equipos!$C$2:$M$967,3,FALSE()),"")</f>
        <v>Neonatología</v>
      </c>
      <c r="E58" s="50" t="str">
        <f aca="false">IFERROR(VLOOKUP($A58,Equipos!$C$2:$M$967,7,FALSE()),"")</f>
        <v>Drager</v>
      </c>
      <c r="F58" s="50" t="str">
        <f aca="false">IFERROR(VLOOKUP($A58,Equipos!$C$2:$M$967,8,FALSE()),"")</f>
        <v>Vista 120</v>
      </c>
      <c r="G58" s="50" t="s">
        <v>356</v>
      </c>
      <c r="H58" s="50" t="s">
        <v>360</v>
      </c>
      <c r="I58" s="50"/>
      <c r="J58" s="50" t="s">
        <v>364</v>
      </c>
      <c r="K58" s="50" t="str">
        <f aca="false">IFERROR(VLOOKUP($J58,Catálogos!$M$4:$N$17,2,FALSE()),"")</f>
        <v>Reprogramada · No disponibilidad de horas hombre del funcionario SEC por alta carga laboral</v>
      </c>
      <c r="L58" s="52" t="n">
        <v>46037</v>
      </c>
      <c r="M58" s="50" t="s">
        <v>353</v>
      </c>
      <c r="N58" s="50" t="s">
        <v>253</v>
      </c>
      <c r="O58" s="50"/>
      <c r="P58" s="50"/>
      <c r="Q58" s="50" t="s">
        <v>362</v>
      </c>
    </row>
    <row r="59" customFormat="false" ht="15" hidden="false" customHeight="true" outlineLevel="0" collapsed="false">
      <c r="A59" s="51" t="s">
        <v>416</v>
      </c>
      <c r="B59" s="50" t="str">
        <f aca="false">IFERROR(VLOOKUP($A59,Equipos!$C$2:$M$967,2,FALSE()),"")</f>
        <v>Monitor Multiparámetros</v>
      </c>
      <c r="C59" s="50" t="str">
        <f aca="false">IFERROR(VLOOKUP($A59,Equipos!$C$2:$M$967,9,FALSE()),"")</f>
        <v>VQSHD0154</v>
      </c>
      <c r="D59" s="50" t="str">
        <f aca="false">IFERROR(VLOOKUP($A59,Equipos!$C$2:$M$967,3,FALSE()),"")</f>
        <v>Neonatología</v>
      </c>
      <c r="E59" s="50" t="str">
        <f aca="false">IFERROR(VLOOKUP($A59,Equipos!$C$2:$M$967,7,FALSE()),"")</f>
        <v>Drager</v>
      </c>
      <c r="F59" s="50" t="str">
        <f aca="false">IFERROR(VLOOKUP($A59,Equipos!$C$2:$M$967,8,FALSE()),"")</f>
        <v>Vista 120</v>
      </c>
      <c r="G59" s="50" t="s">
        <v>356</v>
      </c>
      <c r="H59" s="50" t="s">
        <v>360</v>
      </c>
      <c r="I59" s="50"/>
      <c r="J59" s="50" t="s">
        <v>364</v>
      </c>
      <c r="K59" s="50" t="str">
        <f aca="false">IFERROR(VLOOKUP($J59,Catálogos!$M$4:$N$17,2,FALSE()),"")</f>
        <v>Reprogramada · No disponibilidad de horas hombre del funcionario SEC por alta carga laboral</v>
      </c>
      <c r="L59" s="52" t="n">
        <v>46037</v>
      </c>
      <c r="M59" s="50" t="s">
        <v>353</v>
      </c>
      <c r="N59" s="50" t="s">
        <v>253</v>
      </c>
      <c r="O59" s="50"/>
      <c r="P59" s="50"/>
      <c r="Q59" s="50" t="s">
        <v>362</v>
      </c>
    </row>
    <row r="60" customFormat="false" ht="15" hidden="false" customHeight="true" outlineLevel="0" collapsed="false">
      <c r="A60" s="51" t="s">
        <v>417</v>
      </c>
      <c r="B60" s="50" t="str">
        <f aca="false">IFERROR(VLOOKUP($A60,Equipos!$C$2:$M$967,2,FALSE()),"")</f>
        <v>Monitor Multiparámetros</v>
      </c>
      <c r="C60" s="50" t="str">
        <f aca="false">IFERROR(VLOOKUP($A60,Equipos!$C$2:$M$967,9,FALSE()),"")</f>
        <v>VQSHD0152</v>
      </c>
      <c r="D60" s="50" t="str">
        <f aca="false">IFERROR(VLOOKUP($A60,Equipos!$C$2:$M$967,3,FALSE()),"")</f>
        <v>Neonatología</v>
      </c>
      <c r="E60" s="50" t="str">
        <f aca="false">IFERROR(VLOOKUP($A60,Equipos!$C$2:$M$967,7,FALSE()),"")</f>
        <v>Drager</v>
      </c>
      <c r="F60" s="50" t="str">
        <f aca="false">IFERROR(VLOOKUP($A60,Equipos!$C$2:$M$967,8,FALSE()),"")</f>
        <v>Vista 120</v>
      </c>
      <c r="G60" s="50" t="s">
        <v>356</v>
      </c>
      <c r="H60" s="50" t="s">
        <v>360</v>
      </c>
      <c r="I60" s="50"/>
      <c r="J60" s="50" t="s">
        <v>364</v>
      </c>
      <c r="K60" s="50" t="str">
        <f aca="false">IFERROR(VLOOKUP($J60,Catálogos!$M$4:$N$17,2,FALSE()),"")</f>
        <v>Reprogramada · No disponibilidad de horas hombre del funcionario SEC por alta carga laboral</v>
      </c>
      <c r="L60" s="52" t="n">
        <v>46037</v>
      </c>
      <c r="M60" s="50" t="s">
        <v>353</v>
      </c>
      <c r="N60" s="50" t="s">
        <v>253</v>
      </c>
      <c r="O60" s="50"/>
      <c r="P60" s="50"/>
      <c r="Q60" s="50" t="s">
        <v>362</v>
      </c>
    </row>
    <row r="61" customFormat="false" ht="15" hidden="false" customHeight="true" outlineLevel="0" collapsed="false">
      <c r="A61" s="51" t="s">
        <v>418</v>
      </c>
      <c r="B61" s="50" t="str">
        <f aca="false">IFERROR(VLOOKUP($A61,Equipos!$C$2:$M$967,2,FALSE()),"")</f>
        <v>Monitor Multiparámetros</v>
      </c>
      <c r="C61" s="50" t="str">
        <f aca="false">IFERROR(VLOOKUP($A61,Equipos!$C$2:$M$967,9,FALSE()),"")</f>
        <v>VQSHD0146</v>
      </c>
      <c r="D61" s="50" t="str">
        <f aca="false">IFERROR(VLOOKUP($A61,Equipos!$C$2:$M$967,3,FALSE()),"")</f>
        <v>Neonatología</v>
      </c>
      <c r="E61" s="50" t="str">
        <f aca="false">IFERROR(VLOOKUP($A61,Equipos!$C$2:$M$967,7,FALSE()),"")</f>
        <v>Drager</v>
      </c>
      <c r="F61" s="50" t="str">
        <f aca="false">IFERROR(VLOOKUP($A61,Equipos!$C$2:$M$967,8,FALSE()),"")</f>
        <v>Vista 120</v>
      </c>
      <c r="G61" s="50" t="s">
        <v>356</v>
      </c>
      <c r="H61" s="50" t="s">
        <v>360</v>
      </c>
      <c r="I61" s="50"/>
      <c r="J61" s="50" t="s">
        <v>364</v>
      </c>
      <c r="K61" s="50" t="str">
        <f aca="false">IFERROR(VLOOKUP($J61,Catálogos!$M$4:$N$17,2,FALSE()),"")</f>
        <v>Reprogramada · No disponibilidad de horas hombre del funcionario SEC por alta carga laboral</v>
      </c>
      <c r="L61" s="52" t="n">
        <v>46037</v>
      </c>
      <c r="M61" s="50" t="s">
        <v>353</v>
      </c>
      <c r="N61" s="50" t="s">
        <v>253</v>
      </c>
      <c r="O61" s="50"/>
      <c r="P61" s="50"/>
      <c r="Q61" s="50" t="s">
        <v>362</v>
      </c>
    </row>
    <row r="62" customFormat="false" ht="15" hidden="false" customHeight="true" outlineLevel="0" collapsed="false">
      <c r="A62" s="51" t="s">
        <v>419</v>
      </c>
      <c r="B62" s="50" t="str">
        <f aca="false">IFERROR(VLOOKUP($A62,Equipos!$C$2:$M$967,2,FALSE()),"")</f>
        <v>Monitor Multiparámetros</v>
      </c>
      <c r="C62" s="50" t="str">
        <f aca="false">IFERROR(VLOOKUP($A62,Equipos!$C$2:$M$967,9,FALSE()),"")</f>
        <v>VQSHD0133</v>
      </c>
      <c r="D62" s="50" t="str">
        <f aca="false">IFERROR(VLOOKUP($A62,Equipos!$C$2:$M$967,3,FALSE()),"")</f>
        <v>Neonatología</v>
      </c>
      <c r="E62" s="50" t="str">
        <f aca="false">IFERROR(VLOOKUP($A62,Equipos!$C$2:$M$967,7,FALSE()),"")</f>
        <v>Drager</v>
      </c>
      <c r="F62" s="50" t="str">
        <f aca="false">IFERROR(VLOOKUP($A62,Equipos!$C$2:$M$967,8,FALSE()),"")</f>
        <v>Vista 120</v>
      </c>
      <c r="G62" s="50" t="s">
        <v>356</v>
      </c>
      <c r="H62" s="50" t="s">
        <v>360</v>
      </c>
      <c r="I62" s="50"/>
      <c r="J62" s="50" t="s">
        <v>364</v>
      </c>
      <c r="K62" s="50" t="str">
        <f aca="false">IFERROR(VLOOKUP($J62,Catálogos!$M$4:$N$17,2,FALSE()),"")</f>
        <v>Reprogramada · No disponibilidad de horas hombre del funcionario SEC por alta carga laboral</v>
      </c>
      <c r="L62" s="52" t="n">
        <v>46037</v>
      </c>
      <c r="M62" s="50" t="s">
        <v>353</v>
      </c>
      <c r="N62" s="50" t="s">
        <v>253</v>
      </c>
      <c r="O62" s="50"/>
      <c r="P62" s="50"/>
      <c r="Q62" s="50" t="s">
        <v>362</v>
      </c>
    </row>
    <row r="63" customFormat="false" ht="15" hidden="false" customHeight="true" outlineLevel="0" collapsed="false">
      <c r="A63" s="51" t="s">
        <v>420</v>
      </c>
      <c r="B63" s="50" t="str">
        <f aca="false">IFERROR(VLOOKUP($A63,Equipos!$C$2:$M$967,2,FALSE()),"")</f>
        <v>Monitor Multiparámetros</v>
      </c>
      <c r="C63" s="50" t="str">
        <f aca="false">IFERROR(VLOOKUP($A63,Equipos!$C$2:$M$967,9,FALSE()),"")</f>
        <v>VQSHD0130</v>
      </c>
      <c r="D63" s="50" t="str">
        <f aca="false">IFERROR(VLOOKUP($A63,Equipos!$C$2:$M$967,3,FALSE()),"")</f>
        <v>Neonatología</v>
      </c>
      <c r="E63" s="50" t="str">
        <f aca="false">IFERROR(VLOOKUP($A63,Equipos!$C$2:$M$967,7,FALSE()),"")</f>
        <v>Drager</v>
      </c>
      <c r="F63" s="50" t="str">
        <f aca="false">IFERROR(VLOOKUP($A63,Equipos!$C$2:$M$967,8,FALSE()),"")</f>
        <v>Vista 120</v>
      </c>
      <c r="G63" s="50" t="s">
        <v>356</v>
      </c>
      <c r="H63" s="50" t="s">
        <v>360</v>
      </c>
      <c r="I63" s="50"/>
      <c r="J63" s="50" t="s">
        <v>364</v>
      </c>
      <c r="K63" s="50" t="str">
        <f aca="false">IFERROR(VLOOKUP($J63,Catálogos!$M$4:$N$17,2,FALSE()),"")</f>
        <v>Reprogramada · No disponibilidad de horas hombre del funcionario SEC por alta carga laboral</v>
      </c>
      <c r="L63" s="52" t="n">
        <v>46037</v>
      </c>
      <c r="M63" s="50" t="s">
        <v>353</v>
      </c>
      <c r="N63" s="50" t="s">
        <v>253</v>
      </c>
      <c r="O63" s="50"/>
      <c r="P63" s="50"/>
      <c r="Q63" s="50" t="s">
        <v>362</v>
      </c>
    </row>
    <row r="64" customFormat="false" ht="15" hidden="false" customHeight="true" outlineLevel="0" collapsed="false">
      <c r="A64" s="51" t="s">
        <v>421</v>
      </c>
      <c r="B64" s="50" t="str">
        <f aca="false">IFERROR(VLOOKUP($A64,Equipos!$C$2:$M$967,2,FALSE()),"")</f>
        <v>Monitor Multiparámetros</v>
      </c>
      <c r="C64" s="50" t="str">
        <f aca="false">IFERROR(VLOOKUP($A64,Equipos!$C$2:$M$967,9,FALSE()),"")</f>
        <v>VQSHD0127</v>
      </c>
      <c r="D64" s="50" t="str">
        <f aca="false">IFERROR(VLOOKUP($A64,Equipos!$C$2:$M$967,3,FALSE()),"")</f>
        <v>Neonatología</v>
      </c>
      <c r="E64" s="50" t="str">
        <f aca="false">IFERROR(VLOOKUP($A64,Equipos!$C$2:$M$967,7,FALSE()),"")</f>
        <v>Drager</v>
      </c>
      <c r="F64" s="50" t="str">
        <f aca="false">IFERROR(VLOOKUP($A64,Equipos!$C$2:$M$967,8,FALSE()),"")</f>
        <v>Vista 120</v>
      </c>
      <c r="G64" s="50" t="s">
        <v>356</v>
      </c>
      <c r="H64" s="50" t="s">
        <v>360</v>
      </c>
      <c r="I64" s="50"/>
      <c r="J64" s="50" t="s">
        <v>364</v>
      </c>
      <c r="K64" s="50" t="str">
        <f aca="false">IFERROR(VLOOKUP($J64,Catálogos!$M$4:$N$17,2,FALSE()),"")</f>
        <v>Reprogramada · No disponibilidad de horas hombre del funcionario SEC por alta carga laboral</v>
      </c>
      <c r="L64" s="52" t="n">
        <v>46037</v>
      </c>
      <c r="M64" s="50" t="s">
        <v>353</v>
      </c>
      <c r="N64" s="50" t="s">
        <v>253</v>
      </c>
      <c r="O64" s="50"/>
      <c r="P64" s="50"/>
      <c r="Q64" s="50" t="s">
        <v>362</v>
      </c>
    </row>
    <row r="65" customFormat="false" ht="15" hidden="false" customHeight="true" outlineLevel="0" collapsed="false">
      <c r="A65" s="51" t="s">
        <v>422</v>
      </c>
      <c r="B65" s="50" t="str">
        <f aca="false">IFERROR(VLOOKUP($A65,Equipos!$C$2:$M$967,2,FALSE()),"")</f>
        <v>Monitor Multiparámetros</v>
      </c>
      <c r="C65" s="50" t="str">
        <f aca="false">IFERROR(VLOOKUP($A65,Equipos!$C$2:$M$967,9,FALSE()),"")</f>
        <v>VQSHD0124</v>
      </c>
      <c r="D65" s="50" t="str">
        <f aca="false">IFERROR(VLOOKUP($A65,Equipos!$C$2:$M$967,3,FALSE()),"")</f>
        <v>Neonatología</v>
      </c>
      <c r="E65" s="50" t="str">
        <f aca="false">IFERROR(VLOOKUP($A65,Equipos!$C$2:$M$967,7,FALSE()),"")</f>
        <v>Drager</v>
      </c>
      <c r="F65" s="50" t="str">
        <f aca="false">IFERROR(VLOOKUP($A65,Equipos!$C$2:$M$967,8,FALSE()),"")</f>
        <v>Vista 120</v>
      </c>
      <c r="G65" s="50" t="s">
        <v>356</v>
      </c>
      <c r="H65" s="50" t="s">
        <v>360</v>
      </c>
      <c r="I65" s="50"/>
      <c r="J65" s="50" t="s">
        <v>364</v>
      </c>
      <c r="K65" s="50" t="str">
        <f aca="false">IFERROR(VLOOKUP($J65,Catálogos!$M$4:$N$17,2,FALSE()),"")</f>
        <v>Reprogramada · No disponibilidad de horas hombre del funcionario SEC por alta carga laboral</v>
      </c>
      <c r="L65" s="52" t="n">
        <v>46037</v>
      </c>
      <c r="M65" s="50" t="s">
        <v>353</v>
      </c>
      <c r="N65" s="50" t="s">
        <v>253</v>
      </c>
      <c r="O65" s="50"/>
      <c r="P65" s="50"/>
      <c r="Q65" s="50" t="s">
        <v>362</v>
      </c>
    </row>
    <row r="66" customFormat="false" ht="15" hidden="false" customHeight="true" outlineLevel="0" collapsed="false">
      <c r="A66" s="51" t="s">
        <v>423</v>
      </c>
      <c r="B66" s="50" t="str">
        <f aca="false">IFERROR(VLOOKUP($A66,Equipos!$C$2:$M$967,2,FALSE()),"")</f>
        <v>Monitor Multiparámetros</v>
      </c>
      <c r="C66" s="50" t="str">
        <f aca="false">IFERROR(VLOOKUP($A66,Equipos!$C$2:$M$967,9,FALSE()),"")</f>
        <v>VQSHD0122</v>
      </c>
      <c r="D66" s="50" t="str">
        <f aca="false">IFERROR(VLOOKUP($A66,Equipos!$C$2:$M$967,3,FALSE()),"")</f>
        <v>Neonatología</v>
      </c>
      <c r="E66" s="50" t="str">
        <f aca="false">IFERROR(VLOOKUP($A66,Equipos!$C$2:$M$967,7,FALSE()),"")</f>
        <v>Drager</v>
      </c>
      <c r="F66" s="50" t="str">
        <f aca="false">IFERROR(VLOOKUP($A66,Equipos!$C$2:$M$967,8,FALSE()),"")</f>
        <v>Vista 120</v>
      </c>
      <c r="G66" s="50" t="s">
        <v>356</v>
      </c>
      <c r="H66" s="50" t="s">
        <v>360</v>
      </c>
      <c r="I66" s="50"/>
      <c r="J66" s="50" t="s">
        <v>364</v>
      </c>
      <c r="K66" s="50" t="str">
        <f aca="false">IFERROR(VLOOKUP($J66,Catálogos!$M$4:$N$17,2,FALSE()),"")</f>
        <v>Reprogramada · No disponibilidad de horas hombre del funcionario SEC por alta carga laboral</v>
      </c>
      <c r="L66" s="52" t="n">
        <v>46037</v>
      </c>
      <c r="M66" s="50" t="s">
        <v>353</v>
      </c>
      <c r="N66" s="50" t="s">
        <v>253</v>
      </c>
      <c r="O66" s="50"/>
      <c r="P66" s="50"/>
      <c r="Q66" s="50" t="s">
        <v>362</v>
      </c>
    </row>
    <row r="67" customFormat="false" ht="15" hidden="false" customHeight="true" outlineLevel="0" collapsed="false">
      <c r="A67" s="51" t="s">
        <v>424</v>
      </c>
      <c r="B67" s="50" t="str">
        <f aca="false">IFERROR(VLOOKUP($A67,Equipos!$C$2:$M$967,2,FALSE()),"")</f>
        <v>Monitor Multiparámetros</v>
      </c>
      <c r="C67" s="50" t="str">
        <f aca="false">IFERROR(VLOOKUP($A67,Equipos!$C$2:$M$967,9,FALSE()),"")</f>
        <v>VQSHD0120</v>
      </c>
      <c r="D67" s="50" t="str">
        <f aca="false">IFERROR(VLOOKUP($A67,Equipos!$C$2:$M$967,3,FALSE()),"")</f>
        <v>Neonatología</v>
      </c>
      <c r="E67" s="50" t="str">
        <f aca="false">IFERROR(VLOOKUP($A67,Equipos!$C$2:$M$967,7,FALSE()),"")</f>
        <v>Drager</v>
      </c>
      <c r="F67" s="50" t="str">
        <f aca="false">IFERROR(VLOOKUP($A67,Equipos!$C$2:$M$967,8,FALSE()),"")</f>
        <v>Vista 120</v>
      </c>
      <c r="G67" s="50" t="s">
        <v>356</v>
      </c>
      <c r="H67" s="50" t="s">
        <v>360</v>
      </c>
      <c r="I67" s="50"/>
      <c r="J67" s="50" t="s">
        <v>364</v>
      </c>
      <c r="K67" s="50" t="str">
        <f aca="false">IFERROR(VLOOKUP($J67,Catálogos!$M$4:$N$17,2,FALSE()),"")</f>
        <v>Reprogramada · No disponibilidad de horas hombre del funcionario SEC por alta carga laboral</v>
      </c>
      <c r="L67" s="52" t="n">
        <v>46037</v>
      </c>
      <c r="M67" s="50" t="s">
        <v>353</v>
      </c>
      <c r="N67" s="50" t="s">
        <v>253</v>
      </c>
      <c r="O67" s="50"/>
      <c r="P67" s="50"/>
      <c r="Q67" s="50" t="s">
        <v>362</v>
      </c>
    </row>
    <row r="68" customFormat="false" ht="15" hidden="false" customHeight="true" outlineLevel="0" collapsed="false">
      <c r="A68" s="51" t="s">
        <v>425</v>
      </c>
      <c r="B68" s="50" t="str">
        <f aca="false">IFERROR(VLOOKUP($A68,Equipos!$C$2:$M$967,2,FALSE()),"")</f>
        <v>Monitor Multiparámetros</v>
      </c>
      <c r="C68" s="50" t="str">
        <f aca="false">IFERROR(VLOOKUP($A68,Equipos!$C$2:$M$967,9,FALSE()),"")</f>
        <v>VQSHD0103</v>
      </c>
      <c r="D68" s="50" t="str">
        <f aca="false">IFERROR(VLOOKUP($A68,Equipos!$C$2:$M$967,3,FALSE()),"")</f>
        <v>Neonatología</v>
      </c>
      <c r="E68" s="50" t="str">
        <f aca="false">IFERROR(VLOOKUP($A68,Equipos!$C$2:$M$967,7,FALSE()),"")</f>
        <v>Drager</v>
      </c>
      <c r="F68" s="50" t="str">
        <f aca="false">IFERROR(VLOOKUP($A68,Equipos!$C$2:$M$967,8,FALSE()),"")</f>
        <v>Vista 120</v>
      </c>
      <c r="G68" s="50" t="s">
        <v>356</v>
      </c>
      <c r="H68" s="50" t="s">
        <v>360</v>
      </c>
      <c r="I68" s="50"/>
      <c r="J68" s="50" t="s">
        <v>364</v>
      </c>
      <c r="K68" s="50" t="str">
        <f aca="false">IFERROR(VLOOKUP($J68,Catálogos!$M$4:$N$17,2,FALSE()),"")</f>
        <v>Reprogramada · No disponibilidad de horas hombre del funcionario SEC por alta carga laboral</v>
      </c>
      <c r="L68" s="52" t="n">
        <v>46037</v>
      </c>
      <c r="M68" s="50" t="s">
        <v>353</v>
      </c>
      <c r="N68" s="50" t="s">
        <v>253</v>
      </c>
      <c r="O68" s="50"/>
      <c r="P68" s="50"/>
      <c r="Q68" s="50" t="s">
        <v>362</v>
      </c>
    </row>
    <row r="69" customFormat="false" ht="15" hidden="false" customHeight="true" outlineLevel="0" collapsed="false">
      <c r="A69" s="51" t="s">
        <v>426</v>
      </c>
      <c r="B69" s="50" t="str">
        <f aca="false">IFERROR(VLOOKUP($A69,Equipos!$C$2:$M$967,2,FALSE()),"")</f>
        <v>Monitor Multiparámetros</v>
      </c>
      <c r="C69" s="50" t="str">
        <f aca="false">IFERROR(VLOOKUP($A69,Equipos!$C$2:$M$967,9,FALSE()),"")</f>
        <v>VQSHD0088</v>
      </c>
      <c r="D69" s="50" t="str">
        <f aca="false">IFERROR(VLOOKUP($A69,Equipos!$C$2:$M$967,3,FALSE()),"")</f>
        <v>Neonatología</v>
      </c>
      <c r="E69" s="50" t="str">
        <f aca="false">IFERROR(VLOOKUP($A69,Equipos!$C$2:$M$967,7,FALSE()),"")</f>
        <v>Drager</v>
      </c>
      <c r="F69" s="50" t="str">
        <f aca="false">IFERROR(VLOOKUP($A69,Equipos!$C$2:$M$967,8,FALSE()),"")</f>
        <v>Vista 120</v>
      </c>
      <c r="G69" s="50" t="s">
        <v>356</v>
      </c>
      <c r="H69" s="50" t="s">
        <v>360</v>
      </c>
      <c r="I69" s="50"/>
      <c r="J69" s="50" t="s">
        <v>364</v>
      </c>
      <c r="K69" s="50" t="str">
        <f aca="false">IFERROR(VLOOKUP($J69,Catálogos!$M$4:$N$17,2,FALSE()),"")</f>
        <v>Reprogramada · No disponibilidad de horas hombre del funcionario SEC por alta carga laboral</v>
      </c>
      <c r="L69" s="52" t="n">
        <v>46037</v>
      </c>
      <c r="M69" s="50" t="s">
        <v>353</v>
      </c>
      <c r="N69" s="50" t="s">
        <v>253</v>
      </c>
      <c r="O69" s="50"/>
      <c r="P69" s="50"/>
      <c r="Q69" s="50" t="s">
        <v>362</v>
      </c>
    </row>
    <row r="70" customFormat="false" ht="15" hidden="false" customHeight="true" outlineLevel="0" collapsed="false">
      <c r="A70" s="51" t="s">
        <v>427</v>
      </c>
      <c r="B70" s="50" t="str">
        <f aca="false">IFERROR(VLOOKUP($A70,Equipos!$C$2:$M$967,2,FALSE()),"")</f>
        <v>Monitor Multiparámetros</v>
      </c>
      <c r="C70" s="50" t="str">
        <f aca="false">IFERROR(VLOOKUP($A70,Equipos!$C$2:$M$967,9,FALSE()),"")</f>
        <v>VQSHD0069</v>
      </c>
      <c r="D70" s="50" t="str">
        <f aca="false">IFERROR(VLOOKUP($A70,Equipos!$C$2:$M$967,3,FALSE()),"")</f>
        <v>Neonatología</v>
      </c>
      <c r="E70" s="50" t="str">
        <f aca="false">IFERROR(VLOOKUP($A70,Equipos!$C$2:$M$967,7,FALSE()),"")</f>
        <v>Drager</v>
      </c>
      <c r="F70" s="50" t="str">
        <f aca="false">IFERROR(VLOOKUP($A70,Equipos!$C$2:$M$967,8,FALSE()),"")</f>
        <v>Vista 120</v>
      </c>
      <c r="G70" s="50" t="s">
        <v>356</v>
      </c>
      <c r="H70" s="50" t="s">
        <v>360</v>
      </c>
      <c r="I70" s="50"/>
      <c r="J70" s="50" t="s">
        <v>364</v>
      </c>
      <c r="K70" s="50" t="str">
        <f aca="false">IFERROR(VLOOKUP($J70,Catálogos!$M$4:$N$17,2,FALSE()),"")</f>
        <v>Reprogramada · No disponibilidad de horas hombre del funcionario SEC por alta carga laboral</v>
      </c>
      <c r="L70" s="52" t="n">
        <v>46037</v>
      </c>
      <c r="M70" s="50" t="s">
        <v>353</v>
      </c>
      <c r="N70" s="50" t="s">
        <v>253</v>
      </c>
      <c r="O70" s="50"/>
      <c r="P70" s="50"/>
      <c r="Q70" s="50" t="s">
        <v>362</v>
      </c>
    </row>
    <row r="71" customFormat="false" ht="15" hidden="false" customHeight="true" outlineLevel="0" collapsed="false">
      <c r="A71" s="51" t="s">
        <v>428</v>
      </c>
      <c r="B71" s="50" t="str">
        <f aca="false">IFERROR(VLOOKUP($A71,Equipos!$C$2:$M$967,2,FALSE()),"")</f>
        <v>Monitor Multiparámetros</v>
      </c>
      <c r="C71" s="50" t="str">
        <f aca="false">IFERROR(VLOOKUP($A71,Equipos!$C$2:$M$967,9,FALSE()),"")</f>
        <v>VTSHD0099</v>
      </c>
      <c r="D71" s="50" t="str">
        <f aca="false">IFERROR(VLOOKUP($A71,Equipos!$C$2:$M$967,3,FALSE()),"")</f>
        <v>Pediatría</v>
      </c>
      <c r="E71" s="50" t="str">
        <f aca="false">IFERROR(VLOOKUP($A71,Equipos!$C$2:$M$967,7,FALSE()),"")</f>
        <v>Drager</v>
      </c>
      <c r="F71" s="50" t="str">
        <f aca="false">IFERROR(VLOOKUP($A71,Equipos!$C$2:$M$967,8,FALSE()),"")</f>
        <v>Vista 120</v>
      </c>
      <c r="G71" s="50" t="s">
        <v>356</v>
      </c>
      <c r="H71" s="50" t="s">
        <v>360</v>
      </c>
      <c r="I71" s="50"/>
      <c r="J71" s="50" t="s">
        <v>364</v>
      </c>
      <c r="K71" s="50" t="str">
        <f aca="false">IFERROR(VLOOKUP($J71,Catálogos!$M$4:$N$17,2,FALSE()),"")</f>
        <v>Reprogramada · No disponibilidad de horas hombre del funcionario SEC por alta carga laboral</v>
      </c>
      <c r="L71" s="52" t="n">
        <v>46037</v>
      </c>
      <c r="M71" s="50" t="s">
        <v>353</v>
      </c>
      <c r="N71" s="50" t="s">
        <v>253</v>
      </c>
      <c r="O71" s="50"/>
      <c r="P71" s="50"/>
      <c r="Q71" s="50" t="s">
        <v>362</v>
      </c>
    </row>
    <row r="72" customFormat="false" ht="15" hidden="false" customHeight="true" outlineLevel="0" collapsed="false">
      <c r="A72" s="51" t="s">
        <v>429</v>
      </c>
      <c r="B72" s="50" t="str">
        <f aca="false">IFERROR(VLOOKUP($A72,Equipos!$C$2:$M$967,2,FALSE()),"")</f>
        <v>Monitor Multiparámetros</v>
      </c>
      <c r="C72" s="50" t="str">
        <f aca="false">IFERROR(VLOOKUP($A72,Equipos!$C$2:$M$967,9,FALSE()),"")</f>
        <v>VTSHD0103</v>
      </c>
      <c r="D72" s="50" t="str">
        <f aca="false">IFERROR(VLOOKUP($A72,Equipos!$C$2:$M$967,3,FALSE()),"")</f>
        <v>Pediatría</v>
      </c>
      <c r="E72" s="50" t="str">
        <f aca="false">IFERROR(VLOOKUP($A72,Equipos!$C$2:$M$967,7,FALSE()),"")</f>
        <v>Drager</v>
      </c>
      <c r="F72" s="50" t="str">
        <f aca="false">IFERROR(VLOOKUP($A72,Equipos!$C$2:$M$967,8,FALSE()),"")</f>
        <v>Vista 120</v>
      </c>
      <c r="G72" s="50" t="s">
        <v>356</v>
      </c>
      <c r="H72" s="50" t="s">
        <v>360</v>
      </c>
      <c r="I72" s="50"/>
      <c r="J72" s="50" t="s">
        <v>364</v>
      </c>
      <c r="K72" s="50" t="str">
        <f aca="false">IFERROR(VLOOKUP($J72,Catálogos!$M$4:$N$17,2,FALSE()),"")</f>
        <v>Reprogramada · No disponibilidad de horas hombre del funcionario SEC por alta carga laboral</v>
      </c>
      <c r="L72" s="52" t="n">
        <v>46037</v>
      </c>
      <c r="M72" s="50" t="s">
        <v>353</v>
      </c>
      <c r="N72" s="50" t="s">
        <v>253</v>
      </c>
      <c r="O72" s="50"/>
      <c r="P72" s="50"/>
      <c r="Q72" s="50" t="s">
        <v>362</v>
      </c>
    </row>
    <row r="73" customFormat="false" ht="15" hidden="false" customHeight="true" outlineLevel="0" collapsed="false">
      <c r="A73" s="51" t="s">
        <v>430</v>
      </c>
      <c r="B73" s="50" t="str">
        <f aca="false">IFERROR(VLOOKUP($A73,Equipos!$C$2:$M$967,2,FALSE()),"")</f>
        <v>Monitor Multiparámetros</v>
      </c>
      <c r="C73" s="50" t="str">
        <f aca="false">IFERROR(VLOOKUP($A73,Equipos!$C$2:$M$967,9,FALSE()),"")</f>
        <v>VTSHD0101</v>
      </c>
      <c r="D73" s="50" t="str">
        <f aca="false">IFERROR(VLOOKUP($A73,Equipos!$C$2:$M$967,3,FALSE()),"")</f>
        <v>Pediatría</v>
      </c>
      <c r="E73" s="50" t="str">
        <f aca="false">IFERROR(VLOOKUP($A73,Equipos!$C$2:$M$967,7,FALSE()),"")</f>
        <v>Drager</v>
      </c>
      <c r="F73" s="50" t="str">
        <f aca="false">IFERROR(VLOOKUP($A73,Equipos!$C$2:$M$967,8,FALSE()),"")</f>
        <v>Vista 120</v>
      </c>
      <c r="G73" s="50" t="s">
        <v>356</v>
      </c>
      <c r="H73" s="50" t="s">
        <v>360</v>
      </c>
      <c r="I73" s="50"/>
      <c r="J73" s="50" t="s">
        <v>364</v>
      </c>
      <c r="K73" s="50" t="str">
        <f aca="false">IFERROR(VLOOKUP($J73,Catálogos!$M$4:$N$17,2,FALSE()),"")</f>
        <v>Reprogramada · No disponibilidad de horas hombre del funcionario SEC por alta carga laboral</v>
      </c>
      <c r="L73" s="52" t="n">
        <v>46037</v>
      </c>
      <c r="M73" s="50" t="s">
        <v>353</v>
      </c>
      <c r="N73" s="50" t="s">
        <v>253</v>
      </c>
      <c r="O73" s="50"/>
      <c r="P73" s="50"/>
      <c r="Q73" s="50" t="s">
        <v>362</v>
      </c>
    </row>
    <row r="74" customFormat="false" ht="15" hidden="false" customHeight="true" outlineLevel="0" collapsed="false">
      <c r="A74" s="51" t="s">
        <v>431</v>
      </c>
      <c r="B74" s="50" t="str">
        <f aca="false">IFERROR(VLOOKUP($A74,Equipos!$C$2:$M$967,2,FALSE()),"")</f>
        <v>Monitor Multiparámetros</v>
      </c>
      <c r="C74" s="50" t="str">
        <f aca="false">IFERROR(VLOOKUP($A74,Equipos!$C$2:$M$967,9,FALSE()),"")</f>
        <v>5494308059</v>
      </c>
      <c r="D74" s="50" t="str">
        <f aca="false">IFERROR(VLOOKUP($A74,Equipos!$C$2:$M$967,3,FALSE()),"")</f>
        <v>UPC Cardiovascular</v>
      </c>
      <c r="E74" s="50" t="str">
        <f aca="false">IFERROR(VLOOKUP($A74,Equipos!$C$2:$M$967,7,FALSE()),"")</f>
        <v>Drager</v>
      </c>
      <c r="F74" s="50" t="str">
        <f aca="false">IFERROR(VLOOKUP($A74,Equipos!$C$2:$M$967,8,FALSE()),"")</f>
        <v>Infinity Kappa</v>
      </c>
      <c r="G74" s="50" t="s">
        <v>356</v>
      </c>
      <c r="H74" s="50" t="s">
        <v>360</v>
      </c>
      <c r="I74" s="50"/>
      <c r="J74" s="50" t="s">
        <v>374</v>
      </c>
      <c r="K74" s="50" t="str">
        <f aca="false">IFERROR(VLOOKUP($J74,Catálogos!$M$4:$N$17,2,FALSE()),"")</f>
        <v>Reprogramada · Ausencia justificada del funcionario SEC superior a 15 días</v>
      </c>
      <c r="L74" s="52" t="n">
        <v>46037</v>
      </c>
      <c r="M74" s="50" t="s">
        <v>353</v>
      </c>
      <c r="N74" s="50" t="s">
        <v>253</v>
      </c>
      <c r="O74" s="50"/>
      <c r="P74" s="50"/>
      <c r="Q74" s="50" t="s">
        <v>362</v>
      </c>
    </row>
    <row r="75" customFormat="false" ht="15" hidden="false" customHeight="true" outlineLevel="0" collapsed="false">
      <c r="A75" s="51" t="s">
        <v>432</v>
      </c>
      <c r="B75" s="50" t="str">
        <f aca="false">IFERROR(VLOOKUP($A75,Equipos!$C$2:$M$967,2,FALSE()),"")</f>
        <v>Monitor Multiparámetros</v>
      </c>
      <c r="C75" s="50" t="str">
        <f aca="false">IFERROR(VLOOKUP($A75,Equipos!$C$2:$M$967,9,FALSE()),"")</f>
        <v>1066</v>
      </c>
      <c r="D75" s="50" t="str">
        <f aca="false">IFERROR(VLOOKUP($A75,Equipos!$C$2:$M$967,3,FALSE()),"")</f>
        <v>Cirugía Infantil</v>
      </c>
      <c r="E75" s="50" t="str">
        <f aca="false">IFERROR(VLOOKUP($A75,Equipos!$C$2:$M$967,7,FALSE()),"")</f>
        <v>Nihon Kohden </v>
      </c>
      <c r="F75" s="50" t="str">
        <f aca="false">IFERROR(VLOOKUP($A75,Equipos!$C$2:$M$967,8,FALSE()),"")</f>
        <v>BSM-6301K</v>
      </c>
      <c r="G75" s="50" t="s">
        <v>356</v>
      </c>
      <c r="H75" s="50" t="s">
        <v>360</v>
      </c>
      <c r="I75" s="50"/>
      <c r="J75" s="50" t="s">
        <v>364</v>
      </c>
      <c r="K75" s="50" t="str">
        <f aca="false">IFERROR(VLOOKUP($J75,Catálogos!$M$4:$N$17,2,FALSE()),"")</f>
        <v>Reprogramada · No disponibilidad de horas hombre del funcionario SEC por alta carga laboral</v>
      </c>
      <c r="L75" s="52" t="n">
        <v>46037</v>
      </c>
      <c r="M75" s="50" t="s">
        <v>353</v>
      </c>
      <c r="N75" s="50" t="s">
        <v>253</v>
      </c>
      <c r="O75" s="50"/>
      <c r="P75" s="50"/>
      <c r="Q75" s="50" t="s">
        <v>362</v>
      </c>
    </row>
    <row r="76" customFormat="false" ht="15" hidden="false" customHeight="true" outlineLevel="0" collapsed="false">
      <c r="A76" s="51" t="s">
        <v>433</v>
      </c>
      <c r="B76" s="50" t="str">
        <f aca="false">IFERROR(VLOOKUP($A76,Equipos!$C$2:$M$967,2,FALSE()),"")</f>
        <v>Monitor Multiparámetros</v>
      </c>
      <c r="C76" s="50" t="str">
        <f aca="false">IFERROR(VLOOKUP($A76,Equipos!$C$2:$M$967,9,FALSE()),"")</f>
        <v>6000907871</v>
      </c>
      <c r="D76" s="50" t="str">
        <f aca="false">IFERROR(VLOOKUP($A76,Equipos!$C$2:$M$967,3,FALSE()),"")</f>
        <v>UPC Cardiovascular</v>
      </c>
      <c r="E76" s="50" t="str">
        <f aca="false">IFERROR(VLOOKUP($A76,Equipos!$C$2:$M$967,7,FALSE()),"")</f>
        <v>Drager </v>
      </c>
      <c r="F76" s="50" t="str">
        <f aca="false">IFERROR(VLOOKUP($A76,Equipos!$C$2:$M$967,8,FALSE()),"")</f>
        <v>Infinity Vista XL </v>
      </c>
      <c r="G76" s="50" t="s">
        <v>356</v>
      </c>
      <c r="H76" s="50" t="s">
        <v>360</v>
      </c>
      <c r="I76" s="50"/>
      <c r="J76" s="50" t="s">
        <v>332</v>
      </c>
      <c r="K76" s="50" t="str">
        <f aca="false">IFERROR(VLOOKUP($J76,Catálogos!$M$4:$N$17,2,FALSE()),"")</f>
        <v>Reprogramada · Equipo en servicio técnico</v>
      </c>
      <c r="L76" s="52" t="n">
        <v>46037</v>
      </c>
      <c r="M76" s="50" t="s">
        <v>6</v>
      </c>
      <c r="N76" s="50" t="s">
        <v>253</v>
      </c>
      <c r="O76" s="50"/>
      <c r="P76" s="50"/>
      <c r="Q76" s="50" t="s">
        <v>362</v>
      </c>
    </row>
    <row r="77" customFormat="false" ht="15" hidden="false" customHeight="true" outlineLevel="0" collapsed="false">
      <c r="A77" s="51" t="s">
        <v>434</v>
      </c>
      <c r="B77" s="50" t="str">
        <f aca="false">IFERROR(VLOOKUP($A77,Equipos!$C$2:$M$967,2,FALSE()),"")</f>
        <v>Monitor Multiparámetros</v>
      </c>
      <c r="C77" s="50" t="str">
        <f aca="false">IFERROR(VLOOKUP($A77,Equipos!$C$2:$M$967,9,FALSE()),"")</f>
        <v>6000874576</v>
      </c>
      <c r="D77" s="50" t="str">
        <f aca="false">IFERROR(VLOOKUP($A77,Equipos!$C$2:$M$967,3,FALSE()),"")</f>
        <v>UPC Cardiovascular</v>
      </c>
      <c r="E77" s="50" t="str">
        <f aca="false">IFERROR(VLOOKUP($A77,Equipos!$C$2:$M$967,7,FALSE()),"")</f>
        <v>Drager </v>
      </c>
      <c r="F77" s="50" t="str">
        <f aca="false">IFERROR(VLOOKUP($A77,Equipos!$C$2:$M$967,8,FALSE()),"")</f>
        <v>Infinity Vista XL </v>
      </c>
      <c r="G77" s="50" t="s">
        <v>356</v>
      </c>
      <c r="H77" s="50" t="s">
        <v>360</v>
      </c>
      <c r="I77" s="50"/>
      <c r="J77" s="50" t="s">
        <v>374</v>
      </c>
      <c r="K77" s="50" t="str">
        <f aca="false">IFERROR(VLOOKUP($J77,Catálogos!$M$4:$N$17,2,FALSE()),"")</f>
        <v>Reprogramada · Ausencia justificada del funcionario SEC superior a 15 días</v>
      </c>
      <c r="L77" s="52" t="n">
        <v>46037</v>
      </c>
      <c r="M77" s="50" t="s">
        <v>353</v>
      </c>
      <c r="N77" s="50" t="s">
        <v>253</v>
      </c>
      <c r="O77" s="50"/>
      <c r="P77" s="50"/>
      <c r="Q77" s="50" t="s">
        <v>362</v>
      </c>
    </row>
    <row r="78" customFormat="false" ht="15" hidden="false" customHeight="true" outlineLevel="0" collapsed="false">
      <c r="A78" s="51" t="s">
        <v>435</v>
      </c>
      <c r="B78" s="50" t="str">
        <f aca="false">IFERROR(VLOOKUP($A78,Equipos!$C$2:$M$967,2,FALSE()),"")</f>
        <v>Monitor Multiparámetros</v>
      </c>
      <c r="C78" s="50" t="str">
        <f aca="false">IFERROR(VLOOKUP($A78,Equipos!$C$2:$M$967,9,FALSE()),"")</f>
        <v>1393-109314</v>
      </c>
      <c r="D78" s="50" t="str">
        <f aca="false">IFERROR(VLOOKUP($A78,Equipos!$C$2:$M$967,3,FALSE()),"")</f>
        <v>UPC Pediátrica</v>
      </c>
      <c r="E78" s="50" t="str">
        <f aca="false">IFERROR(VLOOKUP($A78,Equipos!$C$2:$M$967,7,FALSE()),"")</f>
        <v>SPACELABS HEALTHCARE</v>
      </c>
      <c r="F78" s="50" t="str">
        <f aca="false">IFERROR(VLOOKUP($A78,Equipos!$C$2:$M$967,8,FALSE()),"")</f>
        <v>XPREZZON</v>
      </c>
      <c r="G78" s="50" t="s">
        <v>356</v>
      </c>
      <c r="H78" s="50" t="s">
        <v>360</v>
      </c>
      <c r="I78" s="50"/>
      <c r="J78" s="50" t="s">
        <v>374</v>
      </c>
      <c r="K78" s="50" t="str">
        <f aca="false">IFERROR(VLOOKUP($J78,Catálogos!$M$4:$N$17,2,FALSE()),"")</f>
        <v>Reprogramada · Ausencia justificada del funcionario SEC superior a 15 días</v>
      </c>
      <c r="L78" s="52" t="n">
        <v>46037</v>
      </c>
      <c r="M78" s="50" t="s">
        <v>353</v>
      </c>
      <c r="N78" s="50" t="s">
        <v>253</v>
      </c>
      <c r="O78" s="50"/>
      <c r="P78" s="50"/>
      <c r="Q78" s="50" t="s">
        <v>362</v>
      </c>
    </row>
    <row r="79" customFormat="false" ht="15" hidden="false" customHeight="true" outlineLevel="0" collapsed="false">
      <c r="A79" s="51" t="s">
        <v>436</v>
      </c>
      <c r="B79" s="50" t="str">
        <f aca="false">IFERROR(VLOOKUP($A79,Equipos!$C$2:$M$967,2,FALSE()),"")</f>
        <v>Monitor Multiparámetros</v>
      </c>
      <c r="C79" s="50" t="str">
        <f aca="false">IFERROR(VLOOKUP($A79,Equipos!$C$2:$M$967,9,FALSE()),"")</f>
        <v>1393-109325</v>
      </c>
      <c r="D79" s="50" t="str">
        <f aca="false">IFERROR(VLOOKUP($A79,Equipos!$C$2:$M$967,3,FALSE()),"")</f>
        <v>UPC Pediátrica</v>
      </c>
      <c r="E79" s="50" t="str">
        <f aca="false">IFERROR(VLOOKUP($A79,Equipos!$C$2:$M$967,7,FALSE()),"")</f>
        <v>SPACELABS HEALTHCARE</v>
      </c>
      <c r="F79" s="50" t="str">
        <f aca="false">IFERROR(VLOOKUP($A79,Equipos!$C$2:$M$967,8,FALSE()),"")</f>
        <v>XPREZZON</v>
      </c>
      <c r="G79" s="50" t="s">
        <v>356</v>
      </c>
      <c r="H79" s="50" t="s">
        <v>360</v>
      </c>
      <c r="I79" s="50"/>
      <c r="J79" s="50" t="s">
        <v>374</v>
      </c>
      <c r="K79" s="50" t="str">
        <f aca="false">IFERROR(VLOOKUP($J79,Catálogos!$M$4:$N$17,2,FALSE()),"")</f>
        <v>Reprogramada · Ausencia justificada del funcionario SEC superior a 15 días</v>
      </c>
      <c r="L79" s="52" t="n">
        <v>46037</v>
      </c>
      <c r="M79" s="50" t="s">
        <v>353</v>
      </c>
      <c r="N79" s="50" t="s">
        <v>253</v>
      </c>
      <c r="O79" s="50"/>
      <c r="P79" s="50"/>
      <c r="Q79" s="50" t="s">
        <v>362</v>
      </c>
    </row>
    <row r="80" customFormat="false" ht="15" hidden="false" customHeight="true" outlineLevel="0" collapsed="false">
      <c r="A80" s="51" t="s">
        <v>437</v>
      </c>
      <c r="B80" s="50" t="str">
        <f aca="false">IFERROR(VLOOKUP($A80,Equipos!$C$2:$M$967,2,FALSE()),"")</f>
        <v>Monitor Multiparámetros</v>
      </c>
      <c r="C80" s="50" t="str">
        <f aca="false">IFERROR(VLOOKUP($A80,Equipos!$C$2:$M$967,9,FALSE()),"")</f>
        <v>1393-109301</v>
      </c>
      <c r="D80" s="50" t="str">
        <f aca="false">IFERROR(VLOOKUP($A80,Equipos!$C$2:$M$967,3,FALSE()),"")</f>
        <v>UPC Pediátrica</v>
      </c>
      <c r="E80" s="50" t="str">
        <f aca="false">IFERROR(VLOOKUP($A80,Equipos!$C$2:$M$967,7,FALSE()),"")</f>
        <v>SPACELABS HEALTHCARE</v>
      </c>
      <c r="F80" s="50" t="str">
        <f aca="false">IFERROR(VLOOKUP($A80,Equipos!$C$2:$M$967,8,FALSE()),"")</f>
        <v>XPREZZON</v>
      </c>
      <c r="G80" s="50" t="s">
        <v>356</v>
      </c>
      <c r="H80" s="50" t="s">
        <v>360</v>
      </c>
      <c r="I80" s="50"/>
      <c r="J80" s="50" t="s">
        <v>374</v>
      </c>
      <c r="K80" s="50" t="str">
        <f aca="false">IFERROR(VLOOKUP($J80,Catálogos!$M$4:$N$17,2,FALSE()),"")</f>
        <v>Reprogramada · Ausencia justificada del funcionario SEC superior a 15 días</v>
      </c>
      <c r="L80" s="52" t="n">
        <v>46037</v>
      </c>
      <c r="M80" s="50" t="s">
        <v>353</v>
      </c>
      <c r="N80" s="50" t="s">
        <v>253</v>
      </c>
      <c r="O80" s="50"/>
      <c r="P80" s="50"/>
      <c r="Q80" s="50" t="s">
        <v>362</v>
      </c>
    </row>
    <row r="81" customFormat="false" ht="15" hidden="false" customHeight="true" outlineLevel="0" collapsed="false">
      <c r="A81" s="51" t="s">
        <v>438</v>
      </c>
      <c r="B81" s="50" t="str">
        <f aca="false">IFERROR(VLOOKUP($A81,Equipos!$C$2:$M$967,2,FALSE()),"")</f>
        <v>Monitor Multiparámetros</v>
      </c>
      <c r="C81" s="50" t="str">
        <f aca="false">IFERROR(VLOOKUP($A81,Equipos!$C$2:$M$967,9,FALSE()),"")</f>
        <v>1393-109310</v>
      </c>
      <c r="D81" s="50" t="str">
        <f aca="false">IFERROR(VLOOKUP($A81,Equipos!$C$2:$M$967,3,FALSE()),"")</f>
        <v>UPC Pediátrica</v>
      </c>
      <c r="E81" s="50" t="str">
        <f aca="false">IFERROR(VLOOKUP($A81,Equipos!$C$2:$M$967,7,FALSE()),"")</f>
        <v>SPACELABS HEALTHCARE</v>
      </c>
      <c r="F81" s="50" t="str">
        <f aca="false">IFERROR(VLOOKUP($A81,Equipos!$C$2:$M$967,8,FALSE()),"")</f>
        <v>XPREZZON</v>
      </c>
      <c r="G81" s="50" t="s">
        <v>356</v>
      </c>
      <c r="H81" s="50" t="s">
        <v>360</v>
      </c>
      <c r="I81" s="50"/>
      <c r="J81" s="50" t="s">
        <v>374</v>
      </c>
      <c r="K81" s="50" t="str">
        <f aca="false">IFERROR(VLOOKUP($J81,Catálogos!$M$4:$N$17,2,FALSE()),"")</f>
        <v>Reprogramada · Ausencia justificada del funcionario SEC superior a 15 días</v>
      </c>
      <c r="L81" s="52" t="n">
        <v>46037</v>
      </c>
      <c r="M81" s="50" t="s">
        <v>353</v>
      </c>
      <c r="N81" s="50" t="s">
        <v>253</v>
      </c>
      <c r="O81" s="50"/>
      <c r="P81" s="50"/>
      <c r="Q81" s="50" t="s">
        <v>362</v>
      </c>
    </row>
    <row r="82" customFormat="false" ht="15" hidden="false" customHeight="true" outlineLevel="0" collapsed="false">
      <c r="A82" s="51" t="s">
        <v>439</v>
      </c>
      <c r="B82" s="50" t="str">
        <f aca="false">IFERROR(VLOOKUP($A82,Equipos!$C$2:$M$967,2,FALSE()),"")</f>
        <v>Monitor Multiparámetros</v>
      </c>
      <c r="C82" s="50" t="str">
        <f aca="false">IFERROR(VLOOKUP($A82,Equipos!$C$2:$M$967,9,FALSE()),"")</f>
        <v>1393-109309</v>
      </c>
      <c r="D82" s="50" t="str">
        <f aca="false">IFERROR(VLOOKUP($A82,Equipos!$C$2:$M$967,3,FALSE()),"")</f>
        <v>UPC Pediátrica</v>
      </c>
      <c r="E82" s="50" t="str">
        <f aca="false">IFERROR(VLOOKUP($A82,Equipos!$C$2:$M$967,7,FALSE()),"")</f>
        <v>SPACELABS HEALTHCARE</v>
      </c>
      <c r="F82" s="50" t="str">
        <f aca="false">IFERROR(VLOOKUP($A82,Equipos!$C$2:$M$967,8,FALSE()),"")</f>
        <v>XPREZZON</v>
      </c>
      <c r="G82" s="50" t="s">
        <v>356</v>
      </c>
      <c r="H82" s="50" t="s">
        <v>360</v>
      </c>
      <c r="I82" s="50"/>
      <c r="J82" s="50" t="s">
        <v>374</v>
      </c>
      <c r="K82" s="50" t="str">
        <f aca="false">IFERROR(VLOOKUP($J82,Catálogos!$M$4:$N$17,2,FALSE()),"")</f>
        <v>Reprogramada · Ausencia justificada del funcionario SEC superior a 15 días</v>
      </c>
      <c r="L82" s="52" t="n">
        <v>46037</v>
      </c>
      <c r="M82" s="50" t="s">
        <v>353</v>
      </c>
      <c r="N82" s="50" t="s">
        <v>253</v>
      </c>
      <c r="O82" s="50"/>
      <c r="P82" s="50"/>
      <c r="Q82" s="50" t="s">
        <v>362</v>
      </c>
    </row>
    <row r="83" customFormat="false" ht="15" hidden="false" customHeight="true" outlineLevel="0" collapsed="false">
      <c r="A83" s="51" t="s">
        <v>440</v>
      </c>
      <c r="B83" s="50" t="str">
        <f aca="false">IFERROR(VLOOKUP($A83,Equipos!$C$2:$M$967,2,FALSE()),"")</f>
        <v>Monitor Multiparámetros</v>
      </c>
      <c r="C83" s="50" t="str">
        <f aca="false">IFERROR(VLOOKUP($A83,Equipos!$C$2:$M$967,9,FALSE()),"")</f>
        <v>1030</v>
      </c>
      <c r="D83" s="50" t="str">
        <f aca="false">IFERROR(VLOOKUP($A83,Equipos!$C$2:$M$967,3,FALSE()),"")</f>
        <v>Cirugía Infantil</v>
      </c>
      <c r="E83" s="50" t="str">
        <f aca="false">IFERROR(VLOOKUP($A83,Equipos!$C$2:$M$967,7,FALSE()),"")</f>
        <v>Nihon Kohden </v>
      </c>
      <c r="F83" s="50" t="str">
        <f aca="false">IFERROR(VLOOKUP($A83,Equipos!$C$2:$M$967,8,FALSE()),"")</f>
        <v>BSM-6301K</v>
      </c>
      <c r="G83" s="50" t="s">
        <v>356</v>
      </c>
      <c r="H83" s="50" t="s">
        <v>360</v>
      </c>
      <c r="I83" s="50"/>
      <c r="J83" s="50" t="s">
        <v>364</v>
      </c>
      <c r="K83" s="50" t="str">
        <f aca="false">IFERROR(VLOOKUP($J83,Catálogos!$M$4:$N$17,2,FALSE()),"")</f>
        <v>Reprogramada · No disponibilidad de horas hombre del funcionario SEC por alta carga laboral</v>
      </c>
      <c r="L83" s="52" t="n">
        <v>46037</v>
      </c>
      <c r="M83" s="50" t="s">
        <v>353</v>
      </c>
      <c r="N83" s="50" t="s">
        <v>253</v>
      </c>
      <c r="O83" s="50"/>
      <c r="P83" s="50"/>
      <c r="Q83" s="50" t="s">
        <v>362</v>
      </c>
    </row>
    <row r="84" customFormat="false" ht="15" hidden="false" customHeight="true" outlineLevel="0" collapsed="false">
      <c r="A84" s="51" t="s">
        <v>441</v>
      </c>
      <c r="B84" s="50" t="str">
        <f aca="false">IFERROR(VLOOKUP($A84,Equipos!$C$2:$M$967,2,FALSE()),"")</f>
        <v>Monitor Multiparámetros</v>
      </c>
      <c r="C84" s="50" t="str">
        <f aca="false">IFERROR(VLOOKUP($A84,Equipos!$C$2:$M$967,9,FALSE()),"")</f>
        <v>212726126</v>
      </c>
      <c r="D84" s="50" t="str">
        <f aca="false">IFERROR(VLOOKUP($A84,Equipos!$C$2:$M$967,3,FALSE()),"")</f>
        <v>Pediatría</v>
      </c>
      <c r="E84" s="50" t="str">
        <f aca="false">IFERROR(VLOOKUP($A84,Equipos!$C$2:$M$967,7,FALSE()),"")</f>
        <v>Criticare </v>
      </c>
      <c r="F84" s="50" t="str">
        <f aca="false">IFERROR(VLOOKUP($A84,Equipos!$C$2:$M$967,8,FALSE()),"")</f>
        <v>8100E-S</v>
      </c>
      <c r="G84" s="50" t="s">
        <v>356</v>
      </c>
      <c r="H84" s="50" t="s">
        <v>360</v>
      </c>
      <c r="I84" s="50"/>
      <c r="J84" s="50" t="s">
        <v>364</v>
      </c>
      <c r="K84" s="50" t="str">
        <f aca="false">IFERROR(VLOOKUP($J84,Catálogos!$M$4:$N$17,2,FALSE()),"")</f>
        <v>Reprogramada · No disponibilidad de horas hombre del funcionario SEC por alta carga laboral</v>
      </c>
      <c r="L84" s="52" t="n">
        <v>46037</v>
      </c>
      <c r="M84" s="50" t="s">
        <v>353</v>
      </c>
      <c r="N84" s="50" t="s">
        <v>253</v>
      </c>
      <c r="O84" s="50"/>
      <c r="P84" s="50"/>
      <c r="Q84" s="50" t="s">
        <v>362</v>
      </c>
    </row>
    <row r="85" customFormat="false" ht="15" hidden="false" customHeight="true" outlineLevel="0" collapsed="false">
      <c r="A85" s="51" t="s">
        <v>442</v>
      </c>
      <c r="B85" s="50" t="str">
        <f aca="false">IFERROR(VLOOKUP($A85,Equipos!$C$2:$M$967,2,FALSE()),"")</f>
        <v>Monitor Multiparámetros</v>
      </c>
      <c r="C85" s="50" t="str">
        <f aca="false">IFERROR(VLOOKUP($A85,Equipos!$C$2:$M$967,9,FALSE()),"")</f>
        <v>1062</v>
      </c>
      <c r="D85" s="50" t="str">
        <f aca="false">IFERROR(VLOOKUP($A85,Equipos!$C$2:$M$967,3,FALSE()),"")</f>
        <v>Pediatría</v>
      </c>
      <c r="E85" s="50" t="str">
        <f aca="false">IFERROR(VLOOKUP($A85,Equipos!$C$2:$M$967,7,FALSE()),"")</f>
        <v>Nihon Kohden </v>
      </c>
      <c r="F85" s="50" t="str">
        <f aca="false">IFERROR(VLOOKUP($A85,Equipos!$C$2:$M$967,8,FALSE()),"")</f>
        <v>BSM-6301K</v>
      </c>
      <c r="G85" s="50" t="s">
        <v>356</v>
      </c>
      <c r="H85" s="50" t="s">
        <v>360</v>
      </c>
      <c r="I85" s="50"/>
      <c r="J85" s="50" t="s">
        <v>364</v>
      </c>
      <c r="K85" s="50" t="str">
        <f aca="false">IFERROR(VLOOKUP($J85,Catálogos!$M$4:$N$17,2,FALSE()),"")</f>
        <v>Reprogramada · No disponibilidad de horas hombre del funcionario SEC por alta carga laboral</v>
      </c>
      <c r="L85" s="52" t="n">
        <v>46037</v>
      </c>
      <c r="M85" s="50" t="s">
        <v>353</v>
      </c>
      <c r="N85" s="50" t="s">
        <v>253</v>
      </c>
      <c r="O85" s="50"/>
      <c r="P85" s="50"/>
      <c r="Q85" s="50" t="s">
        <v>362</v>
      </c>
    </row>
    <row r="86" customFormat="false" ht="15" hidden="false" customHeight="true" outlineLevel="0" collapsed="false">
      <c r="A86" s="51" t="s">
        <v>443</v>
      </c>
      <c r="B86" s="50" t="str">
        <f aca="false">IFERROR(VLOOKUP($A86,Equipos!$C$2:$M$967,2,FALSE()),"")</f>
        <v>Monitor Multiparámetros</v>
      </c>
      <c r="C86" s="50" t="str">
        <f aca="false">IFERROR(VLOOKUP($A86,Equipos!$C$2:$M$967,9,FALSE()),"")</f>
        <v>212726134</v>
      </c>
      <c r="D86" s="50" t="str">
        <f aca="false">IFERROR(VLOOKUP($A86,Equipos!$C$2:$M$967,3,FALSE()),"")</f>
        <v>Pediatría</v>
      </c>
      <c r="E86" s="50" t="str">
        <f aca="false">IFERROR(VLOOKUP($A86,Equipos!$C$2:$M$967,7,FALSE()),"")</f>
        <v>Criticare </v>
      </c>
      <c r="F86" s="50" t="str">
        <f aca="false">IFERROR(VLOOKUP($A86,Equipos!$C$2:$M$967,8,FALSE()),"")</f>
        <v>8100E-S</v>
      </c>
      <c r="G86" s="50" t="s">
        <v>356</v>
      </c>
      <c r="H86" s="50" t="s">
        <v>360</v>
      </c>
      <c r="I86" s="50"/>
      <c r="J86" s="50" t="s">
        <v>364</v>
      </c>
      <c r="K86" s="50" t="str">
        <f aca="false">IFERROR(VLOOKUP($J86,Catálogos!$M$4:$N$17,2,FALSE()),"")</f>
        <v>Reprogramada · No disponibilidad de horas hombre del funcionario SEC por alta carga laboral</v>
      </c>
      <c r="L86" s="52" t="n">
        <v>46037</v>
      </c>
      <c r="M86" s="50" t="s">
        <v>353</v>
      </c>
      <c r="N86" s="50" t="s">
        <v>253</v>
      </c>
      <c r="O86" s="50"/>
      <c r="P86" s="50"/>
      <c r="Q86" s="50" t="s">
        <v>362</v>
      </c>
    </row>
    <row r="87" customFormat="false" ht="15" hidden="false" customHeight="true" outlineLevel="0" collapsed="false">
      <c r="A87" s="51" t="s">
        <v>444</v>
      </c>
      <c r="B87" s="50" t="str">
        <f aca="false">IFERROR(VLOOKUP($A87,Equipos!$C$2:$M$967,2,FALSE()),"")</f>
        <v>Monitor Multiparámetros</v>
      </c>
      <c r="C87" s="50" t="str">
        <f aca="false">IFERROR(VLOOKUP($A87,Equipos!$C$2:$M$967,9,FALSE()),"")</f>
        <v>212726139</v>
      </c>
      <c r="D87" s="50" t="str">
        <f aca="false">IFERROR(VLOOKUP($A87,Equipos!$C$2:$M$967,3,FALSE()),"")</f>
        <v>Pediatría</v>
      </c>
      <c r="E87" s="50" t="str">
        <f aca="false">IFERROR(VLOOKUP($A87,Equipos!$C$2:$M$967,7,FALSE()),"")</f>
        <v>Criticare </v>
      </c>
      <c r="F87" s="50" t="str">
        <f aca="false">IFERROR(VLOOKUP($A87,Equipos!$C$2:$M$967,8,FALSE()),"")</f>
        <v>8100E-S</v>
      </c>
      <c r="G87" s="50" t="s">
        <v>356</v>
      </c>
      <c r="H87" s="50" t="s">
        <v>360</v>
      </c>
      <c r="I87" s="50"/>
      <c r="J87" s="50" t="s">
        <v>364</v>
      </c>
      <c r="K87" s="50" t="str">
        <f aca="false">IFERROR(VLOOKUP($J87,Catálogos!$M$4:$N$17,2,FALSE()),"")</f>
        <v>Reprogramada · No disponibilidad de horas hombre del funcionario SEC por alta carga laboral</v>
      </c>
      <c r="L87" s="52" t="n">
        <v>46037</v>
      </c>
      <c r="M87" s="50" t="s">
        <v>353</v>
      </c>
      <c r="N87" s="50" t="s">
        <v>253</v>
      </c>
      <c r="O87" s="50"/>
      <c r="P87" s="50"/>
      <c r="Q87" s="50" t="s">
        <v>362</v>
      </c>
    </row>
    <row r="88" customFormat="false" ht="15" hidden="false" customHeight="true" outlineLevel="0" collapsed="false">
      <c r="A88" s="51" t="s">
        <v>445</v>
      </c>
      <c r="B88" s="50" t="str">
        <f aca="false">IFERROR(VLOOKUP($A88,Equipos!$C$2:$M$967,2,FALSE()),"")</f>
        <v>Monitor Multiparámetros</v>
      </c>
      <c r="C88" s="50" t="str">
        <f aca="false">IFERROR(VLOOKUP($A88,Equipos!$C$2:$M$967,9,FALSE()),"")</f>
        <v>1393-109300</v>
      </c>
      <c r="D88" s="50" t="str">
        <f aca="false">IFERROR(VLOOKUP($A88,Equipos!$C$2:$M$967,3,FALSE()),"")</f>
        <v>UPC Pediátrica</v>
      </c>
      <c r="E88" s="50" t="str">
        <f aca="false">IFERROR(VLOOKUP($A88,Equipos!$C$2:$M$967,7,FALSE()),"")</f>
        <v>SPACELABS HEALTHCARE</v>
      </c>
      <c r="F88" s="50" t="str">
        <f aca="false">IFERROR(VLOOKUP($A88,Equipos!$C$2:$M$967,8,FALSE()),"")</f>
        <v>XPREZZON</v>
      </c>
      <c r="G88" s="50" t="s">
        <v>356</v>
      </c>
      <c r="H88" s="50" t="s">
        <v>360</v>
      </c>
      <c r="I88" s="50"/>
      <c r="J88" s="50" t="s">
        <v>374</v>
      </c>
      <c r="K88" s="50" t="str">
        <f aca="false">IFERROR(VLOOKUP($J88,Catálogos!$M$4:$N$17,2,FALSE()),"")</f>
        <v>Reprogramada · Ausencia justificada del funcionario SEC superior a 15 días</v>
      </c>
      <c r="L88" s="52" t="n">
        <v>46037</v>
      </c>
      <c r="M88" s="50" t="s">
        <v>353</v>
      </c>
      <c r="N88" s="50" t="s">
        <v>253</v>
      </c>
      <c r="O88" s="50"/>
      <c r="P88" s="50"/>
      <c r="Q88" s="50" t="s">
        <v>362</v>
      </c>
    </row>
    <row r="89" customFormat="false" ht="15" hidden="false" customHeight="true" outlineLevel="0" collapsed="false">
      <c r="A89" s="51" t="s">
        <v>446</v>
      </c>
      <c r="B89" s="50" t="str">
        <f aca="false">IFERROR(VLOOKUP($A89,Equipos!$C$2:$M$967,2,FALSE()),"")</f>
        <v>Monitor Multiparámetros</v>
      </c>
      <c r="C89" s="50" t="str">
        <f aca="false">IFERROR(VLOOKUP($A89,Equipos!$C$2:$M$967,9,FALSE()),"")</f>
        <v>100640</v>
      </c>
      <c r="D89" s="50" t="str">
        <f aca="false">IFERROR(VLOOKUP($A89,Equipos!$C$2:$M$967,3,FALSE()),"")</f>
        <v>Pediatría</v>
      </c>
      <c r="E89" s="50" t="str">
        <f aca="false">IFERROR(VLOOKUP($A89,Equipos!$C$2:$M$967,7,FALSE()),"")</f>
        <v>Nihon Kohden </v>
      </c>
      <c r="F89" s="50" t="str">
        <f aca="false">IFERROR(VLOOKUP($A89,Equipos!$C$2:$M$967,8,FALSE()),"")</f>
        <v>PVM-2701K</v>
      </c>
      <c r="G89" s="50" t="s">
        <v>356</v>
      </c>
      <c r="H89" s="50" t="s">
        <v>360</v>
      </c>
      <c r="I89" s="50"/>
      <c r="J89" s="50" t="s">
        <v>364</v>
      </c>
      <c r="K89" s="50" t="str">
        <f aca="false">IFERROR(VLOOKUP($J89,Catálogos!$M$4:$N$17,2,FALSE()),"")</f>
        <v>Reprogramada · No disponibilidad de horas hombre del funcionario SEC por alta carga laboral</v>
      </c>
      <c r="L89" s="52" t="n">
        <v>46037</v>
      </c>
      <c r="M89" s="50" t="s">
        <v>353</v>
      </c>
      <c r="N89" s="50" t="s">
        <v>253</v>
      </c>
      <c r="O89" s="50"/>
      <c r="P89" s="50"/>
      <c r="Q89" s="50" t="s">
        <v>362</v>
      </c>
    </row>
    <row r="90" customFormat="false" ht="15" hidden="false" customHeight="true" outlineLevel="0" collapsed="false">
      <c r="A90" s="51" t="s">
        <v>447</v>
      </c>
      <c r="B90" s="50" t="str">
        <f aca="false">IFERROR(VLOOKUP($A90,Equipos!$C$2:$M$967,2,FALSE()),"")</f>
        <v>Monitor Multiparámetros</v>
      </c>
      <c r="C90" s="50" t="str">
        <f aca="false">IFERROR(VLOOKUP($A90,Equipos!$C$2:$M$967,9,FALSE()),"")</f>
        <v>100649</v>
      </c>
      <c r="D90" s="50" t="str">
        <f aca="false">IFERROR(VLOOKUP($A90,Equipos!$C$2:$M$967,3,FALSE()),"")</f>
        <v>Pediatría</v>
      </c>
      <c r="E90" s="50" t="str">
        <f aca="false">IFERROR(VLOOKUP($A90,Equipos!$C$2:$M$967,7,FALSE()),"")</f>
        <v>Nihon Kohden </v>
      </c>
      <c r="F90" s="50" t="str">
        <f aca="false">IFERROR(VLOOKUP($A90,Equipos!$C$2:$M$967,8,FALSE()),"")</f>
        <v>PVM-2701K</v>
      </c>
      <c r="G90" s="50" t="s">
        <v>356</v>
      </c>
      <c r="H90" s="50" t="s">
        <v>360</v>
      </c>
      <c r="I90" s="50"/>
      <c r="J90" s="50" t="s">
        <v>364</v>
      </c>
      <c r="K90" s="50" t="str">
        <f aca="false">IFERROR(VLOOKUP($J90,Catálogos!$M$4:$N$17,2,FALSE()),"")</f>
        <v>Reprogramada · No disponibilidad de horas hombre del funcionario SEC por alta carga laboral</v>
      </c>
      <c r="L90" s="52" t="n">
        <v>46037</v>
      </c>
      <c r="M90" s="50" t="s">
        <v>353</v>
      </c>
      <c r="N90" s="50" t="s">
        <v>253</v>
      </c>
      <c r="O90" s="50"/>
      <c r="P90" s="50"/>
      <c r="Q90" s="50" t="s">
        <v>362</v>
      </c>
    </row>
    <row r="91" customFormat="false" ht="15" hidden="false" customHeight="true" outlineLevel="0" collapsed="false">
      <c r="A91" s="51" t="s">
        <v>448</v>
      </c>
      <c r="B91" s="50" t="str">
        <f aca="false">IFERROR(VLOOKUP($A91,Equipos!$C$2:$M$967,2,FALSE()),"")</f>
        <v>Monitor Multiparámetros</v>
      </c>
      <c r="C91" s="50" t="str">
        <f aca="false">IFERROR(VLOOKUP($A91,Equipos!$C$2:$M$967,9,FALSE()),"")</f>
        <v>5516414472</v>
      </c>
      <c r="D91" s="50" t="str">
        <f aca="false">IFERROR(VLOOKUP($A91,Equipos!$C$2:$M$967,3,FALSE()),"")</f>
        <v>Pediatría</v>
      </c>
      <c r="E91" s="50" t="str">
        <f aca="false">IFERROR(VLOOKUP($A91,Equipos!$C$2:$M$967,7,FALSE()),"")</f>
        <v>Drager </v>
      </c>
      <c r="F91" s="50" t="str">
        <f aca="false">IFERROR(VLOOKUP($A91,Equipos!$C$2:$M$967,8,FALSE()),"")</f>
        <v>Infinity Vista </v>
      </c>
      <c r="G91" s="50" t="s">
        <v>356</v>
      </c>
      <c r="H91" s="50" t="s">
        <v>360</v>
      </c>
      <c r="I91" s="50"/>
      <c r="J91" s="50" t="s">
        <v>364</v>
      </c>
      <c r="K91" s="50" t="str">
        <f aca="false">IFERROR(VLOOKUP($J91,Catálogos!$M$4:$N$17,2,FALSE()),"")</f>
        <v>Reprogramada · No disponibilidad de horas hombre del funcionario SEC por alta carga laboral</v>
      </c>
      <c r="L91" s="52" t="n">
        <v>46037</v>
      </c>
      <c r="M91" s="50" t="s">
        <v>353</v>
      </c>
      <c r="N91" s="50" t="s">
        <v>253</v>
      </c>
      <c r="O91" s="50"/>
      <c r="P91" s="50"/>
      <c r="Q91" s="50" t="s">
        <v>362</v>
      </c>
    </row>
    <row r="92" customFormat="false" ht="15" hidden="false" customHeight="true" outlineLevel="0" collapsed="false">
      <c r="A92" s="51" t="s">
        <v>449</v>
      </c>
      <c r="B92" s="50" t="str">
        <f aca="false">IFERROR(VLOOKUP($A92,Equipos!$C$2:$M$967,2,FALSE()),"")</f>
        <v>Monitor Multiparámetros</v>
      </c>
      <c r="C92" s="50" t="str">
        <f aca="false">IFERROR(VLOOKUP($A92,Equipos!$C$2:$M$967,9,FALSE()),"")</f>
        <v>1037</v>
      </c>
      <c r="D92" s="50" t="str">
        <f aca="false">IFERROR(VLOOKUP($A92,Equipos!$C$2:$M$967,3,FALSE()),"")</f>
        <v>Neonatología</v>
      </c>
      <c r="E92" s="50" t="str">
        <f aca="false">IFERROR(VLOOKUP($A92,Equipos!$C$2:$M$967,7,FALSE()),"")</f>
        <v>Nihon Kohden </v>
      </c>
      <c r="F92" s="50" t="str">
        <f aca="false">IFERROR(VLOOKUP($A92,Equipos!$C$2:$M$967,8,FALSE()),"")</f>
        <v>BSM-6301K</v>
      </c>
      <c r="G92" s="50" t="s">
        <v>356</v>
      </c>
      <c r="H92" s="50" t="s">
        <v>360</v>
      </c>
      <c r="I92" s="50"/>
      <c r="J92" s="50" t="s">
        <v>364</v>
      </c>
      <c r="K92" s="50" t="str">
        <f aca="false">IFERROR(VLOOKUP($J92,Catálogos!$M$4:$N$17,2,FALSE()),"")</f>
        <v>Reprogramada · No disponibilidad de horas hombre del funcionario SEC por alta carga laboral</v>
      </c>
      <c r="L92" s="52" t="n">
        <v>46037</v>
      </c>
      <c r="M92" s="50" t="s">
        <v>353</v>
      </c>
      <c r="N92" s="50" t="s">
        <v>253</v>
      </c>
      <c r="O92" s="50"/>
      <c r="P92" s="50"/>
      <c r="Q92" s="50" t="s">
        <v>362</v>
      </c>
    </row>
    <row r="93" customFormat="false" ht="15" hidden="false" customHeight="true" outlineLevel="0" collapsed="false">
      <c r="A93" s="51" t="s">
        <v>450</v>
      </c>
      <c r="B93" s="50" t="str">
        <f aca="false">IFERROR(VLOOKUP($A93,Equipos!$C$2:$M$967,2,FALSE()),"")</f>
        <v>Monitor Multiparámetros</v>
      </c>
      <c r="C93" s="50" t="str">
        <f aca="false">IFERROR(VLOOKUP($A93,Equipos!$C$2:$M$967,9,FALSE()),"")</f>
        <v>5514422672</v>
      </c>
      <c r="D93" s="50" t="str">
        <f aca="false">IFERROR(VLOOKUP($A93,Equipos!$C$2:$M$967,3,FALSE()),"")</f>
        <v>Pediatría</v>
      </c>
      <c r="E93" s="50" t="str">
        <f aca="false">IFERROR(VLOOKUP($A93,Equipos!$C$2:$M$967,7,FALSE()),"")</f>
        <v>Drager </v>
      </c>
      <c r="F93" s="50" t="str">
        <f aca="false">IFERROR(VLOOKUP($A93,Equipos!$C$2:$M$967,8,FALSE()),"")</f>
        <v>Infinity Vista </v>
      </c>
      <c r="G93" s="50" t="s">
        <v>356</v>
      </c>
      <c r="H93" s="50" t="s">
        <v>360</v>
      </c>
      <c r="I93" s="50"/>
      <c r="J93" s="50" t="s">
        <v>364</v>
      </c>
      <c r="K93" s="50" t="str">
        <f aca="false">IFERROR(VLOOKUP($J93,Catálogos!$M$4:$N$17,2,FALSE()),"")</f>
        <v>Reprogramada · No disponibilidad de horas hombre del funcionario SEC por alta carga laboral</v>
      </c>
      <c r="L93" s="52" t="n">
        <v>46037</v>
      </c>
      <c r="M93" s="50" t="s">
        <v>353</v>
      </c>
      <c r="N93" s="50" t="s">
        <v>253</v>
      </c>
      <c r="O93" s="50"/>
      <c r="P93" s="50"/>
      <c r="Q93" s="50" t="s">
        <v>362</v>
      </c>
    </row>
    <row r="94" customFormat="false" ht="15" hidden="false" customHeight="true" outlineLevel="0" collapsed="false">
      <c r="A94" s="51" t="s">
        <v>451</v>
      </c>
      <c r="B94" s="50" t="str">
        <f aca="false">IFERROR(VLOOKUP($A94,Equipos!$C$2:$M$967,2,FALSE()),"")</f>
        <v>Monitor Multiparámetros</v>
      </c>
      <c r="C94" s="50" t="str">
        <f aca="false">IFERROR(VLOOKUP($A94,Equipos!$C$2:$M$967,9,FALSE()),"")</f>
        <v>100657</v>
      </c>
      <c r="D94" s="50" t="str">
        <f aca="false">IFERROR(VLOOKUP($A94,Equipos!$C$2:$M$967,3,FALSE()),"")</f>
        <v>Neonatología</v>
      </c>
      <c r="E94" s="50" t="str">
        <f aca="false">IFERROR(VLOOKUP($A94,Equipos!$C$2:$M$967,7,FALSE()),"")</f>
        <v>Nihon Kohden </v>
      </c>
      <c r="F94" s="50" t="str">
        <f aca="false">IFERROR(VLOOKUP($A94,Equipos!$C$2:$M$967,8,FALSE()),"")</f>
        <v>PVM-2701K</v>
      </c>
      <c r="G94" s="50" t="s">
        <v>356</v>
      </c>
      <c r="H94" s="50" t="s">
        <v>360</v>
      </c>
      <c r="I94" s="50"/>
      <c r="J94" s="50" t="s">
        <v>364</v>
      </c>
      <c r="K94" s="50" t="str">
        <f aca="false">IFERROR(VLOOKUP($J94,Catálogos!$M$4:$N$17,2,FALSE()),"")</f>
        <v>Reprogramada · No disponibilidad de horas hombre del funcionario SEC por alta carga laboral</v>
      </c>
      <c r="L94" s="52" t="n">
        <v>46037</v>
      </c>
      <c r="M94" s="50" t="s">
        <v>353</v>
      </c>
      <c r="N94" s="50" t="s">
        <v>253</v>
      </c>
      <c r="O94" s="50"/>
      <c r="P94" s="50"/>
      <c r="Q94" s="50" t="s">
        <v>362</v>
      </c>
    </row>
    <row r="95" customFormat="false" ht="15" hidden="false" customHeight="true" outlineLevel="0" collapsed="false">
      <c r="A95" s="51" t="s">
        <v>452</v>
      </c>
      <c r="B95" s="50" t="str">
        <f aca="false">IFERROR(VLOOKUP($A95,Equipos!$C$2:$M$967,2,FALSE()),"")</f>
        <v>Monitor Multiparámetros</v>
      </c>
      <c r="C95" s="50" t="str">
        <f aca="false">IFERROR(VLOOKUP($A95,Equipos!$C$2:$M$967,9,FALSE()),"")</f>
        <v>1051</v>
      </c>
      <c r="D95" s="50" t="str">
        <f aca="false">IFERROR(VLOOKUP($A95,Equipos!$C$2:$M$967,3,FALSE()),"")</f>
        <v>Neonatología</v>
      </c>
      <c r="E95" s="50" t="str">
        <f aca="false">IFERROR(VLOOKUP($A95,Equipos!$C$2:$M$967,7,FALSE()),"")</f>
        <v>Nihon Kohden </v>
      </c>
      <c r="F95" s="50" t="str">
        <f aca="false">IFERROR(VLOOKUP($A95,Equipos!$C$2:$M$967,8,FALSE()),"")</f>
        <v>BSM-6301K</v>
      </c>
      <c r="G95" s="50" t="s">
        <v>356</v>
      </c>
      <c r="H95" s="50" t="s">
        <v>360</v>
      </c>
      <c r="I95" s="50"/>
      <c r="J95" s="50" t="s">
        <v>364</v>
      </c>
      <c r="K95" s="50" t="str">
        <f aca="false">IFERROR(VLOOKUP($J95,Catálogos!$M$4:$N$17,2,FALSE()),"")</f>
        <v>Reprogramada · No disponibilidad de horas hombre del funcionario SEC por alta carga laboral</v>
      </c>
      <c r="L95" s="52" t="n">
        <v>46037</v>
      </c>
      <c r="M95" s="50" t="s">
        <v>353</v>
      </c>
      <c r="N95" s="50" t="s">
        <v>253</v>
      </c>
      <c r="O95" s="50"/>
      <c r="P95" s="50"/>
      <c r="Q95" s="50" t="s">
        <v>362</v>
      </c>
    </row>
    <row r="96" customFormat="false" ht="15" hidden="false" customHeight="true" outlineLevel="0" collapsed="false">
      <c r="A96" s="51" t="s">
        <v>453</v>
      </c>
      <c r="B96" s="50" t="str">
        <f aca="false">IFERROR(VLOOKUP($A96,Equipos!$C$2:$M$967,2,FALSE()),"")</f>
        <v>Monitor Multiparámetros</v>
      </c>
      <c r="C96" s="50" t="str">
        <f aca="false">IFERROR(VLOOKUP($A96,Equipos!$C$2:$M$967,9,FALSE()),"")</f>
        <v>5516412278</v>
      </c>
      <c r="D96" s="50" t="str">
        <f aca="false">IFERROR(VLOOKUP($A96,Equipos!$C$2:$M$967,3,FALSE()),"")</f>
        <v>Pediatría</v>
      </c>
      <c r="E96" s="50" t="str">
        <f aca="false">IFERROR(VLOOKUP($A96,Equipos!$C$2:$M$967,7,FALSE()),"")</f>
        <v>Drager </v>
      </c>
      <c r="F96" s="50" t="str">
        <f aca="false">IFERROR(VLOOKUP($A96,Equipos!$C$2:$M$967,8,FALSE()),"")</f>
        <v>Infinity Vista </v>
      </c>
      <c r="G96" s="50" t="s">
        <v>356</v>
      </c>
      <c r="H96" s="50" t="s">
        <v>360</v>
      </c>
      <c r="I96" s="50"/>
      <c r="J96" s="50" t="s">
        <v>364</v>
      </c>
      <c r="K96" s="50" t="str">
        <f aca="false">IFERROR(VLOOKUP($J96,Catálogos!$M$4:$N$17,2,FALSE()),"")</f>
        <v>Reprogramada · No disponibilidad de horas hombre del funcionario SEC por alta carga laboral</v>
      </c>
      <c r="L96" s="52" t="n">
        <v>46037</v>
      </c>
      <c r="M96" s="50" t="s">
        <v>353</v>
      </c>
      <c r="N96" s="50" t="s">
        <v>253</v>
      </c>
      <c r="O96" s="50"/>
      <c r="P96" s="50"/>
      <c r="Q96" s="50" t="s">
        <v>362</v>
      </c>
    </row>
    <row r="97" customFormat="false" ht="15" hidden="false" customHeight="true" outlineLevel="0" collapsed="false">
      <c r="A97" s="51" t="s">
        <v>454</v>
      </c>
      <c r="B97" s="50" t="str">
        <f aca="false">IFERROR(VLOOKUP($A97,Equipos!$C$2:$M$967,2,FALSE()),"")</f>
        <v>Monitor Multiparámetros</v>
      </c>
      <c r="C97" s="50" t="str">
        <f aca="false">IFERROR(VLOOKUP($A97,Equipos!$C$2:$M$967,9,FALSE()),"")</f>
        <v>5516412180</v>
      </c>
      <c r="D97" s="50" t="str">
        <f aca="false">IFERROR(VLOOKUP($A97,Equipos!$C$2:$M$967,3,FALSE()),"")</f>
        <v>UPC Pediátrica</v>
      </c>
      <c r="E97" s="50" t="str">
        <f aca="false">IFERROR(VLOOKUP($A97,Equipos!$C$2:$M$967,7,FALSE()),"")</f>
        <v>Drager </v>
      </c>
      <c r="F97" s="50" t="str">
        <f aca="false">IFERROR(VLOOKUP($A97,Equipos!$C$2:$M$967,8,FALSE()),"")</f>
        <v>Infinity Vista </v>
      </c>
      <c r="G97" s="50" t="s">
        <v>356</v>
      </c>
      <c r="H97" s="50" t="s">
        <v>360</v>
      </c>
      <c r="I97" s="50"/>
      <c r="J97" s="50" t="s">
        <v>374</v>
      </c>
      <c r="K97" s="50" t="str">
        <f aca="false">IFERROR(VLOOKUP($J97,Catálogos!$M$4:$N$17,2,FALSE()),"")</f>
        <v>Reprogramada · Ausencia justificada del funcionario SEC superior a 15 días</v>
      </c>
      <c r="L97" s="52" t="n">
        <v>46037</v>
      </c>
      <c r="M97" s="50" t="s">
        <v>353</v>
      </c>
      <c r="N97" s="50" t="s">
        <v>253</v>
      </c>
      <c r="O97" s="50"/>
      <c r="P97" s="50"/>
      <c r="Q97" s="50" t="s">
        <v>362</v>
      </c>
    </row>
    <row r="98" customFormat="false" ht="15" hidden="false" customHeight="true" outlineLevel="0" collapsed="false">
      <c r="A98" s="51" t="s">
        <v>455</v>
      </c>
      <c r="B98" s="50" t="str">
        <f aca="false">IFERROR(VLOOKUP($A98,Equipos!$C$2:$M$967,2,FALSE()),"")</f>
        <v>Monitor Multiparámetros</v>
      </c>
      <c r="C98" s="50" t="str">
        <f aca="false">IFERROR(VLOOKUP($A98,Equipos!$C$2:$M$967,9,FALSE()),"")</f>
        <v>1071</v>
      </c>
      <c r="D98" s="50" t="str">
        <f aca="false">IFERROR(VLOOKUP($A98,Equipos!$C$2:$M$967,3,FALSE()),"")</f>
        <v>Neonatología</v>
      </c>
      <c r="E98" s="50" t="str">
        <f aca="false">IFERROR(VLOOKUP($A98,Equipos!$C$2:$M$967,7,FALSE()),"")</f>
        <v>Nihon Kohden </v>
      </c>
      <c r="F98" s="50" t="str">
        <f aca="false">IFERROR(VLOOKUP($A98,Equipos!$C$2:$M$967,8,FALSE()),"")</f>
        <v>BSM-6301K</v>
      </c>
      <c r="G98" s="50" t="s">
        <v>356</v>
      </c>
      <c r="H98" s="50" t="s">
        <v>360</v>
      </c>
      <c r="I98" s="50"/>
      <c r="J98" s="50" t="s">
        <v>364</v>
      </c>
      <c r="K98" s="50" t="str">
        <f aca="false">IFERROR(VLOOKUP($J98,Catálogos!$M$4:$N$17,2,FALSE()),"")</f>
        <v>Reprogramada · No disponibilidad de horas hombre del funcionario SEC por alta carga laboral</v>
      </c>
      <c r="L98" s="52" t="n">
        <v>46037</v>
      </c>
      <c r="M98" s="50" t="s">
        <v>353</v>
      </c>
      <c r="N98" s="50" t="s">
        <v>253</v>
      </c>
      <c r="O98" s="50"/>
      <c r="P98" s="50"/>
      <c r="Q98" s="50" t="s">
        <v>362</v>
      </c>
    </row>
    <row r="99" customFormat="false" ht="15" hidden="false" customHeight="true" outlineLevel="0" collapsed="false">
      <c r="A99" s="51" t="s">
        <v>456</v>
      </c>
      <c r="B99" s="50" t="str">
        <f aca="false">IFERROR(VLOOKUP($A99,Equipos!$C$2:$M$967,2,FALSE()),"")</f>
        <v>Monitor Multiparámetros</v>
      </c>
      <c r="C99" s="50" t="str">
        <f aca="false">IFERROR(VLOOKUP($A99,Equipos!$C$2:$M$967,9,FALSE()),"")</f>
        <v>1044</v>
      </c>
      <c r="D99" s="50" t="str">
        <f aca="false">IFERROR(VLOOKUP($A99,Equipos!$C$2:$M$967,3,FALSE()),"")</f>
        <v>Neonatología</v>
      </c>
      <c r="E99" s="50" t="str">
        <f aca="false">IFERROR(VLOOKUP($A99,Equipos!$C$2:$M$967,7,FALSE()),"")</f>
        <v>Nihon Kohden </v>
      </c>
      <c r="F99" s="50" t="str">
        <f aca="false">IFERROR(VLOOKUP($A99,Equipos!$C$2:$M$967,8,FALSE()),"")</f>
        <v>BSM-6301K</v>
      </c>
      <c r="G99" s="50" t="s">
        <v>356</v>
      </c>
      <c r="H99" s="50" t="s">
        <v>360</v>
      </c>
      <c r="I99" s="50"/>
      <c r="J99" s="50" t="s">
        <v>364</v>
      </c>
      <c r="K99" s="50" t="str">
        <f aca="false">IFERROR(VLOOKUP($J99,Catálogos!$M$4:$N$17,2,FALSE()),"")</f>
        <v>Reprogramada · No disponibilidad de horas hombre del funcionario SEC por alta carga laboral</v>
      </c>
      <c r="L99" s="52" t="n">
        <v>46037</v>
      </c>
      <c r="M99" s="50" t="s">
        <v>353</v>
      </c>
      <c r="N99" s="50" t="s">
        <v>253</v>
      </c>
      <c r="O99" s="50"/>
      <c r="P99" s="50"/>
      <c r="Q99" s="50" t="s">
        <v>362</v>
      </c>
    </row>
    <row r="100" customFormat="false" ht="15" hidden="false" customHeight="true" outlineLevel="0" collapsed="false">
      <c r="A100" s="51" t="s">
        <v>457</v>
      </c>
      <c r="B100" s="50" t="str">
        <f aca="false">IFERROR(VLOOKUP($A100,Equipos!$C$2:$M$967,2,FALSE()),"")</f>
        <v>Monitor Multiparámetros</v>
      </c>
      <c r="C100" s="50" t="str">
        <f aca="false">IFERROR(VLOOKUP($A100,Equipos!$C$2:$M$967,9,FALSE()),"")</f>
        <v>1033</v>
      </c>
      <c r="D100" s="50" t="str">
        <f aca="false">IFERROR(VLOOKUP($A100,Equipos!$C$2:$M$967,3,FALSE()),"")</f>
        <v>Neonatología</v>
      </c>
      <c r="E100" s="50" t="str">
        <f aca="false">IFERROR(VLOOKUP($A100,Equipos!$C$2:$M$967,7,FALSE()),"")</f>
        <v>Nihon Kohden </v>
      </c>
      <c r="F100" s="50" t="str">
        <f aca="false">IFERROR(VLOOKUP($A100,Equipos!$C$2:$M$967,8,FALSE()),"")</f>
        <v>BSM-6301K</v>
      </c>
      <c r="G100" s="50" t="s">
        <v>356</v>
      </c>
      <c r="H100" s="50" t="s">
        <v>360</v>
      </c>
      <c r="I100" s="50"/>
      <c r="J100" s="50" t="s">
        <v>364</v>
      </c>
      <c r="K100" s="50" t="str">
        <f aca="false">IFERROR(VLOOKUP($J100,Catálogos!$M$4:$N$17,2,FALSE()),"")</f>
        <v>Reprogramada · No disponibilidad de horas hombre del funcionario SEC por alta carga laboral</v>
      </c>
      <c r="L100" s="52" t="n">
        <v>46037</v>
      </c>
      <c r="M100" s="50" t="s">
        <v>353</v>
      </c>
      <c r="N100" s="50" t="s">
        <v>253</v>
      </c>
      <c r="O100" s="50"/>
      <c r="P100" s="50"/>
      <c r="Q100" s="50" t="s">
        <v>362</v>
      </c>
    </row>
    <row r="101" customFormat="false" ht="15" hidden="false" customHeight="true" outlineLevel="0" collapsed="false">
      <c r="A101" s="51" t="s">
        <v>458</v>
      </c>
      <c r="B101" s="50" t="str">
        <f aca="false">IFERROR(VLOOKUP($A101,Equipos!$C$2:$M$967,2,FALSE()),"")</f>
        <v>Monitor Multiparámetros</v>
      </c>
      <c r="C101" s="50" t="str">
        <f aca="false">IFERROR(VLOOKUP($A101,Equipos!$C$2:$M$967,9,FALSE()),"")</f>
        <v>1070</v>
      </c>
      <c r="D101" s="50" t="str">
        <f aca="false">IFERROR(VLOOKUP($A101,Equipos!$C$2:$M$967,3,FALSE()),"")</f>
        <v>Neonatología</v>
      </c>
      <c r="E101" s="50" t="str">
        <f aca="false">IFERROR(VLOOKUP($A101,Equipos!$C$2:$M$967,7,FALSE()),"")</f>
        <v>Nihon Kohden </v>
      </c>
      <c r="F101" s="50" t="str">
        <f aca="false">IFERROR(VLOOKUP($A101,Equipos!$C$2:$M$967,8,FALSE()),"")</f>
        <v>BSM-6301K</v>
      </c>
      <c r="G101" s="50" t="s">
        <v>356</v>
      </c>
      <c r="H101" s="50" t="s">
        <v>360</v>
      </c>
      <c r="I101" s="50"/>
      <c r="J101" s="50" t="s">
        <v>332</v>
      </c>
      <c r="K101" s="50" t="str">
        <f aca="false">IFERROR(VLOOKUP($J101,Catálogos!$M$4:$N$17,2,FALSE()),"")</f>
        <v>Reprogramada · Equipo en servicio técnico</v>
      </c>
      <c r="L101" s="52" t="n">
        <v>46037</v>
      </c>
      <c r="M101" s="50" t="s">
        <v>6</v>
      </c>
      <c r="N101" s="50" t="s">
        <v>253</v>
      </c>
      <c r="O101" s="50"/>
      <c r="P101" s="50"/>
      <c r="Q101" s="50" t="s">
        <v>362</v>
      </c>
    </row>
    <row r="102" customFormat="false" ht="15" hidden="false" customHeight="true" outlineLevel="0" collapsed="false">
      <c r="A102" s="51" t="s">
        <v>459</v>
      </c>
      <c r="B102" s="50" t="str">
        <f aca="false">IFERROR(VLOOKUP($A102,Equipos!$C$2:$M$967,2,FALSE()),"")</f>
        <v>Monitor Multiparámetros</v>
      </c>
      <c r="C102" s="50" t="str">
        <f aca="false">IFERROR(VLOOKUP($A102,Equipos!$C$2:$M$967,9,FALSE()),"")</f>
        <v>100639</v>
      </c>
      <c r="D102" s="50" t="str">
        <f aca="false">IFERROR(VLOOKUP($A102,Equipos!$C$2:$M$967,3,FALSE()),"")</f>
        <v>Neonatología</v>
      </c>
      <c r="E102" s="50" t="str">
        <f aca="false">IFERROR(VLOOKUP($A102,Equipos!$C$2:$M$967,7,FALSE()),"")</f>
        <v>Nihon Kohden </v>
      </c>
      <c r="F102" s="50" t="str">
        <f aca="false">IFERROR(VLOOKUP($A102,Equipos!$C$2:$M$967,8,FALSE()),"")</f>
        <v>PVM-2701K</v>
      </c>
      <c r="G102" s="50" t="s">
        <v>356</v>
      </c>
      <c r="H102" s="50" t="s">
        <v>360</v>
      </c>
      <c r="I102" s="50"/>
      <c r="J102" s="50" t="s">
        <v>364</v>
      </c>
      <c r="K102" s="50" t="str">
        <f aca="false">IFERROR(VLOOKUP($J102,Catálogos!$M$4:$N$17,2,FALSE()),"")</f>
        <v>Reprogramada · No disponibilidad de horas hombre del funcionario SEC por alta carga laboral</v>
      </c>
      <c r="L102" s="52" t="n">
        <v>46037</v>
      </c>
      <c r="M102" s="50" t="s">
        <v>353</v>
      </c>
      <c r="N102" s="50" t="s">
        <v>253</v>
      </c>
      <c r="O102" s="50"/>
      <c r="P102" s="50"/>
      <c r="Q102" s="50" t="s">
        <v>362</v>
      </c>
    </row>
    <row r="103" customFormat="false" ht="15" hidden="false" customHeight="true" outlineLevel="0" collapsed="false">
      <c r="A103" s="51" t="s">
        <v>460</v>
      </c>
      <c r="B103" s="50" t="str">
        <f aca="false">IFERROR(VLOOKUP($A103,Equipos!$C$2:$M$967,2,FALSE()),"")</f>
        <v>Monitor Multiparámetros</v>
      </c>
      <c r="C103" s="50" t="str">
        <f aca="false">IFERROR(VLOOKUP($A103,Equipos!$C$2:$M$967,9,FALSE()),"")</f>
        <v>DE82025965</v>
      </c>
      <c r="D103" s="50" t="str">
        <f aca="false">IFERROR(VLOOKUP($A103,Equipos!$C$2:$M$967,3,FALSE()),"")</f>
        <v>Neonatología</v>
      </c>
      <c r="E103" s="50" t="str">
        <f aca="false">IFERROR(VLOOKUP($A103,Equipos!$C$2:$M$967,7,FALSE()),"")</f>
        <v>Philips</v>
      </c>
      <c r="F103" s="50" t="str">
        <f aca="false">IFERROR(VLOOKUP($A103,Equipos!$C$2:$M$967,8,FALSE()),"")</f>
        <v>M8003A</v>
      </c>
      <c r="G103" s="50" t="s">
        <v>356</v>
      </c>
      <c r="H103" s="50" t="s">
        <v>360</v>
      </c>
      <c r="I103" s="50"/>
      <c r="J103" s="50" t="s">
        <v>364</v>
      </c>
      <c r="K103" s="50" t="str">
        <f aca="false">IFERROR(VLOOKUP($J103,Catálogos!$M$4:$N$17,2,FALSE()),"")</f>
        <v>Reprogramada · No disponibilidad de horas hombre del funcionario SEC por alta carga laboral</v>
      </c>
      <c r="L103" s="52" t="n">
        <v>46037</v>
      </c>
      <c r="M103" s="50" t="s">
        <v>353</v>
      </c>
      <c r="N103" s="50" t="s">
        <v>253</v>
      </c>
      <c r="O103" s="50"/>
      <c r="P103" s="50"/>
      <c r="Q103" s="50" t="s">
        <v>362</v>
      </c>
    </row>
    <row r="104" customFormat="false" ht="15" hidden="false" customHeight="true" outlineLevel="0" collapsed="false">
      <c r="A104" s="51" t="s">
        <v>461</v>
      </c>
      <c r="B104" s="50" t="str">
        <f aca="false">IFERROR(VLOOKUP($A104,Equipos!$C$2:$M$967,2,FALSE()),"")</f>
        <v>Monitor Multiparámetros</v>
      </c>
      <c r="C104" s="50" t="str">
        <f aca="false">IFERROR(VLOOKUP($A104,Equipos!$C$2:$M$967,9,FALSE()),"")</f>
        <v>DE82025973</v>
      </c>
      <c r="D104" s="50" t="str">
        <f aca="false">IFERROR(VLOOKUP($A104,Equipos!$C$2:$M$967,3,FALSE()),"")</f>
        <v>Neonatología</v>
      </c>
      <c r="E104" s="50" t="str">
        <f aca="false">IFERROR(VLOOKUP($A104,Equipos!$C$2:$M$967,7,FALSE()),"")</f>
        <v>Philips</v>
      </c>
      <c r="F104" s="50" t="str">
        <f aca="false">IFERROR(VLOOKUP($A104,Equipos!$C$2:$M$967,8,FALSE()),"")</f>
        <v>M8003A</v>
      </c>
      <c r="G104" s="50" t="s">
        <v>356</v>
      </c>
      <c r="H104" s="50" t="s">
        <v>360</v>
      </c>
      <c r="I104" s="50"/>
      <c r="J104" s="50" t="s">
        <v>331</v>
      </c>
      <c r="K104" s="50" t="str">
        <f aca="false">IFERROR(VLOOKUP($J104,Catálogos!$M$4:$N$17,2,FALSE()),"")</f>
        <v>Reprogramada · Equipo no operativo, a la espera de repuestos o accesorios</v>
      </c>
      <c r="L104" s="52" t="n">
        <v>46037</v>
      </c>
      <c r="M104" s="50" t="s">
        <v>355</v>
      </c>
      <c r="N104" s="50" t="s">
        <v>253</v>
      </c>
      <c r="O104" s="50"/>
      <c r="P104" s="50"/>
      <c r="Q104" s="50" t="s">
        <v>362</v>
      </c>
    </row>
    <row r="105" customFormat="false" ht="15" hidden="false" customHeight="true" outlineLevel="0" collapsed="false">
      <c r="A105" s="51" t="s">
        <v>462</v>
      </c>
      <c r="B105" s="50" t="str">
        <f aca="false">IFERROR(VLOOKUP($A105,Equipos!$C$2:$M$967,2,FALSE()),"")</f>
        <v>Monitor Multiparámetros</v>
      </c>
      <c r="C105" s="50" t="str">
        <f aca="false">IFERROR(VLOOKUP($A105,Equipos!$C$2:$M$967,9,FALSE()),"")</f>
        <v>5514429166</v>
      </c>
      <c r="D105" s="50" t="str">
        <f aca="false">IFERROR(VLOOKUP($A105,Equipos!$C$2:$M$967,3,FALSE()),"")</f>
        <v>Pediatría</v>
      </c>
      <c r="E105" s="50" t="str">
        <f aca="false">IFERROR(VLOOKUP($A105,Equipos!$C$2:$M$967,7,FALSE()),"")</f>
        <v>Drager </v>
      </c>
      <c r="F105" s="50" t="str">
        <f aca="false">IFERROR(VLOOKUP($A105,Equipos!$C$2:$M$967,8,FALSE()),"")</f>
        <v>Infinity Vista </v>
      </c>
      <c r="G105" s="50" t="s">
        <v>356</v>
      </c>
      <c r="H105" s="50" t="s">
        <v>360</v>
      </c>
      <c r="I105" s="50"/>
      <c r="J105" s="50" t="s">
        <v>364</v>
      </c>
      <c r="K105" s="50" t="str">
        <f aca="false">IFERROR(VLOOKUP($J105,Catálogos!$M$4:$N$17,2,FALSE()),"")</f>
        <v>Reprogramada · No disponibilidad de horas hombre del funcionario SEC por alta carga laboral</v>
      </c>
      <c r="L105" s="52" t="n">
        <v>46037</v>
      </c>
      <c r="M105" s="50" t="s">
        <v>353</v>
      </c>
      <c r="N105" s="50" t="s">
        <v>253</v>
      </c>
      <c r="O105" s="50"/>
      <c r="P105" s="50"/>
      <c r="Q105" s="50" t="s">
        <v>362</v>
      </c>
    </row>
    <row r="106" customFormat="false" ht="15" hidden="false" customHeight="true" outlineLevel="0" collapsed="false">
      <c r="A106" s="51" t="s">
        <v>463</v>
      </c>
      <c r="B106" s="50" t="str">
        <f aca="false">IFERROR(VLOOKUP($A106,Equipos!$C$2:$M$967,2,FALSE()),"")</f>
        <v>Monitor Multiparámetros</v>
      </c>
      <c r="C106" s="50" t="str">
        <f aca="false">IFERROR(VLOOKUP($A106,Equipos!$C$2:$M$967,9,FALSE()),"")</f>
        <v>1393-109328</v>
      </c>
      <c r="D106" s="50" t="str">
        <f aca="false">IFERROR(VLOOKUP($A106,Equipos!$C$2:$M$967,3,FALSE()),"")</f>
        <v>UPC Pediátrica</v>
      </c>
      <c r="E106" s="50" t="str">
        <f aca="false">IFERROR(VLOOKUP($A106,Equipos!$C$2:$M$967,7,FALSE()),"")</f>
        <v>SPACELABS HEALTHCARE</v>
      </c>
      <c r="F106" s="50" t="str">
        <f aca="false">IFERROR(VLOOKUP($A106,Equipos!$C$2:$M$967,8,FALSE()),"")</f>
        <v>XPREZZON</v>
      </c>
      <c r="G106" s="50" t="s">
        <v>356</v>
      </c>
      <c r="H106" s="50" t="s">
        <v>360</v>
      </c>
      <c r="I106" s="50"/>
      <c r="J106" s="50" t="s">
        <v>374</v>
      </c>
      <c r="K106" s="50" t="str">
        <f aca="false">IFERROR(VLOOKUP($J106,Catálogos!$M$4:$N$17,2,FALSE()),"")</f>
        <v>Reprogramada · Ausencia justificada del funcionario SEC superior a 15 días</v>
      </c>
      <c r="L106" s="52" t="n">
        <v>46037</v>
      </c>
      <c r="M106" s="50" t="s">
        <v>353</v>
      </c>
      <c r="N106" s="50" t="s">
        <v>253</v>
      </c>
      <c r="O106" s="50"/>
      <c r="P106" s="50"/>
      <c r="Q106" s="50" t="s">
        <v>362</v>
      </c>
    </row>
    <row r="107" customFormat="false" ht="15" hidden="false" customHeight="true" outlineLevel="0" collapsed="false">
      <c r="A107" s="51" t="s">
        <v>464</v>
      </c>
      <c r="B107" s="50" t="str">
        <f aca="false">IFERROR(VLOOKUP($A107,Equipos!$C$2:$M$967,2,FALSE()),"")</f>
        <v>Monitor Multiparámetros</v>
      </c>
      <c r="C107" s="50" t="str">
        <f aca="false">IFERROR(VLOOKUP($A107,Equipos!$C$2:$M$967,9,FALSE()),"")</f>
        <v>1393-109327</v>
      </c>
      <c r="D107" s="50" t="str">
        <f aca="false">IFERROR(VLOOKUP($A107,Equipos!$C$2:$M$967,3,FALSE()),"")</f>
        <v>UPC Pediátrica</v>
      </c>
      <c r="E107" s="50" t="str">
        <f aca="false">IFERROR(VLOOKUP($A107,Equipos!$C$2:$M$967,7,FALSE()),"")</f>
        <v>SPACELABS HEALTHCARE</v>
      </c>
      <c r="F107" s="50" t="str">
        <f aca="false">IFERROR(VLOOKUP($A107,Equipos!$C$2:$M$967,8,FALSE()),"")</f>
        <v>XPREZZON</v>
      </c>
      <c r="G107" s="50" t="s">
        <v>356</v>
      </c>
      <c r="H107" s="50" t="s">
        <v>360</v>
      </c>
      <c r="I107" s="50"/>
      <c r="J107" s="50" t="s">
        <v>374</v>
      </c>
      <c r="K107" s="50" t="str">
        <f aca="false">IFERROR(VLOOKUP($J107,Catálogos!$M$4:$N$17,2,FALSE()),"")</f>
        <v>Reprogramada · Ausencia justificada del funcionario SEC superior a 15 días</v>
      </c>
      <c r="L107" s="52" t="n">
        <v>46037</v>
      </c>
      <c r="M107" s="50" t="s">
        <v>353</v>
      </c>
      <c r="N107" s="50" t="s">
        <v>253</v>
      </c>
      <c r="O107" s="50"/>
      <c r="P107" s="50"/>
      <c r="Q107" s="50" t="s">
        <v>362</v>
      </c>
    </row>
    <row r="108" customFormat="false" ht="15" hidden="false" customHeight="true" outlineLevel="0" collapsed="false">
      <c r="A108" s="51" t="s">
        <v>465</v>
      </c>
      <c r="B108" s="50" t="str">
        <f aca="false">IFERROR(VLOOKUP($A108,Equipos!$C$2:$M$967,2,FALSE()),"")</f>
        <v>Monitor Multiparámetros</v>
      </c>
      <c r="C108" s="50" t="str">
        <f aca="false">IFERROR(VLOOKUP($A108,Equipos!$C$2:$M$967,9,FALSE()),"")</f>
        <v>1393-109322</v>
      </c>
      <c r="D108" s="50" t="str">
        <f aca="false">IFERROR(VLOOKUP($A108,Equipos!$C$2:$M$967,3,FALSE()),"")</f>
        <v>UPC Pediátrica</v>
      </c>
      <c r="E108" s="50" t="str">
        <f aca="false">IFERROR(VLOOKUP($A108,Equipos!$C$2:$M$967,7,FALSE()),"")</f>
        <v>SPACELABS HEALTHCARE</v>
      </c>
      <c r="F108" s="50" t="str">
        <f aca="false">IFERROR(VLOOKUP($A108,Equipos!$C$2:$M$967,8,FALSE()),"")</f>
        <v>XPREZZON</v>
      </c>
      <c r="G108" s="50" t="s">
        <v>356</v>
      </c>
      <c r="H108" s="50" t="s">
        <v>360</v>
      </c>
      <c r="I108" s="50"/>
      <c r="J108" s="50" t="s">
        <v>374</v>
      </c>
      <c r="K108" s="50" t="str">
        <f aca="false">IFERROR(VLOOKUP($J108,Catálogos!$M$4:$N$17,2,FALSE()),"")</f>
        <v>Reprogramada · Ausencia justificada del funcionario SEC superior a 15 días</v>
      </c>
      <c r="L108" s="52" t="n">
        <v>46037</v>
      </c>
      <c r="M108" s="50" t="s">
        <v>353</v>
      </c>
      <c r="N108" s="50" t="s">
        <v>253</v>
      </c>
      <c r="O108" s="50"/>
      <c r="P108" s="50"/>
      <c r="Q108" s="50" t="s">
        <v>362</v>
      </c>
    </row>
    <row r="109" customFormat="false" ht="15" hidden="false" customHeight="true" outlineLevel="0" collapsed="false">
      <c r="A109" s="51" t="s">
        <v>466</v>
      </c>
      <c r="B109" s="50" t="str">
        <f aca="false">IFERROR(VLOOKUP($A109,Equipos!$C$2:$M$967,2,FALSE()),"")</f>
        <v>Monitor Multiparámetros</v>
      </c>
      <c r="C109" s="50" t="str">
        <f aca="false">IFERROR(VLOOKUP($A109,Equipos!$C$2:$M$967,9,FALSE()),"")</f>
        <v>1393-109320</v>
      </c>
      <c r="D109" s="50" t="str">
        <f aca="false">IFERROR(VLOOKUP($A109,Equipos!$C$2:$M$967,3,FALSE()),"")</f>
        <v>UPC Pediátrica</v>
      </c>
      <c r="E109" s="50" t="str">
        <f aca="false">IFERROR(VLOOKUP($A109,Equipos!$C$2:$M$967,7,FALSE()),"")</f>
        <v>SPACELABS HEALTHCARE</v>
      </c>
      <c r="F109" s="50" t="str">
        <f aca="false">IFERROR(VLOOKUP($A109,Equipos!$C$2:$M$967,8,FALSE()),"")</f>
        <v>XPREZZON</v>
      </c>
      <c r="G109" s="50" t="s">
        <v>356</v>
      </c>
      <c r="H109" s="50" t="s">
        <v>360</v>
      </c>
      <c r="I109" s="50"/>
      <c r="J109" s="50" t="s">
        <v>374</v>
      </c>
      <c r="K109" s="50" t="str">
        <f aca="false">IFERROR(VLOOKUP($J109,Catálogos!$M$4:$N$17,2,FALSE()),"")</f>
        <v>Reprogramada · Ausencia justificada del funcionario SEC superior a 15 días</v>
      </c>
      <c r="L109" s="52" t="n">
        <v>46037</v>
      </c>
      <c r="M109" s="50" t="s">
        <v>353</v>
      </c>
      <c r="N109" s="50" t="s">
        <v>253</v>
      </c>
      <c r="O109" s="50"/>
      <c r="P109" s="50"/>
      <c r="Q109" s="50" t="s">
        <v>362</v>
      </c>
    </row>
    <row r="110" customFormat="false" ht="15" hidden="false" customHeight="true" outlineLevel="0" collapsed="false">
      <c r="A110" s="51" t="s">
        <v>467</v>
      </c>
      <c r="B110" s="50" t="str">
        <f aca="false">IFERROR(VLOOKUP($A110,Equipos!$C$2:$M$967,2,FALSE()),"")</f>
        <v>Monitor Multiparámetros</v>
      </c>
      <c r="C110" s="50" t="str">
        <f aca="false">IFERROR(VLOOKUP($A110,Equipos!$C$2:$M$967,9,FALSE()),"")</f>
        <v>1393-109304</v>
      </c>
      <c r="D110" s="50" t="str">
        <f aca="false">IFERROR(VLOOKUP($A110,Equipos!$C$2:$M$967,3,FALSE()),"")</f>
        <v>UPC Pediátrica</v>
      </c>
      <c r="E110" s="50" t="str">
        <f aca="false">IFERROR(VLOOKUP($A110,Equipos!$C$2:$M$967,7,FALSE()),"")</f>
        <v>SPACELABS HEALTHCARE</v>
      </c>
      <c r="F110" s="50" t="str">
        <f aca="false">IFERROR(VLOOKUP($A110,Equipos!$C$2:$M$967,8,FALSE()),"")</f>
        <v>XPREZZON</v>
      </c>
      <c r="G110" s="50" t="s">
        <v>356</v>
      </c>
      <c r="H110" s="50" t="s">
        <v>360</v>
      </c>
      <c r="I110" s="50"/>
      <c r="J110" s="50" t="s">
        <v>374</v>
      </c>
      <c r="K110" s="50" t="str">
        <f aca="false">IFERROR(VLOOKUP($J110,Catálogos!$M$4:$N$17,2,FALSE()),"")</f>
        <v>Reprogramada · Ausencia justificada del funcionario SEC superior a 15 días</v>
      </c>
      <c r="L110" s="52" t="n">
        <v>46037</v>
      </c>
      <c r="M110" s="50" t="s">
        <v>353</v>
      </c>
      <c r="N110" s="50" t="s">
        <v>253</v>
      </c>
      <c r="O110" s="50"/>
      <c r="P110" s="50"/>
      <c r="Q110" s="50" t="s">
        <v>362</v>
      </c>
    </row>
    <row r="111" customFormat="false" ht="15" hidden="false" customHeight="true" outlineLevel="0" collapsed="false">
      <c r="A111" s="51" t="s">
        <v>468</v>
      </c>
      <c r="B111" s="50" t="str">
        <f aca="false">IFERROR(VLOOKUP($A111,Equipos!$C$2:$M$967,2,FALSE()),"")</f>
        <v>Monitor Multiparámetros</v>
      </c>
      <c r="C111" s="50" t="str">
        <f aca="false">IFERROR(VLOOKUP($A111,Equipos!$C$2:$M$967,9,FALSE()),"")</f>
        <v>1393-109319</v>
      </c>
      <c r="D111" s="50" t="str">
        <f aca="false">IFERROR(VLOOKUP($A111,Equipos!$C$2:$M$967,3,FALSE()),"")</f>
        <v>UPC Pediátrica</v>
      </c>
      <c r="E111" s="50" t="str">
        <f aca="false">IFERROR(VLOOKUP($A111,Equipos!$C$2:$M$967,7,FALSE()),"")</f>
        <v>SPACELABS HEALTHCARE</v>
      </c>
      <c r="F111" s="50" t="str">
        <f aca="false">IFERROR(VLOOKUP($A111,Equipos!$C$2:$M$967,8,FALSE()),"")</f>
        <v>XPREZZON</v>
      </c>
      <c r="G111" s="50" t="s">
        <v>356</v>
      </c>
      <c r="H111" s="50" t="s">
        <v>360</v>
      </c>
      <c r="I111" s="50"/>
      <c r="J111" s="50" t="s">
        <v>374</v>
      </c>
      <c r="K111" s="50" t="str">
        <f aca="false">IFERROR(VLOOKUP($J111,Catálogos!$M$4:$N$17,2,FALSE()),"")</f>
        <v>Reprogramada · Ausencia justificada del funcionario SEC superior a 15 días</v>
      </c>
      <c r="L111" s="52" t="n">
        <v>46037</v>
      </c>
      <c r="M111" s="50" t="s">
        <v>353</v>
      </c>
      <c r="N111" s="50" t="s">
        <v>253</v>
      </c>
      <c r="O111" s="50"/>
      <c r="P111" s="50"/>
      <c r="Q111" s="50" t="s">
        <v>362</v>
      </c>
    </row>
    <row r="112" customFormat="false" ht="15" hidden="false" customHeight="true" outlineLevel="0" collapsed="false">
      <c r="A112" s="51" t="s">
        <v>469</v>
      </c>
      <c r="B112" s="50" t="str">
        <f aca="false">IFERROR(VLOOKUP($A112,Equipos!$C$2:$M$967,2,FALSE()),"")</f>
        <v>Monitor Multiparámetros</v>
      </c>
      <c r="C112" s="50" t="str">
        <f aca="false">IFERROR(VLOOKUP($A112,Equipos!$C$2:$M$967,9,FALSE()),"")</f>
        <v>1393-109311</v>
      </c>
      <c r="D112" s="50" t="str">
        <f aca="false">IFERROR(VLOOKUP($A112,Equipos!$C$2:$M$967,3,FALSE()),"")</f>
        <v>UPC Pediátrica</v>
      </c>
      <c r="E112" s="50" t="str">
        <f aca="false">IFERROR(VLOOKUP($A112,Equipos!$C$2:$M$967,7,FALSE()),"")</f>
        <v>SPACELABS HEALTHCARE</v>
      </c>
      <c r="F112" s="50" t="str">
        <f aca="false">IFERROR(VLOOKUP($A112,Equipos!$C$2:$M$967,8,FALSE()),"")</f>
        <v>XPREZZON</v>
      </c>
      <c r="G112" s="50" t="s">
        <v>356</v>
      </c>
      <c r="H112" s="50" t="s">
        <v>360</v>
      </c>
      <c r="I112" s="50"/>
      <c r="J112" s="50" t="s">
        <v>374</v>
      </c>
      <c r="K112" s="50" t="str">
        <f aca="false">IFERROR(VLOOKUP($J112,Catálogos!$M$4:$N$17,2,FALSE()),"")</f>
        <v>Reprogramada · Ausencia justificada del funcionario SEC superior a 15 días</v>
      </c>
      <c r="L112" s="52" t="n">
        <v>46037</v>
      </c>
      <c r="M112" s="50" t="s">
        <v>353</v>
      </c>
      <c r="N112" s="50" t="s">
        <v>253</v>
      </c>
      <c r="O112" s="50"/>
      <c r="P112" s="50"/>
      <c r="Q112" s="50" t="s">
        <v>362</v>
      </c>
    </row>
    <row r="113" customFormat="false" ht="15" hidden="false" customHeight="true" outlineLevel="0" collapsed="false">
      <c r="A113" s="51" t="s">
        <v>470</v>
      </c>
      <c r="B113" s="50" t="str">
        <f aca="false">IFERROR(VLOOKUP($A113,Equipos!$C$2:$M$967,2,FALSE()),"")</f>
        <v>Monitor Multiparámetros</v>
      </c>
      <c r="C113" s="50" t="str">
        <f aca="false">IFERROR(VLOOKUP($A113,Equipos!$C$2:$M$967,9,FALSE()),"")</f>
        <v>1393-109326</v>
      </c>
      <c r="D113" s="50" t="str">
        <f aca="false">IFERROR(VLOOKUP($A113,Equipos!$C$2:$M$967,3,FALSE()),"")</f>
        <v>UPC Pediátrica</v>
      </c>
      <c r="E113" s="50" t="str">
        <f aca="false">IFERROR(VLOOKUP($A113,Equipos!$C$2:$M$967,7,FALSE()),"")</f>
        <v>SPACELABS HEALTHCARE</v>
      </c>
      <c r="F113" s="50" t="str">
        <f aca="false">IFERROR(VLOOKUP($A113,Equipos!$C$2:$M$967,8,FALSE()),"")</f>
        <v>XPREZZON</v>
      </c>
      <c r="G113" s="50" t="s">
        <v>356</v>
      </c>
      <c r="H113" s="50" t="s">
        <v>360</v>
      </c>
      <c r="I113" s="50"/>
      <c r="J113" s="50" t="s">
        <v>374</v>
      </c>
      <c r="K113" s="50" t="str">
        <f aca="false">IFERROR(VLOOKUP($J113,Catálogos!$M$4:$N$17,2,FALSE()),"")</f>
        <v>Reprogramada · Ausencia justificada del funcionario SEC superior a 15 días</v>
      </c>
      <c r="L113" s="52" t="n">
        <v>46037</v>
      </c>
      <c r="M113" s="50" t="s">
        <v>353</v>
      </c>
      <c r="N113" s="50" t="s">
        <v>253</v>
      </c>
      <c r="O113" s="50"/>
      <c r="P113" s="50"/>
      <c r="Q113" s="50" t="s">
        <v>362</v>
      </c>
    </row>
    <row r="114" customFormat="false" ht="15" hidden="false" customHeight="true" outlineLevel="0" collapsed="false">
      <c r="A114" s="51" t="s">
        <v>471</v>
      </c>
      <c r="B114" s="50" t="str">
        <f aca="false">IFERROR(VLOOKUP($A114,Equipos!$C$2:$M$967,2,FALSE()),"")</f>
        <v>Monitor Multiparámetros</v>
      </c>
      <c r="C114" s="50" t="str">
        <f aca="false">IFERROR(VLOOKUP($A114,Equipos!$C$2:$M$967,9,FALSE()),"")</f>
        <v>570</v>
      </c>
      <c r="D114" s="50" t="str">
        <f aca="false">IFERROR(VLOOKUP($A114,Equipos!$C$2:$M$967,3,FALSE()),"")</f>
        <v>Pediatría</v>
      </c>
      <c r="E114" s="50" t="str">
        <f aca="false">IFERROR(VLOOKUP($A114,Equipos!$C$2:$M$967,7,FALSE()),"")</f>
        <v>Nihon Kohden </v>
      </c>
      <c r="F114" s="50" t="str">
        <f aca="false">IFERROR(VLOOKUP($A114,Equipos!$C$2:$M$967,8,FALSE()),"")</f>
        <v>BSM-1763K</v>
      </c>
      <c r="G114" s="50" t="s">
        <v>356</v>
      </c>
      <c r="H114" s="50" t="s">
        <v>360</v>
      </c>
      <c r="I114" s="50"/>
      <c r="J114" s="50" t="s">
        <v>364</v>
      </c>
      <c r="K114" s="50" t="str">
        <f aca="false">IFERROR(VLOOKUP($J114,Catálogos!$M$4:$N$17,2,FALSE()),"")</f>
        <v>Reprogramada · No disponibilidad de horas hombre del funcionario SEC por alta carga laboral</v>
      </c>
      <c r="L114" s="52" t="n">
        <v>46037</v>
      </c>
      <c r="M114" s="50" t="s">
        <v>353</v>
      </c>
      <c r="N114" s="50" t="s">
        <v>253</v>
      </c>
      <c r="O114" s="50"/>
      <c r="P114" s="50"/>
      <c r="Q114" s="50" t="s">
        <v>362</v>
      </c>
    </row>
    <row r="115" customFormat="false" ht="15" hidden="false" customHeight="true" outlineLevel="0" collapsed="false">
      <c r="A115" s="51" t="s">
        <v>472</v>
      </c>
      <c r="B115" s="50" t="str">
        <f aca="false">IFERROR(VLOOKUP($A115,Equipos!$C$2:$M$967,2,FALSE()),"")</f>
        <v>Monitor Multiparámetros</v>
      </c>
      <c r="C115" s="50" t="str">
        <f aca="false">IFERROR(VLOOKUP($A115,Equipos!$C$2:$M$967,9,FALSE()),"")</f>
        <v>100654</v>
      </c>
      <c r="D115" s="50" t="str">
        <f aca="false">IFERROR(VLOOKUP($A115,Equipos!$C$2:$M$967,3,FALSE()),"")</f>
        <v>Pediatría</v>
      </c>
      <c r="E115" s="50" t="str">
        <f aca="false">IFERROR(VLOOKUP($A115,Equipos!$C$2:$M$967,7,FALSE()),"")</f>
        <v>Nihon Kohden </v>
      </c>
      <c r="F115" s="50" t="str">
        <f aca="false">IFERROR(VLOOKUP($A115,Equipos!$C$2:$M$967,8,FALSE()),"")</f>
        <v>PVM-2701K</v>
      </c>
      <c r="G115" s="50" t="s">
        <v>356</v>
      </c>
      <c r="H115" s="50" t="s">
        <v>360</v>
      </c>
      <c r="I115" s="50"/>
      <c r="J115" s="50" t="s">
        <v>364</v>
      </c>
      <c r="K115" s="50" t="str">
        <f aca="false">IFERROR(VLOOKUP($J115,Catálogos!$M$4:$N$17,2,FALSE()),"")</f>
        <v>Reprogramada · No disponibilidad de horas hombre del funcionario SEC por alta carga laboral</v>
      </c>
      <c r="L115" s="52" t="n">
        <v>46037</v>
      </c>
      <c r="M115" s="50" t="s">
        <v>353</v>
      </c>
      <c r="N115" s="50" t="s">
        <v>253</v>
      </c>
      <c r="O115" s="50"/>
      <c r="P115" s="50"/>
      <c r="Q115" s="50" t="s">
        <v>362</v>
      </c>
    </row>
    <row r="116" customFormat="false" ht="15" hidden="false" customHeight="true" outlineLevel="0" collapsed="false">
      <c r="A116" s="51" t="s">
        <v>473</v>
      </c>
      <c r="B116" s="50" t="str">
        <f aca="false">IFERROR(VLOOKUP($A116,Equipos!$C$2:$M$967,2,FALSE()),"")</f>
        <v>Monitor Multiparámetros</v>
      </c>
      <c r="C116" s="50" t="str">
        <f aca="false">IFERROR(VLOOKUP($A116,Equipos!$C$2:$M$967,9,FALSE()),"")</f>
        <v>1393-109321</v>
      </c>
      <c r="D116" s="50" t="str">
        <f aca="false">IFERROR(VLOOKUP($A116,Equipos!$C$2:$M$967,3,FALSE()),"")</f>
        <v>UPC Pediátrica</v>
      </c>
      <c r="E116" s="50" t="str">
        <f aca="false">IFERROR(VLOOKUP($A116,Equipos!$C$2:$M$967,7,FALSE()),"")</f>
        <v>SPACELABS HEALTHCARE</v>
      </c>
      <c r="F116" s="50" t="str">
        <f aca="false">IFERROR(VLOOKUP($A116,Equipos!$C$2:$M$967,8,FALSE()),"")</f>
        <v>XPREZZON</v>
      </c>
      <c r="G116" s="50" t="s">
        <v>356</v>
      </c>
      <c r="H116" s="50" t="s">
        <v>360</v>
      </c>
      <c r="I116" s="50"/>
      <c r="J116" s="50" t="s">
        <v>374</v>
      </c>
      <c r="K116" s="50" t="str">
        <f aca="false">IFERROR(VLOOKUP($J116,Catálogos!$M$4:$N$17,2,FALSE()),"")</f>
        <v>Reprogramada · Ausencia justificada del funcionario SEC superior a 15 días</v>
      </c>
      <c r="L116" s="52" t="n">
        <v>46037</v>
      </c>
      <c r="M116" s="50" t="s">
        <v>353</v>
      </c>
      <c r="N116" s="50" t="s">
        <v>253</v>
      </c>
      <c r="O116" s="50"/>
      <c r="P116" s="50"/>
      <c r="Q116" s="50" t="s">
        <v>362</v>
      </c>
    </row>
    <row r="117" customFormat="false" ht="15" hidden="false" customHeight="true" outlineLevel="0" collapsed="false">
      <c r="A117" s="51" t="s">
        <v>474</v>
      </c>
      <c r="B117" s="50" t="str">
        <f aca="false">IFERROR(VLOOKUP($A117,Equipos!$C$2:$M$967,2,FALSE()),"")</f>
        <v>Monitor Multiparámetros</v>
      </c>
      <c r="C117" s="50" t="str">
        <f aca="false">IFERROR(VLOOKUP($A117,Equipos!$C$2:$M$967,9,FALSE()),"")</f>
        <v>100655</v>
      </c>
      <c r="D117" s="50" t="str">
        <f aca="false">IFERROR(VLOOKUP($A117,Equipos!$C$2:$M$967,3,FALSE()),"")</f>
        <v>Pediatría</v>
      </c>
      <c r="E117" s="50" t="str">
        <f aca="false">IFERROR(VLOOKUP($A117,Equipos!$C$2:$M$967,7,FALSE()),"")</f>
        <v>Nihon Kohden </v>
      </c>
      <c r="F117" s="50" t="str">
        <f aca="false">IFERROR(VLOOKUP($A117,Equipos!$C$2:$M$967,8,FALSE()),"")</f>
        <v>PVM-2701K</v>
      </c>
      <c r="G117" s="50" t="s">
        <v>356</v>
      </c>
      <c r="H117" s="50" t="s">
        <v>360</v>
      </c>
      <c r="I117" s="50"/>
      <c r="J117" s="50" t="s">
        <v>364</v>
      </c>
      <c r="K117" s="50" t="str">
        <f aca="false">IFERROR(VLOOKUP($J117,Catálogos!$M$4:$N$17,2,FALSE()),"")</f>
        <v>Reprogramada · No disponibilidad de horas hombre del funcionario SEC por alta carga laboral</v>
      </c>
      <c r="L117" s="52" t="n">
        <v>46037</v>
      </c>
      <c r="M117" s="50" t="s">
        <v>353</v>
      </c>
      <c r="N117" s="50" t="s">
        <v>253</v>
      </c>
      <c r="O117" s="50"/>
      <c r="P117" s="50"/>
      <c r="Q117" s="50" t="s">
        <v>362</v>
      </c>
    </row>
    <row r="118" customFormat="false" ht="15" hidden="false" customHeight="true" outlineLevel="0" collapsed="false">
      <c r="A118" s="51" t="s">
        <v>475</v>
      </c>
      <c r="B118" s="50" t="str">
        <f aca="false">IFERROR(VLOOKUP($A118,Equipos!$C$2:$M$967,2,FALSE()),"")</f>
        <v>Monitor Multiparámetros</v>
      </c>
      <c r="C118" s="50" t="str">
        <f aca="false">IFERROR(VLOOKUP($A118,Equipos!$C$2:$M$967,9,FALSE()),"")</f>
        <v>1393-109302</v>
      </c>
      <c r="D118" s="50" t="str">
        <f aca="false">IFERROR(VLOOKUP($A118,Equipos!$C$2:$M$967,3,FALSE()),"")</f>
        <v>UPC Pediátrica</v>
      </c>
      <c r="E118" s="50" t="str">
        <f aca="false">IFERROR(VLOOKUP($A118,Equipos!$C$2:$M$967,7,FALSE()),"")</f>
        <v>SPACELABS HEALTHCARE</v>
      </c>
      <c r="F118" s="50" t="str">
        <f aca="false">IFERROR(VLOOKUP($A118,Equipos!$C$2:$M$967,8,FALSE()),"")</f>
        <v>XPREZZON</v>
      </c>
      <c r="G118" s="50" t="s">
        <v>356</v>
      </c>
      <c r="H118" s="50" t="s">
        <v>360</v>
      </c>
      <c r="I118" s="50"/>
      <c r="J118" s="50" t="s">
        <v>374</v>
      </c>
      <c r="K118" s="50" t="str">
        <f aca="false">IFERROR(VLOOKUP($J118,Catálogos!$M$4:$N$17,2,FALSE()),"")</f>
        <v>Reprogramada · Ausencia justificada del funcionario SEC superior a 15 días</v>
      </c>
      <c r="L118" s="52" t="n">
        <v>46037</v>
      </c>
      <c r="M118" s="50" t="s">
        <v>353</v>
      </c>
      <c r="N118" s="50" t="s">
        <v>253</v>
      </c>
      <c r="O118" s="50"/>
      <c r="P118" s="50"/>
      <c r="Q118" s="50" t="s">
        <v>362</v>
      </c>
    </row>
    <row r="119" customFormat="false" ht="15" hidden="false" customHeight="true" outlineLevel="0" collapsed="false">
      <c r="A119" s="51" t="s">
        <v>476</v>
      </c>
      <c r="B119" s="50" t="str">
        <f aca="false">IFERROR(VLOOKUP($A119,Equipos!$C$2:$M$967,2,FALSE()),"")</f>
        <v>Monitor Multiparámetros</v>
      </c>
      <c r="C119" s="50" t="str">
        <f aca="false">IFERROR(VLOOKUP($A119,Equipos!$C$2:$M$967,9,FALSE()),"")</f>
        <v>100648</v>
      </c>
      <c r="D119" s="50" t="str">
        <f aca="false">IFERROR(VLOOKUP($A119,Equipos!$C$2:$M$967,3,FALSE()),"")</f>
        <v>Pediatría</v>
      </c>
      <c r="E119" s="50" t="str">
        <f aca="false">IFERROR(VLOOKUP($A119,Equipos!$C$2:$M$967,7,FALSE()),"")</f>
        <v>Nihon Kohden </v>
      </c>
      <c r="F119" s="50" t="str">
        <f aca="false">IFERROR(VLOOKUP($A119,Equipos!$C$2:$M$967,8,FALSE()),"")</f>
        <v>PVM-2701K</v>
      </c>
      <c r="G119" s="50" t="s">
        <v>356</v>
      </c>
      <c r="H119" s="50" t="s">
        <v>360</v>
      </c>
      <c r="I119" s="50"/>
      <c r="J119" s="50" t="s">
        <v>364</v>
      </c>
      <c r="K119" s="50" t="str">
        <f aca="false">IFERROR(VLOOKUP($J119,Catálogos!$M$4:$N$17,2,FALSE()),"")</f>
        <v>Reprogramada · No disponibilidad de horas hombre del funcionario SEC por alta carga laboral</v>
      </c>
      <c r="L119" s="52" t="n">
        <v>46037</v>
      </c>
      <c r="M119" s="50" t="s">
        <v>353</v>
      </c>
      <c r="N119" s="50" t="s">
        <v>253</v>
      </c>
      <c r="O119" s="50"/>
      <c r="P119" s="50"/>
      <c r="Q119" s="50" t="s">
        <v>362</v>
      </c>
    </row>
    <row r="120" customFormat="false" ht="15" hidden="false" customHeight="true" outlineLevel="0" collapsed="false">
      <c r="A120" s="51" t="s">
        <v>477</v>
      </c>
      <c r="B120" s="50" t="str">
        <f aca="false">IFERROR(VLOOKUP($A120,Equipos!$C$2:$M$967,2,FALSE()),"")</f>
        <v>Monitor Multiparámetros</v>
      </c>
      <c r="C120" s="50" t="str">
        <f aca="false">IFERROR(VLOOKUP($A120,Equipos!$C$2:$M$967,9,FALSE()),"")</f>
        <v>1060</v>
      </c>
      <c r="D120" s="50" t="str">
        <f aca="false">IFERROR(VLOOKUP($A120,Equipos!$C$2:$M$967,3,FALSE()),"")</f>
        <v>Pediatría</v>
      </c>
      <c r="E120" s="50" t="str">
        <f aca="false">IFERROR(VLOOKUP($A120,Equipos!$C$2:$M$967,7,FALSE()),"")</f>
        <v>Nihon Kohden </v>
      </c>
      <c r="F120" s="50" t="str">
        <f aca="false">IFERROR(VLOOKUP($A120,Equipos!$C$2:$M$967,8,FALSE()),"")</f>
        <v>BSM-6301K</v>
      </c>
      <c r="G120" s="50" t="s">
        <v>356</v>
      </c>
      <c r="H120" s="50" t="s">
        <v>360</v>
      </c>
      <c r="I120" s="50"/>
      <c r="J120" s="50" t="s">
        <v>364</v>
      </c>
      <c r="K120" s="50" t="str">
        <f aca="false">IFERROR(VLOOKUP($J120,Catálogos!$M$4:$N$17,2,FALSE()),"")</f>
        <v>Reprogramada · No disponibilidad de horas hombre del funcionario SEC por alta carga laboral</v>
      </c>
      <c r="L120" s="52" t="n">
        <v>46037</v>
      </c>
      <c r="M120" s="50" t="s">
        <v>353</v>
      </c>
      <c r="N120" s="50" t="s">
        <v>253</v>
      </c>
      <c r="O120" s="50"/>
      <c r="P120" s="50"/>
      <c r="Q120" s="50" t="s">
        <v>362</v>
      </c>
    </row>
    <row r="121" customFormat="false" ht="15" hidden="false" customHeight="true" outlineLevel="0" collapsed="false">
      <c r="A121" s="51" t="s">
        <v>478</v>
      </c>
      <c r="B121" s="50" t="str">
        <f aca="false">IFERROR(VLOOKUP($A121,Equipos!$C$2:$M$967,2,FALSE()),"")</f>
        <v>Monitor Multiparámetros</v>
      </c>
      <c r="C121" s="50" t="str">
        <f aca="false">IFERROR(VLOOKUP($A121,Equipos!$C$2:$M$967,9,FALSE()),"")</f>
        <v>1393-109324</v>
      </c>
      <c r="D121" s="50" t="str">
        <f aca="false">IFERROR(VLOOKUP($A121,Equipos!$C$2:$M$967,3,FALSE()),"")</f>
        <v>UPC Pediátrica</v>
      </c>
      <c r="E121" s="50" t="str">
        <f aca="false">IFERROR(VLOOKUP($A121,Equipos!$C$2:$M$967,7,FALSE()),"")</f>
        <v>SPACELABS HEALTHCARE</v>
      </c>
      <c r="F121" s="50" t="str">
        <f aca="false">IFERROR(VLOOKUP($A121,Equipos!$C$2:$M$967,8,FALSE()),"")</f>
        <v>XPREZZON</v>
      </c>
      <c r="G121" s="50" t="s">
        <v>356</v>
      </c>
      <c r="H121" s="50" t="s">
        <v>360</v>
      </c>
      <c r="I121" s="50"/>
      <c r="J121" s="50" t="s">
        <v>374</v>
      </c>
      <c r="K121" s="50" t="str">
        <f aca="false">IFERROR(VLOOKUP($J121,Catálogos!$M$4:$N$17,2,FALSE()),"")</f>
        <v>Reprogramada · Ausencia justificada del funcionario SEC superior a 15 días</v>
      </c>
      <c r="L121" s="52" t="n">
        <v>46037</v>
      </c>
      <c r="M121" s="50" t="s">
        <v>353</v>
      </c>
      <c r="N121" s="50" t="s">
        <v>253</v>
      </c>
      <c r="O121" s="50"/>
      <c r="P121" s="50"/>
      <c r="Q121" s="50" t="s">
        <v>362</v>
      </c>
    </row>
    <row r="122" customFormat="false" ht="15" hidden="false" customHeight="true" outlineLevel="0" collapsed="false">
      <c r="A122" s="51" t="s">
        <v>479</v>
      </c>
      <c r="B122" s="50" t="str">
        <f aca="false">IFERROR(VLOOKUP($A122,Equipos!$C$2:$M$967,2,FALSE()),"")</f>
        <v>Monitor Multiparámetros</v>
      </c>
      <c r="C122" s="50" t="str">
        <f aca="false">IFERROR(VLOOKUP($A122,Equipos!$C$2:$M$967,9,FALSE()),"")</f>
        <v>100652</v>
      </c>
      <c r="D122" s="50" t="str">
        <f aca="false">IFERROR(VLOOKUP($A122,Equipos!$C$2:$M$967,3,FALSE()),"")</f>
        <v>Pediatría</v>
      </c>
      <c r="E122" s="50" t="str">
        <f aca="false">IFERROR(VLOOKUP($A122,Equipos!$C$2:$M$967,7,FALSE()),"")</f>
        <v>Nihon Kohden </v>
      </c>
      <c r="F122" s="50" t="str">
        <f aca="false">IFERROR(VLOOKUP($A122,Equipos!$C$2:$M$967,8,FALSE()),"")</f>
        <v>PVM-2701K</v>
      </c>
      <c r="G122" s="50" t="s">
        <v>356</v>
      </c>
      <c r="H122" s="50" t="s">
        <v>360</v>
      </c>
      <c r="I122" s="50"/>
      <c r="J122" s="50" t="s">
        <v>364</v>
      </c>
      <c r="K122" s="50" t="str">
        <f aca="false">IFERROR(VLOOKUP($J122,Catálogos!$M$4:$N$17,2,FALSE()),"")</f>
        <v>Reprogramada · No disponibilidad de horas hombre del funcionario SEC por alta carga laboral</v>
      </c>
      <c r="L122" s="52" t="n">
        <v>46037</v>
      </c>
      <c r="M122" s="50" t="s">
        <v>353</v>
      </c>
      <c r="N122" s="50" t="s">
        <v>253</v>
      </c>
      <c r="O122" s="50"/>
      <c r="P122" s="50"/>
      <c r="Q122" s="50" t="s">
        <v>362</v>
      </c>
    </row>
    <row r="123" customFormat="false" ht="15" hidden="false" customHeight="true" outlineLevel="0" collapsed="false">
      <c r="A123" s="51" t="s">
        <v>480</v>
      </c>
      <c r="B123" s="50" t="str">
        <f aca="false">IFERROR(VLOOKUP($A123,Equipos!$C$2:$M$967,2,FALSE()),"")</f>
        <v>Monitor Multiparámetros</v>
      </c>
      <c r="C123" s="50" t="str">
        <f aca="false">IFERROR(VLOOKUP($A123,Equipos!$C$2:$M$967,9,FALSE()),"")</f>
        <v>1393-109313</v>
      </c>
      <c r="D123" s="50" t="str">
        <f aca="false">IFERROR(VLOOKUP($A123,Equipos!$C$2:$M$967,3,FALSE()),"")</f>
        <v>UPC Pediátrica</v>
      </c>
      <c r="E123" s="50" t="str">
        <f aca="false">IFERROR(VLOOKUP($A123,Equipos!$C$2:$M$967,7,FALSE()),"")</f>
        <v>SPACELABS HEALTHCARE</v>
      </c>
      <c r="F123" s="50" t="str">
        <f aca="false">IFERROR(VLOOKUP($A123,Equipos!$C$2:$M$967,8,FALSE()),"")</f>
        <v>XPREZZON</v>
      </c>
      <c r="G123" s="50" t="s">
        <v>356</v>
      </c>
      <c r="H123" s="50" t="s">
        <v>360</v>
      </c>
      <c r="I123" s="50"/>
      <c r="J123" s="50" t="s">
        <v>374</v>
      </c>
      <c r="K123" s="50" t="str">
        <f aca="false">IFERROR(VLOOKUP($J123,Catálogos!$M$4:$N$17,2,FALSE()),"")</f>
        <v>Reprogramada · Ausencia justificada del funcionario SEC superior a 15 días</v>
      </c>
      <c r="L123" s="52" t="n">
        <v>46037</v>
      </c>
      <c r="M123" s="50" t="s">
        <v>353</v>
      </c>
      <c r="N123" s="50" t="s">
        <v>253</v>
      </c>
      <c r="O123" s="50"/>
      <c r="P123" s="50"/>
      <c r="Q123" s="50" t="s">
        <v>362</v>
      </c>
    </row>
    <row r="124" customFormat="false" ht="15" hidden="false" customHeight="true" outlineLevel="0" collapsed="false">
      <c r="A124" s="51" t="s">
        <v>481</v>
      </c>
      <c r="B124" s="50" t="str">
        <f aca="false">IFERROR(VLOOKUP($A124,Equipos!$C$2:$M$967,2,FALSE()),"")</f>
        <v>Monitor Multiparámetros</v>
      </c>
      <c r="C124" s="50" t="str">
        <f aca="false">IFERROR(VLOOKUP($A124,Equipos!$C$2:$M$967,9,FALSE()),"")</f>
        <v>1393-109303</v>
      </c>
      <c r="D124" s="50" t="str">
        <f aca="false">IFERROR(VLOOKUP($A124,Equipos!$C$2:$M$967,3,FALSE()),"")</f>
        <v>UPC Pediátrica</v>
      </c>
      <c r="E124" s="50" t="str">
        <f aca="false">IFERROR(VLOOKUP($A124,Equipos!$C$2:$M$967,7,FALSE()),"")</f>
        <v>SPACELABS HEALTHCARE</v>
      </c>
      <c r="F124" s="50" t="str">
        <f aca="false">IFERROR(VLOOKUP($A124,Equipos!$C$2:$M$967,8,FALSE()),"")</f>
        <v>XPREZZON</v>
      </c>
      <c r="G124" s="50" t="s">
        <v>356</v>
      </c>
      <c r="H124" s="50" t="s">
        <v>360</v>
      </c>
      <c r="I124" s="50"/>
      <c r="J124" s="50" t="s">
        <v>374</v>
      </c>
      <c r="K124" s="50" t="str">
        <f aca="false">IFERROR(VLOOKUP($J124,Catálogos!$M$4:$N$17,2,FALSE()),"")</f>
        <v>Reprogramada · Ausencia justificada del funcionario SEC superior a 15 días</v>
      </c>
      <c r="L124" s="52" t="n">
        <v>46037</v>
      </c>
      <c r="M124" s="50" t="s">
        <v>353</v>
      </c>
      <c r="N124" s="50" t="s">
        <v>253</v>
      </c>
      <c r="O124" s="50"/>
      <c r="P124" s="50"/>
      <c r="Q124" s="50" t="s">
        <v>362</v>
      </c>
    </row>
    <row r="125" customFormat="false" ht="15" hidden="false" customHeight="true" outlineLevel="0" collapsed="false">
      <c r="A125" s="51" t="s">
        <v>482</v>
      </c>
      <c r="B125" s="50" t="str">
        <f aca="false">IFERROR(VLOOKUP($A125,Equipos!$C$2:$M$967,2,FALSE()),"")</f>
        <v>Monitor Multiparámetros</v>
      </c>
      <c r="C125" s="50" t="str">
        <f aca="false">IFERROR(VLOOKUP($A125,Equipos!$C$2:$M$967,9,FALSE()),"")</f>
        <v>1393-109323</v>
      </c>
      <c r="D125" s="50" t="str">
        <f aca="false">IFERROR(VLOOKUP($A125,Equipos!$C$2:$M$967,3,FALSE()),"")</f>
        <v>UPC Pediátrica</v>
      </c>
      <c r="E125" s="50" t="str">
        <f aca="false">IFERROR(VLOOKUP($A125,Equipos!$C$2:$M$967,7,FALSE()),"")</f>
        <v>SPACELABS HEALTHCARE</v>
      </c>
      <c r="F125" s="50" t="str">
        <f aca="false">IFERROR(VLOOKUP($A125,Equipos!$C$2:$M$967,8,FALSE()),"")</f>
        <v>XPREZZON</v>
      </c>
      <c r="G125" s="50" t="s">
        <v>356</v>
      </c>
      <c r="H125" s="50" t="s">
        <v>360</v>
      </c>
      <c r="I125" s="50"/>
      <c r="J125" s="50" t="s">
        <v>374</v>
      </c>
      <c r="K125" s="50" t="str">
        <f aca="false">IFERROR(VLOOKUP($J125,Catálogos!$M$4:$N$17,2,FALSE()),"")</f>
        <v>Reprogramada · Ausencia justificada del funcionario SEC superior a 15 días</v>
      </c>
      <c r="L125" s="52" t="n">
        <v>46037</v>
      </c>
      <c r="M125" s="50" t="s">
        <v>353</v>
      </c>
      <c r="N125" s="50" t="s">
        <v>253</v>
      </c>
      <c r="O125" s="50"/>
      <c r="P125" s="50"/>
      <c r="Q125" s="50" t="s">
        <v>362</v>
      </c>
    </row>
    <row r="126" customFormat="false" ht="15" hidden="false" customHeight="true" outlineLevel="0" collapsed="false">
      <c r="A126" s="51" t="s">
        <v>483</v>
      </c>
      <c r="B126" s="50" t="str">
        <f aca="false">IFERROR(VLOOKUP($A126,Equipos!$C$2:$M$967,2,FALSE()),"")</f>
        <v>Monitor Multiparámetros</v>
      </c>
      <c r="C126" s="50" t="str">
        <f aca="false">IFERROR(VLOOKUP($A126,Equipos!$C$2:$M$967,9,FALSE()),"")</f>
        <v>5494305855</v>
      </c>
      <c r="D126" s="50" t="str">
        <f aca="false">IFERROR(VLOOKUP($A126,Equipos!$C$2:$M$967,3,FALSE()),"")</f>
        <v>UPC Cardiovascular</v>
      </c>
      <c r="E126" s="50" t="str">
        <f aca="false">IFERROR(VLOOKUP($A126,Equipos!$C$2:$M$967,7,FALSE()),"")</f>
        <v>Drager </v>
      </c>
      <c r="F126" s="50" t="str">
        <f aca="false">IFERROR(VLOOKUP($A126,Equipos!$C$2:$M$967,8,FALSE()),"")</f>
        <v>Infinity Kappa</v>
      </c>
      <c r="G126" s="50" t="s">
        <v>356</v>
      </c>
      <c r="H126" s="50" t="s">
        <v>360</v>
      </c>
      <c r="I126" s="50"/>
      <c r="J126" s="50" t="s">
        <v>374</v>
      </c>
      <c r="K126" s="50" t="str">
        <f aca="false">IFERROR(VLOOKUP($J126,Catálogos!$M$4:$N$17,2,FALSE()),"")</f>
        <v>Reprogramada · Ausencia justificada del funcionario SEC superior a 15 días</v>
      </c>
      <c r="L126" s="52" t="n">
        <v>46037</v>
      </c>
      <c r="M126" s="50" t="s">
        <v>353</v>
      </c>
      <c r="N126" s="50" t="s">
        <v>253</v>
      </c>
      <c r="O126" s="50"/>
      <c r="P126" s="50"/>
      <c r="Q126" s="50" t="s">
        <v>362</v>
      </c>
    </row>
    <row r="127" customFormat="false" ht="15" hidden="false" customHeight="true" outlineLevel="0" collapsed="false">
      <c r="A127" s="51" t="s">
        <v>484</v>
      </c>
      <c r="B127" s="50" t="str">
        <f aca="false">IFERROR(VLOOKUP($A127,Equipos!$C$2:$M$967,2,FALSE()),"")</f>
        <v>Monitor Multiparámetros</v>
      </c>
      <c r="C127" s="50" t="str">
        <f aca="false">IFERROR(VLOOKUP($A127,Equipos!$C$2:$M$967,9,FALSE()),"")</f>
        <v>5494279847</v>
      </c>
      <c r="D127" s="50" t="str">
        <f aca="false">IFERROR(VLOOKUP($A127,Equipos!$C$2:$M$967,3,FALSE()),"")</f>
        <v>UPC Cardiovascular</v>
      </c>
      <c r="E127" s="50" t="str">
        <f aca="false">IFERROR(VLOOKUP($A127,Equipos!$C$2:$M$967,7,FALSE()),"")</f>
        <v>Drager </v>
      </c>
      <c r="F127" s="50" t="str">
        <f aca="false">IFERROR(VLOOKUP($A127,Equipos!$C$2:$M$967,8,FALSE()),"")</f>
        <v>Infinity Kappa</v>
      </c>
      <c r="G127" s="50" t="s">
        <v>356</v>
      </c>
      <c r="H127" s="50" t="s">
        <v>360</v>
      </c>
      <c r="I127" s="50"/>
      <c r="J127" s="50" t="s">
        <v>374</v>
      </c>
      <c r="K127" s="50" t="str">
        <f aca="false">IFERROR(VLOOKUP($J127,Catálogos!$M$4:$N$17,2,FALSE()),"")</f>
        <v>Reprogramada · Ausencia justificada del funcionario SEC superior a 15 días</v>
      </c>
      <c r="L127" s="52" t="n">
        <v>46037</v>
      </c>
      <c r="M127" s="50" t="s">
        <v>353</v>
      </c>
      <c r="N127" s="50" t="s">
        <v>253</v>
      </c>
      <c r="O127" s="50"/>
      <c r="P127" s="50"/>
      <c r="Q127" s="50" t="s">
        <v>362</v>
      </c>
    </row>
    <row r="128" customFormat="false" ht="15" hidden="false" customHeight="true" outlineLevel="0" collapsed="false">
      <c r="A128" s="51" t="s">
        <v>210</v>
      </c>
      <c r="B128" s="50" t="str">
        <f aca="false">IFERROR(VLOOKUP($A128,Equipos!$C$2:$M$967,2,FALSE()),"")</f>
        <v>Monitor Multiparámetros</v>
      </c>
      <c r="C128" s="50" t="str">
        <f aca="false">IFERROR(VLOOKUP($A128,Equipos!$C$2:$M$967,9,FALSE()),"")</f>
        <v>5494269849</v>
      </c>
      <c r="D128" s="50" t="str">
        <f aca="false">IFERROR(VLOOKUP($A128,Equipos!$C$2:$M$967,3,FALSE()),"")</f>
        <v>UPC Cardiovascular</v>
      </c>
      <c r="E128" s="50" t="str">
        <f aca="false">IFERROR(VLOOKUP($A128,Equipos!$C$2:$M$967,7,FALSE()),"")</f>
        <v>Drager </v>
      </c>
      <c r="F128" s="50" t="str">
        <f aca="false">IFERROR(VLOOKUP($A128,Equipos!$C$2:$M$967,8,FALSE()),"")</f>
        <v>Infinity Kappa</v>
      </c>
      <c r="G128" s="50" t="s">
        <v>356</v>
      </c>
      <c r="H128" s="50" t="s">
        <v>360</v>
      </c>
      <c r="I128" s="50"/>
      <c r="J128" s="50" t="s">
        <v>374</v>
      </c>
      <c r="K128" s="50" t="str">
        <f aca="false">IFERROR(VLOOKUP($J128,Catálogos!$M$4:$N$17,2,FALSE()),"")</f>
        <v>Reprogramada · Ausencia justificada del funcionario SEC superior a 15 días</v>
      </c>
      <c r="L128" s="52" t="n">
        <v>46037</v>
      </c>
      <c r="M128" s="50" t="s">
        <v>353</v>
      </c>
      <c r="N128" s="50" t="s">
        <v>253</v>
      </c>
      <c r="O128" s="50"/>
      <c r="P128" s="50"/>
      <c r="Q128" s="50" t="s">
        <v>362</v>
      </c>
    </row>
    <row r="129" customFormat="false" ht="15" hidden="false" customHeight="true" outlineLevel="0" collapsed="false">
      <c r="A129" s="51" t="s">
        <v>485</v>
      </c>
      <c r="B129" s="50" t="str">
        <f aca="false">IFERROR(VLOOKUP($A129,Equipos!$C$2:$M$967,2,FALSE()),"")</f>
        <v>Monitor Multiparámetros</v>
      </c>
      <c r="C129" s="50" t="str">
        <f aca="false">IFERROR(VLOOKUP($A129,Equipos!$C$2:$M$967,9,FALSE()),"")</f>
        <v>5494306854</v>
      </c>
      <c r="D129" s="50" t="str">
        <f aca="false">IFERROR(VLOOKUP($A129,Equipos!$C$2:$M$967,3,FALSE()),"")</f>
        <v>UPC Cardiovascular</v>
      </c>
      <c r="E129" s="50" t="str">
        <f aca="false">IFERROR(VLOOKUP($A129,Equipos!$C$2:$M$967,7,FALSE()),"")</f>
        <v>Drager </v>
      </c>
      <c r="F129" s="50" t="str">
        <f aca="false">IFERROR(VLOOKUP($A129,Equipos!$C$2:$M$967,8,FALSE()),"")</f>
        <v>Infinity Kappa</v>
      </c>
      <c r="G129" s="50" t="s">
        <v>356</v>
      </c>
      <c r="H129" s="50" t="s">
        <v>360</v>
      </c>
      <c r="I129" s="50"/>
      <c r="J129" s="50" t="s">
        <v>374</v>
      </c>
      <c r="K129" s="50" t="str">
        <f aca="false">IFERROR(VLOOKUP($J129,Catálogos!$M$4:$N$17,2,FALSE()),"")</f>
        <v>Reprogramada · Ausencia justificada del funcionario SEC superior a 15 días</v>
      </c>
      <c r="L129" s="52" t="n">
        <v>46037</v>
      </c>
      <c r="M129" s="50" t="s">
        <v>353</v>
      </c>
      <c r="N129" s="50" t="s">
        <v>253</v>
      </c>
      <c r="O129" s="50"/>
      <c r="P129" s="50"/>
      <c r="Q129" s="50" t="s">
        <v>362</v>
      </c>
    </row>
    <row r="130" customFormat="false" ht="15" hidden="false" customHeight="true" outlineLevel="0" collapsed="false">
      <c r="A130" s="51" t="s">
        <v>486</v>
      </c>
      <c r="B130" s="50" t="str">
        <f aca="false">IFERROR(VLOOKUP($A130,Equipos!$C$2:$M$967,2,FALSE()),"")</f>
        <v>Monitor Multiparámetros</v>
      </c>
      <c r="C130" s="50" t="str">
        <f aca="false">IFERROR(VLOOKUP($A130,Equipos!$C$2:$M$967,9,FALSE()),"")</f>
        <v>5494307951</v>
      </c>
      <c r="D130" s="50" t="str">
        <f aca="false">IFERROR(VLOOKUP($A130,Equipos!$C$2:$M$967,3,FALSE()),"")</f>
        <v>UPC Cardiovascular</v>
      </c>
      <c r="E130" s="50" t="str">
        <f aca="false">IFERROR(VLOOKUP($A130,Equipos!$C$2:$M$967,7,FALSE()),"")</f>
        <v>Drager </v>
      </c>
      <c r="F130" s="50" t="str">
        <f aca="false">IFERROR(VLOOKUP($A130,Equipos!$C$2:$M$967,8,FALSE()),"")</f>
        <v>Infinity Kappa</v>
      </c>
      <c r="G130" s="50" t="s">
        <v>356</v>
      </c>
      <c r="H130" s="50" t="s">
        <v>360</v>
      </c>
      <c r="I130" s="50"/>
      <c r="J130" s="50" t="s">
        <v>374</v>
      </c>
      <c r="K130" s="50" t="str">
        <f aca="false">IFERROR(VLOOKUP($J130,Catálogos!$M$4:$N$17,2,FALSE()),"")</f>
        <v>Reprogramada · Ausencia justificada del funcionario SEC superior a 15 días</v>
      </c>
      <c r="L130" s="52" t="n">
        <v>46037</v>
      </c>
      <c r="M130" s="50" t="s">
        <v>353</v>
      </c>
      <c r="N130" s="50" t="s">
        <v>253</v>
      </c>
      <c r="O130" s="50"/>
      <c r="P130" s="50"/>
      <c r="Q130" s="50" t="s">
        <v>362</v>
      </c>
    </row>
    <row r="131" customFormat="false" ht="15" hidden="false" customHeight="true" outlineLevel="0" collapsed="false">
      <c r="A131" s="51" t="s">
        <v>487</v>
      </c>
      <c r="B131" s="50" t="str">
        <f aca="false">IFERROR(VLOOKUP($A131,Equipos!$C$2:$M$967,2,FALSE()),"")</f>
        <v>Monitor Multiparámetros</v>
      </c>
      <c r="C131" s="50" t="str">
        <f aca="false">IFERROR(VLOOKUP($A131,Equipos!$C$2:$M$967,9,FALSE()),"")</f>
        <v>5494305953</v>
      </c>
      <c r="D131" s="50" t="str">
        <f aca="false">IFERROR(VLOOKUP($A131,Equipos!$C$2:$M$967,3,FALSE()),"")</f>
        <v>UPC Cardiovascular</v>
      </c>
      <c r="E131" s="50" t="str">
        <f aca="false">IFERROR(VLOOKUP($A131,Equipos!$C$2:$M$967,7,FALSE()),"")</f>
        <v>Drager </v>
      </c>
      <c r="F131" s="50" t="str">
        <f aca="false">IFERROR(VLOOKUP($A131,Equipos!$C$2:$M$967,8,FALSE()),"")</f>
        <v>Infinity Kappa</v>
      </c>
      <c r="G131" s="50" t="s">
        <v>356</v>
      </c>
      <c r="H131" s="50" t="s">
        <v>360</v>
      </c>
      <c r="I131" s="50"/>
      <c r="J131" s="50" t="s">
        <v>374</v>
      </c>
      <c r="K131" s="50" t="str">
        <f aca="false">IFERROR(VLOOKUP($J131,Catálogos!$M$4:$N$17,2,FALSE()),"")</f>
        <v>Reprogramada · Ausencia justificada del funcionario SEC superior a 15 días</v>
      </c>
      <c r="L131" s="52" t="n">
        <v>46037</v>
      </c>
      <c r="M131" s="50" t="s">
        <v>353</v>
      </c>
      <c r="N131" s="50" t="s">
        <v>253</v>
      </c>
      <c r="O131" s="50"/>
      <c r="P131" s="50"/>
      <c r="Q131" s="50" t="s">
        <v>362</v>
      </c>
    </row>
    <row r="132" customFormat="false" ht="15" hidden="false" customHeight="true" outlineLevel="0" collapsed="false">
      <c r="A132" s="51" t="s">
        <v>488</v>
      </c>
      <c r="B132" s="50" t="str">
        <f aca="false">IFERROR(VLOOKUP($A132,Equipos!$C$2:$M$967,2,FALSE()),"")</f>
        <v>Monitor Multiparámetros</v>
      </c>
      <c r="C132" s="50" t="str">
        <f aca="false">IFERROR(VLOOKUP($A132,Equipos!$C$2:$M$967,9,FALSE()),"")</f>
        <v>5494308353</v>
      </c>
      <c r="D132" s="50" t="str">
        <f aca="false">IFERROR(VLOOKUP($A132,Equipos!$C$2:$M$967,3,FALSE()),"")</f>
        <v>UPC Cardiovascular</v>
      </c>
      <c r="E132" s="50" t="str">
        <f aca="false">IFERROR(VLOOKUP($A132,Equipos!$C$2:$M$967,7,FALSE()),"")</f>
        <v>Drager </v>
      </c>
      <c r="F132" s="50" t="str">
        <f aca="false">IFERROR(VLOOKUP($A132,Equipos!$C$2:$M$967,8,FALSE()),"")</f>
        <v>Infinity Kappa</v>
      </c>
      <c r="G132" s="50" t="s">
        <v>356</v>
      </c>
      <c r="H132" s="50" t="s">
        <v>360</v>
      </c>
      <c r="I132" s="50"/>
      <c r="J132" s="50" t="s">
        <v>374</v>
      </c>
      <c r="K132" s="50" t="str">
        <f aca="false">IFERROR(VLOOKUP($J132,Catálogos!$M$4:$N$17,2,FALSE()),"")</f>
        <v>Reprogramada · Ausencia justificada del funcionario SEC superior a 15 días</v>
      </c>
      <c r="L132" s="52" t="n">
        <v>46037</v>
      </c>
      <c r="M132" s="50" t="s">
        <v>353</v>
      </c>
      <c r="N132" s="50" t="s">
        <v>253</v>
      </c>
      <c r="O132" s="50"/>
      <c r="P132" s="50"/>
      <c r="Q132" s="50" t="s">
        <v>362</v>
      </c>
    </row>
    <row r="133" customFormat="false" ht="15" hidden="false" customHeight="true" outlineLevel="0" collapsed="false">
      <c r="A133" s="51" t="s">
        <v>489</v>
      </c>
      <c r="B133" s="50" t="str">
        <f aca="false">IFERROR(VLOOKUP($A133,Equipos!$C$2:$M$967,2,FALSE()),"")</f>
        <v>Monitor Multiparámetros</v>
      </c>
      <c r="C133" s="50" t="str">
        <f aca="false">IFERROR(VLOOKUP($A133,Equipos!$C$2:$M$967,9,FALSE()),"")</f>
        <v>5494306061</v>
      </c>
      <c r="D133" s="50" t="str">
        <f aca="false">IFERROR(VLOOKUP($A133,Equipos!$C$2:$M$967,3,FALSE()),"")</f>
        <v>UPC Cardiovascular</v>
      </c>
      <c r="E133" s="50" t="str">
        <f aca="false">IFERROR(VLOOKUP($A133,Equipos!$C$2:$M$967,7,FALSE()),"")</f>
        <v>Drager </v>
      </c>
      <c r="F133" s="50" t="str">
        <f aca="false">IFERROR(VLOOKUP($A133,Equipos!$C$2:$M$967,8,FALSE()),"")</f>
        <v>Infinity Kappa</v>
      </c>
      <c r="G133" s="50" t="s">
        <v>356</v>
      </c>
      <c r="H133" s="50" t="s">
        <v>360</v>
      </c>
      <c r="I133" s="50"/>
      <c r="J133" s="50" t="s">
        <v>374</v>
      </c>
      <c r="K133" s="50" t="str">
        <f aca="false">IFERROR(VLOOKUP($J133,Catálogos!$M$4:$N$17,2,FALSE()),"")</f>
        <v>Reprogramada · Ausencia justificada del funcionario SEC superior a 15 días</v>
      </c>
      <c r="L133" s="52" t="n">
        <v>46037</v>
      </c>
      <c r="M133" s="50" t="s">
        <v>353</v>
      </c>
      <c r="N133" s="50" t="s">
        <v>253</v>
      </c>
      <c r="O133" s="50"/>
      <c r="P133" s="50"/>
      <c r="Q133" s="50" t="s">
        <v>362</v>
      </c>
    </row>
    <row r="134" customFormat="false" ht="15" hidden="false" customHeight="true" outlineLevel="0" collapsed="false">
      <c r="A134" s="51" t="s">
        <v>490</v>
      </c>
      <c r="B134" s="50" t="str">
        <f aca="false">IFERROR(VLOOKUP($A134,Equipos!$C$2:$M$967,2,FALSE()),"")</f>
        <v>Monitor Multiparámetros</v>
      </c>
      <c r="C134" s="50" t="str">
        <f aca="false">IFERROR(VLOOKUP($A134,Equipos!$C$2:$M$967,9,FALSE()),"")</f>
        <v>5494294652</v>
      </c>
      <c r="D134" s="50" t="str">
        <f aca="false">IFERROR(VLOOKUP($A134,Equipos!$C$2:$M$967,3,FALSE()),"")</f>
        <v>UPC Cardiovascular</v>
      </c>
      <c r="E134" s="50" t="str">
        <f aca="false">IFERROR(VLOOKUP($A134,Equipos!$C$2:$M$967,7,FALSE()),"")</f>
        <v>Drager </v>
      </c>
      <c r="F134" s="50" t="str">
        <f aca="false">IFERROR(VLOOKUP($A134,Equipos!$C$2:$M$967,8,FALSE()),"")</f>
        <v>infinity kappa</v>
      </c>
      <c r="G134" s="50" t="s">
        <v>356</v>
      </c>
      <c r="H134" s="50" t="s">
        <v>360</v>
      </c>
      <c r="I134" s="50"/>
      <c r="J134" s="50" t="s">
        <v>374</v>
      </c>
      <c r="K134" s="50" t="str">
        <f aca="false">IFERROR(VLOOKUP($J134,Catálogos!$M$4:$N$17,2,FALSE()),"")</f>
        <v>Reprogramada · Ausencia justificada del funcionario SEC superior a 15 días</v>
      </c>
      <c r="L134" s="52" t="n">
        <v>46037</v>
      </c>
      <c r="M134" s="50" t="s">
        <v>353</v>
      </c>
      <c r="N134" s="50" t="s">
        <v>253</v>
      </c>
      <c r="O134" s="50"/>
      <c r="P134" s="50"/>
      <c r="Q134" s="50" t="s">
        <v>362</v>
      </c>
    </row>
    <row r="135" customFormat="false" ht="15" hidden="false" customHeight="true" outlineLevel="0" collapsed="false">
      <c r="A135" s="51" t="s">
        <v>491</v>
      </c>
      <c r="B135" s="50" t="str">
        <f aca="false">IFERROR(VLOOKUP($A135,Equipos!$C$2:$M$967,2,FALSE()),"")</f>
        <v>Monitor Multiparámetros</v>
      </c>
      <c r="C135" s="50" t="str">
        <f aca="false">IFERROR(VLOOKUP($A135,Equipos!$C$2:$M$967,9,FALSE()),"")</f>
        <v>5494278447</v>
      </c>
      <c r="D135" s="50" t="str">
        <f aca="false">IFERROR(VLOOKUP($A135,Equipos!$C$2:$M$967,3,FALSE()),"")</f>
        <v>UPC Cardiovascular</v>
      </c>
      <c r="E135" s="50" t="str">
        <f aca="false">IFERROR(VLOOKUP($A135,Equipos!$C$2:$M$967,7,FALSE()),"")</f>
        <v>Drager </v>
      </c>
      <c r="F135" s="50" t="str">
        <f aca="false">IFERROR(VLOOKUP($A135,Equipos!$C$2:$M$967,8,FALSE()),"")</f>
        <v>Infinity Kappa</v>
      </c>
      <c r="G135" s="50" t="s">
        <v>356</v>
      </c>
      <c r="H135" s="50" t="s">
        <v>360</v>
      </c>
      <c r="I135" s="50"/>
      <c r="J135" s="50" t="s">
        <v>374</v>
      </c>
      <c r="K135" s="50" t="str">
        <f aca="false">IFERROR(VLOOKUP($J135,Catálogos!$M$4:$N$17,2,FALSE()),"")</f>
        <v>Reprogramada · Ausencia justificada del funcionario SEC superior a 15 días</v>
      </c>
      <c r="L135" s="52" t="n">
        <v>46037</v>
      </c>
      <c r="M135" s="50" t="s">
        <v>353</v>
      </c>
      <c r="N135" s="50" t="s">
        <v>253</v>
      </c>
      <c r="O135" s="50"/>
      <c r="P135" s="50"/>
      <c r="Q135" s="50" t="s">
        <v>362</v>
      </c>
    </row>
    <row r="136" customFormat="false" ht="15" hidden="false" customHeight="true" outlineLevel="0" collapsed="false">
      <c r="A136" s="51" t="s">
        <v>492</v>
      </c>
      <c r="B136" s="50" t="str">
        <f aca="false">IFERROR(VLOOKUP($A136,Equipos!$C$2:$M$967,2,FALSE()),"")</f>
        <v>Monitor Multiparámetros</v>
      </c>
      <c r="C136" s="50" t="str">
        <f aca="false">IFERROR(VLOOKUP($A136,Equipos!$C$2:$M$967,9,FALSE()),"")</f>
        <v>5494307853</v>
      </c>
      <c r="D136" s="50" t="str">
        <f aca="false">IFERROR(VLOOKUP($A136,Equipos!$C$2:$M$967,3,FALSE()),"")</f>
        <v>UPC Cardiovascular</v>
      </c>
      <c r="E136" s="50" t="str">
        <f aca="false">IFERROR(VLOOKUP($A136,Equipos!$C$2:$M$967,7,FALSE()),"")</f>
        <v>Drager </v>
      </c>
      <c r="F136" s="50" t="str">
        <f aca="false">IFERROR(VLOOKUP($A136,Equipos!$C$2:$M$967,8,FALSE()),"")</f>
        <v>Infinity Kappa</v>
      </c>
      <c r="G136" s="50" t="s">
        <v>356</v>
      </c>
      <c r="H136" s="50" t="s">
        <v>360</v>
      </c>
      <c r="I136" s="50"/>
      <c r="J136" s="50" t="s">
        <v>374</v>
      </c>
      <c r="K136" s="50" t="str">
        <f aca="false">IFERROR(VLOOKUP($J136,Catálogos!$M$4:$N$17,2,FALSE()),"")</f>
        <v>Reprogramada · Ausencia justificada del funcionario SEC superior a 15 días</v>
      </c>
      <c r="L136" s="52" t="n">
        <v>46037</v>
      </c>
      <c r="M136" s="50" t="s">
        <v>353</v>
      </c>
      <c r="N136" s="50" t="s">
        <v>253</v>
      </c>
      <c r="O136" s="50"/>
      <c r="P136" s="50"/>
      <c r="Q136" s="50" t="s">
        <v>362</v>
      </c>
    </row>
    <row r="137" customFormat="false" ht="15" hidden="false" customHeight="true" outlineLevel="0" collapsed="false">
      <c r="A137" s="51" t="s">
        <v>493</v>
      </c>
      <c r="B137" s="50" t="str">
        <f aca="false">IFERROR(VLOOKUP($A137,Equipos!$C$2:$M$967,2,FALSE()),"")</f>
        <v>Monitor Multiparámetros</v>
      </c>
      <c r="C137" s="50" t="str">
        <f aca="false">IFERROR(VLOOKUP($A137,Equipos!$C$2:$M$967,9,FALSE()),"")</f>
        <v>5494307158</v>
      </c>
      <c r="D137" s="50" t="str">
        <f aca="false">IFERROR(VLOOKUP($A137,Equipos!$C$2:$M$967,3,FALSE()),"")</f>
        <v>UPC Cardiovascular</v>
      </c>
      <c r="E137" s="50" t="str">
        <f aca="false">IFERROR(VLOOKUP($A137,Equipos!$C$2:$M$967,7,FALSE()),"")</f>
        <v>Drager </v>
      </c>
      <c r="F137" s="50" t="str">
        <f aca="false">IFERROR(VLOOKUP($A137,Equipos!$C$2:$M$967,8,FALSE()),"")</f>
        <v>Infinity Kappa</v>
      </c>
      <c r="G137" s="50" t="s">
        <v>356</v>
      </c>
      <c r="H137" s="50" t="s">
        <v>360</v>
      </c>
      <c r="I137" s="50"/>
      <c r="J137" s="50" t="s">
        <v>374</v>
      </c>
      <c r="K137" s="50" t="str">
        <f aca="false">IFERROR(VLOOKUP($J137,Catálogos!$M$4:$N$17,2,FALSE()),"")</f>
        <v>Reprogramada · Ausencia justificada del funcionario SEC superior a 15 días</v>
      </c>
      <c r="L137" s="52" t="n">
        <v>46037</v>
      </c>
      <c r="M137" s="50" t="s">
        <v>353</v>
      </c>
      <c r="N137" s="50" t="s">
        <v>253</v>
      </c>
      <c r="O137" s="50"/>
      <c r="P137" s="50"/>
      <c r="Q137" s="50" t="s">
        <v>362</v>
      </c>
    </row>
    <row r="138" customFormat="false" ht="15" hidden="false" customHeight="true" outlineLevel="0" collapsed="false">
      <c r="A138" s="51" t="s">
        <v>494</v>
      </c>
      <c r="B138" s="50" t="str">
        <f aca="false">IFERROR(VLOOKUP($A138,Equipos!$C$2:$M$967,2,FALSE()),"")</f>
        <v>Monitor Multiparámetros</v>
      </c>
      <c r="C138" s="50" t="str">
        <f aca="false">IFERROR(VLOOKUP($A138,Equipos!$C$2:$M$967,9,FALSE()),"")</f>
        <v>5494308255</v>
      </c>
      <c r="D138" s="50" t="str">
        <f aca="false">IFERROR(VLOOKUP($A138,Equipos!$C$2:$M$967,3,FALSE()),"")</f>
        <v>UPC Cardiovascular</v>
      </c>
      <c r="E138" s="50" t="str">
        <f aca="false">IFERROR(VLOOKUP($A138,Equipos!$C$2:$M$967,7,FALSE()),"")</f>
        <v>Drager </v>
      </c>
      <c r="F138" s="50" t="str">
        <f aca="false">IFERROR(VLOOKUP($A138,Equipos!$C$2:$M$967,8,FALSE()),"")</f>
        <v>Infinity Kappa</v>
      </c>
      <c r="G138" s="50" t="s">
        <v>356</v>
      </c>
      <c r="H138" s="50" t="s">
        <v>360</v>
      </c>
      <c r="I138" s="50"/>
      <c r="J138" s="50" t="s">
        <v>374</v>
      </c>
      <c r="K138" s="50" t="str">
        <f aca="false">IFERROR(VLOOKUP($J138,Catálogos!$M$4:$N$17,2,FALSE()),"")</f>
        <v>Reprogramada · Ausencia justificada del funcionario SEC superior a 15 días</v>
      </c>
      <c r="L138" s="52" t="n">
        <v>46037</v>
      </c>
      <c r="M138" s="50" t="s">
        <v>353</v>
      </c>
      <c r="N138" s="50" t="s">
        <v>253</v>
      </c>
      <c r="O138" s="50"/>
      <c r="P138" s="50"/>
      <c r="Q138" s="50" t="s">
        <v>362</v>
      </c>
    </row>
    <row r="139" customFormat="false" ht="15" hidden="false" customHeight="true" outlineLevel="0" collapsed="false">
      <c r="A139" s="51" t="s">
        <v>495</v>
      </c>
      <c r="B139" s="50" t="str">
        <f aca="false">IFERROR(VLOOKUP($A139,Equipos!$C$2:$M$967,2,FALSE()),"")</f>
        <v>Monitor Multiparámetros</v>
      </c>
      <c r="C139" s="50" t="str">
        <f aca="false">IFERROR(VLOOKUP($A139,Equipos!$C$2:$M$967,9,FALSE()),"")</f>
        <v>5494273060</v>
      </c>
      <c r="D139" s="50" t="str">
        <f aca="false">IFERROR(VLOOKUP($A139,Equipos!$C$2:$M$967,3,FALSE()),"")</f>
        <v>UPC Cardiovascular</v>
      </c>
      <c r="E139" s="50" t="str">
        <f aca="false">IFERROR(VLOOKUP($A139,Equipos!$C$2:$M$967,7,FALSE()),"")</f>
        <v>Drager </v>
      </c>
      <c r="F139" s="50" t="str">
        <f aca="false">IFERROR(VLOOKUP($A139,Equipos!$C$2:$M$967,8,FALSE()),"")</f>
        <v>Infinity Kappa</v>
      </c>
      <c r="G139" s="50" t="s">
        <v>356</v>
      </c>
      <c r="H139" s="50" t="s">
        <v>360</v>
      </c>
      <c r="I139" s="50"/>
      <c r="J139" s="50" t="s">
        <v>374</v>
      </c>
      <c r="K139" s="50" t="str">
        <f aca="false">IFERROR(VLOOKUP($J139,Catálogos!$M$4:$N$17,2,FALSE()),"")</f>
        <v>Reprogramada · Ausencia justificada del funcionario SEC superior a 15 días</v>
      </c>
      <c r="L139" s="52" t="n">
        <v>46037</v>
      </c>
      <c r="M139" s="50" t="s">
        <v>353</v>
      </c>
      <c r="N139" s="50" t="s">
        <v>253</v>
      </c>
      <c r="O139" s="50"/>
      <c r="P139" s="50"/>
      <c r="Q139" s="50" t="s">
        <v>362</v>
      </c>
    </row>
    <row r="140" customFormat="false" ht="15" hidden="false" customHeight="true" outlineLevel="0" collapsed="false">
      <c r="A140" s="51" t="s">
        <v>496</v>
      </c>
      <c r="B140" s="50" t="str">
        <f aca="false">IFERROR(VLOOKUP($A140,Equipos!$C$2:$M$967,2,FALSE()),"")</f>
        <v>Ventilador Mecánico </v>
      </c>
      <c r="C140" s="50" t="str">
        <f aca="false">IFERROR(VLOOKUP($A140,Equipos!$C$2:$M$967,9,FALSE()),"")</f>
        <v>MTV1KUA1B0031</v>
      </c>
      <c r="D140" s="50" t="str">
        <f aca="false">IFERROR(VLOOKUP($A140,Equipos!$C$2:$M$967,3,FALSE()),"")</f>
        <v>UPC 3er Piso</v>
      </c>
      <c r="E140" s="50" t="str">
        <f aca="false">IFERROR(VLOOKUP($A140,Equipos!$C$2:$M$967,7,FALSE()),"")</f>
        <v>MEK ICS</v>
      </c>
      <c r="F140" s="50" t="str">
        <f aca="false">IFERROR(VLOOKUP($A140,Equipos!$C$2:$M$967,8,FALSE()),"")</f>
        <v>MTV1000</v>
      </c>
      <c r="G140" s="50" t="s">
        <v>356</v>
      </c>
      <c r="H140" s="50" t="s">
        <v>360</v>
      </c>
      <c r="I140" s="50"/>
      <c r="J140" s="50" t="s">
        <v>352</v>
      </c>
      <c r="K140" s="50" t="str">
        <f aca="false">IFERROR(VLOOKUP($J140,Catálogos!$M$4:$N$17,2,FALSE()),"")</f>
        <v>Mantención Preventiva Realizada</v>
      </c>
      <c r="L140" s="52" t="n">
        <v>46037</v>
      </c>
      <c r="M140" s="50" t="s">
        <v>353</v>
      </c>
      <c r="N140" s="50" t="s">
        <v>253</v>
      </c>
      <c r="O140" s="50"/>
      <c r="P140" s="50"/>
      <c r="Q140" s="50" t="s">
        <v>362</v>
      </c>
    </row>
    <row r="141" customFormat="false" ht="15" hidden="false" customHeight="true" outlineLevel="0" collapsed="false">
      <c r="A141" s="51" t="s">
        <v>161</v>
      </c>
      <c r="B141" s="50" t="str">
        <f aca="false">IFERROR(VLOOKUP($A141,Equipos!$C$2:$M$967,2,FALSE()),"")</f>
        <v>Ventilador Mecánico </v>
      </c>
      <c r="C141" s="50" t="str">
        <f aca="false">IFERROR(VLOOKUP($A141,Equipos!$C$2:$M$967,9,FALSE()),"")</f>
        <v>ASFN-0006</v>
      </c>
      <c r="D141" s="50" t="str">
        <f aca="false">IFERROR(VLOOKUP($A141,Equipos!$C$2:$M$967,3,FALSE()),"")</f>
        <v>UPC Adulto</v>
      </c>
      <c r="E141" s="50" t="str">
        <f aca="false">IFERROR(VLOOKUP($A141,Equipos!$C$2:$M$967,7,FALSE()),"")</f>
        <v>Drager</v>
      </c>
      <c r="F141" s="50" t="str">
        <f aca="false">IFERROR(VLOOKUP($A141,Equipos!$C$2:$M$967,8,FALSE()),"")</f>
        <v>Carina </v>
      </c>
      <c r="G141" s="50" t="s">
        <v>356</v>
      </c>
      <c r="H141" s="50" t="s">
        <v>360</v>
      </c>
      <c r="I141" s="50"/>
      <c r="J141" s="50" t="s">
        <v>352</v>
      </c>
      <c r="K141" s="50" t="str">
        <f aca="false">IFERROR(VLOOKUP($J141,Catálogos!$M$4:$N$17,2,FALSE()),"")</f>
        <v>Mantención Preventiva Realizada</v>
      </c>
      <c r="L141" s="52" t="n">
        <v>46037</v>
      </c>
      <c r="M141" s="50" t="s">
        <v>353</v>
      </c>
      <c r="N141" s="50" t="s">
        <v>253</v>
      </c>
      <c r="O141" s="50"/>
      <c r="P141" s="50"/>
      <c r="Q141" s="50" t="s">
        <v>362</v>
      </c>
    </row>
    <row r="142" customFormat="false" ht="15" hidden="false" customHeight="true" outlineLevel="0" collapsed="false">
      <c r="A142" s="51" t="s">
        <v>497</v>
      </c>
      <c r="B142" s="50" t="str">
        <f aca="false">IFERROR(VLOOKUP($A142,Equipos!$C$2:$M$967,2,FALSE()),"")</f>
        <v>Ventilador Mecánico </v>
      </c>
      <c r="C142" s="50" t="str">
        <f aca="false">IFERROR(VLOOKUP($A142,Equipos!$C$2:$M$967,9,FALSE()),"")</f>
        <v>35B2004446</v>
      </c>
      <c r="D142" s="50" t="str">
        <f aca="false">IFERROR(VLOOKUP($A142,Equipos!$C$2:$M$967,3,FALSE()),"")</f>
        <v>UPC Cardiovascular</v>
      </c>
      <c r="E142" s="50" t="str">
        <f aca="false">IFERROR(VLOOKUP($A142,Equipos!$C$2:$M$967,7,FALSE()),"")</f>
        <v>Puritan Bennett</v>
      </c>
      <c r="F142" s="50" t="n">
        <f aca="false">IFERROR(VLOOKUP($A142,Equipos!$C$2:$M$967,8,FALSE()),"")</f>
        <v>980</v>
      </c>
      <c r="G142" s="50" t="s">
        <v>356</v>
      </c>
      <c r="H142" s="50" t="s">
        <v>360</v>
      </c>
      <c r="I142" s="50"/>
      <c r="J142" s="50" t="s">
        <v>352</v>
      </c>
      <c r="K142" s="50" t="str">
        <f aca="false">IFERROR(VLOOKUP($J142,Catálogos!$M$4:$N$17,2,FALSE()),"")</f>
        <v>Mantención Preventiva Realizada</v>
      </c>
      <c r="L142" s="52" t="n">
        <v>46037</v>
      </c>
      <c r="M142" s="50" t="s">
        <v>353</v>
      </c>
      <c r="N142" s="50" t="s">
        <v>253</v>
      </c>
      <c r="O142" s="50"/>
      <c r="P142" s="50"/>
      <c r="Q142" s="50" t="s">
        <v>362</v>
      </c>
    </row>
    <row r="143" customFormat="false" ht="15" hidden="false" customHeight="true" outlineLevel="0" collapsed="false">
      <c r="A143" s="51" t="s">
        <v>498</v>
      </c>
      <c r="B143" s="50" t="str">
        <f aca="false">IFERROR(VLOOKUP($A143,Equipos!$C$2:$M$967,2,FALSE()),"")</f>
        <v>Ventilador Mecánico </v>
      </c>
      <c r="C143" s="50" t="str">
        <f aca="false">IFERROR(VLOOKUP($A143,Equipos!$C$2:$M$967,9,FALSE()),"")</f>
        <v>16124260</v>
      </c>
      <c r="D143" s="50" t="str">
        <f aca="false">IFERROR(VLOOKUP($A143,Equipos!$C$2:$M$967,3,FALSE()),"")</f>
        <v>UPC Adulto</v>
      </c>
      <c r="E143" s="50" t="str">
        <f aca="false">IFERROR(VLOOKUP($A143,Equipos!$C$2:$M$967,7,FALSE()),"")</f>
        <v>Flight Medical</v>
      </c>
      <c r="F143" s="50" t="str">
        <f aca="false">IFERROR(VLOOKUP($A143,Equipos!$C$2:$M$967,8,FALSE()),"")</f>
        <v>Flight 60</v>
      </c>
      <c r="G143" s="50" t="s">
        <v>356</v>
      </c>
      <c r="H143" s="50" t="s">
        <v>360</v>
      </c>
      <c r="I143" s="50"/>
      <c r="J143" s="50" t="s">
        <v>352</v>
      </c>
      <c r="K143" s="50" t="str">
        <f aca="false">IFERROR(VLOOKUP($J143,Catálogos!$M$4:$N$17,2,FALSE()),"")</f>
        <v>Mantención Preventiva Realizada</v>
      </c>
      <c r="L143" s="52" t="n">
        <v>46037</v>
      </c>
      <c r="M143" s="50" t="s">
        <v>353</v>
      </c>
      <c r="N143" s="50" t="s">
        <v>253</v>
      </c>
      <c r="O143" s="50"/>
      <c r="P143" s="50"/>
      <c r="Q143" s="50" t="s">
        <v>362</v>
      </c>
    </row>
    <row r="144" customFormat="false" ht="15" hidden="false" customHeight="true" outlineLevel="0" collapsed="false">
      <c r="A144" s="51" t="s">
        <v>79</v>
      </c>
      <c r="B144" s="50" t="str">
        <f aca="false">IFERROR(VLOOKUP($A144,Equipos!$C$2:$M$967,2,FALSE()),"")</f>
        <v>DEA</v>
      </c>
      <c r="C144" s="50" t="str">
        <f aca="false">IFERROR(VLOOKUP($A144,Equipos!$C$2:$M$967,9,FALSE()),"")</f>
        <v>X21A332744</v>
      </c>
      <c r="D144" s="50" t="str">
        <f aca="false">IFERROR(VLOOKUP($A144,Equipos!$C$2:$M$967,3,FALSE()),"")</f>
        <v>Gestión de Pacientes</v>
      </c>
      <c r="E144" s="50" t="str">
        <f aca="false">IFERROR(VLOOKUP($A144,Equipos!$C$2:$M$967,7,FALSE()),"")</f>
        <v>Zoll</v>
      </c>
      <c r="F144" s="50" t="str">
        <f aca="false">IFERROR(VLOOKUP($A144,Equipos!$C$2:$M$967,8,FALSE()),"")</f>
        <v>AEDPLUS</v>
      </c>
      <c r="G144" s="50" t="s">
        <v>356</v>
      </c>
      <c r="H144" s="50" t="s">
        <v>360</v>
      </c>
      <c r="I144" s="50"/>
      <c r="J144" s="50" t="s">
        <v>352</v>
      </c>
      <c r="K144" s="50" t="str">
        <f aca="false">IFERROR(VLOOKUP($J144,Catálogos!$M$4:$N$17,2,FALSE()),"")</f>
        <v>Mantención Preventiva Realizada</v>
      </c>
      <c r="L144" s="52" t="n">
        <v>46037</v>
      </c>
      <c r="M144" s="50" t="s">
        <v>353</v>
      </c>
      <c r="N144" s="50" t="s">
        <v>253</v>
      </c>
      <c r="O144" s="50"/>
      <c r="P144" s="50"/>
      <c r="Q144" s="50" t="s">
        <v>362</v>
      </c>
    </row>
    <row r="145" customFormat="false" ht="15" hidden="false" customHeight="true" outlineLevel="0" collapsed="false">
      <c r="A145" s="51" t="s">
        <v>76</v>
      </c>
      <c r="B145" s="50" t="str">
        <f aca="false">IFERROR(VLOOKUP($A145,Equipos!$C$2:$M$967,2,FALSE()),"")</f>
        <v>DEA</v>
      </c>
      <c r="C145" s="50" t="str">
        <f aca="false">IFERROR(VLOOKUP($A145,Equipos!$C$2:$M$967,9,FALSE()),"")</f>
        <v>13036</v>
      </c>
      <c r="D145" s="50" t="str">
        <f aca="false">IFERROR(VLOOKUP($A145,Equipos!$C$2:$M$967,3,FALSE()),"")</f>
        <v>SAMU</v>
      </c>
      <c r="E145" s="50" t="str">
        <f aca="false">IFERROR(VLOOKUP($A145,Equipos!$C$2:$M$967,7,FALSE()),"")</f>
        <v>Nihon Kohden</v>
      </c>
      <c r="F145" s="50" t="str">
        <f aca="false">IFERROR(VLOOKUP($A145,Equipos!$C$2:$M$967,8,FALSE()),"")</f>
        <v>AED-3100K</v>
      </c>
      <c r="G145" s="50" t="s">
        <v>356</v>
      </c>
      <c r="H145" s="50" t="s">
        <v>360</v>
      </c>
      <c r="I145" s="50"/>
      <c r="J145" s="50" t="s">
        <v>352</v>
      </c>
      <c r="K145" s="50" t="str">
        <f aca="false">IFERROR(VLOOKUP($J145,Catálogos!$M$4:$N$17,2,FALSE()),"")</f>
        <v>Mantención Preventiva Realizada</v>
      </c>
      <c r="L145" s="52" t="n">
        <v>46037</v>
      </c>
      <c r="M145" s="50" t="s">
        <v>353</v>
      </c>
      <c r="N145" s="50" t="s">
        <v>253</v>
      </c>
      <c r="O145" s="50"/>
      <c r="P145" s="50"/>
      <c r="Q145" s="50" t="s">
        <v>362</v>
      </c>
    </row>
    <row r="146" customFormat="false" ht="15" hidden="false" customHeight="true" outlineLevel="0" collapsed="false">
      <c r="A146" s="51" t="s">
        <v>499</v>
      </c>
      <c r="B146" s="50" t="str">
        <f aca="false">IFERROR(VLOOKUP($A146,Equipos!$C$2:$M$967,2,FALSE()),"")</f>
        <v>Desfibrilador</v>
      </c>
      <c r="C146" s="50" t="str">
        <f aca="false">IFERROR(VLOOKUP($A146,Equipos!$C$2:$M$967,9,FALSE()),"")</f>
        <v>(21)AF19F099447</v>
      </c>
      <c r="D146" s="50" t="str">
        <f aca="false">IFERROR(VLOOKUP($A146,Equipos!$C$2:$M$967,3,FALSE()),"")</f>
        <v>UPC Cardiovascular</v>
      </c>
      <c r="E146" s="50" t="str">
        <f aca="false">IFERROR(VLOOKUP($A146,Equipos!$C$2:$M$967,7,FALSE()),"")</f>
        <v>Zoll</v>
      </c>
      <c r="F146" s="50" t="str">
        <f aca="false">IFERROR(VLOOKUP($A146,Equipos!$C$2:$M$967,8,FALSE()),"")</f>
        <v>R SERIES ALS</v>
      </c>
      <c r="G146" s="50" t="s">
        <v>356</v>
      </c>
      <c r="H146" s="50" t="s">
        <v>360</v>
      </c>
      <c r="I146" s="50"/>
      <c r="J146" s="50" t="s">
        <v>332</v>
      </c>
      <c r="K146" s="50" t="str">
        <f aca="false">IFERROR(VLOOKUP($J146,Catálogos!$M$4:$N$17,2,FALSE()),"")</f>
        <v>Reprogramada · Equipo en servicio técnico</v>
      </c>
      <c r="L146" s="52" t="n">
        <v>46037</v>
      </c>
      <c r="M146" s="50" t="s">
        <v>6</v>
      </c>
      <c r="N146" s="50" t="s">
        <v>253</v>
      </c>
      <c r="O146" s="50"/>
      <c r="P146" s="50"/>
      <c r="Q146" s="50" t="s">
        <v>362</v>
      </c>
    </row>
    <row r="147" customFormat="false" ht="15" hidden="false" customHeight="true" outlineLevel="0" collapsed="false">
      <c r="A147" s="51" t="s">
        <v>500</v>
      </c>
      <c r="B147" s="50" t="str">
        <f aca="false">IFERROR(VLOOKUP($A147,Equipos!$C$2:$M$967,2,FALSE()),"")</f>
        <v>Desfibrilador</v>
      </c>
      <c r="C147" s="50" t="str">
        <f aca="false">IFERROR(VLOOKUP($A147,Equipos!$C$2:$M$967,9,FALSE()),"")</f>
        <v>(21)AF19F099428</v>
      </c>
      <c r="D147" s="50" t="str">
        <f aca="false">IFERROR(VLOOKUP($A147,Equipos!$C$2:$M$967,3,FALSE()),"")</f>
        <v>UPC Pediátrica</v>
      </c>
      <c r="E147" s="50" t="str">
        <f aca="false">IFERROR(VLOOKUP($A147,Equipos!$C$2:$M$967,7,FALSE()),"")</f>
        <v>Zoll</v>
      </c>
      <c r="F147" s="50" t="str">
        <f aca="false">IFERROR(VLOOKUP($A147,Equipos!$C$2:$M$967,8,FALSE()),"")</f>
        <v>R SERIES ALS</v>
      </c>
      <c r="G147" s="50" t="s">
        <v>356</v>
      </c>
      <c r="H147" s="50" t="s">
        <v>360</v>
      </c>
      <c r="I147" s="50"/>
      <c r="J147" s="50" t="s">
        <v>352</v>
      </c>
      <c r="K147" s="50" t="str">
        <f aca="false">IFERROR(VLOOKUP($J147,Catálogos!$M$4:$N$17,2,FALSE()),"")</f>
        <v>Mantención Preventiva Realizada</v>
      </c>
      <c r="L147" s="52" t="n">
        <v>46037</v>
      </c>
      <c r="M147" s="50" t="s">
        <v>353</v>
      </c>
      <c r="N147" s="50" t="s">
        <v>253</v>
      </c>
      <c r="O147" s="50"/>
      <c r="P147" s="50"/>
      <c r="Q147" s="50" t="s">
        <v>362</v>
      </c>
    </row>
    <row r="148" customFormat="false" ht="15" hidden="false" customHeight="true" outlineLevel="0" collapsed="false">
      <c r="A148" s="51" t="s">
        <v>501</v>
      </c>
      <c r="B148" s="50" t="str">
        <f aca="false">IFERROR(VLOOKUP($A148,Equipos!$C$2:$M$967,2,FALSE()),"")</f>
        <v>Desfibrilador</v>
      </c>
      <c r="C148" s="50" t="str">
        <f aca="false">IFERROR(VLOOKUP($A148,Equipos!$C$2:$M$967,9,FALSE()),"")</f>
        <v>(21)AF19F099451</v>
      </c>
      <c r="D148" s="50" t="str">
        <f aca="false">IFERROR(VLOOKUP($A148,Equipos!$C$2:$M$967,3,FALSE()),"")</f>
        <v>UPC Pediátrica </v>
      </c>
      <c r="E148" s="50" t="str">
        <f aca="false">IFERROR(VLOOKUP($A148,Equipos!$C$2:$M$967,7,FALSE()),"")</f>
        <v>Zoll</v>
      </c>
      <c r="F148" s="50" t="str">
        <f aca="false">IFERROR(VLOOKUP($A148,Equipos!$C$2:$M$967,8,FALSE()),"")</f>
        <v>R SERIES ALS</v>
      </c>
      <c r="G148" s="50" t="s">
        <v>356</v>
      </c>
      <c r="H148" s="50" t="s">
        <v>360</v>
      </c>
      <c r="I148" s="50"/>
      <c r="J148" s="50" t="s">
        <v>352</v>
      </c>
      <c r="K148" s="50" t="str">
        <f aca="false">IFERROR(VLOOKUP($J148,Catálogos!$M$4:$N$17,2,FALSE()),"")</f>
        <v>Mantención Preventiva Realizada</v>
      </c>
      <c r="L148" s="52" t="n">
        <v>46037</v>
      </c>
      <c r="M148" s="50" t="s">
        <v>353</v>
      </c>
      <c r="N148" s="50" t="s">
        <v>253</v>
      </c>
      <c r="O148" s="50"/>
      <c r="P148" s="50"/>
      <c r="Q148" s="50" t="s">
        <v>362</v>
      </c>
    </row>
    <row r="149" customFormat="false" ht="15" hidden="false" customHeight="true" outlineLevel="0" collapsed="false">
      <c r="A149" s="51" t="s">
        <v>502</v>
      </c>
      <c r="B149" s="50" t="str">
        <f aca="false">IFERROR(VLOOKUP($A149,Equipos!$C$2:$M$967,2,FALSE()),"")</f>
        <v>Desfibrilador</v>
      </c>
      <c r="C149" s="50" t="str">
        <f aca="false">IFERROR(VLOOKUP($A149,Equipos!$C$2:$M$967,9,FALSE()),"")</f>
        <v>(21)AF14J041081</v>
      </c>
      <c r="D149" s="50" t="str">
        <f aca="false">IFERROR(VLOOKUP($A149,Equipos!$C$2:$M$967,3,FALSE()),"")</f>
        <v>UPC Cardiovascular</v>
      </c>
      <c r="E149" s="50" t="str">
        <f aca="false">IFERROR(VLOOKUP($A149,Equipos!$C$2:$M$967,7,FALSE()),"")</f>
        <v>Zoll </v>
      </c>
      <c r="F149" s="50" t="str">
        <f aca="false">IFERROR(VLOOKUP($A149,Equipos!$C$2:$M$967,8,FALSE()),"")</f>
        <v>R SERIES ALS</v>
      </c>
      <c r="G149" s="50" t="s">
        <v>356</v>
      </c>
      <c r="H149" s="50" t="s">
        <v>360</v>
      </c>
      <c r="I149" s="50"/>
      <c r="J149" s="50" t="s">
        <v>352</v>
      </c>
      <c r="K149" s="50" t="str">
        <f aca="false">IFERROR(VLOOKUP($J149,Catálogos!$M$4:$N$17,2,FALSE()),"")</f>
        <v>Mantención Preventiva Realizada</v>
      </c>
      <c r="L149" s="52" t="n">
        <v>46037</v>
      </c>
      <c r="M149" s="50" t="s">
        <v>353</v>
      </c>
      <c r="N149" s="50" t="s">
        <v>253</v>
      </c>
      <c r="O149" s="50"/>
      <c r="P149" s="50"/>
      <c r="Q149" s="50" t="s">
        <v>362</v>
      </c>
    </row>
    <row r="150" customFormat="false" ht="15" hidden="false" customHeight="true" outlineLevel="0" collapsed="false">
      <c r="A150" s="51" t="s">
        <v>71</v>
      </c>
      <c r="B150" s="50" t="str">
        <f aca="false">IFERROR(VLOOKUP($A150,Equipos!$C$2:$M$967,2,FALSE()),"")</f>
        <v>DEA</v>
      </c>
      <c r="C150" s="50" t="str">
        <f aca="false">IFERROR(VLOOKUP($A150,Equipos!$C$2:$M$967,9,FALSE()),"")</f>
        <v>40361</v>
      </c>
      <c r="D150" s="50" t="str">
        <f aca="false">IFERROR(VLOOKUP($A150,Equipos!$C$2:$M$967,3,FALSE()),"")</f>
        <v>CDT</v>
      </c>
      <c r="E150" s="50" t="str">
        <f aca="false">IFERROR(VLOOKUP($A150,Equipos!$C$2:$M$967,7,FALSE()),"")</f>
        <v>Nihon Kohden</v>
      </c>
      <c r="F150" s="50" t="str">
        <f aca="false">IFERROR(VLOOKUP($A150,Equipos!$C$2:$M$967,8,FALSE()),"")</f>
        <v>AED-3100K</v>
      </c>
      <c r="G150" s="50" t="s">
        <v>356</v>
      </c>
      <c r="H150" s="50" t="s">
        <v>360</v>
      </c>
      <c r="I150" s="50"/>
      <c r="J150" s="50" t="s">
        <v>352</v>
      </c>
      <c r="K150" s="50" t="str">
        <f aca="false">IFERROR(VLOOKUP($J150,Catálogos!$M$4:$N$17,2,FALSE()),"")</f>
        <v>Mantención Preventiva Realizada</v>
      </c>
      <c r="L150" s="52" t="n">
        <v>46037</v>
      </c>
      <c r="M150" s="50" t="s">
        <v>353</v>
      </c>
      <c r="N150" s="50" t="s">
        <v>253</v>
      </c>
      <c r="O150" s="50"/>
      <c r="P150" s="50"/>
      <c r="Q150" s="50" t="s">
        <v>362</v>
      </c>
    </row>
    <row r="151" customFormat="false" ht="15" hidden="false" customHeight="true" outlineLevel="0" collapsed="false">
      <c r="A151" s="51" t="s">
        <v>68</v>
      </c>
      <c r="B151" s="50" t="str">
        <f aca="false">IFERROR(VLOOKUP($A151,Equipos!$C$2:$M$967,2,FALSE()),"")</f>
        <v>DEA</v>
      </c>
      <c r="C151" s="50" t="str">
        <f aca="false">IFERROR(VLOOKUP($A151,Equipos!$C$2:$M$967,9,FALSE()),"")</f>
        <v>122002985</v>
      </c>
      <c r="D151" s="50" t="str">
        <f aca="false">IFERROR(VLOOKUP($A151,Equipos!$C$2:$M$967,3,FALSE()),"")</f>
        <v>Prevención de Riesgos</v>
      </c>
      <c r="E151" s="50" t="str">
        <f aca="false">IFERROR(VLOOKUP($A151,Equipos!$C$2:$M$967,7,FALSE()),"")</f>
        <v>DEFIBTECH</v>
      </c>
      <c r="F151" s="50" t="str">
        <f aca="false">IFERROR(VLOOKUP($A151,Equipos!$C$2:$M$967,8,FALSE()),"")</f>
        <v>LIFE LINE </v>
      </c>
      <c r="G151" s="50" t="s">
        <v>356</v>
      </c>
      <c r="H151" s="50" t="s">
        <v>360</v>
      </c>
      <c r="I151" s="50"/>
      <c r="J151" s="50" t="s">
        <v>352</v>
      </c>
      <c r="K151" s="50" t="str">
        <f aca="false">IFERROR(VLOOKUP($J151,Catálogos!$M$4:$N$17,2,FALSE()),"")</f>
        <v>Mantención Preventiva Realizada</v>
      </c>
      <c r="L151" s="52" t="n">
        <v>46037</v>
      </c>
      <c r="M151" s="50" t="s">
        <v>353</v>
      </c>
      <c r="N151" s="50" t="s">
        <v>253</v>
      </c>
      <c r="O151" s="50"/>
      <c r="P151" s="50"/>
      <c r="Q151" s="50" t="s">
        <v>362</v>
      </c>
    </row>
    <row r="152" customFormat="false" ht="15" hidden="false" customHeight="true" outlineLevel="0" collapsed="false">
      <c r="A152" s="51" t="s">
        <v>105</v>
      </c>
      <c r="B152" s="50" t="str">
        <f aca="false">IFERROR(VLOOKUP($A152,Equipos!$C$2:$M$967,2,FALSE()),"")</f>
        <v>DEA</v>
      </c>
      <c r="C152" s="50" t="str">
        <f aca="false">IFERROR(VLOOKUP($A152,Equipos!$C$2:$M$967,9,FALSE()),"")</f>
        <v>122002988</v>
      </c>
      <c r="D152" s="50" t="str">
        <f aca="false">IFERROR(VLOOKUP($A152,Equipos!$C$2:$M$967,3,FALSE()),"")</f>
        <v>Prevención de Riesgos</v>
      </c>
      <c r="E152" s="50" t="str">
        <f aca="false">IFERROR(VLOOKUP($A152,Equipos!$C$2:$M$967,7,FALSE()),"")</f>
        <v>DEFIBTECH</v>
      </c>
      <c r="F152" s="50" t="str">
        <f aca="false">IFERROR(VLOOKUP($A152,Equipos!$C$2:$M$967,8,FALSE()),"")</f>
        <v>LIFE LINE </v>
      </c>
      <c r="G152" s="50" t="s">
        <v>356</v>
      </c>
      <c r="H152" s="50" t="s">
        <v>360</v>
      </c>
      <c r="I152" s="50"/>
      <c r="J152" s="50" t="s">
        <v>352</v>
      </c>
      <c r="K152" s="50" t="str">
        <f aca="false">IFERROR(VLOOKUP($J152,Catálogos!$M$4:$N$17,2,FALSE()),"")</f>
        <v>Mantención Preventiva Realizada</v>
      </c>
      <c r="L152" s="52" t="n">
        <v>46037</v>
      </c>
      <c r="M152" s="50" t="s">
        <v>353</v>
      </c>
      <c r="N152" s="50" t="s">
        <v>253</v>
      </c>
      <c r="O152" s="50"/>
      <c r="P152" s="50"/>
      <c r="Q152" s="50" t="s">
        <v>362</v>
      </c>
    </row>
    <row r="153" customFormat="false" ht="15" hidden="false" customHeight="true" outlineLevel="0" collapsed="false">
      <c r="A153" s="51" t="s">
        <v>207</v>
      </c>
      <c r="B153" s="50" t="str">
        <f aca="false">IFERROR(VLOOKUP($A153,Equipos!$C$2:$M$967,2,FALSE()),"")</f>
        <v>DEA</v>
      </c>
      <c r="C153" s="50" t="str">
        <f aca="false">IFERROR(VLOOKUP($A153,Equipos!$C$2:$M$967,9,FALSE()),"")</f>
        <v>122002983</v>
      </c>
      <c r="D153" s="50" t="str">
        <f aca="false">IFERROR(VLOOKUP($A153,Equipos!$C$2:$M$967,3,FALSE()),"")</f>
        <v>Prevención de Riesgos</v>
      </c>
      <c r="E153" s="50" t="str">
        <f aca="false">IFERROR(VLOOKUP($A153,Equipos!$C$2:$M$967,7,FALSE()),"")</f>
        <v>DEFIBTECH</v>
      </c>
      <c r="F153" s="50" t="str">
        <f aca="false">IFERROR(VLOOKUP($A153,Equipos!$C$2:$M$967,8,FALSE()),"")</f>
        <v>LIFE LINE </v>
      </c>
      <c r="G153" s="50" t="s">
        <v>356</v>
      </c>
      <c r="H153" s="50" t="s">
        <v>360</v>
      </c>
      <c r="I153" s="50"/>
      <c r="J153" s="50" t="s">
        <v>352</v>
      </c>
      <c r="K153" s="50" t="str">
        <f aca="false">IFERROR(VLOOKUP($J153,Catálogos!$M$4:$N$17,2,FALSE()),"")</f>
        <v>Mantención Preventiva Realizada</v>
      </c>
      <c r="L153" s="52" t="n">
        <v>46037</v>
      </c>
      <c r="M153" s="50" t="s">
        <v>353</v>
      </c>
      <c r="N153" s="50" t="s">
        <v>253</v>
      </c>
      <c r="O153" s="50"/>
      <c r="P153" s="50"/>
      <c r="Q153" s="50" t="s">
        <v>362</v>
      </c>
    </row>
    <row r="154" customFormat="false" ht="15" hidden="false" customHeight="true" outlineLevel="0" collapsed="false">
      <c r="A154" s="51" t="s">
        <v>102</v>
      </c>
      <c r="B154" s="50" t="str">
        <f aca="false">IFERROR(VLOOKUP($A154,Equipos!$C$2:$M$967,2,FALSE()),"")</f>
        <v>DEA</v>
      </c>
      <c r="C154" s="50" t="str">
        <f aca="false">IFERROR(VLOOKUP($A154,Equipos!$C$2:$M$967,9,FALSE()),"")</f>
        <v>122002981</v>
      </c>
      <c r="D154" s="50" t="str">
        <f aca="false">IFERROR(VLOOKUP($A154,Equipos!$C$2:$M$967,3,FALSE()),"")</f>
        <v>Prevención de Riesgos</v>
      </c>
      <c r="E154" s="50" t="str">
        <f aca="false">IFERROR(VLOOKUP($A154,Equipos!$C$2:$M$967,7,FALSE()),"")</f>
        <v>DEFIBTECH</v>
      </c>
      <c r="F154" s="50" t="str">
        <f aca="false">IFERROR(VLOOKUP($A154,Equipos!$C$2:$M$967,8,FALSE()),"")</f>
        <v>LIFE LINE </v>
      </c>
      <c r="G154" s="50" t="s">
        <v>356</v>
      </c>
      <c r="H154" s="50" t="s">
        <v>360</v>
      </c>
      <c r="I154" s="50"/>
      <c r="J154" s="50" t="s">
        <v>352</v>
      </c>
      <c r="K154" s="50" t="str">
        <f aca="false">IFERROR(VLOOKUP($J154,Catálogos!$M$4:$N$17,2,FALSE()),"")</f>
        <v>Mantención Preventiva Realizada</v>
      </c>
      <c r="L154" s="52" t="n">
        <v>46037</v>
      </c>
      <c r="M154" s="50" t="s">
        <v>353</v>
      </c>
      <c r="N154" s="50" t="s">
        <v>253</v>
      </c>
      <c r="O154" s="50"/>
      <c r="P154" s="50"/>
      <c r="Q154" s="50" t="s">
        <v>362</v>
      </c>
    </row>
    <row r="155" customFormat="false" ht="15" hidden="false" customHeight="true" outlineLevel="0" collapsed="false">
      <c r="A155" s="51" t="s">
        <v>99</v>
      </c>
      <c r="B155" s="50" t="str">
        <f aca="false">IFERROR(VLOOKUP($A155,Equipos!$C$2:$M$967,2,FALSE()),"")</f>
        <v>DEA</v>
      </c>
      <c r="C155" s="50" t="str">
        <f aca="false">IFERROR(VLOOKUP($A155,Equipos!$C$2:$M$967,9,FALSE()),"")</f>
        <v>122003000</v>
      </c>
      <c r="D155" s="50" t="str">
        <f aca="false">IFERROR(VLOOKUP($A155,Equipos!$C$2:$M$967,3,FALSE()),"")</f>
        <v>Prevención de Riesgos (Urgencia Adulto)</v>
      </c>
      <c r="E155" s="50" t="str">
        <f aca="false">IFERROR(VLOOKUP($A155,Equipos!$C$2:$M$967,7,FALSE()),"")</f>
        <v>DEFIBTECH</v>
      </c>
      <c r="F155" s="50" t="str">
        <f aca="false">IFERROR(VLOOKUP($A155,Equipos!$C$2:$M$967,8,FALSE()),"")</f>
        <v>LIFE LINE </v>
      </c>
      <c r="G155" s="50" t="s">
        <v>356</v>
      </c>
      <c r="H155" s="50" t="s">
        <v>360</v>
      </c>
      <c r="I155" s="50"/>
      <c r="J155" s="50" t="s">
        <v>352</v>
      </c>
      <c r="K155" s="50" t="str">
        <f aca="false">IFERROR(VLOOKUP($J155,Catálogos!$M$4:$N$17,2,FALSE()),"")</f>
        <v>Mantención Preventiva Realizada</v>
      </c>
      <c r="L155" s="52" t="n">
        <v>46037</v>
      </c>
      <c r="M155" s="50" t="s">
        <v>353</v>
      </c>
      <c r="N155" s="50" t="s">
        <v>253</v>
      </c>
      <c r="O155" s="50"/>
      <c r="P155" s="50"/>
      <c r="Q155" s="50" t="s">
        <v>362</v>
      </c>
    </row>
    <row r="156" customFormat="false" ht="15" hidden="false" customHeight="true" outlineLevel="0" collapsed="false">
      <c r="A156" s="51" t="s">
        <v>95</v>
      </c>
      <c r="B156" s="50" t="str">
        <f aca="false">IFERROR(VLOOKUP($A156,Equipos!$C$2:$M$967,2,FALSE()),"")</f>
        <v>DEA</v>
      </c>
      <c r="C156" s="50" t="str">
        <f aca="false">IFERROR(VLOOKUP($A156,Equipos!$C$2:$M$967,9,FALSE()),"")</f>
        <v>122002995</v>
      </c>
      <c r="D156" s="50" t="str">
        <f aca="false">IFERROR(VLOOKUP($A156,Equipos!$C$2:$M$967,3,FALSE()),"")</f>
        <v>Prevención de Riesgos</v>
      </c>
      <c r="E156" s="50" t="str">
        <f aca="false">IFERROR(VLOOKUP($A156,Equipos!$C$2:$M$967,7,FALSE()),"")</f>
        <v>DEFIBTECH</v>
      </c>
      <c r="F156" s="50" t="str">
        <f aca="false">IFERROR(VLOOKUP($A156,Equipos!$C$2:$M$967,8,FALSE()),"")</f>
        <v>LIFE LINE </v>
      </c>
      <c r="G156" s="50" t="s">
        <v>356</v>
      </c>
      <c r="H156" s="50" t="s">
        <v>360</v>
      </c>
      <c r="I156" s="50"/>
      <c r="J156" s="50" t="s">
        <v>352</v>
      </c>
      <c r="K156" s="50" t="str">
        <f aca="false">IFERROR(VLOOKUP($J156,Catálogos!$M$4:$N$17,2,FALSE()),"")</f>
        <v>Mantención Preventiva Realizada</v>
      </c>
      <c r="L156" s="52" t="n">
        <v>46037</v>
      </c>
      <c r="M156" s="50" t="s">
        <v>353</v>
      </c>
      <c r="N156" s="50" t="s">
        <v>253</v>
      </c>
      <c r="O156" s="50"/>
      <c r="P156" s="50"/>
      <c r="Q156" s="50" t="s">
        <v>362</v>
      </c>
    </row>
    <row r="157" customFormat="false" ht="15" hidden="false" customHeight="true" outlineLevel="0" collapsed="false">
      <c r="A157" s="51" t="s">
        <v>92</v>
      </c>
      <c r="B157" s="50" t="str">
        <f aca="false">IFERROR(VLOOKUP($A157,Equipos!$C$2:$M$967,2,FALSE()),"")</f>
        <v>DEA</v>
      </c>
      <c r="C157" s="50" t="str">
        <f aca="false">IFERROR(VLOOKUP($A157,Equipos!$C$2:$M$967,9,FALSE()),"")</f>
        <v>122003001</v>
      </c>
      <c r="D157" s="50" t="str">
        <f aca="false">IFERROR(VLOOKUP($A157,Equipos!$C$2:$M$967,3,FALSE()),"")</f>
        <v>Prevención de Riesgos</v>
      </c>
      <c r="E157" s="50" t="str">
        <f aca="false">IFERROR(VLOOKUP($A157,Equipos!$C$2:$M$967,7,FALSE()),"")</f>
        <v>DEFIBTECH</v>
      </c>
      <c r="F157" s="50" t="str">
        <f aca="false">IFERROR(VLOOKUP($A157,Equipos!$C$2:$M$967,8,FALSE()),"")</f>
        <v>LIFE LINE </v>
      </c>
      <c r="G157" s="50" t="s">
        <v>356</v>
      </c>
      <c r="H157" s="50" t="s">
        <v>360</v>
      </c>
      <c r="I157" s="50"/>
      <c r="J157" s="50" t="s">
        <v>352</v>
      </c>
      <c r="K157" s="50" t="str">
        <f aca="false">IFERROR(VLOOKUP($J157,Catálogos!$M$4:$N$17,2,FALSE()),"")</f>
        <v>Mantención Preventiva Realizada</v>
      </c>
      <c r="L157" s="52" t="n">
        <v>46037</v>
      </c>
      <c r="M157" s="50" t="s">
        <v>353</v>
      </c>
      <c r="N157" s="50" t="s">
        <v>253</v>
      </c>
      <c r="O157" s="50"/>
      <c r="P157" s="50"/>
      <c r="Q157" s="50" t="s">
        <v>362</v>
      </c>
    </row>
    <row r="158" customFormat="false" ht="15" hidden="false" customHeight="true" outlineLevel="0" collapsed="false">
      <c r="A158" s="51" t="s">
        <v>83</v>
      </c>
      <c r="B158" s="50" t="str">
        <f aca="false">IFERROR(VLOOKUP($A158,Equipos!$C$2:$M$967,2,FALSE()),"")</f>
        <v>DEA</v>
      </c>
      <c r="C158" s="50" t="str">
        <f aca="false">IFERROR(VLOOKUP($A158,Equipos!$C$2:$M$967,9,FALSE()),"")</f>
        <v>122002994</v>
      </c>
      <c r="D158" s="50" t="str">
        <f aca="false">IFERROR(VLOOKUP($A158,Equipos!$C$2:$M$967,3,FALSE()),"")</f>
        <v>Prevención de Riesgos</v>
      </c>
      <c r="E158" s="50" t="str">
        <f aca="false">IFERROR(VLOOKUP($A158,Equipos!$C$2:$M$967,7,FALSE()),"")</f>
        <v>DEFIBTECH</v>
      </c>
      <c r="F158" s="50" t="str">
        <f aca="false">IFERROR(VLOOKUP($A158,Equipos!$C$2:$M$967,8,FALSE()),"")</f>
        <v>LIFE LINE </v>
      </c>
      <c r="G158" s="50" t="s">
        <v>356</v>
      </c>
      <c r="H158" s="50" t="s">
        <v>360</v>
      </c>
      <c r="I158" s="50"/>
      <c r="J158" s="50" t="s">
        <v>352</v>
      </c>
      <c r="K158" s="50" t="str">
        <f aca="false">IFERROR(VLOOKUP($J158,Catálogos!$M$4:$N$17,2,FALSE()),"")</f>
        <v>Mantención Preventiva Realizada</v>
      </c>
      <c r="L158" s="52" t="n">
        <v>46037</v>
      </c>
      <c r="M158" s="50" t="s">
        <v>353</v>
      </c>
      <c r="N158" s="50" t="s">
        <v>253</v>
      </c>
      <c r="O158" s="50"/>
      <c r="P158" s="50"/>
      <c r="Q158" s="50" t="s">
        <v>362</v>
      </c>
    </row>
    <row r="159" customFormat="false" ht="15" hidden="false" customHeight="true" outlineLevel="0" collapsed="false">
      <c r="A159" s="51" t="s">
        <v>89</v>
      </c>
      <c r="B159" s="50" t="str">
        <f aca="false">IFERROR(VLOOKUP($A159,Equipos!$C$2:$M$967,2,FALSE()),"")</f>
        <v>DEA</v>
      </c>
      <c r="C159" s="50" t="str">
        <f aca="false">IFERROR(VLOOKUP($A159,Equipos!$C$2:$M$967,9,FALSE()),"")</f>
        <v>40422</v>
      </c>
      <c r="D159" s="50" t="str">
        <f aca="false">IFERROR(VLOOKUP($A159,Equipos!$C$2:$M$967,3,FALSE()),"")</f>
        <v>CDT</v>
      </c>
      <c r="E159" s="50" t="str">
        <f aca="false">IFERROR(VLOOKUP($A159,Equipos!$C$2:$M$967,7,FALSE()),"")</f>
        <v>Nihon Kohden</v>
      </c>
      <c r="F159" s="50" t="str">
        <f aca="false">IFERROR(VLOOKUP($A159,Equipos!$C$2:$M$967,8,FALSE()),"")</f>
        <v>AED-3100K</v>
      </c>
      <c r="G159" s="50" t="s">
        <v>356</v>
      </c>
      <c r="H159" s="50" t="s">
        <v>360</v>
      </c>
      <c r="I159" s="50"/>
      <c r="J159" s="50" t="s">
        <v>352</v>
      </c>
      <c r="K159" s="50" t="str">
        <f aca="false">IFERROR(VLOOKUP($J159,Catálogos!$M$4:$N$17,2,FALSE()),"")</f>
        <v>Mantención Preventiva Realizada</v>
      </c>
      <c r="L159" s="52" t="n">
        <v>46037</v>
      </c>
      <c r="M159" s="50" t="s">
        <v>353</v>
      </c>
      <c r="N159" s="50" t="s">
        <v>253</v>
      </c>
      <c r="O159" s="50"/>
      <c r="P159" s="50"/>
      <c r="Q159" s="50" t="s">
        <v>362</v>
      </c>
    </row>
    <row r="160" customFormat="false" ht="15" hidden="false" customHeight="true" outlineLevel="0" collapsed="false">
      <c r="A160" s="51" t="s">
        <v>86</v>
      </c>
      <c r="B160" s="50" t="str">
        <f aca="false">IFERROR(VLOOKUP($A160,Equipos!$C$2:$M$967,2,FALSE()),"")</f>
        <v>DEA</v>
      </c>
      <c r="C160" s="50" t="str">
        <f aca="false">IFERROR(VLOOKUP($A160,Equipos!$C$2:$M$967,9,FALSE()),"")</f>
        <v>AE7-24048210</v>
      </c>
      <c r="D160" s="50" t="str">
        <f aca="false">IFERROR(VLOOKUP($A160,Equipos!$C$2:$M$967,3,FALSE()),"")</f>
        <v>Gestión de Pacientes</v>
      </c>
      <c r="E160" s="50" t="str">
        <f aca="false">IFERROR(VLOOKUP($A160,Equipos!$C$2:$M$967,7,FALSE()),"")</f>
        <v>Mindray</v>
      </c>
      <c r="F160" s="50" t="str">
        <f aca="false">IFERROR(VLOOKUP($A160,Equipos!$C$2:$M$967,8,FALSE()),"")</f>
        <v>BeneHeart C2</v>
      </c>
      <c r="G160" s="50" t="s">
        <v>356</v>
      </c>
      <c r="H160" s="50" t="s">
        <v>360</v>
      </c>
      <c r="I160" s="50"/>
      <c r="J160" s="50" t="s">
        <v>352</v>
      </c>
      <c r="K160" s="50" t="str">
        <f aca="false">IFERROR(VLOOKUP($J160,Catálogos!$M$4:$N$17,2,FALSE()),"")</f>
        <v>Mantención Preventiva Realizada</v>
      </c>
      <c r="L160" s="52" t="n">
        <v>46037</v>
      </c>
      <c r="M160" s="50" t="s">
        <v>353</v>
      </c>
      <c r="N160" s="50" t="s">
        <v>253</v>
      </c>
      <c r="O160" s="50"/>
      <c r="P160" s="50"/>
      <c r="Q160" s="50" t="s">
        <v>362</v>
      </c>
    </row>
    <row r="161" customFormat="false" ht="15" hidden="false" customHeight="true" outlineLevel="0" collapsed="false">
      <c r="A161" s="51" t="s">
        <v>58</v>
      </c>
      <c r="B161" s="50" t="str">
        <f aca="false">IFERROR(VLOOKUP($A161,Equipos!$C$2:$M$967,2,FALSE()),"")</f>
        <v>DEA</v>
      </c>
      <c r="C161" s="50" t="str">
        <f aca="false">IFERROR(VLOOKUP($A161,Equipos!$C$2:$M$967,9,FALSE()),"")</f>
        <v>X21J421750</v>
      </c>
      <c r="D161" s="50" t="str">
        <f aca="false">IFERROR(VLOOKUP($A161,Equipos!$C$2:$M$967,3,FALSE()),"")</f>
        <v>SAMU</v>
      </c>
      <c r="E161" s="50" t="str">
        <f aca="false">IFERROR(VLOOKUP($A161,Equipos!$C$2:$M$967,7,FALSE()),"")</f>
        <v>Zoll</v>
      </c>
      <c r="F161" s="50" t="str">
        <f aca="false">IFERROR(VLOOKUP($A161,Equipos!$C$2:$M$967,8,FALSE()),"")</f>
        <v>AEDPLUS</v>
      </c>
      <c r="G161" s="50" t="s">
        <v>356</v>
      </c>
      <c r="H161" s="50" t="s">
        <v>360</v>
      </c>
      <c r="I161" s="50"/>
      <c r="J161" s="50" t="s">
        <v>352</v>
      </c>
      <c r="K161" s="50" t="str">
        <f aca="false">IFERROR(VLOOKUP($J161,Catálogos!$M$4:$N$17,2,FALSE()),"")</f>
        <v>Mantención Preventiva Realizada</v>
      </c>
      <c r="L161" s="52" t="n">
        <v>46037</v>
      </c>
      <c r="M161" s="50" t="s">
        <v>353</v>
      </c>
      <c r="N161" s="50" t="s">
        <v>253</v>
      </c>
      <c r="O161" s="50"/>
      <c r="P161" s="50"/>
      <c r="Q161" s="50" t="s">
        <v>362</v>
      </c>
    </row>
    <row r="162" customFormat="false" ht="15" hidden="false" customHeight="true" outlineLevel="0" collapsed="false">
      <c r="A162" s="51" t="s">
        <v>503</v>
      </c>
      <c r="B162" s="50" t="str">
        <f aca="false">IFERROR(VLOOKUP($A162,Equipos!$C$2:$M$967,2,FALSE()),"")</f>
        <v>Desfibrilador</v>
      </c>
      <c r="C162" s="50" t="str">
        <f aca="false">IFERROR(VLOOKUP($A162,Equipos!$C$2:$M$967,9,FALSE()),"")</f>
        <v>30634707</v>
      </c>
      <c r="D162" s="50" t="str">
        <f aca="false">IFERROR(VLOOKUP($A162,Equipos!$C$2:$M$967,3,FALSE()),"")</f>
        <v>UPC Cardiovascular</v>
      </c>
      <c r="E162" s="50" t="str">
        <f aca="false">IFERROR(VLOOKUP($A162,Equipos!$C$2:$M$967,7,FALSE()),"")</f>
        <v>Medtronic</v>
      </c>
      <c r="F162" s="50" t="str">
        <f aca="false">IFERROR(VLOOKUP($A162,Equipos!$C$2:$M$967,8,FALSE()),"")</f>
        <v>Lifepack 20</v>
      </c>
      <c r="G162" s="50" t="s">
        <v>356</v>
      </c>
      <c r="H162" s="50" t="s">
        <v>360</v>
      </c>
      <c r="I162" s="50"/>
      <c r="J162" s="50" t="s">
        <v>352</v>
      </c>
      <c r="K162" s="50" t="str">
        <f aca="false">IFERROR(VLOOKUP($J162,Catálogos!$M$4:$N$17,2,FALSE()),"")</f>
        <v>Mantención Preventiva Realizada</v>
      </c>
      <c r="L162" s="52" t="n">
        <v>46037</v>
      </c>
      <c r="M162" s="50" t="s">
        <v>353</v>
      </c>
      <c r="N162" s="50" t="s">
        <v>253</v>
      </c>
      <c r="O162" s="50"/>
      <c r="P162" s="50"/>
      <c r="Q162" s="50" t="s">
        <v>362</v>
      </c>
    </row>
    <row r="163" customFormat="false" ht="15" hidden="false" customHeight="true" outlineLevel="0" collapsed="false">
      <c r="A163" s="51" t="s">
        <v>504</v>
      </c>
      <c r="B163" s="50" t="str">
        <f aca="false">IFERROR(VLOOKUP($A163,Equipos!$C$2:$M$967,2,FALSE()),"")</f>
        <v>Desfibrilador</v>
      </c>
      <c r="C163" s="50" t="str">
        <f aca="false">IFERROR(VLOOKUP($A163,Equipos!$C$2:$M$967,9,FALSE()),"")</f>
        <v>1813</v>
      </c>
      <c r="D163" s="50" t="str">
        <f aca="false">IFERROR(VLOOKUP($A163,Equipos!$C$2:$M$967,3,FALSE()),"")</f>
        <v>Cirugía Infantil</v>
      </c>
      <c r="E163" s="50" t="str">
        <f aca="false">IFERROR(VLOOKUP($A163,Equipos!$C$2:$M$967,7,FALSE()),"")</f>
        <v>Nihon Kohden</v>
      </c>
      <c r="F163" s="50" t="str">
        <f aca="false">IFERROR(VLOOKUP($A163,Equipos!$C$2:$M$967,8,FALSE()),"")</f>
        <v>TEC 5531E</v>
      </c>
      <c r="G163" s="50" t="s">
        <v>356</v>
      </c>
      <c r="H163" s="50" t="s">
        <v>360</v>
      </c>
      <c r="I163" s="50"/>
      <c r="J163" s="50" t="s">
        <v>352</v>
      </c>
      <c r="K163" s="50" t="str">
        <f aca="false">IFERROR(VLOOKUP($J163,Catálogos!$M$4:$N$17,2,FALSE()),"")</f>
        <v>Mantención Preventiva Realizada</v>
      </c>
      <c r="L163" s="52" t="n">
        <v>46037</v>
      </c>
      <c r="M163" s="50" t="s">
        <v>353</v>
      </c>
      <c r="N163" s="50" t="s">
        <v>253</v>
      </c>
      <c r="O163" s="50"/>
      <c r="P163" s="50"/>
      <c r="Q163" s="50" t="s">
        <v>362</v>
      </c>
    </row>
    <row r="164" customFormat="false" ht="15" hidden="false" customHeight="true" outlineLevel="0" collapsed="false">
      <c r="A164" s="51" t="s">
        <v>505</v>
      </c>
      <c r="B164" s="50" t="str">
        <f aca="false">IFERROR(VLOOKUP($A164,Equipos!$C$2:$M$967,2,FALSE()),"")</f>
        <v>Desfibrilador</v>
      </c>
      <c r="C164" s="50" t="str">
        <f aca="false">IFERROR(VLOOKUP($A164,Equipos!$C$2:$M$967,9,FALSE()),"")</f>
        <v>82</v>
      </c>
      <c r="D164" s="50" t="str">
        <f aca="false">IFERROR(VLOOKUP($A164,Equipos!$C$2:$M$967,3,FALSE()),"")</f>
        <v>Pediatría</v>
      </c>
      <c r="E164" s="50" t="str">
        <f aca="false">IFERROR(VLOOKUP($A164,Equipos!$C$2:$M$967,7,FALSE()),"")</f>
        <v>Nihon Kohden</v>
      </c>
      <c r="F164" s="50" t="str">
        <f aca="false">IFERROR(VLOOKUP($A164,Equipos!$C$2:$M$967,8,FALSE()),"")</f>
        <v>TEC 5521E</v>
      </c>
      <c r="G164" s="50" t="s">
        <v>356</v>
      </c>
      <c r="H164" s="50" t="s">
        <v>360</v>
      </c>
      <c r="I164" s="50"/>
      <c r="J164" s="50" t="s">
        <v>352</v>
      </c>
      <c r="K164" s="50" t="str">
        <f aca="false">IFERROR(VLOOKUP($J164,Catálogos!$M$4:$N$17,2,FALSE()),"")</f>
        <v>Mantención Preventiva Realizada</v>
      </c>
      <c r="L164" s="52" t="n">
        <v>46037</v>
      </c>
      <c r="M164" s="50" t="s">
        <v>353</v>
      </c>
      <c r="N164" s="50" t="s">
        <v>253</v>
      </c>
      <c r="O164" s="50"/>
      <c r="P164" s="50"/>
      <c r="Q164" s="50" t="s">
        <v>362</v>
      </c>
    </row>
    <row r="165" customFormat="false" ht="15" hidden="false" customHeight="true" outlineLevel="0" collapsed="false">
      <c r="A165" s="51" t="s">
        <v>506</v>
      </c>
      <c r="B165" s="50" t="str">
        <f aca="false">IFERROR(VLOOKUP($A165,Equipos!$C$2:$M$967,2,FALSE()),"")</f>
        <v>Desfibrilador</v>
      </c>
      <c r="C165" s="50" t="str">
        <f aca="false">IFERROR(VLOOKUP($A165,Equipos!$C$2:$M$967,9,FALSE()),"")</f>
        <v>1814</v>
      </c>
      <c r="D165" s="50" t="str">
        <f aca="false">IFERROR(VLOOKUP($A165,Equipos!$C$2:$M$967,3,FALSE()),"")</f>
        <v>Pediatría</v>
      </c>
      <c r="E165" s="50" t="str">
        <f aca="false">IFERROR(VLOOKUP($A165,Equipos!$C$2:$M$967,7,FALSE()),"")</f>
        <v>Nihon Kohden</v>
      </c>
      <c r="F165" s="50" t="str">
        <f aca="false">IFERROR(VLOOKUP($A165,Equipos!$C$2:$M$967,8,FALSE()),"")</f>
        <v>TEC 5531E</v>
      </c>
      <c r="G165" s="50" t="s">
        <v>356</v>
      </c>
      <c r="H165" s="50" t="s">
        <v>360</v>
      </c>
      <c r="I165" s="50"/>
      <c r="J165" s="50" t="s">
        <v>352</v>
      </c>
      <c r="K165" s="50" t="str">
        <f aca="false">IFERROR(VLOOKUP($J165,Catálogos!$M$4:$N$17,2,FALSE()),"")</f>
        <v>Mantención Preventiva Realizada</v>
      </c>
      <c r="L165" s="52" t="n">
        <v>46037</v>
      </c>
      <c r="M165" s="50" t="s">
        <v>353</v>
      </c>
      <c r="N165" s="50" t="s">
        <v>253</v>
      </c>
      <c r="O165" s="50"/>
      <c r="P165" s="50"/>
      <c r="Q165" s="50" t="s">
        <v>362</v>
      </c>
    </row>
    <row r="166" customFormat="false" ht="15" hidden="false" customHeight="true" outlineLevel="0" collapsed="false">
      <c r="A166" s="51" t="s">
        <v>507</v>
      </c>
      <c r="B166" s="50" t="str">
        <f aca="false">IFERROR(VLOOKUP($A166,Equipos!$C$2:$M$967,2,FALSE()),"")</f>
        <v>Desfibrilador</v>
      </c>
      <c r="C166" s="50" t="str">
        <f aca="false">IFERROR(VLOOKUP($A166,Equipos!$C$2:$M$967,9,FALSE()),"")</f>
        <v>7900</v>
      </c>
      <c r="D166" s="50" t="str">
        <f aca="false">IFERROR(VLOOKUP($A166,Equipos!$C$2:$M$967,3,FALSE()),"")</f>
        <v>Imagenología</v>
      </c>
      <c r="E166" s="50" t="str">
        <f aca="false">IFERROR(VLOOKUP($A166,Equipos!$C$2:$M$967,7,FALSE()),"")</f>
        <v>Nihon Kohden</v>
      </c>
      <c r="F166" s="50" t="str">
        <f aca="false">IFERROR(VLOOKUP($A166,Equipos!$C$2:$M$967,8,FALSE()),"")</f>
        <v>TEC-5631</v>
      </c>
      <c r="G166" s="50" t="s">
        <v>356</v>
      </c>
      <c r="H166" s="50" t="s">
        <v>360</v>
      </c>
      <c r="I166" s="50"/>
      <c r="J166" s="50" t="s">
        <v>352</v>
      </c>
      <c r="K166" s="50" t="str">
        <f aca="false">IFERROR(VLOOKUP($J166,Catálogos!$M$4:$N$17,2,FALSE()),"")</f>
        <v>Mantención Preventiva Realizada</v>
      </c>
      <c r="L166" s="52" t="n">
        <v>46037</v>
      </c>
      <c r="M166" s="50" t="s">
        <v>353</v>
      </c>
      <c r="N166" s="50" t="s">
        <v>253</v>
      </c>
      <c r="O166" s="50"/>
      <c r="P166" s="50"/>
      <c r="Q166" s="50" t="s">
        <v>362</v>
      </c>
    </row>
    <row r="167" customFormat="false" ht="15" hidden="false" customHeight="true" outlineLevel="0" collapsed="false">
      <c r="A167" s="51" t="s">
        <v>508</v>
      </c>
      <c r="B167" s="50" t="str">
        <f aca="false">IFERROR(VLOOKUP($A167,Equipos!$C$2:$M$967,2,FALSE()),"")</f>
        <v>Desfibrilador</v>
      </c>
      <c r="C167" s="50" t="str">
        <f aca="false">IFERROR(VLOOKUP($A167,Equipos!$C$2:$M$967,9,FALSE()),"")</f>
        <v>AF10G011487</v>
      </c>
      <c r="D167" s="50" t="str">
        <f aca="false">IFERROR(VLOOKUP($A167,Equipos!$C$2:$M$967,3,FALSE()),"")</f>
        <v>Neonatología</v>
      </c>
      <c r="E167" s="50" t="str">
        <f aca="false">IFERROR(VLOOKUP($A167,Equipos!$C$2:$M$967,7,FALSE()),"")</f>
        <v>Zoll </v>
      </c>
      <c r="F167" s="50" t="str">
        <f aca="false">IFERROR(VLOOKUP($A167,Equipos!$C$2:$M$967,8,FALSE()),"")</f>
        <v>R SERIES ALS</v>
      </c>
      <c r="G167" s="50" t="s">
        <v>356</v>
      </c>
      <c r="H167" s="50" t="s">
        <v>360</v>
      </c>
      <c r="I167" s="50"/>
      <c r="J167" s="50" t="s">
        <v>352</v>
      </c>
      <c r="K167" s="50" t="str">
        <f aca="false">IFERROR(VLOOKUP($J167,Catálogos!$M$4:$N$17,2,FALSE()),"")</f>
        <v>Mantención Preventiva Realizada</v>
      </c>
      <c r="L167" s="52" t="n">
        <v>46037</v>
      </c>
      <c r="M167" s="50" t="s">
        <v>353</v>
      </c>
      <c r="N167" s="50" t="s">
        <v>253</v>
      </c>
      <c r="O167" s="50"/>
      <c r="P167" s="50"/>
      <c r="Q167" s="50" t="s">
        <v>362</v>
      </c>
    </row>
    <row r="168" customFormat="false" ht="15" hidden="false" customHeight="true" outlineLevel="0" collapsed="false">
      <c r="A168" s="51" t="s">
        <v>509</v>
      </c>
      <c r="B168" s="50" t="str">
        <f aca="false">IFERROR(VLOOKUP($A168,Equipos!$C$2:$M$967,2,FALSE()),"")</f>
        <v>Desfibrilador</v>
      </c>
      <c r="C168" s="50" t="str">
        <f aca="false">IFERROR(VLOOKUP($A168,Equipos!$C$2:$M$967,9,FALSE()),"")</f>
        <v>83</v>
      </c>
      <c r="D168" s="50" t="str">
        <f aca="false">IFERROR(VLOOKUP($A168,Equipos!$C$2:$M$967,3,FALSE()),"")</f>
        <v>Imagenología</v>
      </c>
      <c r="E168" s="50" t="str">
        <f aca="false">IFERROR(VLOOKUP($A168,Equipos!$C$2:$M$967,7,FALSE()),"")</f>
        <v>Nihon Kohden</v>
      </c>
      <c r="F168" s="50" t="str">
        <f aca="false">IFERROR(VLOOKUP($A168,Equipos!$C$2:$M$967,8,FALSE()),"")</f>
        <v>TEC 5521E</v>
      </c>
      <c r="G168" s="50" t="s">
        <v>356</v>
      </c>
      <c r="H168" s="50" t="s">
        <v>360</v>
      </c>
      <c r="I168" s="50"/>
      <c r="J168" s="50" t="s">
        <v>352</v>
      </c>
      <c r="K168" s="50" t="str">
        <f aca="false">IFERROR(VLOOKUP($J168,Catálogos!$M$4:$N$17,2,FALSE()),"")</f>
        <v>Mantención Preventiva Realizada</v>
      </c>
      <c r="L168" s="52" t="n">
        <v>46037</v>
      </c>
      <c r="M168" s="50" t="s">
        <v>353</v>
      </c>
      <c r="N168" s="50" t="s">
        <v>253</v>
      </c>
      <c r="O168" s="50"/>
      <c r="P168" s="50"/>
      <c r="Q168" s="50" t="s">
        <v>362</v>
      </c>
    </row>
    <row r="169" customFormat="false" ht="15" hidden="false" customHeight="true" outlineLevel="0" collapsed="false">
      <c r="A169" s="51" t="s">
        <v>510</v>
      </c>
      <c r="B169" s="50" t="str">
        <f aca="false">IFERROR(VLOOKUP($A169,Equipos!$C$2:$M$967,2,FALSE()),"")</f>
        <v>Desfibrilador</v>
      </c>
      <c r="C169" s="50" t="str">
        <f aca="false">IFERROR(VLOOKUP($A169,Equipos!$C$2:$M$967,9,FALSE()),"")</f>
        <v>790</v>
      </c>
      <c r="D169" s="50" t="str">
        <f aca="false">IFERROR(VLOOKUP($A169,Equipos!$C$2:$M$967,3,FALSE()),"")</f>
        <v>Imagenología</v>
      </c>
      <c r="E169" s="50" t="str">
        <f aca="false">IFERROR(VLOOKUP($A169,Equipos!$C$2:$M$967,7,FALSE()),"")</f>
        <v>Nihon Kohden</v>
      </c>
      <c r="F169" s="50" t="str">
        <f aca="false">IFERROR(VLOOKUP($A169,Equipos!$C$2:$M$967,8,FALSE()),"")</f>
        <v>TEC 5521E</v>
      </c>
      <c r="G169" s="50" t="s">
        <v>356</v>
      </c>
      <c r="H169" s="50" t="s">
        <v>360</v>
      </c>
      <c r="I169" s="50"/>
      <c r="J169" s="50" t="s">
        <v>352</v>
      </c>
      <c r="K169" s="50" t="str">
        <f aca="false">IFERROR(VLOOKUP($J169,Catálogos!$M$4:$N$17,2,FALSE()),"")</f>
        <v>Mantención Preventiva Realizada</v>
      </c>
      <c r="L169" s="52" t="n">
        <v>46037</v>
      </c>
      <c r="M169" s="50" t="s">
        <v>353</v>
      </c>
      <c r="N169" s="50" t="s">
        <v>253</v>
      </c>
      <c r="O169" s="50"/>
      <c r="P169" s="50"/>
      <c r="Q169" s="50" t="s">
        <v>362</v>
      </c>
    </row>
    <row r="170" customFormat="false" ht="15" hidden="false" customHeight="true" outlineLevel="0" collapsed="false">
      <c r="A170" s="51" t="s">
        <v>511</v>
      </c>
      <c r="B170" s="50" t="str">
        <f aca="false">IFERROR(VLOOKUP($A170,Equipos!$C$2:$M$967,2,FALSE()),"")</f>
        <v>Desfibrilador</v>
      </c>
      <c r="C170" s="50" t="str">
        <f aca="false">IFERROR(VLOOKUP($A170,Equipos!$C$2:$M$967,9,FALSE()),"")</f>
        <v>39</v>
      </c>
      <c r="D170" s="50" t="str">
        <f aca="false">IFERROR(VLOOKUP($A170,Equipos!$C$2:$M$967,3,FALSE()),"")</f>
        <v>Pediatría</v>
      </c>
      <c r="E170" s="50" t="str">
        <f aca="false">IFERROR(VLOOKUP($A170,Equipos!$C$2:$M$967,7,FALSE()),"")</f>
        <v>Nihon Kohden</v>
      </c>
      <c r="F170" s="50" t="str">
        <f aca="false">IFERROR(VLOOKUP($A170,Equipos!$C$2:$M$967,8,FALSE()),"")</f>
        <v>TEC 5531E</v>
      </c>
      <c r="G170" s="50" t="s">
        <v>356</v>
      </c>
      <c r="H170" s="50" t="s">
        <v>360</v>
      </c>
      <c r="I170" s="50"/>
      <c r="J170" s="50" t="s">
        <v>352</v>
      </c>
      <c r="K170" s="50" t="str">
        <f aca="false">IFERROR(VLOOKUP($J170,Catálogos!$M$4:$N$17,2,FALSE()),"")</f>
        <v>Mantención Preventiva Realizada</v>
      </c>
      <c r="L170" s="52" t="n">
        <v>46037</v>
      </c>
      <c r="M170" s="50" t="s">
        <v>353</v>
      </c>
      <c r="N170" s="50" t="s">
        <v>253</v>
      </c>
      <c r="O170" s="50"/>
      <c r="P170" s="50"/>
      <c r="Q170" s="50" t="s">
        <v>362</v>
      </c>
    </row>
    <row r="171" customFormat="false" ht="15" hidden="false" customHeight="true" outlineLevel="0" collapsed="false">
      <c r="A171" s="51" t="s">
        <v>117</v>
      </c>
      <c r="B171" s="50" t="str">
        <f aca="false">IFERROR(VLOOKUP($A171,Equipos!$C$2:$M$967,2,FALSE()),"")</f>
        <v>DEA</v>
      </c>
      <c r="C171" s="50" t="str">
        <f aca="false">IFERROR(VLOOKUP($A171,Equipos!$C$2:$M$967,9,FALSE()),"")</f>
        <v>AF1-48110851</v>
      </c>
      <c r="D171" s="50" t="str">
        <f aca="false">IFERROR(VLOOKUP($A171,Equipos!$C$2:$M$967,3,FALSE()),"")</f>
        <v>SAMU</v>
      </c>
      <c r="E171" s="50" t="str">
        <f aca="false">IFERROR(VLOOKUP($A171,Equipos!$C$2:$M$967,7,FALSE()),"")</f>
        <v>Mindray</v>
      </c>
      <c r="F171" s="50" t="str">
        <f aca="false">IFERROR(VLOOKUP($A171,Equipos!$C$2:$M$967,8,FALSE()),"")</f>
        <v>BeneHeart C1A</v>
      </c>
      <c r="G171" s="50" t="s">
        <v>356</v>
      </c>
      <c r="H171" s="50" t="s">
        <v>360</v>
      </c>
      <c r="I171" s="50"/>
      <c r="J171" s="50" t="s">
        <v>352</v>
      </c>
      <c r="K171" s="50" t="str">
        <f aca="false">IFERROR(VLOOKUP($J171,Catálogos!$M$4:$N$17,2,FALSE()),"")</f>
        <v>Mantención Preventiva Realizada</v>
      </c>
      <c r="L171" s="52" t="n">
        <v>46037</v>
      </c>
      <c r="M171" s="50" t="s">
        <v>353</v>
      </c>
      <c r="N171" s="50" t="s">
        <v>253</v>
      </c>
      <c r="O171" s="50"/>
      <c r="P171" s="50"/>
      <c r="Q171" s="50" t="s">
        <v>362</v>
      </c>
    </row>
    <row r="172" customFormat="false" ht="15" hidden="false" customHeight="true" outlineLevel="0" collapsed="false">
      <c r="A172" s="51" t="s">
        <v>512</v>
      </c>
      <c r="B172" s="50" t="str">
        <f aca="false">IFERROR(VLOOKUP($A172,Equipos!$C$2:$M$967,2,FALSE()),"")</f>
        <v>DEA</v>
      </c>
      <c r="C172" s="50" t="str">
        <f aca="false">IFERROR(VLOOKUP($A172,Equipos!$C$2:$M$967,9,FALSE()),"")</f>
        <v>13042</v>
      </c>
      <c r="D172" s="50" t="str">
        <f aca="false">IFERROR(VLOOKUP($A172,Equipos!$C$2:$M$967,3,FALSE()),"")</f>
        <v>Unidad Evaluación Paciente Imputado</v>
      </c>
      <c r="E172" s="50" t="str">
        <f aca="false">IFERROR(VLOOKUP($A172,Equipos!$C$2:$M$967,7,FALSE()),"")</f>
        <v>Nihon Kohden</v>
      </c>
      <c r="F172" s="50" t="str">
        <f aca="false">IFERROR(VLOOKUP($A172,Equipos!$C$2:$M$967,8,FALSE()),"")</f>
        <v>AED-3100</v>
      </c>
      <c r="G172" s="50" t="s">
        <v>356</v>
      </c>
      <c r="H172" s="50" t="s">
        <v>360</v>
      </c>
      <c r="I172" s="50"/>
      <c r="J172" s="50" t="s">
        <v>352</v>
      </c>
      <c r="K172" s="50" t="str">
        <f aca="false">IFERROR(VLOOKUP($J172,Catálogos!$M$4:$N$17,2,FALSE()),"")</f>
        <v>Mantención Preventiva Realizada</v>
      </c>
      <c r="L172" s="52" t="n">
        <v>46037</v>
      </c>
      <c r="M172" s="50" t="s">
        <v>353</v>
      </c>
      <c r="N172" s="50" t="s">
        <v>253</v>
      </c>
      <c r="O172" s="50"/>
      <c r="P172" s="50"/>
      <c r="Q172" s="50" t="s">
        <v>362</v>
      </c>
    </row>
    <row r="173" customFormat="false" ht="15" hidden="false" customHeight="true" outlineLevel="0" collapsed="false">
      <c r="A173" s="51" t="s">
        <v>120</v>
      </c>
      <c r="B173" s="50" t="str">
        <f aca="false">IFERROR(VLOOKUP($A173,Equipos!$C$2:$M$967,2,FALSE()),"")</f>
        <v>DEA</v>
      </c>
      <c r="C173" s="50" t="str">
        <f aca="false">IFERROR(VLOOKUP($A173,Equipos!$C$2:$M$967,9,FALSE()),"")</f>
        <v>X18E028657</v>
      </c>
      <c r="D173" s="50" t="str">
        <f aca="false">IFERROR(VLOOKUP($A173,Equipos!$C$2:$M$967,3,FALSE()),"")</f>
        <v>Gestión de Pacientes</v>
      </c>
      <c r="E173" s="50" t="str">
        <f aca="false">IFERROR(VLOOKUP($A173,Equipos!$C$2:$M$967,7,FALSE()),"")</f>
        <v>Zoll</v>
      </c>
      <c r="F173" s="50" t="str">
        <f aca="false">IFERROR(VLOOKUP($A173,Equipos!$C$2:$M$967,8,FALSE()),"")</f>
        <v>AEDPLUS</v>
      </c>
      <c r="G173" s="50" t="s">
        <v>356</v>
      </c>
      <c r="H173" s="50" t="s">
        <v>360</v>
      </c>
      <c r="I173" s="50"/>
      <c r="J173" s="50" t="s">
        <v>352</v>
      </c>
      <c r="K173" s="50" t="str">
        <f aca="false">IFERROR(VLOOKUP($J173,Catálogos!$M$4:$N$17,2,FALSE()),"")</f>
        <v>Mantención Preventiva Realizada</v>
      </c>
      <c r="L173" s="52" t="n">
        <v>46037</v>
      </c>
      <c r="M173" s="50" t="s">
        <v>353</v>
      </c>
      <c r="N173" s="50" t="s">
        <v>253</v>
      </c>
      <c r="O173" s="50"/>
      <c r="P173" s="50"/>
      <c r="Q173" s="50" t="s">
        <v>362</v>
      </c>
    </row>
    <row r="174" customFormat="false" ht="15" hidden="false" customHeight="true" outlineLevel="0" collapsed="false">
      <c r="A174" s="51" t="s">
        <v>513</v>
      </c>
      <c r="B174" s="50" t="str">
        <f aca="false">IFERROR(VLOOKUP($A174,Equipos!$C$2:$M$967,2,FALSE()),"")</f>
        <v>Desfibrilador</v>
      </c>
      <c r="C174" s="50" t="str">
        <f aca="false">IFERROR(VLOOKUP($A174,Equipos!$C$2:$M$967,9,FALSE()),"")</f>
        <v>1816</v>
      </c>
      <c r="D174" s="50" t="str">
        <f aca="false">IFERROR(VLOOKUP($A174,Equipos!$C$2:$M$967,3,FALSE()),"")</f>
        <v>Medicina (Prestado a Medicina cardiovascular)</v>
      </c>
      <c r="E174" s="50" t="str">
        <f aca="false">IFERROR(VLOOKUP($A174,Equipos!$C$2:$M$967,7,FALSE()),"")</f>
        <v>Nihon Kohden</v>
      </c>
      <c r="F174" s="50" t="str">
        <f aca="false">IFERROR(VLOOKUP($A174,Equipos!$C$2:$M$967,8,FALSE()),"")</f>
        <v>TEC 5531E</v>
      </c>
      <c r="G174" s="50" t="s">
        <v>356</v>
      </c>
      <c r="H174" s="50" t="s">
        <v>360</v>
      </c>
      <c r="I174" s="50"/>
      <c r="J174" s="50" t="s">
        <v>352</v>
      </c>
      <c r="K174" s="50" t="str">
        <f aca="false">IFERROR(VLOOKUP($J174,Catálogos!$M$4:$N$17,2,FALSE()),"")</f>
        <v>Mantención Preventiva Realizada</v>
      </c>
      <c r="L174" s="52" t="n">
        <v>46037</v>
      </c>
      <c r="M174" s="50" t="s">
        <v>353</v>
      </c>
      <c r="N174" s="50" t="s">
        <v>253</v>
      </c>
      <c r="O174" s="50"/>
      <c r="P174" s="50"/>
      <c r="Q174" s="50" t="s">
        <v>362</v>
      </c>
    </row>
    <row r="175" customFormat="false" ht="15" hidden="false" customHeight="true" outlineLevel="0" collapsed="false">
      <c r="A175" s="51" t="s">
        <v>514</v>
      </c>
      <c r="B175" s="50" t="str">
        <f aca="false">IFERROR(VLOOKUP($A175,Equipos!$C$2:$M$967,2,FALSE()),"")</f>
        <v>Máquina Diálisis</v>
      </c>
      <c r="C175" s="50" t="str">
        <f aca="false">IFERROR(VLOOKUP($A175,Equipos!$C$2:$M$967,9,FALSE()),"")</f>
        <v>9VCAPR03</v>
      </c>
      <c r="D175" s="50" t="str">
        <f aca="false">IFERROR(VLOOKUP($A175,Equipos!$C$2:$M$967,3,FALSE()),"")</f>
        <v>Hemodiálisis</v>
      </c>
      <c r="E175" s="50" t="str">
        <f aca="false">IFERROR(VLOOKUP($A175,Equipos!$C$2:$M$967,7,FALSE()),"")</f>
        <v>Fresenius</v>
      </c>
      <c r="F175" s="50" t="str">
        <f aca="false">IFERROR(VLOOKUP($A175,Equipos!$C$2:$M$967,8,FALSE()),"")</f>
        <v>4008B(s)</v>
      </c>
      <c r="G175" s="50" t="s">
        <v>515</v>
      </c>
      <c r="H175" s="50" t="s">
        <v>360</v>
      </c>
      <c r="I175" s="50"/>
      <c r="J175" s="50" t="s">
        <v>361</v>
      </c>
      <c r="K175" s="50" t="str">
        <f aca="false">IFERROR(VLOOKUP($J175,Catálogos!$M$4:$N$17,2,FALSE()),"")</f>
        <v>Equipo Dado de Baja</v>
      </c>
      <c r="L175" s="52" t="n">
        <v>46068</v>
      </c>
      <c r="M175" s="50" t="s">
        <v>361</v>
      </c>
      <c r="N175" s="50" t="s">
        <v>253</v>
      </c>
      <c r="O175" s="50"/>
      <c r="P175" s="50"/>
      <c r="Q175" s="50" t="s">
        <v>362</v>
      </c>
    </row>
    <row r="176" customFormat="false" ht="15" hidden="false" customHeight="true" outlineLevel="0" collapsed="false">
      <c r="A176" s="51" t="s">
        <v>516</v>
      </c>
      <c r="B176" s="50" t="str">
        <f aca="false">IFERROR(VLOOKUP($A176,Equipos!$C$2:$M$967,2,FALSE()),"")</f>
        <v>Monitor Multiparámetros</v>
      </c>
      <c r="C176" s="50" t="str">
        <f aca="false">IFERROR(VLOOKUP($A176,Equipos!$C$2:$M$967,9,FALSE()),"")</f>
        <v>2731</v>
      </c>
      <c r="D176" s="50" t="str">
        <f aca="false">IFERROR(VLOOKUP($A176,Equipos!$C$2:$M$967,3,FALSE()),"")</f>
        <v>Hemato Oncología Adulto</v>
      </c>
      <c r="E176" s="50" t="str">
        <f aca="false">IFERROR(VLOOKUP($A176,Equipos!$C$2:$M$967,7,FALSE()),"")</f>
        <v>Nihon Kohden </v>
      </c>
      <c r="F176" s="50" t="str">
        <f aca="false">IFERROR(VLOOKUP($A176,Equipos!$C$2:$M$967,8,FALSE()),"")</f>
        <v>PVM-4763K</v>
      </c>
      <c r="G176" s="50" t="s">
        <v>515</v>
      </c>
      <c r="H176" s="50" t="s">
        <v>360</v>
      </c>
      <c r="I176" s="50"/>
      <c r="J176" s="50" t="s">
        <v>357</v>
      </c>
      <c r="K176" s="50" t="str">
        <f aca="false">IFERROR(VLOOKUP($J176,Catálogos!$M$4:$N$17,2,FALSE()),"")</f>
        <v>No Realizada</v>
      </c>
      <c r="L176" s="52" t="n">
        <v>46068</v>
      </c>
      <c r="M176" s="50" t="s">
        <v>353</v>
      </c>
      <c r="N176" s="50" t="s">
        <v>253</v>
      </c>
      <c r="O176" s="50"/>
      <c r="P176" s="50"/>
      <c r="Q176" s="50" t="s">
        <v>362</v>
      </c>
    </row>
    <row r="177" customFormat="false" ht="15" hidden="false" customHeight="true" outlineLevel="0" collapsed="false">
      <c r="A177" s="51" t="s">
        <v>363</v>
      </c>
      <c r="B177" s="50" t="str">
        <f aca="false">IFERROR(VLOOKUP($A177,Equipos!$C$2:$M$967,2,FALSE()),"")</f>
        <v>Monitor Multiparámetros</v>
      </c>
      <c r="C177" s="50" t="str">
        <f aca="false">IFERROR(VLOOKUP($A177,Equipos!$C$2:$M$967,9,FALSE()),"")</f>
        <v>DGM40029</v>
      </c>
      <c r="D177" s="50" t="str">
        <f aca="false">IFERROR(VLOOKUP($A177,Equipos!$C$2:$M$967,3,FALSE()),"")</f>
        <v>Pediatría</v>
      </c>
      <c r="E177" s="50" t="str">
        <f aca="false">IFERROR(VLOOKUP($A177,Equipos!$C$2:$M$967,7,FALSE()),"")</f>
        <v>Bistos</v>
      </c>
      <c r="F177" s="50" t="str">
        <f aca="false">IFERROR(VLOOKUP($A177,Equipos!$C$2:$M$967,8,FALSE()),"")</f>
        <v>BT-770</v>
      </c>
      <c r="G177" s="50" t="s">
        <v>515</v>
      </c>
      <c r="H177" s="50" t="s">
        <v>360</v>
      </c>
      <c r="I177" s="50"/>
      <c r="J177" s="50" t="s">
        <v>352</v>
      </c>
      <c r="K177" s="50" t="str">
        <f aca="false">IFERROR(VLOOKUP($J177,Catálogos!$M$4:$N$17,2,FALSE()),"")</f>
        <v>Mantención Preventiva Realizada</v>
      </c>
      <c r="L177" s="52" t="n">
        <v>46068</v>
      </c>
      <c r="M177" s="50" t="s">
        <v>353</v>
      </c>
      <c r="N177" s="50" t="s">
        <v>253</v>
      </c>
      <c r="O177" s="50"/>
      <c r="P177" s="50"/>
      <c r="Q177" s="50" t="s">
        <v>362</v>
      </c>
    </row>
    <row r="178" customFormat="false" ht="15" hidden="false" customHeight="true" outlineLevel="0" collapsed="false">
      <c r="A178" s="51" t="s">
        <v>365</v>
      </c>
      <c r="B178" s="50" t="str">
        <f aca="false">IFERROR(VLOOKUP($A178,Equipos!$C$2:$M$967,2,FALSE()),"")</f>
        <v>Monitor Multiparámetros</v>
      </c>
      <c r="C178" s="50" t="str">
        <f aca="false">IFERROR(VLOOKUP($A178,Equipos!$C$2:$M$967,9,FALSE()),"")</f>
        <v>DGM40030</v>
      </c>
      <c r="D178" s="50" t="str">
        <f aca="false">IFERROR(VLOOKUP($A178,Equipos!$C$2:$M$967,3,FALSE()),"")</f>
        <v>Pediatría</v>
      </c>
      <c r="E178" s="50" t="str">
        <f aca="false">IFERROR(VLOOKUP($A178,Equipos!$C$2:$M$967,7,FALSE()),"")</f>
        <v>Bistos</v>
      </c>
      <c r="F178" s="50" t="str">
        <f aca="false">IFERROR(VLOOKUP($A178,Equipos!$C$2:$M$967,8,FALSE()),"")</f>
        <v>BT-770</v>
      </c>
      <c r="G178" s="50" t="s">
        <v>515</v>
      </c>
      <c r="H178" s="50" t="s">
        <v>360</v>
      </c>
      <c r="I178" s="50"/>
      <c r="J178" s="50" t="s">
        <v>352</v>
      </c>
      <c r="K178" s="50" t="str">
        <f aca="false">IFERROR(VLOOKUP($J178,Catálogos!$M$4:$N$17,2,FALSE()),"")</f>
        <v>Mantención Preventiva Realizada</v>
      </c>
      <c r="L178" s="52" t="n">
        <v>46068</v>
      </c>
      <c r="M178" s="50" t="s">
        <v>353</v>
      </c>
      <c r="N178" s="50" t="s">
        <v>253</v>
      </c>
      <c r="O178" s="50"/>
      <c r="P178" s="50"/>
      <c r="Q178" s="50" t="s">
        <v>362</v>
      </c>
    </row>
    <row r="179" customFormat="false" ht="15" hidden="false" customHeight="true" outlineLevel="0" collapsed="false">
      <c r="A179" s="51" t="s">
        <v>366</v>
      </c>
      <c r="B179" s="50" t="str">
        <f aca="false">IFERROR(VLOOKUP($A179,Equipos!$C$2:$M$967,2,FALSE()),"")</f>
        <v>Monitor Multiparámetros</v>
      </c>
      <c r="C179" s="50" t="str">
        <f aca="false">IFERROR(VLOOKUP($A179,Equipos!$C$2:$M$967,9,FALSE()),"")</f>
        <v>DGM40038</v>
      </c>
      <c r="D179" s="50" t="str">
        <f aca="false">IFERROR(VLOOKUP($A179,Equipos!$C$2:$M$967,3,FALSE()),"")</f>
        <v>Pediatría</v>
      </c>
      <c r="E179" s="50" t="str">
        <f aca="false">IFERROR(VLOOKUP($A179,Equipos!$C$2:$M$967,7,FALSE()),"")</f>
        <v>Bistos</v>
      </c>
      <c r="F179" s="50" t="str">
        <f aca="false">IFERROR(VLOOKUP($A179,Equipos!$C$2:$M$967,8,FALSE()),"")</f>
        <v>BT-770</v>
      </c>
      <c r="G179" s="50" t="s">
        <v>515</v>
      </c>
      <c r="H179" s="50" t="s">
        <v>360</v>
      </c>
      <c r="I179" s="50"/>
      <c r="J179" s="50" t="s">
        <v>352</v>
      </c>
      <c r="K179" s="50" t="str">
        <f aca="false">IFERROR(VLOOKUP($J179,Catálogos!$M$4:$N$17,2,FALSE()),"")</f>
        <v>Mantención Preventiva Realizada</v>
      </c>
      <c r="L179" s="52" t="n">
        <v>46068</v>
      </c>
      <c r="M179" s="50" t="s">
        <v>353</v>
      </c>
      <c r="N179" s="50" t="s">
        <v>253</v>
      </c>
      <c r="O179" s="50"/>
      <c r="P179" s="50"/>
      <c r="Q179" s="50" t="s">
        <v>362</v>
      </c>
    </row>
    <row r="180" customFormat="false" ht="15" hidden="false" customHeight="true" outlineLevel="0" collapsed="false">
      <c r="A180" s="51" t="s">
        <v>367</v>
      </c>
      <c r="B180" s="50" t="str">
        <f aca="false">IFERROR(VLOOKUP($A180,Equipos!$C$2:$M$967,2,FALSE()),"")</f>
        <v>Monitor Multiparámetros</v>
      </c>
      <c r="C180" s="50" t="str">
        <f aca="false">IFERROR(VLOOKUP($A180,Equipos!$C$2:$M$967,9,FALSE()),"")</f>
        <v>DGM40031</v>
      </c>
      <c r="D180" s="50" t="str">
        <f aca="false">IFERROR(VLOOKUP($A180,Equipos!$C$2:$M$967,3,FALSE()),"")</f>
        <v>Pediatría</v>
      </c>
      <c r="E180" s="50" t="str">
        <f aca="false">IFERROR(VLOOKUP($A180,Equipos!$C$2:$M$967,7,FALSE()),"")</f>
        <v>Bistos</v>
      </c>
      <c r="F180" s="50" t="str">
        <f aca="false">IFERROR(VLOOKUP($A180,Equipos!$C$2:$M$967,8,FALSE()),"")</f>
        <v>BT-770</v>
      </c>
      <c r="G180" s="50" t="s">
        <v>515</v>
      </c>
      <c r="H180" s="50" t="s">
        <v>360</v>
      </c>
      <c r="I180" s="50"/>
      <c r="J180" s="50" t="s">
        <v>352</v>
      </c>
      <c r="K180" s="50" t="str">
        <f aca="false">IFERROR(VLOOKUP($J180,Catálogos!$M$4:$N$17,2,FALSE()),"")</f>
        <v>Mantención Preventiva Realizada</v>
      </c>
      <c r="L180" s="52" t="n">
        <v>46068</v>
      </c>
      <c r="M180" s="50" t="s">
        <v>353</v>
      </c>
      <c r="N180" s="50" t="s">
        <v>253</v>
      </c>
      <c r="O180" s="50"/>
      <c r="P180" s="50"/>
      <c r="Q180" s="50" t="s">
        <v>362</v>
      </c>
    </row>
    <row r="181" customFormat="false" ht="15" hidden="false" customHeight="true" outlineLevel="0" collapsed="false">
      <c r="A181" s="51" t="s">
        <v>368</v>
      </c>
      <c r="B181" s="50" t="str">
        <f aca="false">IFERROR(VLOOKUP($A181,Equipos!$C$2:$M$967,2,FALSE()),"")</f>
        <v>Monitor Multiparámetros</v>
      </c>
      <c r="C181" s="50" t="str">
        <f aca="false">IFERROR(VLOOKUP($A181,Equipos!$C$2:$M$967,9,FALSE()),"")</f>
        <v>DGM40015</v>
      </c>
      <c r="D181" s="50" t="str">
        <f aca="false">IFERROR(VLOOKUP($A181,Equipos!$C$2:$M$967,3,FALSE()),"")</f>
        <v>Pediatría</v>
      </c>
      <c r="E181" s="50" t="str">
        <f aca="false">IFERROR(VLOOKUP($A181,Equipos!$C$2:$M$967,7,FALSE()),"")</f>
        <v>Bistos</v>
      </c>
      <c r="F181" s="50" t="str">
        <f aca="false">IFERROR(VLOOKUP($A181,Equipos!$C$2:$M$967,8,FALSE()),"")</f>
        <v>BT-770</v>
      </c>
      <c r="G181" s="50" t="s">
        <v>515</v>
      </c>
      <c r="H181" s="50" t="s">
        <v>360</v>
      </c>
      <c r="I181" s="50"/>
      <c r="J181" s="50" t="s">
        <v>352</v>
      </c>
      <c r="K181" s="50" t="str">
        <f aca="false">IFERROR(VLOOKUP($J181,Catálogos!$M$4:$N$17,2,FALSE()),"")</f>
        <v>Mantención Preventiva Realizada</v>
      </c>
      <c r="L181" s="52" t="n">
        <v>46068</v>
      </c>
      <c r="M181" s="50" t="s">
        <v>353</v>
      </c>
      <c r="N181" s="50" t="s">
        <v>253</v>
      </c>
      <c r="O181" s="50"/>
      <c r="P181" s="50"/>
      <c r="Q181" s="50" t="s">
        <v>362</v>
      </c>
    </row>
    <row r="182" customFormat="false" ht="15" hidden="false" customHeight="true" outlineLevel="0" collapsed="false">
      <c r="A182" s="51" t="s">
        <v>370</v>
      </c>
      <c r="B182" s="50" t="str">
        <f aca="false">IFERROR(VLOOKUP($A182,Equipos!$C$2:$M$967,2,FALSE()),"")</f>
        <v>Monitor Multiparámetros</v>
      </c>
      <c r="C182" s="50" t="str">
        <f aca="false">IFERROR(VLOOKUP($A182,Equipos!$C$2:$M$967,9,FALSE()),"")</f>
        <v>DGM40021</v>
      </c>
      <c r="D182" s="50" t="str">
        <f aca="false">IFERROR(VLOOKUP($A182,Equipos!$C$2:$M$967,3,FALSE()),"")</f>
        <v>Pediatría</v>
      </c>
      <c r="E182" s="50" t="str">
        <f aca="false">IFERROR(VLOOKUP($A182,Equipos!$C$2:$M$967,7,FALSE()),"")</f>
        <v>Bistos</v>
      </c>
      <c r="F182" s="50" t="str">
        <f aca="false">IFERROR(VLOOKUP($A182,Equipos!$C$2:$M$967,8,FALSE()),"")</f>
        <v>BT-770</v>
      </c>
      <c r="G182" s="50" t="s">
        <v>515</v>
      </c>
      <c r="H182" s="50" t="s">
        <v>360</v>
      </c>
      <c r="I182" s="50"/>
      <c r="J182" s="50" t="s">
        <v>352</v>
      </c>
      <c r="K182" s="50" t="str">
        <f aca="false">IFERROR(VLOOKUP($J182,Catálogos!$M$4:$N$17,2,FALSE()),"")</f>
        <v>Mantención Preventiva Realizada</v>
      </c>
      <c r="L182" s="52" t="n">
        <v>46068</v>
      </c>
      <c r="M182" s="50" t="s">
        <v>353</v>
      </c>
      <c r="N182" s="50" t="s">
        <v>253</v>
      </c>
      <c r="O182" s="50"/>
      <c r="P182" s="50"/>
      <c r="Q182" s="50" t="s">
        <v>362</v>
      </c>
    </row>
    <row r="183" customFormat="false" ht="15" hidden="false" customHeight="true" outlineLevel="0" collapsed="false">
      <c r="A183" s="51" t="s">
        <v>517</v>
      </c>
      <c r="B183" s="50" t="str">
        <f aca="false">IFERROR(VLOOKUP($A183,Equipos!$C$2:$M$967,2,FALSE()),"")</f>
        <v>Monitor Multiparámetros</v>
      </c>
      <c r="C183" s="50" t="str">
        <f aca="false">IFERROR(VLOOKUP($A183,Equipos!$C$2:$M$967,9,FALSE()),"")</f>
        <v>DGM40032</v>
      </c>
      <c r="D183" s="50" t="str">
        <f aca="false">IFERROR(VLOOKUP($A183,Equipos!$C$2:$M$967,3,FALSE()),"")</f>
        <v>Medicina</v>
      </c>
      <c r="E183" s="50" t="str">
        <f aca="false">IFERROR(VLOOKUP($A183,Equipos!$C$2:$M$967,7,FALSE()),"")</f>
        <v>Bistos</v>
      </c>
      <c r="F183" s="50" t="str">
        <f aca="false">IFERROR(VLOOKUP($A183,Equipos!$C$2:$M$967,8,FALSE()),"")</f>
        <v>BT-770</v>
      </c>
      <c r="G183" s="50" t="s">
        <v>515</v>
      </c>
      <c r="H183" s="50" t="s">
        <v>360</v>
      </c>
      <c r="I183" s="50"/>
      <c r="J183" s="50" t="s">
        <v>352</v>
      </c>
      <c r="K183" s="50" t="str">
        <f aca="false">IFERROR(VLOOKUP($J183,Catálogos!$M$4:$N$17,2,FALSE()),"")</f>
        <v>Mantención Preventiva Realizada</v>
      </c>
      <c r="L183" s="52" t="n">
        <v>46068</v>
      </c>
      <c r="M183" s="50" t="s">
        <v>353</v>
      </c>
      <c r="N183" s="50" t="s">
        <v>253</v>
      </c>
      <c r="O183" s="50"/>
      <c r="P183" s="50"/>
      <c r="Q183" s="50" t="s">
        <v>362</v>
      </c>
    </row>
    <row r="184" customFormat="false" ht="15" hidden="false" customHeight="true" outlineLevel="0" collapsed="false">
      <c r="A184" s="51" t="s">
        <v>518</v>
      </c>
      <c r="B184" s="50" t="str">
        <f aca="false">IFERROR(VLOOKUP($A184,Equipos!$C$2:$M$967,2,FALSE()),"")</f>
        <v>Monitor Multiparámetros</v>
      </c>
      <c r="C184" s="50" t="str">
        <f aca="false">IFERROR(VLOOKUP($A184,Equipos!$C$2:$M$967,9,FALSE()),"")</f>
        <v>DGM40023</v>
      </c>
      <c r="D184" s="50" t="str">
        <f aca="false">IFERROR(VLOOKUP($A184,Equipos!$C$2:$M$967,3,FALSE()),"")</f>
        <v>Medicina (Prestado a medicina cardiovascular)</v>
      </c>
      <c r="E184" s="50" t="str">
        <f aca="false">IFERROR(VLOOKUP($A184,Equipos!$C$2:$M$967,7,FALSE()),"")</f>
        <v>Bistos</v>
      </c>
      <c r="F184" s="50" t="str">
        <f aca="false">IFERROR(VLOOKUP($A184,Equipos!$C$2:$M$967,8,FALSE()),"")</f>
        <v>BT-770</v>
      </c>
      <c r="G184" s="50" t="s">
        <v>515</v>
      </c>
      <c r="H184" s="50" t="s">
        <v>360</v>
      </c>
      <c r="I184" s="50"/>
      <c r="J184" s="50" t="s">
        <v>364</v>
      </c>
      <c r="K184" s="50" t="str">
        <f aca="false">IFERROR(VLOOKUP($J184,Catálogos!$M$4:$N$17,2,FALSE()),"")</f>
        <v>Reprogramada · No disponibilidad de horas hombre del funcionario SEC por alta carga laboral</v>
      </c>
      <c r="L184" s="52" t="n">
        <v>46068</v>
      </c>
      <c r="M184" s="50" t="s">
        <v>353</v>
      </c>
      <c r="N184" s="50" t="s">
        <v>253</v>
      </c>
      <c r="O184" s="50"/>
      <c r="P184" s="50"/>
      <c r="Q184" s="50" t="s">
        <v>362</v>
      </c>
    </row>
    <row r="185" customFormat="false" ht="15" hidden="false" customHeight="true" outlineLevel="0" collapsed="false">
      <c r="A185" s="51" t="s">
        <v>519</v>
      </c>
      <c r="B185" s="50" t="str">
        <f aca="false">IFERROR(VLOOKUP($A185,Equipos!$C$2:$M$967,2,FALSE()),"")</f>
        <v>Monitor Multiparámetros</v>
      </c>
      <c r="C185" s="50" t="str">
        <f aca="false">IFERROR(VLOOKUP($A185,Equipos!$C$2:$M$967,9,FALSE()),"")</f>
        <v>DGM40042</v>
      </c>
      <c r="D185" s="50" t="str">
        <f aca="false">IFERROR(VLOOKUP($A185,Equipos!$C$2:$M$967,3,FALSE()),"")</f>
        <v>Medicina (Prestado a medicina cardiovascular)</v>
      </c>
      <c r="E185" s="50" t="str">
        <f aca="false">IFERROR(VLOOKUP($A185,Equipos!$C$2:$M$967,7,FALSE()),"")</f>
        <v>Bistos</v>
      </c>
      <c r="F185" s="50" t="str">
        <f aca="false">IFERROR(VLOOKUP($A185,Equipos!$C$2:$M$967,8,FALSE()),"")</f>
        <v>BT-770</v>
      </c>
      <c r="G185" s="50" t="s">
        <v>515</v>
      </c>
      <c r="H185" s="50" t="s">
        <v>360</v>
      </c>
      <c r="I185" s="50"/>
      <c r="J185" s="50" t="s">
        <v>364</v>
      </c>
      <c r="K185" s="50" t="str">
        <f aca="false">IFERROR(VLOOKUP($J185,Catálogos!$M$4:$N$17,2,FALSE()),"")</f>
        <v>Reprogramada · No disponibilidad de horas hombre del funcionario SEC por alta carga laboral</v>
      </c>
      <c r="L185" s="52" t="n">
        <v>46068</v>
      </c>
      <c r="M185" s="50" t="s">
        <v>353</v>
      </c>
      <c r="N185" s="50" t="s">
        <v>253</v>
      </c>
      <c r="O185" s="50"/>
      <c r="P185" s="50"/>
      <c r="Q185" s="50" t="s">
        <v>362</v>
      </c>
    </row>
    <row r="186" customFormat="false" ht="15" hidden="false" customHeight="true" outlineLevel="0" collapsed="false">
      <c r="A186" s="51" t="s">
        <v>520</v>
      </c>
      <c r="B186" s="50" t="str">
        <f aca="false">IFERROR(VLOOKUP($A186,Equipos!$C$2:$M$967,2,FALSE()),"")</f>
        <v>Monitor Multiparámetros</v>
      </c>
      <c r="C186" s="50" t="str">
        <f aca="false">IFERROR(VLOOKUP($A186,Equipos!$C$2:$M$967,9,FALSE()),"")</f>
        <v>DGM40041</v>
      </c>
      <c r="D186" s="50" t="str">
        <f aca="false">IFERROR(VLOOKUP($A186,Equipos!$C$2:$M$967,3,FALSE()),"")</f>
        <v>Medicina</v>
      </c>
      <c r="E186" s="50" t="str">
        <f aca="false">IFERROR(VLOOKUP($A186,Equipos!$C$2:$M$967,7,FALSE()),"")</f>
        <v>Bistos</v>
      </c>
      <c r="F186" s="50" t="str">
        <f aca="false">IFERROR(VLOOKUP($A186,Equipos!$C$2:$M$967,8,FALSE()),"")</f>
        <v>BT-770</v>
      </c>
      <c r="G186" s="50" t="s">
        <v>515</v>
      </c>
      <c r="H186" s="50" t="s">
        <v>360</v>
      </c>
      <c r="I186" s="50"/>
      <c r="J186" s="50" t="s">
        <v>352</v>
      </c>
      <c r="K186" s="50" t="str">
        <f aca="false">IFERROR(VLOOKUP($J186,Catálogos!$M$4:$N$17,2,FALSE()),"")</f>
        <v>Mantención Preventiva Realizada</v>
      </c>
      <c r="L186" s="52" t="n">
        <v>46068</v>
      </c>
      <c r="M186" s="50" t="s">
        <v>353</v>
      </c>
      <c r="N186" s="50" t="s">
        <v>253</v>
      </c>
      <c r="O186" s="50"/>
      <c r="P186" s="50"/>
      <c r="Q186" s="50" t="s">
        <v>362</v>
      </c>
    </row>
    <row r="187" customFormat="false" ht="15" hidden="false" customHeight="true" outlineLevel="0" collapsed="false">
      <c r="A187" s="51" t="s">
        <v>521</v>
      </c>
      <c r="B187" s="50" t="str">
        <f aca="false">IFERROR(VLOOKUP($A187,Equipos!$C$2:$M$967,2,FALSE()),"")</f>
        <v>Monitor Multiparámetros</v>
      </c>
      <c r="C187" s="50" t="str">
        <f aca="false">IFERROR(VLOOKUP($A187,Equipos!$C$2:$M$967,9,FALSE()),"")</f>
        <v>DGM40019</v>
      </c>
      <c r="D187" s="50" t="str">
        <f aca="false">IFERROR(VLOOKUP($A187,Equipos!$C$2:$M$967,3,FALSE()),"")</f>
        <v>Medicina</v>
      </c>
      <c r="E187" s="50" t="str">
        <f aca="false">IFERROR(VLOOKUP($A187,Equipos!$C$2:$M$967,7,FALSE()),"")</f>
        <v>Bistos</v>
      </c>
      <c r="F187" s="50" t="str">
        <f aca="false">IFERROR(VLOOKUP($A187,Equipos!$C$2:$M$967,8,FALSE()),"")</f>
        <v>BT-770</v>
      </c>
      <c r="G187" s="50" t="s">
        <v>515</v>
      </c>
      <c r="H187" s="50" t="s">
        <v>360</v>
      </c>
      <c r="I187" s="50"/>
      <c r="J187" s="50" t="s">
        <v>352</v>
      </c>
      <c r="K187" s="50" t="str">
        <f aca="false">IFERROR(VLOOKUP($J187,Catálogos!$M$4:$N$17,2,FALSE()),"")</f>
        <v>Mantención Preventiva Realizada</v>
      </c>
      <c r="L187" s="52" t="n">
        <v>46068</v>
      </c>
      <c r="M187" s="50" t="s">
        <v>353</v>
      </c>
      <c r="N187" s="50" t="s">
        <v>253</v>
      </c>
      <c r="O187" s="50"/>
      <c r="P187" s="50"/>
      <c r="Q187" s="50" t="s">
        <v>362</v>
      </c>
    </row>
    <row r="188" customFormat="false" ht="15" hidden="false" customHeight="true" outlineLevel="0" collapsed="false">
      <c r="A188" s="51" t="s">
        <v>522</v>
      </c>
      <c r="B188" s="50" t="str">
        <f aca="false">IFERROR(VLOOKUP($A188,Equipos!$C$2:$M$967,2,FALSE()),"")</f>
        <v>Monitor Multiparámetros</v>
      </c>
      <c r="C188" s="50" t="str">
        <f aca="false">IFERROR(VLOOKUP($A188,Equipos!$C$2:$M$967,9,FALSE()),"")</f>
        <v>DGM40026</v>
      </c>
      <c r="D188" s="50" t="str">
        <f aca="false">IFERROR(VLOOKUP($A188,Equipos!$C$2:$M$967,3,FALSE()),"")</f>
        <v>Medicina</v>
      </c>
      <c r="E188" s="50" t="str">
        <f aca="false">IFERROR(VLOOKUP($A188,Equipos!$C$2:$M$967,7,FALSE()),"")</f>
        <v>Bistos</v>
      </c>
      <c r="F188" s="50" t="str">
        <f aca="false">IFERROR(VLOOKUP($A188,Equipos!$C$2:$M$967,8,FALSE()),"")</f>
        <v>BT-770</v>
      </c>
      <c r="G188" s="50" t="s">
        <v>515</v>
      </c>
      <c r="H188" s="50" t="s">
        <v>360</v>
      </c>
      <c r="I188" s="50"/>
      <c r="J188" s="50" t="s">
        <v>352</v>
      </c>
      <c r="K188" s="50" t="str">
        <f aca="false">IFERROR(VLOOKUP($J188,Catálogos!$M$4:$N$17,2,FALSE()),"")</f>
        <v>Mantención Preventiva Realizada</v>
      </c>
      <c r="L188" s="52" t="n">
        <v>46068</v>
      </c>
      <c r="M188" s="50" t="s">
        <v>353</v>
      </c>
      <c r="N188" s="50" t="s">
        <v>253</v>
      </c>
      <c r="O188" s="50"/>
      <c r="P188" s="50"/>
      <c r="Q188" s="50" t="s">
        <v>362</v>
      </c>
    </row>
    <row r="189" customFormat="false" ht="15" hidden="false" customHeight="true" outlineLevel="0" collapsed="false">
      <c r="A189" s="51" t="s">
        <v>371</v>
      </c>
      <c r="B189" s="50" t="str">
        <f aca="false">IFERROR(VLOOKUP($A189,Equipos!$C$2:$M$967,2,FALSE()),"")</f>
        <v>Monitor Multiparámetros</v>
      </c>
      <c r="C189" s="50" t="str">
        <f aca="false">IFERROR(VLOOKUP($A189,Equipos!$C$2:$M$967,9,FALSE()),"")</f>
        <v>DGM40016</v>
      </c>
      <c r="D189" s="50" t="str">
        <f aca="false">IFERROR(VLOOKUP($A189,Equipos!$C$2:$M$967,3,FALSE()),"")</f>
        <v>Cirugía Infantil</v>
      </c>
      <c r="E189" s="50" t="str">
        <f aca="false">IFERROR(VLOOKUP($A189,Equipos!$C$2:$M$967,7,FALSE()),"")</f>
        <v>Bistos</v>
      </c>
      <c r="F189" s="50" t="str">
        <f aca="false">IFERROR(VLOOKUP($A189,Equipos!$C$2:$M$967,8,FALSE()),"")</f>
        <v>BT-770</v>
      </c>
      <c r="G189" s="50" t="s">
        <v>515</v>
      </c>
      <c r="H189" s="50" t="s">
        <v>360</v>
      </c>
      <c r="I189" s="50"/>
      <c r="J189" s="50" t="s">
        <v>352</v>
      </c>
      <c r="K189" s="50" t="str">
        <f aca="false">IFERROR(VLOOKUP($J189,Catálogos!$M$4:$N$17,2,FALSE()),"")</f>
        <v>Mantención Preventiva Realizada</v>
      </c>
      <c r="L189" s="52" t="n">
        <v>46068</v>
      </c>
      <c r="M189" s="50" t="s">
        <v>353</v>
      </c>
      <c r="N189" s="50" t="s">
        <v>253</v>
      </c>
      <c r="O189" s="50"/>
      <c r="P189" s="50"/>
      <c r="Q189" s="50" t="s">
        <v>362</v>
      </c>
    </row>
    <row r="190" customFormat="false" ht="15" hidden="false" customHeight="true" outlineLevel="0" collapsed="false">
      <c r="A190" s="51" t="s">
        <v>523</v>
      </c>
      <c r="B190" s="50" t="str">
        <f aca="false">IFERROR(VLOOKUP($A190,Equipos!$C$2:$M$967,2,FALSE()),"")</f>
        <v>Monitor Multiparámetros</v>
      </c>
      <c r="C190" s="50" t="str">
        <f aca="false">IFERROR(VLOOKUP($A190,Equipos!$C$2:$M$967,9,FALSE()),"")</f>
        <v>DGM40028</v>
      </c>
      <c r="D190" s="50" t="str">
        <f aca="false">IFERROR(VLOOKUP($A190,Equipos!$C$2:$M$967,3,FALSE()),"")</f>
        <v>Medicina</v>
      </c>
      <c r="E190" s="50" t="str">
        <f aca="false">IFERROR(VLOOKUP($A190,Equipos!$C$2:$M$967,7,FALSE()),"")</f>
        <v>Bistos</v>
      </c>
      <c r="F190" s="50" t="str">
        <f aca="false">IFERROR(VLOOKUP($A190,Equipos!$C$2:$M$967,8,FALSE()),"")</f>
        <v>BT-770</v>
      </c>
      <c r="G190" s="50" t="s">
        <v>515</v>
      </c>
      <c r="H190" s="50" t="s">
        <v>360</v>
      </c>
      <c r="I190" s="50"/>
      <c r="J190" s="50" t="s">
        <v>352</v>
      </c>
      <c r="K190" s="50" t="str">
        <f aca="false">IFERROR(VLOOKUP($J190,Catálogos!$M$4:$N$17,2,FALSE()),"")</f>
        <v>Mantención Preventiva Realizada</v>
      </c>
      <c r="L190" s="52" t="n">
        <v>46068</v>
      </c>
      <c r="M190" s="50" t="s">
        <v>353</v>
      </c>
      <c r="N190" s="50" t="s">
        <v>253</v>
      </c>
      <c r="O190" s="50"/>
      <c r="P190" s="50"/>
      <c r="Q190" s="50" t="s">
        <v>362</v>
      </c>
    </row>
    <row r="191" customFormat="false" ht="15" hidden="false" customHeight="true" outlineLevel="0" collapsed="false">
      <c r="A191" s="51" t="s">
        <v>524</v>
      </c>
      <c r="B191" s="50" t="str">
        <f aca="false">IFERROR(VLOOKUP($A191,Equipos!$C$2:$M$967,2,FALSE()),"")</f>
        <v>Monitor Multiparámetros</v>
      </c>
      <c r="C191" s="50" t="str">
        <f aca="false">IFERROR(VLOOKUP($A191,Equipos!$C$2:$M$967,9,FALSE()),"")</f>
        <v>DGM40037</v>
      </c>
      <c r="D191" s="50" t="str">
        <f aca="false">IFERROR(VLOOKUP($A191,Equipos!$C$2:$M$967,3,FALSE()),"")</f>
        <v>Medicina</v>
      </c>
      <c r="E191" s="50" t="str">
        <f aca="false">IFERROR(VLOOKUP($A191,Equipos!$C$2:$M$967,7,FALSE()),"")</f>
        <v>Bistos</v>
      </c>
      <c r="F191" s="50" t="str">
        <f aca="false">IFERROR(VLOOKUP($A191,Equipos!$C$2:$M$967,8,FALSE()),"")</f>
        <v>BT-770</v>
      </c>
      <c r="G191" s="50" t="s">
        <v>515</v>
      </c>
      <c r="H191" s="50" t="s">
        <v>360</v>
      </c>
      <c r="I191" s="50"/>
      <c r="J191" s="50" t="s">
        <v>352</v>
      </c>
      <c r="K191" s="50" t="str">
        <f aca="false">IFERROR(VLOOKUP($J191,Catálogos!$M$4:$N$17,2,FALSE()),"")</f>
        <v>Mantención Preventiva Realizada</v>
      </c>
      <c r="L191" s="52" t="n">
        <v>46068</v>
      </c>
      <c r="M191" s="50" t="s">
        <v>353</v>
      </c>
      <c r="N191" s="50" t="s">
        <v>253</v>
      </c>
      <c r="O191" s="50"/>
      <c r="P191" s="50"/>
      <c r="Q191" s="50" t="s">
        <v>362</v>
      </c>
    </row>
    <row r="192" customFormat="false" ht="15" hidden="false" customHeight="true" outlineLevel="0" collapsed="false">
      <c r="A192" s="51" t="s">
        <v>525</v>
      </c>
      <c r="B192" s="50" t="str">
        <f aca="false">IFERROR(VLOOKUP($A192,Equipos!$C$2:$M$967,2,FALSE()),"")</f>
        <v>Monitor Multiparámetros</v>
      </c>
      <c r="C192" s="50" t="str">
        <f aca="false">IFERROR(VLOOKUP($A192,Equipos!$C$2:$M$967,9,FALSE()),"")</f>
        <v>DGM40013</v>
      </c>
      <c r="D192" s="50" t="str">
        <f aca="false">IFERROR(VLOOKUP($A192,Equipos!$C$2:$M$967,3,FALSE()),"")</f>
        <v>Medicina</v>
      </c>
      <c r="E192" s="50" t="str">
        <f aca="false">IFERROR(VLOOKUP($A192,Equipos!$C$2:$M$967,7,FALSE()),"")</f>
        <v>Bistos</v>
      </c>
      <c r="F192" s="50" t="str">
        <f aca="false">IFERROR(VLOOKUP($A192,Equipos!$C$2:$M$967,8,FALSE()),"")</f>
        <v>BT-770</v>
      </c>
      <c r="G192" s="50" t="s">
        <v>515</v>
      </c>
      <c r="H192" s="50" t="s">
        <v>360</v>
      </c>
      <c r="I192" s="50"/>
      <c r="J192" s="50" t="s">
        <v>352</v>
      </c>
      <c r="K192" s="50" t="str">
        <f aca="false">IFERROR(VLOOKUP($J192,Catálogos!$M$4:$N$17,2,FALSE()),"")</f>
        <v>Mantención Preventiva Realizada</v>
      </c>
      <c r="L192" s="52" t="n">
        <v>46068</v>
      </c>
      <c r="M192" s="50" t="s">
        <v>353</v>
      </c>
      <c r="N192" s="50" t="s">
        <v>253</v>
      </c>
      <c r="O192" s="50"/>
      <c r="P192" s="50"/>
      <c r="Q192" s="50" t="s">
        <v>362</v>
      </c>
    </row>
    <row r="193" customFormat="false" ht="15" hidden="false" customHeight="true" outlineLevel="0" collapsed="false">
      <c r="A193" s="51" t="s">
        <v>526</v>
      </c>
      <c r="B193" s="50" t="str">
        <f aca="false">IFERROR(VLOOKUP($A193,Equipos!$C$2:$M$967,2,FALSE()),"")</f>
        <v>Monitor Multiparámetros</v>
      </c>
      <c r="C193" s="50" t="str">
        <f aca="false">IFERROR(VLOOKUP($A193,Equipos!$C$2:$M$967,9,FALSE()),"")</f>
        <v>DGL80023</v>
      </c>
      <c r="D193" s="50" t="str">
        <f aca="false">IFERROR(VLOOKUP($A193,Equipos!$C$2:$M$967,3,FALSE()),"")</f>
        <v>Medicina</v>
      </c>
      <c r="E193" s="50" t="str">
        <f aca="false">IFERROR(VLOOKUP($A193,Equipos!$C$2:$M$967,7,FALSE()),"")</f>
        <v>Bistos</v>
      </c>
      <c r="F193" s="50" t="str">
        <f aca="false">IFERROR(VLOOKUP($A193,Equipos!$C$2:$M$967,8,FALSE()),"")</f>
        <v>BT-770</v>
      </c>
      <c r="G193" s="50" t="s">
        <v>515</v>
      </c>
      <c r="H193" s="50" t="s">
        <v>360</v>
      </c>
      <c r="I193" s="50"/>
      <c r="J193" s="50" t="s">
        <v>352</v>
      </c>
      <c r="K193" s="50" t="str">
        <f aca="false">IFERROR(VLOOKUP($J193,Catálogos!$M$4:$N$17,2,FALSE()),"")</f>
        <v>Mantención Preventiva Realizada</v>
      </c>
      <c r="L193" s="52" t="n">
        <v>46068</v>
      </c>
      <c r="M193" s="50" t="s">
        <v>353</v>
      </c>
      <c r="N193" s="50" t="s">
        <v>253</v>
      </c>
      <c r="O193" s="50"/>
      <c r="P193" s="50"/>
      <c r="Q193" s="50" t="s">
        <v>362</v>
      </c>
    </row>
    <row r="194" customFormat="false" ht="15" hidden="false" customHeight="true" outlineLevel="0" collapsed="false">
      <c r="A194" s="51" t="s">
        <v>527</v>
      </c>
      <c r="B194" s="50" t="str">
        <f aca="false">IFERROR(VLOOKUP($A194,Equipos!$C$2:$M$967,2,FALSE()),"")</f>
        <v>Monitor Multiparámetros</v>
      </c>
      <c r="C194" s="50" t="str">
        <f aca="false">IFERROR(VLOOKUP($A194,Equipos!$C$2:$M$967,9,FALSE()),"")</f>
        <v>DGL80022</v>
      </c>
      <c r="D194" s="50" t="str">
        <f aca="false">IFERROR(VLOOKUP($A194,Equipos!$C$2:$M$967,3,FALSE()),"")</f>
        <v>Medicina</v>
      </c>
      <c r="E194" s="50" t="str">
        <f aca="false">IFERROR(VLOOKUP($A194,Equipos!$C$2:$M$967,7,FALSE()),"")</f>
        <v>Bistos</v>
      </c>
      <c r="F194" s="50" t="str">
        <f aca="false">IFERROR(VLOOKUP($A194,Equipos!$C$2:$M$967,8,FALSE()),"")</f>
        <v>BT-770</v>
      </c>
      <c r="G194" s="50" t="s">
        <v>515</v>
      </c>
      <c r="H194" s="50" t="s">
        <v>360</v>
      </c>
      <c r="I194" s="50"/>
      <c r="J194" s="50" t="s">
        <v>352</v>
      </c>
      <c r="K194" s="50" t="str">
        <f aca="false">IFERROR(VLOOKUP($J194,Catálogos!$M$4:$N$17,2,FALSE()),"")</f>
        <v>Mantención Preventiva Realizada</v>
      </c>
      <c r="L194" s="52" t="n">
        <v>46068</v>
      </c>
      <c r="M194" s="50" t="s">
        <v>353</v>
      </c>
      <c r="N194" s="50" t="s">
        <v>253</v>
      </c>
      <c r="O194" s="50"/>
      <c r="P194" s="50"/>
      <c r="Q194" s="50" t="s">
        <v>362</v>
      </c>
    </row>
    <row r="195" customFormat="false" ht="15" hidden="false" customHeight="true" outlineLevel="0" collapsed="false">
      <c r="A195" s="51" t="s">
        <v>528</v>
      </c>
      <c r="B195" s="50" t="str">
        <f aca="false">IFERROR(VLOOKUP($A195,Equipos!$C$2:$M$967,2,FALSE()),"")</f>
        <v>Monitor Multiparámetros</v>
      </c>
      <c r="C195" s="50" t="str">
        <f aca="false">IFERROR(VLOOKUP($A195,Equipos!$C$2:$M$967,9,FALSE()),"")</f>
        <v>DGL80024</v>
      </c>
      <c r="D195" s="50" t="str">
        <f aca="false">IFERROR(VLOOKUP($A195,Equipos!$C$2:$M$967,3,FALSE()),"")</f>
        <v>Medicina</v>
      </c>
      <c r="E195" s="50" t="str">
        <f aca="false">IFERROR(VLOOKUP($A195,Equipos!$C$2:$M$967,7,FALSE()),"")</f>
        <v>Bistos</v>
      </c>
      <c r="F195" s="50" t="str">
        <f aca="false">IFERROR(VLOOKUP($A195,Equipos!$C$2:$M$967,8,FALSE()),"")</f>
        <v>BT-770</v>
      </c>
      <c r="G195" s="50" t="s">
        <v>515</v>
      </c>
      <c r="H195" s="50" t="s">
        <v>360</v>
      </c>
      <c r="I195" s="50"/>
      <c r="J195" s="50" t="s">
        <v>352</v>
      </c>
      <c r="K195" s="50" t="str">
        <f aca="false">IFERROR(VLOOKUP($J195,Catálogos!$M$4:$N$17,2,FALSE()),"")</f>
        <v>Mantención Preventiva Realizada</v>
      </c>
      <c r="L195" s="52" t="n">
        <v>46068</v>
      </c>
      <c r="M195" s="50" t="s">
        <v>353</v>
      </c>
      <c r="N195" s="50" t="s">
        <v>253</v>
      </c>
      <c r="O195" s="50"/>
      <c r="P195" s="50"/>
      <c r="Q195" s="50" t="s">
        <v>362</v>
      </c>
    </row>
    <row r="196" customFormat="false" ht="15" hidden="false" customHeight="true" outlineLevel="0" collapsed="false">
      <c r="A196" s="51" t="s">
        <v>529</v>
      </c>
      <c r="B196" s="50" t="str">
        <f aca="false">IFERROR(VLOOKUP($A196,Equipos!$C$2:$M$967,2,FALSE()),"")</f>
        <v>Monitor Multiparámetros</v>
      </c>
      <c r="C196" s="50" t="str">
        <f aca="false">IFERROR(VLOOKUP($A196,Equipos!$C$2:$M$967,9,FALSE()),"")</f>
        <v>DGL70655</v>
      </c>
      <c r="D196" s="50" t="str">
        <f aca="false">IFERROR(VLOOKUP($A196,Equipos!$C$2:$M$967,3,FALSE()),"")</f>
        <v>Medicina</v>
      </c>
      <c r="E196" s="50" t="str">
        <f aca="false">IFERROR(VLOOKUP($A196,Equipos!$C$2:$M$967,7,FALSE()),"")</f>
        <v>Bistos</v>
      </c>
      <c r="F196" s="50" t="str">
        <f aca="false">IFERROR(VLOOKUP($A196,Equipos!$C$2:$M$967,8,FALSE()),"")</f>
        <v>BT-770</v>
      </c>
      <c r="G196" s="50" t="s">
        <v>515</v>
      </c>
      <c r="H196" s="50" t="s">
        <v>360</v>
      </c>
      <c r="I196" s="50"/>
      <c r="J196" s="50" t="s">
        <v>352</v>
      </c>
      <c r="K196" s="50" t="str">
        <f aca="false">IFERROR(VLOOKUP($J196,Catálogos!$M$4:$N$17,2,FALSE()),"")</f>
        <v>Mantención Preventiva Realizada</v>
      </c>
      <c r="L196" s="52" t="n">
        <v>46068</v>
      </c>
      <c r="M196" s="50" t="s">
        <v>353</v>
      </c>
      <c r="N196" s="50" t="s">
        <v>253</v>
      </c>
      <c r="O196" s="50"/>
      <c r="P196" s="50"/>
      <c r="Q196" s="50" t="s">
        <v>362</v>
      </c>
    </row>
    <row r="197" customFormat="false" ht="15" hidden="false" customHeight="true" outlineLevel="0" collapsed="false">
      <c r="A197" s="51" t="s">
        <v>530</v>
      </c>
      <c r="B197" s="50" t="str">
        <f aca="false">IFERROR(VLOOKUP($A197,Equipos!$C$2:$M$967,2,FALSE()),"")</f>
        <v>Monitor Multiparámetros</v>
      </c>
      <c r="C197" s="50" t="str">
        <f aca="false">IFERROR(VLOOKUP($A197,Equipos!$C$2:$M$967,9,FALSE()),"")</f>
        <v>DGLC0110</v>
      </c>
      <c r="D197" s="50" t="str">
        <f aca="false">IFERROR(VLOOKUP($A197,Equipos!$C$2:$M$967,3,FALSE()),"")</f>
        <v>Medicina</v>
      </c>
      <c r="E197" s="50" t="str">
        <f aca="false">IFERROR(VLOOKUP($A197,Equipos!$C$2:$M$967,7,FALSE()),"")</f>
        <v>Bistos</v>
      </c>
      <c r="F197" s="50" t="str">
        <f aca="false">IFERROR(VLOOKUP($A197,Equipos!$C$2:$M$967,8,FALSE()),"")</f>
        <v>BT-770</v>
      </c>
      <c r="G197" s="50" t="s">
        <v>515</v>
      </c>
      <c r="H197" s="50" t="s">
        <v>360</v>
      </c>
      <c r="I197" s="50"/>
      <c r="J197" s="50" t="s">
        <v>352</v>
      </c>
      <c r="K197" s="50" t="str">
        <f aca="false">IFERROR(VLOOKUP($J197,Catálogos!$M$4:$N$17,2,FALSE()),"")</f>
        <v>Mantención Preventiva Realizada</v>
      </c>
      <c r="L197" s="52" t="n">
        <v>46068</v>
      </c>
      <c r="M197" s="50" t="s">
        <v>353</v>
      </c>
      <c r="N197" s="50" t="s">
        <v>253</v>
      </c>
      <c r="O197" s="50"/>
      <c r="P197" s="50"/>
      <c r="Q197" s="50" t="s">
        <v>362</v>
      </c>
    </row>
    <row r="198" customFormat="false" ht="15" hidden="false" customHeight="true" outlineLevel="0" collapsed="false">
      <c r="A198" s="51" t="s">
        <v>531</v>
      </c>
      <c r="B198" s="50" t="str">
        <f aca="false">IFERROR(VLOOKUP($A198,Equipos!$C$2:$M$967,2,FALSE()),"")</f>
        <v>Monitor Multiparámetros</v>
      </c>
      <c r="C198" s="50" t="str">
        <f aca="false">IFERROR(VLOOKUP($A198,Equipos!$C$2:$M$967,9,FALSE()),"")</f>
        <v>DGLC0113</v>
      </c>
      <c r="D198" s="50" t="str">
        <f aca="false">IFERROR(VLOOKUP($A198,Equipos!$C$2:$M$967,3,FALSE()),"")</f>
        <v>Medicina</v>
      </c>
      <c r="E198" s="50" t="str">
        <f aca="false">IFERROR(VLOOKUP($A198,Equipos!$C$2:$M$967,7,FALSE()),"")</f>
        <v>Bistos</v>
      </c>
      <c r="F198" s="50" t="str">
        <f aca="false">IFERROR(VLOOKUP($A198,Equipos!$C$2:$M$967,8,FALSE()),"")</f>
        <v>BT-770</v>
      </c>
      <c r="G198" s="50" t="s">
        <v>515</v>
      </c>
      <c r="H198" s="50" t="s">
        <v>360</v>
      </c>
      <c r="I198" s="50"/>
      <c r="J198" s="50" t="s">
        <v>352</v>
      </c>
      <c r="K198" s="50" t="str">
        <f aca="false">IFERROR(VLOOKUP($J198,Catálogos!$M$4:$N$17,2,FALSE()),"")</f>
        <v>Mantención Preventiva Realizada</v>
      </c>
      <c r="L198" s="52" t="n">
        <v>46068</v>
      </c>
      <c r="M198" s="50" t="s">
        <v>353</v>
      </c>
      <c r="N198" s="50" t="s">
        <v>253</v>
      </c>
      <c r="O198" s="50"/>
      <c r="P198" s="50"/>
      <c r="Q198" s="50" t="s">
        <v>362</v>
      </c>
    </row>
    <row r="199" customFormat="false" ht="15" hidden="false" customHeight="true" outlineLevel="0" collapsed="false">
      <c r="A199" s="51" t="s">
        <v>372</v>
      </c>
      <c r="B199" s="50" t="str">
        <f aca="false">IFERROR(VLOOKUP($A199,Equipos!$C$2:$M$967,2,FALSE()),"")</f>
        <v>Monitor Multiparámetros</v>
      </c>
      <c r="C199" s="50" t="str">
        <f aca="false">IFERROR(VLOOKUP($A199,Equipos!$C$2:$M$967,9,FALSE()),"")</f>
        <v>DGLC0111</v>
      </c>
      <c r="D199" s="50" t="str">
        <f aca="false">IFERROR(VLOOKUP($A199,Equipos!$C$2:$M$967,3,FALSE()),"")</f>
        <v>Cirugía Infantil</v>
      </c>
      <c r="E199" s="50" t="str">
        <f aca="false">IFERROR(VLOOKUP($A199,Equipos!$C$2:$M$967,7,FALSE()),"")</f>
        <v>Bistos</v>
      </c>
      <c r="F199" s="50" t="str">
        <f aca="false">IFERROR(VLOOKUP($A199,Equipos!$C$2:$M$967,8,FALSE()),"")</f>
        <v>BT-770</v>
      </c>
      <c r="G199" s="50" t="s">
        <v>515</v>
      </c>
      <c r="H199" s="50" t="s">
        <v>360</v>
      </c>
      <c r="I199" s="50"/>
      <c r="J199" s="50" t="s">
        <v>352</v>
      </c>
      <c r="K199" s="50" t="str">
        <f aca="false">IFERROR(VLOOKUP($J199,Catálogos!$M$4:$N$17,2,FALSE()),"")</f>
        <v>Mantención Preventiva Realizada</v>
      </c>
      <c r="L199" s="52" t="n">
        <v>46068</v>
      </c>
      <c r="M199" s="50" t="s">
        <v>353</v>
      </c>
      <c r="N199" s="50" t="s">
        <v>253</v>
      </c>
      <c r="O199" s="50"/>
      <c r="P199" s="50"/>
      <c r="Q199" s="50" t="s">
        <v>362</v>
      </c>
    </row>
    <row r="200" customFormat="false" ht="15" hidden="false" customHeight="true" outlineLevel="0" collapsed="false">
      <c r="A200" s="51" t="s">
        <v>532</v>
      </c>
      <c r="B200" s="50" t="str">
        <f aca="false">IFERROR(VLOOKUP($A200,Equipos!$C$2:$M$967,2,FALSE()),"")</f>
        <v>Monitor Multiparámetros</v>
      </c>
      <c r="C200" s="50" t="str">
        <f aca="false">IFERROR(VLOOKUP($A200,Equipos!$C$2:$M$967,9,FALSE()),"")</f>
        <v>DGLC0131</v>
      </c>
      <c r="D200" s="50" t="str">
        <f aca="false">IFERROR(VLOOKUP($A200,Equipos!$C$2:$M$967,3,FALSE()),"")</f>
        <v>Medicina</v>
      </c>
      <c r="E200" s="50" t="str">
        <f aca="false">IFERROR(VLOOKUP($A200,Equipos!$C$2:$M$967,7,FALSE()),"")</f>
        <v>Bistos</v>
      </c>
      <c r="F200" s="50" t="str">
        <f aca="false">IFERROR(VLOOKUP($A200,Equipos!$C$2:$M$967,8,FALSE()),"")</f>
        <v>BT-770</v>
      </c>
      <c r="G200" s="50" t="s">
        <v>515</v>
      </c>
      <c r="H200" s="50" t="s">
        <v>360</v>
      </c>
      <c r="I200" s="50"/>
      <c r="J200" s="50" t="s">
        <v>352</v>
      </c>
      <c r="K200" s="50" t="str">
        <f aca="false">IFERROR(VLOOKUP($J200,Catálogos!$M$4:$N$17,2,FALSE()),"")</f>
        <v>Mantención Preventiva Realizada</v>
      </c>
      <c r="L200" s="52" t="n">
        <v>46068</v>
      </c>
      <c r="M200" s="50" t="s">
        <v>353</v>
      </c>
      <c r="N200" s="50" t="s">
        <v>253</v>
      </c>
      <c r="O200" s="50"/>
      <c r="P200" s="50"/>
      <c r="Q200" s="50" t="s">
        <v>362</v>
      </c>
    </row>
    <row r="201" customFormat="false" ht="15" hidden="false" customHeight="true" outlineLevel="0" collapsed="false">
      <c r="A201" s="51" t="s">
        <v>533</v>
      </c>
      <c r="B201" s="50" t="str">
        <f aca="false">IFERROR(VLOOKUP($A201,Equipos!$C$2:$M$967,2,FALSE()),"")</f>
        <v>Monitor Multiparámetros</v>
      </c>
      <c r="C201" s="50" t="str">
        <f aca="false">IFERROR(VLOOKUP($A201,Equipos!$C$2:$M$967,9,FALSE()),"")</f>
        <v>DGLC0123</v>
      </c>
      <c r="D201" s="50" t="str">
        <f aca="false">IFERROR(VLOOKUP($A201,Equipos!$C$2:$M$967,3,FALSE()),"")</f>
        <v>Medicina</v>
      </c>
      <c r="E201" s="50" t="str">
        <f aca="false">IFERROR(VLOOKUP($A201,Equipos!$C$2:$M$967,7,FALSE()),"")</f>
        <v>Bistos</v>
      </c>
      <c r="F201" s="50" t="str">
        <f aca="false">IFERROR(VLOOKUP($A201,Equipos!$C$2:$M$967,8,FALSE()),"")</f>
        <v>BT-770</v>
      </c>
      <c r="G201" s="50" t="s">
        <v>515</v>
      </c>
      <c r="H201" s="50" t="s">
        <v>360</v>
      </c>
      <c r="I201" s="50"/>
      <c r="J201" s="50" t="s">
        <v>352</v>
      </c>
      <c r="K201" s="50" t="str">
        <f aca="false">IFERROR(VLOOKUP($J201,Catálogos!$M$4:$N$17,2,FALSE()),"")</f>
        <v>Mantención Preventiva Realizada</v>
      </c>
      <c r="L201" s="52" t="n">
        <v>46068</v>
      </c>
      <c r="M201" s="50" t="s">
        <v>353</v>
      </c>
      <c r="N201" s="50" t="s">
        <v>253</v>
      </c>
      <c r="O201" s="50"/>
      <c r="P201" s="50"/>
      <c r="Q201" s="50" t="s">
        <v>362</v>
      </c>
    </row>
    <row r="202" customFormat="false" ht="15" hidden="false" customHeight="true" outlineLevel="0" collapsed="false">
      <c r="A202" s="51" t="s">
        <v>534</v>
      </c>
      <c r="B202" s="50" t="str">
        <f aca="false">IFERROR(VLOOKUP($A202,Equipos!$C$2:$M$967,2,FALSE()),"")</f>
        <v>Monitor Multiparámetros</v>
      </c>
      <c r="C202" s="50" t="str">
        <f aca="false">IFERROR(VLOOKUP($A202,Equipos!$C$2:$M$967,9,FALSE()),"")</f>
        <v>DGLC0129</v>
      </c>
      <c r="D202" s="50" t="str">
        <f aca="false">IFERROR(VLOOKUP($A202,Equipos!$C$2:$M$967,3,FALSE()),"")</f>
        <v>Medicina</v>
      </c>
      <c r="E202" s="50" t="str">
        <f aca="false">IFERROR(VLOOKUP($A202,Equipos!$C$2:$M$967,7,FALSE()),"")</f>
        <v>Bistos</v>
      </c>
      <c r="F202" s="50" t="str">
        <f aca="false">IFERROR(VLOOKUP($A202,Equipos!$C$2:$M$967,8,FALSE()),"")</f>
        <v>BT-770</v>
      </c>
      <c r="G202" s="50" t="s">
        <v>515</v>
      </c>
      <c r="H202" s="50" t="s">
        <v>360</v>
      </c>
      <c r="I202" s="50"/>
      <c r="J202" s="50" t="s">
        <v>352</v>
      </c>
      <c r="K202" s="50" t="str">
        <f aca="false">IFERROR(VLOOKUP($J202,Catálogos!$M$4:$N$17,2,FALSE()),"")</f>
        <v>Mantención Preventiva Realizada</v>
      </c>
      <c r="L202" s="52" t="n">
        <v>46068</v>
      </c>
      <c r="M202" s="50" t="s">
        <v>353</v>
      </c>
      <c r="N202" s="50" t="s">
        <v>253</v>
      </c>
      <c r="O202" s="50"/>
      <c r="P202" s="50"/>
      <c r="Q202" s="50" t="s">
        <v>362</v>
      </c>
    </row>
    <row r="203" customFormat="false" ht="15" hidden="false" customHeight="true" outlineLevel="0" collapsed="false">
      <c r="A203" s="51" t="s">
        <v>535</v>
      </c>
      <c r="B203" s="50" t="str">
        <f aca="false">IFERROR(VLOOKUP($A203,Equipos!$C$2:$M$967,2,FALSE()),"")</f>
        <v>Monitor Multiparámetros</v>
      </c>
      <c r="C203" s="50" t="str">
        <f aca="false">IFERROR(VLOOKUP($A203,Equipos!$C$2:$M$967,9,FALSE()),"")</f>
        <v>DGLC0119</v>
      </c>
      <c r="D203" s="50" t="str">
        <f aca="false">IFERROR(VLOOKUP($A203,Equipos!$C$2:$M$967,3,FALSE()),"")</f>
        <v>Medicina</v>
      </c>
      <c r="E203" s="50" t="str">
        <f aca="false">IFERROR(VLOOKUP($A203,Equipos!$C$2:$M$967,7,FALSE()),"")</f>
        <v>Bistos</v>
      </c>
      <c r="F203" s="50" t="str">
        <f aca="false">IFERROR(VLOOKUP($A203,Equipos!$C$2:$M$967,8,FALSE()),"")</f>
        <v>BT-770</v>
      </c>
      <c r="G203" s="50" t="s">
        <v>515</v>
      </c>
      <c r="H203" s="50" t="s">
        <v>360</v>
      </c>
      <c r="I203" s="50"/>
      <c r="J203" s="50" t="s">
        <v>352</v>
      </c>
      <c r="K203" s="50" t="str">
        <f aca="false">IFERROR(VLOOKUP($J203,Catálogos!$M$4:$N$17,2,FALSE()),"")</f>
        <v>Mantención Preventiva Realizada</v>
      </c>
      <c r="L203" s="52" t="n">
        <v>46068</v>
      </c>
      <c r="M203" s="50" t="s">
        <v>353</v>
      </c>
      <c r="N203" s="50" t="s">
        <v>253</v>
      </c>
      <c r="O203" s="50"/>
      <c r="P203" s="50"/>
      <c r="Q203" s="50" t="s">
        <v>362</v>
      </c>
    </row>
    <row r="204" customFormat="false" ht="15" hidden="false" customHeight="true" outlineLevel="0" collapsed="false">
      <c r="A204" s="51" t="s">
        <v>536</v>
      </c>
      <c r="B204" s="50" t="str">
        <f aca="false">IFERROR(VLOOKUP($A204,Equipos!$C$2:$M$967,2,FALSE()),"")</f>
        <v>Monitor Multiparámetros</v>
      </c>
      <c r="C204" s="50" t="str">
        <f aca="false">IFERROR(VLOOKUP($A204,Equipos!$C$2:$M$967,9,FALSE()),"")</f>
        <v>DGLC0114</v>
      </c>
      <c r="D204" s="50" t="str">
        <f aca="false">IFERROR(VLOOKUP($A204,Equipos!$C$2:$M$967,3,FALSE()),"")</f>
        <v>Medicina</v>
      </c>
      <c r="E204" s="50" t="str">
        <f aca="false">IFERROR(VLOOKUP($A204,Equipos!$C$2:$M$967,7,FALSE()),"")</f>
        <v>Bistos</v>
      </c>
      <c r="F204" s="50" t="str">
        <f aca="false">IFERROR(VLOOKUP($A204,Equipos!$C$2:$M$967,8,FALSE()),"")</f>
        <v>BT-770</v>
      </c>
      <c r="G204" s="50" t="s">
        <v>515</v>
      </c>
      <c r="H204" s="50" t="s">
        <v>360</v>
      </c>
      <c r="I204" s="50"/>
      <c r="J204" s="50" t="s">
        <v>352</v>
      </c>
      <c r="K204" s="50" t="str">
        <f aca="false">IFERROR(VLOOKUP($J204,Catálogos!$M$4:$N$17,2,FALSE()),"")</f>
        <v>Mantención Preventiva Realizada</v>
      </c>
      <c r="L204" s="52" t="n">
        <v>46068</v>
      </c>
      <c r="M204" s="50" t="s">
        <v>353</v>
      </c>
      <c r="N204" s="50" t="s">
        <v>253</v>
      </c>
      <c r="O204" s="50"/>
      <c r="P204" s="50"/>
      <c r="Q204" s="50" t="s">
        <v>362</v>
      </c>
    </row>
    <row r="205" customFormat="false" ht="15" hidden="false" customHeight="true" outlineLevel="0" collapsed="false">
      <c r="A205" s="51" t="s">
        <v>537</v>
      </c>
      <c r="B205" s="50" t="str">
        <f aca="false">IFERROR(VLOOKUP($A205,Equipos!$C$2:$M$967,2,FALSE()),"")</f>
        <v>Monitor Multiparámetros</v>
      </c>
      <c r="C205" s="50" t="str">
        <f aca="false">IFERROR(VLOOKUP($A205,Equipos!$C$2:$M$967,9,FALSE()),"")</f>
        <v>DGL70652</v>
      </c>
      <c r="D205" s="50" t="str">
        <f aca="false">IFERROR(VLOOKUP($A205,Equipos!$C$2:$M$967,3,FALSE()),"")</f>
        <v>Hospitalización Domiciliaria</v>
      </c>
      <c r="E205" s="50" t="str">
        <f aca="false">IFERROR(VLOOKUP($A205,Equipos!$C$2:$M$967,7,FALSE()),"")</f>
        <v>Bistos</v>
      </c>
      <c r="F205" s="50" t="str">
        <f aca="false">IFERROR(VLOOKUP($A205,Equipos!$C$2:$M$967,8,FALSE()),"")</f>
        <v>BT-770</v>
      </c>
      <c r="G205" s="50" t="s">
        <v>515</v>
      </c>
      <c r="H205" s="50" t="s">
        <v>360</v>
      </c>
      <c r="I205" s="50"/>
      <c r="J205" s="50" t="s">
        <v>364</v>
      </c>
      <c r="K205" s="50" t="str">
        <f aca="false">IFERROR(VLOOKUP($J205,Catálogos!$M$4:$N$17,2,FALSE()),"")</f>
        <v>Reprogramada · No disponibilidad de horas hombre del funcionario SEC por alta carga laboral</v>
      </c>
      <c r="L205" s="52" t="n">
        <v>46068</v>
      </c>
      <c r="M205" s="50" t="s">
        <v>353</v>
      </c>
      <c r="N205" s="50" t="s">
        <v>253</v>
      </c>
      <c r="O205" s="50"/>
      <c r="P205" s="50"/>
      <c r="Q205" s="50" t="s">
        <v>362</v>
      </c>
    </row>
    <row r="206" customFormat="false" ht="15" hidden="false" customHeight="true" outlineLevel="0" collapsed="false">
      <c r="A206" s="51" t="s">
        <v>538</v>
      </c>
      <c r="B206" s="50" t="str">
        <f aca="false">IFERROR(VLOOKUP($A206,Equipos!$C$2:$M$967,2,FALSE()),"")</f>
        <v>Monitor Multiparámetros</v>
      </c>
      <c r="C206" s="50" t="str">
        <f aca="false">IFERROR(VLOOKUP($A206,Equipos!$C$2:$M$967,9,FALSE()),"")</f>
        <v>DGLC0127</v>
      </c>
      <c r="D206" s="50" t="str">
        <f aca="false">IFERROR(VLOOKUP($A206,Equipos!$C$2:$M$967,3,FALSE()),"")</f>
        <v>Medicina</v>
      </c>
      <c r="E206" s="50" t="str">
        <f aca="false">IFERROR(VLOOKUP($A206,Equipos!$C$2:$M$967,7,FALSE()),"")</f>
        <v>Bistos</v>
      </c>
      <c r="F206" s="50" t="str">
        <f aca="false">IFERROR(VLOOKUP($A206,Equipos!$C$2:$M$967,8,FALSE()),"")</f>
        <v>BT-770</v>
      </c>
      <c r="G206" s="50" t="s">
        <v>515</v>
      </c>
      <c r="H206" s="50" t="s">
        <v>360</v>
      </c>
      <c r="I206" s="50"/>
      <c r="J206" s="50" t="s">
        <v>352</v>
      </c>
      <c r="K206" s="50" t="str">
        <f aca="false">IFERROR(VLOOKUP($J206,Catálogos!$M$4:$N$17,2,FALSE()),"")</f>
        <v>Mantención Preventiva Realizada</v>
      </c>
      <c r="L206" s="52" t="n">
        <v>46068</v>
      </c>
      <c r="M206" s="50" t="s">
        <v>353</v>
      </c>
      <c r="N206" s="50" t="s">
        <v>253</v>
      </c>
      <c r="O206" s="50"/>
      <c r="P206" s="50"/>
      <c r="Q206" s="50" t="s">
        <v>362</v>
      </c>
    </row>
    <row r="207" customFormat="false" ht="15" hidden="false" customHeight="true" outlineLevel="0" collapsed="false">
      <c r="A207" s="51" t="s">
        <v>539</v>
      </c>
      <c r="B207" s="50" t="str">
        <f aca="false">IFERROR(VLOOKUP($A207,Equipos!$C$2:$M$967,2,FALSE()),"")</f>
        <v>Monitor Multiparámetros</v>
      </c>
      <c r="C207" s="50" t="str">
        <f aca="false">IFERROR(VLOOKUP($A207,Equipos!$C$2:$M$967,9,FALSE()),"")</f>
        <v>DGL70650</v>
      </c>
      <c r="D207" s="50" t="str">
        <f aca="false">IFERROR(VLOOKUP($A207,Equipos!$C$2:$M$967,3,FALSE()),"")</f>
        <v>Medicina (Prestado a medicina cardiovascular)</v>
      </c>
      <c r="E207" s="50" t="str">
        <f aca="false">IFERROR(VLOOKUP($A207,Equipos!$C$2:$M$967,7,FALSE()),"")</f>
        <v>Bistos</v>
      </c>
      <c r="F207" s="50" t="str">
        <f aca="false">IFERROR(VLOOKUP($A207,Equipos!$C$2:$M$967,8,FALSE()),"")</f>
        <v>BT-770</v>
      </c>
      <c r="G207" s="50" t="s">
        <v>515</v>
      </c>
      <c r="H207" s="50" t="s">
        <v>360</v>
      </c>
      <c r="I207" s="50"/>
      <c r="J207" s="50" t="s">
        <v>364</v>
      </c>
      <c r="K207" s="50" t="str">
        <f aca="false">IFERROR(VLOOKUP($J207,Catálogos!$M$4:$N$17,2,FALSE()),"")</f>
        <v>Reprogramada · No disponibilidad de horas hombre del funcionario SEC por alta carga laboral</v>
      </c>
      <c r="L207" s="52" t="n">
        <v>46068</v>
      </c>
      <c r="M207" s="50" t="s">
        <v>353</v>
      </c>
      <c r="N207" s="50" t="s">
        <v>253</v>
      </c>
      <c r="O207" s="50"/>
      <c r="P207" s="50"/>
      <c r="Q207" s="50" t="s">
        <v>362</v>
      </c>
    </row>
    <row r="208" customFormat="false" ht="15" hidden="false" customHeight="true" outlineLevel="0" collapsed="false">
      <c r="A208" s="51" t="s">
        <v>540</v>
      </c>
      <c r="B208" s="50" t="str">
        <f aca="false">IFERROR(VLOOKUP($A208,Equipos!$C$2:$M$967,2,FALSE()),"")</f>
        <v>Monitor Multiparámetros</v>
      </c>
      <c r="C208" s="50" t="str">
        <f aca="false">IFERROR(VLOOKUP($A208,Equipos!$C$2:$M$967,9,FALSE()),"")</f>
        <v>DGLC0109</v>
      </c>
      <c r="D208" s="50" t="str">
        <f aca="false">IFERROR(VLOOKUP($A208,Equipos!$C$2:$M$967,3,FALSE()),"")</f>
        <v>Medicina</v>
      </c>
      <c r="E208" s="50" t="str">
        <f aca="false">IFERROR(VLOOKUP($A208,Equipos!$C$2:$M$967,7,FALSE()),"")</f>
        <v>Bistos</v>
      </c>
      <c r="F208" s="50" t="str">
        <f aca="false">IFERROR(VLOOKUP($A208,Equipos!$C$2:$M$967,8,FALSE()),"")</f>
        <v>BT-770</v>
      </c>
      <c r="G208" s="50" t="s">
        <v>515</v>
      </c>
      <c r="H208" s="50" t="s">
        <v>360</v>
      </c>
      <c r="I208" s="50"/>
      <c r="J208" s="50" t="s">
        <v>352</v>
      </c>
      <c r="K208" s="50" t="str">
        <f aca="false">IFERROR(VLOOKUP($J208,Catálogos!$M$4:$N$17,2,FALSE()),"")</f>
        <v>Mantención Preventiva Realizada</v>
      </c>
      <c r="L208" s="52" t="n">
        <v>46068</v>
      </c>
      <c r="M208" s="50" t="s">
        <v>353</v>
      </c>
      <c r="N208" s="50" t="s">
        <v>253</v>
      </c>
      <c r="O208" s="50"/>
      <c r="P208" s="50"/>
      <c r="Q208" s="50" t="s">
        <v>362</v>
      </c>
    </row>
    <row r="209" customFormat="false" ht="15" hidden="false" customHeight="true" outlineLevel="0" collapsed="false">
      <c r="A209" s="51" t="s">
        <v>541</v>
      </c>
      <c r="B209" s="50" t="str">
        <f aca="false">IFERROR(VLOOKUP($A209,Equipos!$C$2:$M$967,2,FALSE()),"")</f>
        <v>Monitor Multiparámetros</v>
      </c>
      <c r="C209" s="50" t="str">
        <f aca="false">IFERROR(VLOOKUP($A209,Equipos!$C$2:$M$967,9,FALSE()),"")</f>
        <v>DGL70649</v>
      </c>
      <c r="D209" s="50" t="str">
        <f aca="false">IFERROR(VLOOKUP($A209,Equipos!$C$2:$M$967,3,FALSE()),"")</f>
        <v>Medicina</v>
      </c>
      <c r="E209" s="50" t="str">
        <f aca="false">IFERROR(VLOOKUP($A209,Equipos!$C$2:$M$967,7,FALSE()),"")</f>
        <v>Bistos</v>
      </c>
      <c r="F209" s="50" t="str">
        <f aca="false">IFERROR(VLOOKUP($A209,Equipos!$C$2:$M$967,8,FALSE()),"")</f>
        <v>BT-770</v>
      </c>
      <c r="G209" s="50" t="s">
        <v>515</v>
      </c>
      <c r="H209" s="50" t="s">
        <v>360</v>
      </c>
      <c r="I209" s="50"/>
      <c r="J209" s="50" t="s">
        <v>352</v>
      </c>
      <c r="K209" s="50" t="str">
        <f aca="false">IFERROR(VLOOKUP($J209,Catálogos!$M$4:$N$17,2,FALSE()),"")</f>
        <v>Mantención Preventiva Realizada</v>
      </c>
      <c r="L209" s="52" t="n">
        <v>46068</v>
      </c>
      <c r="M209" s="50" t="s">
        <v>353</v>
      </c>
      <c r="N209" s="50" t="s">
        <v>253</v>
      </c>
      <c r="O209" s="50"/>
      <c r="P209" s="50"/>
      <c r="Q209" s="50" t="s">
        <v>362</v>
      </c>
    </row>
    <row r="210" customFormat="false" ht="15" hidden="false" customHeight="true" outlineLevel="0" collapsed="false">
      <c r="A210" s="51" t="s">
        <v>542</v>
      </c>
      <c r="B210" s="50" t="str">
        <f aca="false">IFERROR(VLOOKUP($A210,Equipos!$C$2:$M$967,2,FALSE()),"")</f>
        <v>Monitor Multiparámetros</v>
      </c>
      <c r="C210" s="50" t="str">
        <f aca="false">IFERROR(VLOOKUP($A210,Equipos!$C$2:$M$967,9,FALSE()),"")</f>
        <v>DGLC0122</v>
      </c>
      <c r="D210" s="50" t="str">
        <f aca="false">IFERROR(VLOOKUP($A210,Equipos!$C$2:$M$967,3,FALSE()),"")</f>
        <v>Medicina</v>
      </c>
      <c r="E210" s="50" t="str">
        <f aca="false">IFERROR(VLOOKUP($A210,Equipos!$C$2:$M$967,7,FALSE()),"")</f>
        <v>Bistos</v>
      </c>
      <c r="F210" s="50" t="str">
        <f aca="false">IFERROR(VLOOKUP($A210,Equipos!$C$2:$M$967,8,FALSE()),"")</f>
        <v>BT-770</v>
      </c>
      <c r="G210" s="50" t="s">
        <v>515</v>
      </c>
      <c r="H210" s="50" t="s">
        <v>360</v>
      </c>
      <c r="I210" s="50"/>
      <c r="J210" s="50" t="s">
        <v>352</v>
      </c>
      <c r="K210" s="50" t="str">
        <f aca="false">IFERROR(VLOOKUP($J210,Catálogos!$M$4:$N$17,2,FALSE()),"")</f>
        <v>Mantención Preventiva Realizada</v>
      </c>
      <c r="L210" s="52" t="n">
        <v>46068</v>
      </c>
      <c r="M210" s="50" t="s">
        <v>353</v>
      </c>
      <c r="N210" s="50" t="s">
        <v>253</v>
      </c>
      <c r="O210" s="50"/>
      <c r="P210" s="50"/>
      <c r="Q210" s="50" t="s">
        <v>362</v>
      </c>
    </row>
    <row r="211" customFormat="false" ht="15" hidden="false" customHeight="true" outlineLevel="0" collapsed="false">
      <c r="A211" s="51" t="s">
        <v>543</v>
      </c>
      <c r="B211" s="50" t="str">
        <f aca="false">IFERROR(VLOOKUP($A211,Equipos!$C$2:$M$967,2,FALSE()),"")</f>
        <v>Monitor Multiparámetros</v>
      </c>
      <c r="C211" s="50" t="str">
        <f aca="false">IFERROR(VLOOKUP($A211,Equipos!$C$2:$M$967,9,FALSE()),"")</f>
        <v>DGL70653</v>
      </c>
      <c r="D211" s="50" t="str">
        <f aca="false">IFERROR(VLOOKUP($A211,Equipos!$C$2:$M$967,3,FALSE()),"")</f>
        <v>Medicina</v>
      </c>
      <c r="E211" s="50" t="str">
        <f aca="false">IFERROR(VLOOKUP($A211,Equipos!$C$2:$M$967,7,FALSE()),"")</f>
        <v>Bistos</v>
      </c>
      <c r="F211" s="50" t="str">
        <f aca="false">IFERROR(VLOOKUP($A211,Equipos!$C$2:$M$967,8,FALSE()),"")</f>
        <v>BT-770</v>
      </c>
      <c r="G211" s="50" t="s">
        <v>515</v>
      </c>
      <c r="H211" s="50" t="s">
        <v>360</v>
      </c>
      <c r="I211" s="50"/>
      <c r="J211" s="50" t="s">
        <v>352</v>
      </c>
      <c r="K211" s="50" t="str">
        <f aca="false">IFERROR(VLOOKUP($J211,Catálogos!$M$4:$N$17,2,FALSE()),"")</f>
        <v>Mantención Preventiva Realizada</v>
      </c>
      <c r="L211" s="52" t="n">
        <v>46068</v>
      </c>
      <c r="M211" s="50" t="s">
        <v>353</v>
      </c>
      <c r="N211" s="50" t="s">
        <v>253</v>
      </c>
      <c r="O211" s="50"/>
      <c r="P211" s="50"/>
      <c r="Q211" s="50" t="s">
        <v>362</v>
      </c>
    </row>
    <row r="212" customFormat="false" ht="15" hidden="false" customHeight="true" outlineLevel="0" collapsed="false">
      <c r="A212" s="51" t="s">
        <v>544</v>
      </c>
      <c r="B212" s="50" t="str">
        <f aca="false">IFERROR(VLOOKUP($A212,Equipos!$C$2:$M$967,2,FALSE()),"")</f>
        <v>Monitor Multiparámetros</v>
      </c>
      <c r="C212" s="50" t="str">
        <f aca="false">IFERROR(VLOOKUP($A212,Equipos!$C$2:$M$967,9,FALSE()),"")</f>
        <v>DGLC0128</v>
      </c>
      <c r="D212" s="50" t="str">
        <f aca="false">IFERROR(VLOOKUP($A212,Equipos!$C$2:$M$967,3,FALSE()),"")</f>
        <v>Medicina</v>
      </c>
      <c r="E212" s="50" t="str">
        <f aca="false">IFERROR(VLOOKUP($A212,Equipos!$C$2:$M$967,7,FALSE()),"")</f>
        <v>Bistos</v>
      </c>
      <c r="F212" s="50" t="str">
        <f aca="false">IFERROR(VLOOKUP($A212,Equipos!$C$2:$M$967,8,FALSE()),"")</f>
        <v>BT-770</v>
      </c>
      <c r="G212" s="50" t="s">
        <v>515</v>
      </c>
      <c r="H212" s="50" t="s">
        <v>360</v>
      </c>
      <c r="I212" s="50"/>
      <c r="J212" s="50" t="s">
        <v>332</v>
      </c>
      <c r="K212" s="50" t="str">
        <f aca="false">IFERROR(VLOOKUP($J212,Catálogos!$M$4:$N$17,2,FALSE()),"")</f>
        <v>Reprogramada · Equipo en servicio técnico</v>
      </c>
      <c r="L212" s="52" t="n">
        <v>46068</v>
      </c>
      <c r="M212" s="50" t="s">
        <v>6</v>
      </c>
      <c r="N212" s="50" t="s">
        <v>253</v>
      </c>
      <c r="O212" s="50"/>
      <c r="P212" s="50"/>
      <c r="Q212" s="50" t="s">
        <v>362</v>
      </c>
    </row>
    <row r="213" customFormat="false" ht="15" hidden="false" customHeight="true" outlineLevel="0" collapsed="false">
      <c r="A213" s="51" t="s">
        <v>545</v>
      </c>
      <c r="B213" s="50" t="str">
        <f aca="false">IFERROR(VLOOKUP($A213,Equipos!$C$2:$M$967,2,FALSE()),"")</f>
        <v>Monitor Multiparámetros</v>
      </c>
      <c r="C213" s="50" t="str">
        <f aca="false">IFERROR(VLOOKUP($A213,Equipos!$C$2:$M$967,9,FALSE()),"")</f>
        <v>DGL70658</v>
      </c>
      <c r="D213" s="50" t="str">
        <f aca="false">IFERROR(VLOOKUP($A213,Equipos!$C$2:$M$967,3,FALSE()),"")</f>
        <v>Medicina (Prestado a medicina cardiovascular)</v>
      </c>
      <c r="E213" s="50" t="str">
        <f aca="false">IFERROR(VLOOKUP($A213,Equipos!$C$2:$M$967,7,FALSE()),"")</f>
        <v>Bistos</v>
      </c>
      <c r="F213" s="50" t="str">
        <f aca="false">IFERROR(VLOOKUP($A213,Equipos!$C$2:$M$967,8,FALSE()),"")</f>
        <v>BT-770</v>
      </c>
      <c r="G213" s="50" t="s">
        <v>515</v>
      </c>
      <c r="H213" s="50" t="s">
        <v>360</v>
      </c>
      <c r="I213" s="50"/>
      <c r="J213" s="50" t="s">
        <v>364</v>
      </c>
      <c r="K213" s="50" t="str">
        <f aca="false">IFERROR(VLOOKUP($J213,Catálogos!$M$4:$N$17,2,FALSE()),"")</f>
        <v>Reprogramada · No disponibilidad de horas hombre del funcionario SEC por alta carga laboral</v>
      </c>
      <c r="L213" s="52" t="n">
        <v>46068</v>
      </c>
      <c r="M213" s="50" t="s">
        <v>353</v>
      </c>
      <c r="N213" s="50" t="s">
        <v>253</v>
      </c>
      <c r="O213" s="50"/>
      <c r="P213" s="50"/>
      <c r="Q213" s="50" t="s">
        <v>362</v>
      </c>
    </row>
    <row r="214" customFormat="false" ht="15" hidden="false" customHeight="true" outlineLevel="0" collapsed="false">
      <c r="A214" s="51" t="s">
        <v>373</v>
      </c>
      <c r="B214" s="50" t="str">
        <f aca="false">IFERROR(VLOOKUP($A214,Equipos!$C$2:$M$967,2,FALSE()),"")</f>
        <v>Monitor Multiparámetros</v>
      </c>
      <c r="C214" s="50" t="str">
        <f aca="false">IFERROR(VLOOKUP($A214,Equipos!$C$2:$M$967,9,FALSE()),"")</f>
        <v>DGLC0125</v>
      </c>
      <c r="D214" s="50" t="str">
        <f aca="false">IFERROR(VLOOKUP($A214,Equipos!$C$2:$M$967,3,FALSE()),"")</f>
        <v>Medicina (Prestado a Pediatría)</v>
      </c>
      <c r="E214" s="50" t="str">
        <f aca="false">IFERROR(VLOOKUP($A214,Equipos!$C$2:$M$967,7,FALSE()),"")</f>
        <v>Bistos</v>
      </c>
      <c r="F214" s="50" t="str">
        <f aca="false">IFERROR(VLOOKUP($A214,Equipos!$C$2:$M$967,8,FALSE()),"")</f>
        <v>BT-770</v>
      </c>
      <c r="G214" s="50" t="s">
        <v>515</v>
      </c>
      <c r="H214" s="50" t="s">
        <v>360</v>
      </c>
      <c r="I214" s="50"/>
      <c r="J214" s="50" t="s">
        <v>352</v>
      </c>
      <c r="K214" s="50" t="str">
        <f aca="false">IFERROR(VLOOKUP($J214,Catálogos!$M$4:$N$17,2,FALSE()),"")</f>
        <v>Mantención Preventiva Realizada</v>
      </c>
      <c r="L214" s="52" t="n">
        <v>46068</v>
      </c>
      <c r="M214" s="50" t="s">
        <v>353</v>
      </c>
      <c r="N214" s="50" t="s">
        <v>253</v>
      </c>
      <c r="O214" s="50"/>
      <c r="P214" s="50"/>
      <c r="Q214" s="50" t="s">
        <v>362</v>
      </c>
    </row>
    <row r="215" customFormat="false" ht="15" hidden="false" customHeight="true" outlineLevel="0" collapsed="false">
      <c r="A215" s="51" t="s">
        <v>546</v>
      </c>
      <c r="B215" s="50" t="str">
        <f aca="false">IFERROR(VLOOKUP($A215,Equipos!$C$2:$M$967,2,FALSE()),"")</f>
        <v>Monitor Multiparámetros</v>
      </c>
      <c r="C215" s="50" t="str">
        <f aca="false">IFERROR(VLOOKUP($A215,Equipos!$C$2:$M$967,9,FALSE()),"")</f>
        <v>DGLC0112</v>
      </c>
      <c r="D215" s="50" t="str">
        <f aca="false">IFERROR(VLOOKUP($A215,Equipos!$C$2:$M$967,3,FALSE()),"")</f>
        <v>Medicina</v>
      </c>
      <c r="E215" s="50" t="str">
        <f aca="false">IFERROR(VLOOKUP($A215,Equipos!$C$2:$M$967,7,FALSE()),"")</f>
        <v>Bistos</v>
      </c>
      <c r="F215" s="50" t="str">
        <f aca="false">IFERROR(VLOOKUP($A215,Equipos!$C$2:$M$967,8,FALSE()),"")</f>
        <v>BT-770</v>
      </c>
      <c r="G215" s="50" t="s">
        <v>515</v>
      </c>
      <c r="H215" s="50" t="s">
        <v>360</v>
      </c>
      <c r="I215" s="50"/>
      <c r="J215" s="50" t="s">
        <v>352</v>
      </c>
      <c r="K215" s="50" t="str">
        <f aca="false">IFERROR(VLOOKUP($J215,Catálogos!$M$4:$N$17,2,FALSE()),"")</f>
        <v>Mantención Preventiva Realizada</v>
      </c>
      <c r="L215" s="52" t="n">
        <v>46068</v>
      </c>
      <c r="M215" s="50" t="s">
        <v>353</v>
      </c>
      <c r="N215" s="50" t="s">
        <v>253</v>
      </c>
      <c r="O215" s="50"/>
      <c r="P215" s="50"/>
      <c r="Q215" s="50" t="s">
        <v>362</v>
      </c>
    </row>
    <row r="216" customFormat="false" ht="15" hidden="false" customHeight="true" outlineLevel="0" collapsed="false">
      <c r="A216" s="51" t="s">
        <v>547</v>
      </c>
      <c r="B216" s="50" t="str">
        <f aca="false">IFERROR(VLOOKUP($A216,Equipos!$C$2:$M$967,2,FALSE()),"")</f>
        <v>Monitor Multiparámetros</v>
      </c>
      <c r="C216" s="50" t="str">
        <f aca="false">IFERROR(VLOOKUP($A216,Equipos!$C$2:$M$967,9,FALSE()),"")</f>
        <v>DGL70654</v>
      </c>
      <c r="D216" s="50" t="str">
        <f aca="false">IFERROR(VLOOKUP($A216,Equipos!$C$2:$M$967,3,FALSE()),"")</f>
        <v>Medicina</v>
      </c>
      <c r="E216" s="50" t="str">
        <f aca="false">IFERROR(VLOOKUP($A216,Equipos!$C$2:$M$967,7,FALSE()),"")</f>
        <v>Bistos</v>
      </c>
      <c r="F216" s="50" t="str">
        <f aca="false">IFERROR(VLOOKUP($A216,Equipos!$C$2:$M$967,8,FALSE()),"")</f>
        <v>BT-770</v>
      </c>
      <c r="G216" s="50" t="s">
        <v>515</v>
      </c>
      <c r="H216" s="50" t="s">
        <v>360</v>
      </c>
      <c r="I216" s="50"/>
      <c r="J216" s="50" t="s">
        <v>352</v>
      </c>
      <c r="K216" s="50" t="str">
        <f aca="false">IFERROR(VLOOKUP($J216,Catálogos!$M$4:$N$17,2,FALSE()),"")</f>
        <v>Mantención Preventiva Realizada</v>
      </c>
      <c r="L216" s="52" t="n">
        <v>46068</v>
      </c>
      <c r="M216" s="50" t="s">
        <v>353</v>
      </c>
      <c r="N216" s="50" t="s">
        <v>253</v>
      </c>
      <c r="O216" s="50"/>
      <c r="P216" s="50"/>
      <c r="Q216" s="50" t="s">
        <v>362</v>
      </c>
    </row>
    <row r="217" customFormat="false" ht="15" hidden="false" customHeight="true" outlineLevel="0" collapsed="false">
      <c r="A217" s="51" t="s">
        <v>548</v>
      </c>
      <c r="B217" s="50" t="str">
        <f aca="false">IFERROR(VLOOKUP($A217,Equipos!$C$2:$M$967,2,FALSE()),"")</f>
        <v>Monitor Multiparámetros</v>
      </c>
      <c r="C217" s="50" t="str">
        <f aca="false">IFERROR(VLOOKUP($A217,Equipos!$C$2:$M$967,9,FALSE()),"")</f>
        <v>DGLC0133</v>
      </c>
      <c r="D217" s="50" t="str">
        <f aca="false">IFERROR(VLOOKUP($A217,Equipos!$C$2:$M$967,3,FALSE()),"")</f>
        <v>Medicina</v>
      </c>
      <c r="E217" s="50" t="str">
        <f aca="false">IFERROR(VLOOKUP($A217,Equipos!$C$2:$M$967,7,FALSE()),"")</f>
        <v>Bistos</v>
      </c>
      <c r="F217" s="50" t="str">
        <f aca="false">IFERROR(VLOOKUP($A217,Equipos!$C$2:$M$967,8,FALSE()),"")</f>
        <v>BT-770</v>
      </c>
      <c r="G217" s="50" t="s">
        <v>515</v>
      </c>
      <c r="H217" s="50" t="s">
        <v>360</v>
      </c>
      <c r="I217" s="50"/>
      <c r="J217" s="50" t="s">
        <v>352</v>
      </c>
      <c r="K217" s="50" t="str">
        <f aca="false">IFERROR(VLOOKUP($J217,Catálogos!$M$4:$N$17,2,FALSE()),"")</f>
        <v>Mantención Preventiva Realizada</v>
      </c>
      <c r="L217" s="52" t="n">
        <v>46068</v>
      </c>
      <c r="M217" s="50" t="s">
        <v>353</v>
      </c>
      <c r="N217" s="50" t="s">
        <v>253</v>
      </c>
      <c r="O217" s="50"/>
      <c r="P217" s="50"/>
      <c r="Q217" s="50" t="s">
        <v>362</v>
      </c>
    </row>
    <row r="218" customFormat="false" ht="15" hidden="false" customHeight="true" outlineLevel="0" collapsed="false">
      <c r="A218" s="51" t="s">
        <v>375</v>
      </c>
      <c r="B218" s="50" t="str">
        <f aca="false">IFERROR(VLOOKUP($A218,Equipos!$C$2:$M$967,2,FALSE()),"")</f>
        <v>Monitor Multiparámetros</v>
      </c>
      <c r="C218" s="50" t="str">
        <f aca="false">IFERROR(VLOOKUP($A218,Equipos!$C$2:$M$967,9,FALSE()),"")</f>
        <v>DGLC0136</v>
      </c>
      <c r="D218" s="50" t="str">
        <f aca="false">IFERROR(VLOOKUP($A218,Equipos!$C$2:$M$967,3,FALSE()),"")</f>
        <v>Pediatría</v>
      </c>
      <c r="E218" s="50" t="str">
        <f aca="false">IFERROR(VLOOKUP($A218,Equipos!$C$2:$M$967,7,FALSE()),"")</f>
        <v>Bistos</v>
      </c>
      <c r="F218" s="50" t="str">
        <f aca="false">IFERROR(VLOOKUP($A218,Equipos!$C$2:$M$967,8,FALSE()),"")</f>
        <v>BT-770</v>
      </c>
      <c r="G218" s="50" t="s">
        <v>515</v>
      </c>
      <c r="H218" s="50" t="s">
        <v>360</v>
      </c>
      <c r="I218" s="50"/>
      <c r="J218" s="50" t="s">
        <v>352</v>
      </c>
      <c r="K218" s="50" t="str">
        <f aca="false">IFERROR(VLOOKUP($J218,Catálogos!$M$4:$N$17,2,FALSE()),"")</f>
        <v>Mantención Preventiva Realizada</v>
      </c>
      <c r="L218" s="52" t="n">
        <v>46068</v>
      </c>
      <c r="M218" s="50" t="s">
        <v>353</v>
      </c>
      <c r="N218" s="50" t="s">
        <v>253</v>
      </c>
      <c r="O218" s="50"/>
      <c r="P218" s="50"/>
      <c r="Q218" s="50" t="s">
        <v>362</v>
      </c>
    </row>
    <row r="219" customFormat="false" ht="15" hidden="false" customHeight="true" outlineLevel="0" collapsed="false">
      <c r="A219" s="51" t="s">
        <v>376</v>
      </c>
      <c r="B219" s="50" t="str">
        <f aca="false">IFERROR(VLOOKUP($A219,Equipos!$C$2:$M$967,2,FALSE()),"")</f>
        <v>Monitor Multiparámetros</v>
      </c>
      <c r="C219" s="50" t="str">
        <f aca="false">IFERROR(VLOOKUP($A219,Equipos!$C$2:$M$967,9,FALSE()),"")</f>
        <v>DGLC0115</v>
      </c>
      <c r="D219" s="50" t="str">
        <f aca="false">IFERROR(VLOOKUP($A219,Equipos!$C$2:$M$967,3,FALSE()),"")</f>
        <v>Medicina (Prestado a Pediatría)</v>
      </c>
      <c r="E219" s="50" t="str">
        <f aca="false">IFERROR(VLOOKUP($A219,Equipos!$C$2:$M$967,7,FALSE()),"")</f>
        <v>Bistos</v>
      </c>
      <c r="F219" s="50" t="str">
        <f aca="false">IFERROR(VLOOKUP($A219,Equipos!$C$2:$M$967,8,FALSE()),"")</f>
        <v>BT-770</v>
      </c>
      <c r="G219" s="50" t="s">
        <v>515</v>
      </c>
      <c r="H219" s="50" t="s">
        <v>360</v>
      </c>
      <c r="I219" s="50"/>
      <c r="J219" s="50" t="s">
        <v>352</v>
      </c>
      <c r="K219" s="50" t="str">
        <f aca="false">IFERROR(VLOOKUP($J219,Catálogos!$M$4:$N$17,2,FALSE()),"")</f>
        <v>Mantención Preventiva Realizada</v>
      </c>
      <c r="L219" s="52" t="n">
        <v>46068</v>
      </c>
      <c r="M219" s="50" t="s">
        <v>353</v>
      </c>
      <c r="N219" s="50" t="s">
        <v>253</v>
      </c>
      <c r="O219" s="50"/>
      <c r="P219" s="50"/>
      <c r="Q219" s="50" t="s">
        <v>362</v>
      </c>
    </row>
    <row r="220" customFormat="false" ht="15" hidden="false" customHeight="true" outlineLevel="0" collapsed="false">
      <c r="A220" s="51" t="s">
        <v>549</v>
      </c>
      <c r="B220" s="50" t="str">
        <f aca="false">IFERROR(VLOOKUP($A220,Equipos!$C$2:$M$967,2,FALSE()),"")</f>
        <v>Monitor Multiparámetros</v>
      </c>
      <c r="C220" s="50" t="str">
        <f aca="false">IFERROR(VLOOKUP($A220,Equipos!$C$2:$M$967,9,FALSE()),"")</f>
        <v>DGLC0134</v>
      </c>
      <c r="D220" s="50" t="str">
        <f aca="false">IFERROR(VLOOKUP($A220,Equipos!$C$2:$M$967,3,FALSE()),"")</f>
        <v>Medicina</v>
      </c>
      <c r="E220" s="50" t="str">
        <f aca="false">IFERROR(VLOOKUP($A220,Equipos!$C$2:$M$967,7,FALSE()),"")</f>
        <v>Bistos</v>
      </c>
      <c r="F220" s="50" t="str">
        <f aca="false">IFERROR(VLOOKUP($A220,Equipos!$C$2:$M$967,8,FALSE()),"")</f>
        <v>BT-770</v>
      </c>
      <c r="G220" s="50" t="s">
        <v>515</v>
      </c>
      <c r="H220" s="50" t="s">
        <v>360</v>
      </c>
      <c r="I220" s="50"/>
      <c r="J220" s="50" t="s">
        <v>352</v>
      </c>
      <c r="K220" s="50" t="str">
        <f aca="false">IFERROR(VLOOKUP($J220,Catálogos!$M$4:$N$17,2,FALSE()),"")</f>
        <v>Mantención Preventiva Realizada</v>
      </c>
      <c r="L220" s="52" t="n">
        <v>46068</v>
      </c>
      <c r="M220" s="50" t="s">
        <v>353</v>
      </c>
      <c r="N220" s="50" t="s">
        <v>253</v>
      </c>
      <c r="O220" s="50"/>
      <c r="P220" s="50"/>
      <c r="Q220" s="50" t="s">
        <v>362</v>
      </c>
    </row>
    <row r="221" customFormat="false" ht="15" hidden="false" customHeight="true" outlineLevel="0" collapsed="false">
      <c r="A221" s="51" t="s">
        <v>550</v>
      </c>
      <c r="B221" s="50" t="str">
        <f aca="false">IFERROR(VLOOKUP($A221,Equipos!$C$2:$M$967,2,FALSE()),"")</f>
        <v>Monitor Multiparámetros</v>
      </c>
      <c r="C221" s="50" t="str">
        <f aca="false">IFERROR(VLOOKUP($A221,Equipos!$C$2:$M$967,9,FALSE()),"")</f>
        <v>DGLC0137</v>
      </c>
      <c r="D221" s="50" t="str">
        <f aca="false">IFERROR(VLOOKUP($A221,Equipos!$C$2:$M$967,3,FALSE()),"")</f>
        <v>Medicina</v>
      </c>
      <c r="E221" s="50" t="str">
        <f aca="false">IFERROR(VLOOKUP($A221,Equipos!$C$2:$M$967,7,FALSE()),"")</f>
        <v>Bistos</v>
      </c>
      <c r="F221" s="50" t="str">
        <f aca="false">IFERROR(VLOOKUP($A221,Equipos!$C$2:$M$967,8,FALSE()),"")</f>
        <v>BT-770</v>
      </c>
      <c r="G221" s="50" t="s">
        <v>515</v>
      </c>
      <c r="H221" s="50" t="s">
        <v>360</v>
      </c>
      <c r="I221" s="50"/>
      <c r="J221" s="50" t="s">
        <v>352</v>
      </c>
      <c r="K221" s="50" t="str">
        <f aca="false">IFERROR(VLOOKUP($J221,Catálogos!$M$4:$N$17,2,FALSE()),"")</f>
        <v>Mantención Preventiva Realizada</v>
      </c>
      <c r="L221" s="52" t="n">
        <v>46068</v>
      </c>
      <c r="M221" s="50" t="s">
        <v>353</v>
      </c>
      <c r="N221" s="50" t="s">
        <v>253</v>
      </c>
      <c r="O221" s="50"/>
      <c r="P221" s="50"/>
      <c r="Q221" s="50" t="s">
        <v>362</v>
      </c>
    </row>
    <row r="222" customFormat="false" ht="15" hidden="false" customHeight="true" outlineLevel="0" collapsed="false">
      <c r="A222" s="51" t="s">
        <v>551</v>
      </c>
      <c r="B222" s="50" t="str">
        <f aca="false">IFERROR(VLOOKUP($A222,Equipos!$C$2:$M$967,2,FALSE()),"")</f>
        <v>Monitor Multiparámetros</v>
      </c>
      <c r="C222" s="50" t="str">
        <f aca="false">IFERROR(VLOOKUP($A222,Equipos!$C$2:$M$967,9,FALSE()),"")</f>
        <v>DGLC0124</v>
      </c>
      <c r="D222" s="50" t="str">
        <f aca="false">IFERROR(VLOOKUP($A222,Equipos!$C$2:$M$967,3,FALSE()),"")</f>
        <v>Medicina</v>
      </c>
      <c r="E222" s="50" t="str">
        <f aca="false">IFERROR(VLOOKUP($A222,Equipos!$C$2:$M$967,7,FALSE()),"")</f>
        <v>Bistos</v>
      </c>
      <c r="F222" s="50" t="str">
        <f aca="false">IFERROR(VLOOKUP($A222,Equipos!$C$2:$M$967,8,FALSE()),"")</f>
        <v>BT-770</v>
      </c>
      <c r="G222" s="50" t="s">
        <v>515</v>
      </c>
      <c r="H222" s="50" t="s">
        <v>360</v>
      </c>
      <c r="I222" s="50"/>
      <c r="J222" s="50" t="s">
        <v>352</v>
      </c>
      <c r="K222" s="50" t="str">
        <f aca="false">IFERROR(VLOOKUP($J222,Catálogos!$M$4:$N$17,2,FALSE()),"")</f>
        <v>Mantención Preventiva Realizada</v>
      </c>
      <c r="L222" s="52" t="n">
        <v>46068</v>
      </c>
      <c r="M222" s="50" t="s">
        <v>353</v>
      </c>
      <c r="N222" s="50" t="s">
        <v>253</v>
      </c>
      <c r="O222" s="50"/>
      <c r="P222" s="50"/>
      <c r="Q222" s="50" t="s">
        <v>362</v>
      </c>
    </row>
    <row r="223" customFormat="false" ht="15" hidden="false" customHeight="true" outlineLevel="0" collapsed="false">
      <c r="A223" s="51" t="s">
        <v>377</v>
      </c>
      <c r="B223" s="50" t="str">
        <f aca="false">IFERROR(VLOOKUP($A223,Equipos!$C$2:$M$967,2,FALSE()),"")</f>
        <v>Monitor Multiparámetros</v>
      </c>
      <c r="C223" s="50" t="str">
        <f aca="false">IFERROR(VLOOKUP($A223,Equipos!$C$2:$M$967,9,FALSE()),"")</f>
        <v>DGLC0138</v>
      </c>
      <c r="D223" s="50" t="str">
        <f aca="false">IFERROR(VLOOKUP($A223,Equipos!$C$2:$M$967,3,FALSE()),"")</f>
        <v>Medicina (Prestado a Cirugía Infantil )</v>
      </c>
      <c r="E223" s="50" t="str">
        <f aca="false">IFERROR(VLOOKUP($A223,Equipos!$C$2:$M$967,7,FALSE()),"")</f>
        <v>Bistos</v>
      </c>
      <c r="F223" s="50" t="str">
        <f aca="false">IFERROR(VLOOKUP($A223,Equipos!$C$2:$M$967,8,FALSE()),"")</f>
        <v>BT-770</v>
      </c>
      <c r="G223" s="50" t="s">
        <v>515</v>
      </c>
      <c r="H223" s="50" t="s">
        <v>360</v>
      </c>
      <c r="I223" s="50"/>
      <c r="J223" s="50" t="s">
        <v>352</v>
      </c>
      <c r="K223" s="50" t="str">
        <f aca="false">IFERROR(VLOOKUP($J223,Catálogos!$M$4:$N$17,2,FALSE()),"")</f>
        <v>Mantención Preventiva Realizada</v>
      </c>
      <c r="L223" s="52" t="n">
        <v>46068</v>
      </c>
      <c r="M223" s="50" t="s">
        <v>353</v>
      </c>
      <c r="N223" s="50" t="s">
        <v>253</v>
      </c>
      <c r="O223" s="50"/>
      <c r="P223" s="50"/>
      <c r="Q223" s="50" t="s">
        <v>362</v>
      </c>
    </row>
    <row r="224" customFormat="false" ht="15" hidden="false" customHeight="true" outlineLevel="0" collapsed="false">
      <c r="A224" s="51" t="s">
        <v>552</v>
      </c>
      <c r="B224" s="50" t="str">
        <f aca="false">IFERROR(VLOOKUP($A224,Equipos!$C$2:$M$967,2,FALSE()),"")</f>
        <v>Monitor Multiparámetros</v>
      </c>
      <c r="C224" s="50" t="str">
        <f aca="false">IFERROR(VLOOKUP($A224,Equipos!$C$2:$M$967,9,FALSE()),"")</f>
        <v>DGLC0126</v>
      </c>
      <c r="D224" s="50" t="str">
        <f aca="false">IFERROR(VLOOKUP($A224,Equipos!$C$2:$M$967,3,FALSE()),"")</f>
        <v>Medicina</v>
      </c>
      <c r="E224" s="50" t="str">
        <f aca="false">IFERROR(VLOOKUP($A224,Equipos!$C$2:$M$967,7,FALSE()),"")</f>
        <v>Bistos</v>
      </c>
      <c r="F224" s="50" t="str">
        <f aca="false">IFERROR(VLOOKUP($A224,Equipos!$C$2:$M$967,8,FALSE()),"")</f>
        <v>BT-770</v>
      </c>
      <c r="G224" s="50" t="s">
        <v>515</v>
      </c>
      <c r="H224" s="50" t="s">
        <v>360</v>
      </c>
      <c r="I224" s="50"/>
      <c r="J224" s="50" t="s">
        <v>352</v>
      </c>
      <c r="K224" s="50" t="str">
        <f aca="false">IFERROR(VLOOKUP($J224,Catálogos!$M$4:$N$17,2,FALSE()),"")</f>
        <v>Mantención Preventiva Realizada</v>
      </c>
      <c r="L224" s="52" t="n">
        <v>46068</v>
      </c>
      <c r="M224" s="50" t="s">
        <v>353</v>
      </c>
      <c r="N224" s="50" t="s">
        <v>253</v>
      </c>
      <c r="O224" s="50"/>
      <c r="P224" s="50"/>
      <c r="Q224" s="50" t="s">
        <v>362</v>
      </c>
    </row>
    <row r="225" customFormat="false" ht="15" hidden="false" customHeight="true" outlineLevel="0" collapsed="false">
      <c r="A225" s="51" t="s">
        <v>553</v>
      </c>
      <c r="B225" s="50" t="str">
        <f aca="false">IFERROR(VLOOKUP($A225,Equipos!$C$2:$M$967,2,FALSE()),"")</f>
        <v>Monitor Multiparámetros</v>
      </c>
      <c r="C225" s="50" t="str">
        <f aca="false">IFERROR(VLOOKUP($A225,Equipos!$C$2:$M$967,9,FALSE()),"")</f>
        <v>DGLC0118</v>
      </c>
      <c r="D225" s="50" t="str">
        <f aca="false">IFERROR(VLOOKUP($A225,Equipos!$C$2:$M$967,3,FALSE()),"")</f>
        <v>Medicina (Prestado a medicina cardiovascular)</v>
      </c>
      <c r="E225" s="50" t="str">
        <f aca="false">IFERROR(VLOOKUP($A225,Equipos!$C$2:$M$967,7,FALSE()),"")</f>
        <v>Bistos</v>
      </c>
      <c r="F225" s="50" t="str">
        <f aca="false">IFERROR(VLOOKUP($A225,Equipos!$C$2:$M$967,8,FALSE()),"")</f>
        <v>BT-770</v>
      </c>
      <c r="G225" s="50" t="s">
        <v>515</v>
      </c>
      <c r="H225" s="50" t="s">
        <v>360</v>
      </c>
      <c r="I225" s="50"/>
      <c r="J225" s="50" t="s">
        <v>364</v>
      </c>
      <c r="K225" s="50" t="str">
        <f aca="false">IFERROR(VLOOKUP($J225,Catálogos!$M$4:$N$17,2,FALSE()),"")</f>
        <v>Reprogramada · No disponibilidad de horas hombre del funcionario SEC por alta carga laboral</v>
      </c>
      <c r="L225" s="52" t="n">
        <v>46068</v>
      </c>
      <c r="M225" s="50" t="s">
        <v>353</v>
      </c>
      <c r="N225" s="50" t="s">
        <v>253</v>
      </c>
      <c r="O225" s="50"/>
      <c r="P225" s="50"/>
      <c r="Q225" s="50" t="s">
        <v>362</v>
      </c>
    </row>
    <row r="226" customFormat="false" ht="15" hidden="false" customHeight="true" outlineLevel="0" collapsed="false">
      <c r="A226" s="51" t="s">
        <v>554</v>
      </c>
      <c r="B226" s="50" t="str">
        <f aca="false">IFERROR(VLOOKUP($A226,Equipos!$C$2:$M$967,2,FALSE()),"")</f>
        <v>Monitor Multiparámetros</v>
      </c>
      <c r="C226" s="50" t="str">
        <f aca="false">IFERROR(VLOOKUP($A226,Equipos!$C$2:$M$967,9,FALSE()),"")</f>
        <v>DGLC0121</v>
      </c>
      <c r="D226" s="50" t="str">
        <f aca="false">IFERROR(VLOOKUP($A226,Equipos!$C$2:$M$967,3,FALSE()),"")</f>
        <v>Medicina (Prestado a medicina cardiovascular)</v>
      </c>
      <c r="E226" s="50" t="str">
        <f aca="false">IFERROR(VLOOKUP($A226,Equipos!$C$2:$M$967,7,FALSE()),"")</f>
        <v>Bistos</v>
      </c>
      <c r="F226" s="50" t="str">
        <f aca="false">IFERROR(VLOOKUP($A226,Equipos!$C$2:$M$967,8,FALSE()),"")</f>
        <v>BT-770</v>
      </c>
      <c r="G226" s="50" t="s">
        <v>515</v>
      </c>
      <c r="H226" s="50" t="s">
        <v>360</v>
      </c>
      <c r="I226" s="50"/>
      <c r="J226" s="50" t="s">
        <v>364</v>
      </c>
      <c r="K226" s="50" t="str">
        <f aca="false">IFERROR(VLOOKUP($J226,Catálogos!$M$4:$N$17,2,FALSE()),"")</f>
        <v>Reprogramada · No disponibilidad de horas hombre del funcionario SEC por alta carga laboral</v>
      </c>
      <c r="L226" s="52" t="n">
        <v>46068</v>
      </c>
      <c r="M226" s="50" t="s">
        <v>353</v>
      </c>
      <c r="N226" s="50" t="s">
        <v>253</v>
      </c>
      <c r="O226" s="50"/>
      <c r="P226" s="50"/>
      <c r="Q226" s="50" t="s">
        <v>362</v>
      </c>
    </row>
    <row r="227" customFormat="false" ht="15" hidden="false" customHeight="true" outlineLevel="0" collapsed="false">
      <c r="A227" s="51" t="s">
        <v>555</v>
      </c>
      <c r="B227" s="50" t="str">
        <f aca="false">IFERROR(VLOOKUP($A227,Equipos!$C$2:$M$967,2,FALSE()),"")</f>
        <v>Monitor Multiparámetros</v>
      </c>
      <c r="C227" s="50" t="str">
        <f aca="false">IFERROR(VLOOKUP($A227,Equipos!$C$2:$M$967,9,FALSE()),"")</f>
        <v>DGLC0120</v>
      </c>
      <c r="D227" s="50" t="str">
        <f aca="false">IFERROR(VLOOKUP($A227,Equipos!$C$2:$M$967,3,FALSE()),"")</f>
        <v>Medicina</v>
      </c>
      <c r="E227" s="50" t="str">
        <f aca="false">IFERROR(VLOOKUP($A227,Equipos!$C$2:$M$967,7,FALSE()),"")</f>
        <v>Bistos</v>
      </c>
      <c r="F227" s="50" t="str">
        <f aca="false">IFERROR(VLOOKUP($A227,Equipos!$C$2:$M$967,8,FALSE()),"")</f>
        <v>BT-770</v>
      </c>
      <c r="G227" s="50" t="s">
        <v>515</v>
      </c>
      <c r="H227" s="50" t="s">
        <v>360</v>
      </c>
      <c r="I227" s="50"/>
      <c r="J227" s="50" t="s">
        <v>332</v>
      </c>
      <c r="K227" s="50" t="str">
        <f aca="false">IFERROR(VLOOKUP($J227,Catálogos!$M$4:$N$17,2,FALSE()),"")</f>
        <v>Reprogramada · Equipo en servicio técnico</v>
      </c>
      <c r="L227" s="52" t="n">
        <v>46068</v>
      </c>
      <c r="M227" s="50" t="s">
        <v>6</v>
      </c>
      <c r="N227" s="50" t="s">
        <v>253</v>
      </c>
      <c r="O227" s="50"/>
      <c r="P227" s="50"/>
      <c r="Q227" s="50" t="s">
        <v>362</v>
      </c>
    </row>
    <row r="228" customFormat="false" ht="15" hidden="false" customHeight="true" outlineLevel="0" collapsed="false">
      <c r="A228" s="51" t="s">
        <v>556</v>
      </c>
      <c r="B228" s="50" t="str">
        <f aca="false">IFERROR(VLOOKUP($A228,Equipos!$C$2:$M$967,2,FALSE()),"")</f>
        <v>Monitor Multiparámetros</v>
      </c>
      <c r="C228" s="50" t="str">
        <f aca="false">IFERROR(VLOOKUP($A228,Equipos!$C$2:$M$967,9,FALSE()),"")</f>
        <v>261594-M21406070011</v>
      </c>
      <c r="D228" s="50" t="str">
        <f aca="false">IFERROR(VLOOKUP($A228,Equipos!$C$2:$M$967,3,FALSE()),"")</f>
        <v>Medicina</v>
      </c>
      <c r="E228" s="50" t="str">
        <f aca="false">IFERROR(VLOOKUP($A228,Equipos!$C$2:$M$967,7,FALSE()),"")</f>
        <v>EDAN</v>
      </c>
      <c r="F228" s="50" t="str">
        <f aca="false">IFERROR(VLOOKUP($A228,Equipos!$C$2:$M$967,8,FALSE()),"")</f>
        <v>X12</v>
      </c>
      <c r="G228" s="50" t="s">
        <v>515</v>
      </c>
      <c r="H228" s="50" t="s">
        <v>360</v>
      </c>
      <c r="I228" s="50"/>
      <c r="J228" s="50" t="s">
        <v>332</v>
      </c>
      <c r="K228" s="50" t="str">
        <f aca="false">IFERROR(VLOOKUP($J228,Catálogos!$M$4:$N$17,2,FALSE()),"")</f>
        <v>Reprogramada · Equipo en servicio técnico</v>
      </c>
      <c r="L228" s="52" t="n">
        <v>46068</v>
      </c>
      <c r="M228" s="50" t="s">
        <v>6</v>
      </c>
      <c r="N228" s="50" t="s">
        <v>253</v>
      </c>
      <c r="O228" s="50"/>
      <c r="P228" s="50"/>
      <c r="Q228" s="50" t="s">
        <v>362</v>
      </c>
    </row>
    <row r="229" customFormat="false" ht="15" hidden="false" customHeight="true" outlineLevel="0" collapsed="false">
      <c r="A229" s="51" t="s">
        <v>557</v>
      </c>
      <c r="B229" s="50" t="str">
        <f aca="false">IFERROR(VLOOKUP($A229,Equipos!$C$2:$M$967,2,FALSE()),"")</f>
        <v>Monitor Multiparámetros</v>
      </c>
      <c r="C229" s="50" t="str">
        <f aca="false">IFERROR(VLOOKUP($A229,Equipos!$C$2:$M$967,9,FALSE()),"")</f>
        <v>261594-M21407000083</v>
      </c>
      <c r="D229" s="50" t="str">
        <f aca="false">IFERROR(VLOOKUP($A229,Equipos!$C$2:$M$967,3,FALSE()),"")</f>
        <v>Medicina</v>
      </c>
      <c r="E229" s="50" t="str">
        <f aca="false">IFERROR(VLOOKUP($A229,Equipos!$C$2:$M$967,7,FALSE()),"")</f>
        <v>EDAN</v>
      </c>
      <c r="F229" s="50" t="str">
        <f aca="false">IFERROR(VLOOKUP($A229,Equipos!$C$2:$M$967,8,FALSE()),"")</f>
        <v>X12</v>
      </c>
      <c r="G229" s="50" t="s">
        <v>515</v>
      </c>
      <c r="H229" s="50" t="s">
        <v>360</v>
      </c>
      <c r="I229" s="50"/>
      <c r="J229" s="50" t="s">
        <v>352</v>
      </c>
      <c r="K229" s="50" t="str">
        <f aca="false">IFERROR(VLOOKUP($J229,Catálogos!$M$4:$N$17,2,FALSE()),"")</f>
        <v>Mantención Preventiva Realizada</v>
      </c>
      <c r="L229" s="52" t="n">
        <v>46068</v>
      </c>
      <c r="M229" s="50" t="s">
        <v>353</v>
      </c>
      <c r="N229" s="50" t="s">
        <v>253</v>
      </c>
      <c r="O229" s="50"/>
      <c r="P229" s="50"/>
      <c r="Q229" s="50" t="s">
        <v>362</v>
      </c>
    </row>
    <row r="230" customFormat="false" ht="15" hidden="false" customHeight="true" outlineLevel="0" collapsed="false">
      <c r="A230" s="51" t="s">
        <v>558</v>
      </c>
      <c r="B230" s="50" t="str">
        <f aca="false">IFERROR(VLOOKUP($A230,Equipos!$C$2:$M$967,2,FALSE()),"")</f>
        <v>Monitor Multiparámetros</v>
      </c>
      <c r="C230" s="50" t="str">
        <f aca="false">IFERROR(VLOOKUP($A230,Equipos!$C$2:$M$967,9,FALSE()),"")</f>
        <v>261594-M21407240024</v>
      </c>
      <c r="D230" s="50" t="str">
        <f aca="false">IFERROR(VLOOKUP($A230,Equipos!$C$2:$M$967,3,FALSE()),"")</f>
        <v>Medicina (Prestado a medicina cardiovascular)</v>
      </c>
      <c r="E230" s="50" t="str">
        <f aca="false">IFERROR(VLOOKUP($A230,Equipos!$C$2:$M$967,7,FALSE()),"")</f>
        <v>EDAN</v>
      </c>
      <c r="F230" s="50" t="str">
        <f aca="false">IFERROR(VLOOKUP($A230,Equipos!$C$2:$M$967,8,FALSE()),"")</f>
        <v>X12</v>
      </c>
      <c r="G230" s="50" t="s">
        <v>515</v>
      </c>
      <c r="H230" s="50" t="s">
        <v>360</v>
      </c>
      <c r="I230" s="50"/>
      <c r="J230" s="50" t="s">
        <v>364</v>
      </c>
      <c r="K230" s="50" t="str">
        <f aca="false">IFERROR(VLOOKUP($J230,Catálogos!$M$4:$N$17,2,FALSE()),"")</f>
        <v>Reprogramada · No disponibilidad de horas hombre del funcionario SEC por alta carga laboral</v>
      </c>
      <c r="L230" s="52" t="n">
        <v>46068</v>
      </c>
      <c r="M230" s="50" t="s">
        <v>353</v>
      </c>
      <c r="N230" s="50" t="s">
        <v>253</v>
      </c>
      <c r="O230" s="50"/>
      <c r="P230" s="50"/>
      <c r="Q230" s="50" t="s">
        <v>362</v>
      </c>
    </row>
    <row r="231" customFormat="false" ht="15" hidden="false" customHeight="true" outlineLevel="0" collapsed="false">
      <c r="A231" s="51" t="s">
        <v>559</v>
      </c>
      <c r="B231" s="50" t="str">
        <f aca="false">IFERROR(VLOOKUP($A231,Equipos!$C$2:$M$967,2,FALSE()),"")</f>
        <v>Monitor Multiparámetros</v>
      </c>
      <c r="C231" s="50" t="str">
        <f aca="false">IFERROR(VLOOKUP($A231,Equipos!$C$2:$M$967,9,FALSE()),"")</f>
        <v>261594-M21407240071</v>
      </c>
      <c r="D231" s="50" t="str">
        <f aca="false">IFERROR(VLOOKUP($A231,Equipos!$C$2:$M$967,3,FALSE()),"")</f>
        <v>Medicina</v>
      </c>
      <c r="E231" s="50" t="str">
        <f aca="false">IFERROR(VLOOKUP($A231,Equipos!$C$2:$M$967,7,FALSE()),"")</f>
        <v>EDAN</v>
      </c>
      <c r="F231" s="50" t="str">
        <f aca="false">IFERROR(VLOOKUP($A231,Equipos!$C$2:$M$967,8,FALSE()),"")</f>
        <v>X12</v>
      </c>
      <c r="G231" s="50" t="s">
        <v>515</v>
      </c>
      <c r="H231" s="50" t="s">
        <v>360</v>
      </c>
      <c r="I231" s="50"/>
      <c r="J231" s="50" t="s">
        <v>352</v>
      </c>
      <c r="K231" s="50" t="str">
        <f aca="false">IFERROR(VLOOKUP($J231,Catálogos!$M$4:$N$17,2,FALSE()),"")</f>
        <v>Mantención Preventiva Realizada</v>
      </c>
      <c r="L231" s="52" t="n">
        <v>46068</v>
      </c>
      <c r="M231" s="50" t="s">
        <v>353</v>
      </c>
      <c r="N231" s="50" t="s">
        <v>253</v>
      </c>
      <c r="O231" s="50"/>
      <c r="P231" s="50"/>
      <c r="Q231" s="50" t="s">
        <v>362</v>
      </c>
    </row>
    <row r="232" customFormat="false" ht="15" hidden="false" customHeight="true" outlineLevel="0" collapsed="false">
      <c r="A232" s="51" t="s">
        <v>560</v>
      </c>
      <c r="B232" s="50" t="str">
        <f aca="false">IFERROR(VLOOKUP($A232,Equipos!$C$2:$M$967,2,FALSE()),"")</f>
        <v>Monitor Multiparámetros</v>
      </c>
      <c r="C232" s="50" t="str">
        <f aca="false">IFERROR(VLOOKUP($A232,Equipos!$C$2:$M$967,9,FALSE()),"")</f>
        <v>261594-M21407240073</v>
      </c>
      <c r="D232" s="50" t="str">
        <f aca="false">IFERROR(VLOOKUP($A232,Equipos!$C$2:$M$967,3,FALSE()),"")</f>
        <v>Medicina</v>
      </c>
      <c r="E232" s="50" t="str">
        <f aca="false">IFERROR(VLOOKUP($A232,Equipos!$C$2:$M$967,7,FALSE()),"")</f>
        <v>EDAN</v>
      </c>
      <c r="F232" s="50" t="str">
        <f aca="false">IFERROR(VLOOKUP($A232,Equipos!$C$2:$M$967,8,FALSE()),"")</f>
        <v>X12</v>
      </c>
      <c r="G232" s="50" t="s">
        <v>515</v>
      </c>
      <c r="H232" s="50" t="s">
        <v>360</v>
      </c>
      <c r="I232" s="50"/>
      <c r="J232" s="50" t="s">
        <v>352</v>
      </c>
      <c r="K232" s="50" t="str">
        <f aca="false">IFERROR(VLOOKUP($J232,Catálogos!$M$4:$N$17,2,FALSE()),"")</f>
        <v>Mantención Preventiva Realizada</v>
      </c>
      <c r="L232" s="52" t="n">
        <v>46068</v>
      </c>
      <c r="M232" s="50" t="s">
        <v>353</v>
      </c>
      <c r="N232" s="50" t="s">
        <v>253</v>
      </c>
      <c r="O232" s="50"/>
      <c r="P232" s="50"/>
      <c r="Q232" s="50" t="s">
        <v>362</v>
      </c>
    </row>
    <row r="233" customFormat="false" ht="15" hidden="false" customHeight="true" outlineLevel="0" collapsed="false">
      <c r="A233" s="51" t="s">
        <v>561</v>
      </c>
      <c r="B233" s="50" t="str">
        <f aca="false">IFERROR(VLOOKUP($A233,Equipos!$C$2:$M$967,2,FALSE()),"")</f>
        <v>Monitor Multiparámetros</v>
      </c>
      <c r="C233" s="50" t="str">
        <f aca="false">IFERROR(VLOOKUP($A233,Equipos!$C$2:$M$967,9,FALSE()),"")</f>
        <v>261594-M21407240059</v>
      </c>
      <c r="D233" s="50" t="str">
        <f aca="false">IFERROR(VLOOKUP($A233,Equipos!$C$2:$M$967,3,FALSE()),"")</f>
        <v>Medicina</v>
      </c>
      <c r="E233" s="50" t="str">
        <f aca="false">IFERROR(VLOOKUP($A233,Equipos!$C$2:$M$967,7,FALSE()),"")</f>
        <v>EDAN</v>
      </c>
      <c r="F233" s="50" t="str">
        <f aca="false">IFERROR(VLOOKUP($A233,Equipos!$C$2:$M$967,8,FALSE()),"")</f>
        <v>X12</v>
      </c>
      <c r="G233" s="50" t="s">
        <v>515</v>
      </c>
      <c r="H233" s="50" t="s">
        <v>360</v>
      </c>
      <c r="I233" s="50"/>
      <c r="J233" s="50" t="s">
        <v>352</v>
      </c>
      <c r="K233" s="50" t="str">
        <f aca="false">IFERROR(VLOOKUP($J233,Catálogos!$M$4:$N$17,2,FALSE()),"")</f>
        <v>Mantención Preventiva Realizada</v>
      </c>
      <c r="L233" s="52" t="n">
        <v>46068</v>
      </c>
      <c r="M233" s="50" t="s">
        <v>353</v>
      </c>
      <c r="N233" s="50" t="s">
        <v>253</v>
      </c>
      <c r="O233" s="50"/>
      <c r="P233" s="50"/>
      <c r="Q233" s="50" t="s">
        <v>362</v>
      </c>
    </row>
    <row r="234" customFormat="false" ht="15" hidden="false" customHeight="true" outlineLevel="0" collapsed="false">
      <c r="A234" s="51" t="s">
        <v>562</v>
      </c>
      <c r="B234" s="50" t="str">
        <f aca="false">IFERROR(VLOOKUP($A234,Equipos!$C$2:$M$967,2,FALSE()),"")</f>
        <v>Monitor Multiparámetros</v>
      </c>
      <c r="C234" s="50" t="str">
        <f aca="false">IFERROR(VLOOKUP($A234,Equipos!$C$2:$M$967,9,FALSE()),"")</f>
        <v>261594-M21407000058</v>
      </c>
      <c r="D234" s="50" t="str">
        <f aca="false">IFERROR(VLOOKUP($A234,Equipos!$C$2:$M$967,3,FALSE()),"")</f>
        <v>Medicina</v>
      </c>
      <c r="E234" s="50" t="str">
        <f aca="false">IFERROR(VLOOKUP($A234,Equipos!$C$2:$M$967,7,FALSE()),"")</f>
        <v>EDAN</v>
      </c>
      <c r="F234" s="50" t="str">
        <f aca="false">IFERROR(VLOOKUP($A234,Equipos!$C$2:$M$967,8,FALSE()),"")</f>
        <v>X12</v>
      </c>
      <c r="G234" s="50" t="s">
        <v>515</v>
      </c>
      <c r="H234" s="50" t="s">
        <v>360</v>
      </c>
      <c r="I234" s="50"/>
      <c r="J234" s="50" t="s">
        <v>352</v>
      </c>
      <c r="K234" s="50" t="str">
        <f aca="false">IFERROR(VLOOKUP($J234,Catálogos!$M$4:$N$17,2,FALSE()),"")</f>
        <v>Mantención Preventiva Realizada</v>
      </c>
      <c r="L234" s="52" t="n">
        <v>46068</v>
      </c>
      <c r="M234" s="50" t="s">
        <v>353</v>
      </c>
      <c r="N234" s="50" t="s">
        <v>253</v>
      </c>
      <c r="O234" s="50"/>
      <c r="P234" s="50"/>
      <c r="Q234" s="50" t="s">
        <v>362</v>
      </c>
    </row>
    <row r="235" customFormat="false" ht="15" hidden="false" customHeight="true" outlineLevel="0" collapsed="false">
      <c r="A235" s="51" t="s">
        <v>563</v>
      </c>
      <c r="B235" s="50" t="str">
        <f aca="false">IFERROR(VLOOKUP($A235,Equipos!$C$2:$M$967,2,FALSE()),"")</f>
        <v>Monitor Multiparámetros</v>
      </c>
      <c r="C235" s="50" t="str">
        <f aca="false">IFERROR(VLOOKUP($A235,Equipos!$C$2:$M$967,9,FALSE()),"")</f>
        <v>261594-M21406070014</v>
      </c>
      <c r="D235" s="50" t="str">
        <f aca="false">IFERROR(VLOOKUP($A235,Equipos!$C$2:$M$967,3,FALSE()),"")</f>
        <v>Medicina</v>
      </c>
      <c r="E235" s="50" t="str">
        <f aca="false">IFERROR(VLOOKUP($A235,Equipos!$C$2:$M$967,7,FALSE()),"")</f>
        <v>EDAN</v>
      </c>
      <c r="F235" s="50" t="str">
        <f aca="false">IFERROR(VLOOKUP($A235,Equipos!$C$2:$M$967,8,FALSE()),"")</f>
        <v>X12</v>
      </c>
      <c r="G235" s="50" t="s">
        <v>515</v>
      </c>
      <c r="H235" s="50" t="s">
        <v>360</v>
      </c>
      <c r="I235" s="50"/>
      <c r="J235" s="50" t="s">
        <v>364</v>
      </c>
      <c r="K235" s="50" t="str">
        <f aca="false">IFERROR(VLOOKUP($J235,Catálogos!$M$4:$N$17,2,FALSE()),"")</f>
        <v>Reprogramada · No disponibilidad de horas hombre del funcionario SEC por alta carga laboral</v>
      </c>
      <c r="L235" s="52" t="n">
        <v>46068</v>
      </c>
      <c r="M235" s="50" t="s">
        <v>353</v>
      </c>
      <c r="N235" s="50" t="s">
        <v>253</v>
      </c>
      <c r="O235" s="50"/>
      <c r="P235" s="50"/>
      <c r="Q235" s="50" t="s">
        <v>362</v>
      </c>
    </row>
    <row r="236" customFormat="false" ht="15" hidden="false" customHeight="true" outlineLevel="0" collapsed="false">
      <c r="A236" s="51" t="s">
        <v>564</v>
      </c>
      <c r="B236" s="50" t="str">
        <f aca="false">IFERROR(VLOOKUP($A236,Equipos!$C$2:$M$967,2,FALSE()),"")</f>
        <v>Monitor Multiparámetros</v>
      </c>
      <c r="C236" s="50" t="str">
        <f aca="false">IFERROR(VLOOKUP($A236,Equipos!$C$2:$M$967,9,FALSE()),"")</f>
        <v>261594-M21407240011</v>
      </c>
      <c r="D236" s="50" t="str">
        <f aca="false">IFERROR(VLOOKUP($A236,Equipos!$C$2:$M$967,3,FALSE()),"")</f>
        <v>Medicina</v>
      </c>
      <c r="E236" s="50" t="str">
        <f aca="false">IFERROR(VLOOKUP($A236,Equipos!$C$2:$M$967,7,FALSE()),"")</f>
        <v>EDAN</v>
      </c>
      <c r="F236" s="50" t="str">
        <f aca="false">IFERROR(VLOOKUP($A236,Equipos!$C$2:$M$967,8,FALSE()),"")</f>
        <v>X12</v>
      </c>
      <c r="G236" s="50" t="s">
        <v>515</v>
      </c>
      <c r="H236" s="50" t="s">
        <v>360</v>
      </c>
      <c r="I236" s="50"/>
      <c r="J236" s="50" t="s">
        <v>352</v>
      </c>
      <c r="K236" s="50" t="str">
        <f aca="false">IFERROR(VLOOKUP($J236,Catálogos!$M$4:$N$17,2,FALSE()),"")</f>
        <v>Mantención Preventiva Realizada</v>
      </c>
      <c r="L236" s="52" t="n">
        <v>46068</v>
      </c>
      <c r="M236" s="50" t="s">
        <v>353</v>
      </c>
      <c r="N236" s="50" t="s">
        <v>253</v>
      </c>
      <c r="O236" s="50"/>
      <c r="P236" s="50"/>
      <c r="Q236" s="50" t="s">
        <v>362</v>
      </c>
    </row>
    <row r="237" customFormat="false" ht="15" hidden="false" customHeight="true" outlineLevel="0" collapsed="false">
      <c r="A237" s="51" t="s">
        <v>565</v>
      </c>
      <c r="B237" s="50" t="str">
        <f aca="false">IFERROR(VLOOKUP($A237,Equipos!$C$2:$M$967,2,FALSE()),"")</f>
        <v>Monitor Multiparámetros</v>
      </c>
      <c r="C237" s="50" t="str">
        <f aca="false">IFERROR(VLOOKUP($A237,Equipos!$C$2:$M$967,9,FALSE()),"")</f>
        <v>261594-M21407240019</v>
      </c>
      <c r="D237" s="50" t="str">
        <f aca="false">IFERROR(VLOOKUP($A237,Equipos!$C$2:$M$967,3,FALSE()),"")</f>
        <v>Medicina</v>
      </c>
      <c r="E237" s="50" t="str">
        <f aca="false">IFERROR(VLOOKUP($A237,Equipos!$C$2:$M$967,7,FALSE()),"")</f>
        <v>EDAN</v>
      </c>
      <c r="F237" s="50" t="str">
        <f aca="false">IFERROR(VLOOKUP($A237,Equipos!$C$2:$M$967,8,FALSE()),"")</f>
        <v>X12</v>
      </c>
      <c r="G237" s="50" t="s">
        <v>515</v>
      </c>
      <c r="H237" s="50" t="s">
        <v>360</v>
      </c>
      <c r="I237" s="50"/>
      <c r="J237" s="50" t="s">
        <v>352</v>
      </c>
      <c r="K237" s="50" t="str">
        <f aca="false">IFERROR(VLOOKUP($J237,Catálogos!$M$4:$N$17,2,FALSE()),"")</f>
        <v>Mantención Preventiva Realizada</v>
      </c>
      <c r="L237" s="52" t="n">
        <v>46068</v>
      </c>
      <c r="M237" s="50" t="s">
        <v>353</v>
      </c>
      <c r="N237" s="50" t="s">
        <v>253</v>
      </c>
      <c r="O237" s="50"/>
      <c r="P237" s="50"/>
      <c r="Q237" s="50" t="s">
        <v>362</v>
      </c>
    </row>
    <row r="238" customFormat="false" ht="15" hidden="false" customHeight="true" outlineLevel="0" collapsed="false">
      <c r="A238" s="51" t="s">
        <v>566</v>
      </c>
      <c r="B238" s="50" t="str">
        <f aca="false">IFERROR(VLOOKUP($A238,Equipos!$C$2:$M$967,2,FALSE()),"")</f>
        <v>Monitor Multiparámetros</v>
      </c>
      <c r="C238" s="50" t="str">
        <f aca="false">IFERROR(VLOOKUP($A238,Equipos!$C$2:$M$967,9,FALSE()),"")</f>
        <v>29800</v>
      </c>
      <c r="D238" s="50" t="str">
        <f aca="false">IFERROR(VLOOKUP($A238,Equipos!$C$2:$M$967,3,FALSE()),"")</f>
        <v>Medicina</v>
      </c>
      <c r="E238" s="50" t="str">
        <f aca="false">IFERROR(VLOOKUP($A238,Equipos!$C$2:$M$967,7,FALSE()),"")</f>
        <v>Nihon Kohden </v>
      </c>
      <c r="F238" s="50" t="str">
        <f aca="false">IFERROR(VLOOKUP($A238,Equipos!$C$2:$M$967,8,FALSE()),"")</f>
        <v>BSM-3562K</v>
      </c>
      <c r="G238" s="50" t="s">
        <v>515</v>
      </c>
      <c r="H238" s="50" t="s">
        <v>360</v>
      </c>
      <c r="I238" s="50"/>
      <c r="J238" s="50" t="s">
        <v>352</v>
      </c>
      <c r="K238" s="50" t="str">
        <f aca="false">IFERROR(VLOOKUP($J238,Catálogos!$M$4:$N$17,2,FALSE()),"")</f>
        <v>Mantención Preventiva Realizada</v>
      </c>
      <c r="L238" s="52" t="n">
        <v>46068</v>
      </c>
      <c r="M238" s="50" t="s">
        <v>353</v>
      </c>
      <c r="N238" s="50" t="s">
        <v>253</v>
      </c>
      <c r="O238" s="50"/>
      <c r="P238" s="50"/>
      <c r="Q238" s="50" t="s">
        <v>362</v>
      </c>
    </row>
    <row r="239" customFormat="false" ht="15" hidden="false" customHeight="true" outlineLevel="0" collapsed="false">
      <c r="A239" s="51" t="s">
        <v>567</v>
      </c>
      <c r="B239" s="50" t="str">
        <f aca="false">IFERROR(VLOOKUP($A239,Equipos!$C$2:$M$967,2,FALSE()),"")</f>
        <v>Monitor Multiparámetros</v>
      </c>
      <c r="C239" s="50" t="str">
        <f aca="false">IFERROR(VLOOKUP($A239,Equipos!$C$2:$M$967,9,FALSE()),"")</f>
        <v>29817</v>
      </c>
      <c r="D239" s="50" t="str">
        <f aca="false">IFERROR(VLOOKUP($A239,Equipos!$C$2:$M$967,3,FALSE()),"")</f>
        <v>Medicina</v>
      </c>
      <c r="E239" s="50" t="str">
        <f aca="false">IFERROR(VLOOKUP($A239,Equipos!$C$2:$M$967,7,FALSE()),"")</f>
        <v>Nihon Kohden </v>
      </c>
      <c r="F239" s="50" t="str">
        <f aca="false">IFERROR(VLOOKUP($A239,Equipos!$C$2:$M$967,8,FALSE()),"")</f>
        <v>BSM-3562K</v>
      </c>
      <c r="G239" s="50" t="s">
        <v>515</v>
      </c>
      <c r="H239" s="50" t="s">
        <v>360</v>
      </c>
      <c r="I239" s="50"/>
      <c r="J239" s="50" t="s">
        <v>352</v>
      </c>
      <c r="K239" s="50" t="str">
        <f aca="false">IFERROR(VLOOKUP($J239,Catálogos!$M$4:$N$17,2,FALSE()),"")</f>
        <v>Mantención Preventiva Realizada</v>
      </c>
      <c r="L239" s="52" t="n">
        <v>46068</v>
      </c>
      <c r="M239" s="50" t="s">
        <v>353</v>
      </c>
      <c r="N239" s="50" t="s">
        <v>253</v>
      </c>
      <c r="O239" s="50"/>
      <c r="P239" s="50"/>
      <c r="Q239" s="50" t="s">
        <v>362</v>
      </c>
    </row>
    <row r="240" customFormat="false" ht="15" hidden="false" customHeight="true" outlineLevel="0" collapsed="false">
      <c r="A240" s="51" t="s">
        <v>568</v>
      </c>
      <c r="B240" s="50" t="str">
        <f aca="false">IFERROR(VLOOKUP($A240,Equipos!$C$2:$M$967,2,FALSE()),"")</f>
        <v>Monitor Multiparámetros</v>
      </c>
      <c r="C240" s="50" t="str">
        <f aca="false">IFERROR(VLOOKUP($A240,Equipos!$C$2:$M$967,9,FALSE()),"")</f>
        <v>29816</v>
      </c>
      <c r="D240" s="50" t="str">
        <f aca="false">IFERROR(VLOOKUP($A240,Equipos!$C$2:$M$967,3,FALSE()),"")</f>
        <v>Medicina</v>
      </c>
      <c r="E240" s="50" t="str">
        <f aca="false">IFERROR(VLOOKUP($A240,Equipos!$C$2:$M$967,7,FALSE()),"")</f>
        <v>Nihon Kohden </v>
      </c>
      <c r="F240" s="50" t="str">
        <f aca="false">IFERROR(VLOOKUP($A240,Equipos!$C$2:$M$967,8,FALSE()),"")</f>
        <v>BSM-3562K</v>
      </c>
      <c r="G240" s="50" t="s">
        <v>515</v>
      </c>
      <c r="H240" s="50" t="s">
        <v>360</v>
      </c>
      <c r="I240" s="50"/>
      <c r="J240" s="50" t="s">
        <v>352</v>
      </c>
      <c r="K240" s="50" t="str">
        <f aca="false">IFERROR(VLOOKUP($J240,Catálogos!$M$4:$N$17,2,FALSE()),"")</f>
        <v>Mantención Preventiva Realizada</v>
      </c>
      <c r="L240" s="52" t="n">
        <v>46068</v>
      </c>
      <c r="M240" s="50" t="s">
        <v>353</v>
      </c>
      <c r="N240" s="50" t="s">
        <v>253</v>
      </c>
      <c r="O240" s="50"/>
      <c r="P240" s="50"/>
      <c r="Q240" s="50" t="s">
        <v>362</v>
      </c>
    </row>
    <row r="241" customFormat="false" ht="15" hidden="false" customHeight="true" outlineLevel="0" collapsed="false">
      <c r="A241" s="51" t="s">
        <v>569</v>
      </c>
      <c r="B241" s="50" t="str">
        <f aca="false">IFERROR(VLOOKUP($A241,Equipos!$C$2:$M$967,2,FALSE()),"")</f>
        <v>Monitor Multiparámetros</v>
      </c>
      <c r="C241" s="50" t="str">
        <f aca="false">IFERROR(VLOOKUP($A241,Equipos!$C$2:$M$967,9,FALSE()),"")</f>
        <v>29815</v>
      </c>
      <c r="D241" s="50" t="str">
        <f aca="false">IFERROR(VLOOKUP($A241,Equipos!$C$2:$M$967,3,FALSE()),"")</f>
        <v>Medicina</v>
      </c>
      <c r="E241" s="50" t="str">
        <f aca="false">IFERROR(VLOOKUP($A241,Equipos!$C$2:$M$967,7,FALSE()),"")</f>
        <v>Nihon Kohden </v>
      </c>
      <c r="F241" s="50" t="str">
        <f aca="false">IFERROR(VLOOKUP($A241,Equipos!$C$2:$M$967,8,FALSE()),"")</f>
        <v>BSM-3562K</v>
      </c>
      <c r="G241" s="50" t="s">
        <v>515</v>
      </c>
      <c r="H241" s="50" t="s">
        <v>360</v>
      </c>
      <c r="I241" s="50"/>
      <c r="J241" s="50" t="s">
        <v>352</v>
      </c>
      <c r="K241" s="50" t="str">
        <f aca="false">IFERROR(VLOOKUP($J241,Catálogos!$M$4:$N$17,2,FALSE()),"")</f>
        <v>Mantención Preventiva Realizada</v>
      </c>
      <c r="L241" s="52" t="n">
        <v>46068</v>
      </c>
      <c r="M241" s="50" t="s">
        <v>353</v>
      </c>
      <c r="N241" s="50" t="s">
        <v>253</v>
      </c>
      <c r="O241" s="50"/>
      <c r="P241" s="50"/>
      <c r="Q241" s="50" t="s">
        <v>362</v>
      </c>
    </row>
    <row r="242" customFormat="false" ht="15" hidden="false" customHeight="true" outlineLevel="0" collapsed="false">
      <c r="A242" s="51" t="s">
        <v>570</v>
      </c>
      <c r="B242" s="50" t="str">
        <f aca="false">IFERROR(VLOOKUP($A242,Equipos!$C$2:$M$967,2,FALSE()),"")</f>
        <v>Monitor Multiparámetros</v>
      </c>
      <c r="C242" s="50" t="str">
        <f aca="false">IFERROR(VLOOKUP($A242,Equipos!$C$2:$M$967,9,FALSE()),"")</f>
        <v>29814</v>
      </c>
      <c r="D242" s="50" t="str">
        <f aca="false">IFERROR(VLOOKUP($A242,Equipos!$C$2:$M$967,3,FALSE()),"")</f>
        <v>Medicina</v>
      </c>
      <c r="E242" s="50" t="str">
        <f aca="false">IFERROR(VLOOKUP($A242,Equipos!$C$2:$M$967,7,FALSE()),"")</f>
        <v>Nihon Kohden </v>
      </c>
      <c r="F242" s="50" t="str">
        <f aca="false">IFERROR(VLOOKUP($A242,Equipos!$C$2:$M$967,8,FALSE()),"")</f>
        <v>BSM-3562K</v>
      </c>
      <c r="G242" s="50" t="s">
        <v>515</v>
      </c>
      <c r="H242" s="50" t="s">
        <v>360</v>
      </c>
      <c r="I242" s="50"/>
      <c r="J242" s="50" t="s">
        <v>352</v>
      </c>
      <c r="K242" s="50" t="str">
        <f aca="false">IFERROR(VLOOKUP($J242,Catálogos!$M$4:$N$17,2,FALSE()),"")</f>
        <v>Mantención Preventiva Realizada</v>
      </c>
      <c r="L242" s="52" t="n">
        <v>46068</v>
      </c>
      <c r="M242" s="50" t="s">
        <v>353</v>
      </c>
      <c r="N242" s="50" t="s">
        <v>253</v>
      </c>
      <c r="O242" s="50"/>
      <c r="P242" s="50"/>
      <c r="Q242" s="50" t="s">
        <v>362</v>
      </c>
    </row>
    <row r="243" customFormat="false" ht="15" hidden="false" customHeight="true" outlineLevel="0" collapsed="false">
      <c r="A243" s="51" t="s">
        <v>571</v>
      </c>
      <c r="B243" s="50" t="str">
        <f aca="false">IFERROR(VLOOKUP($A243,Equipos!$C$2:$M$967,2,FALSE()),"")</f>
        <v>Monitor Multiparámetros</v>
      </c>
      <c r="C243" s="50" t="str">
        <f aca="false">IFERROR(VLOOKUP($A243,Equipos!$C$2:$M$967,9,FALSE()),"")</f>
        <v>29811</v>
      </c>
      <c r="D243" s="50" t="str">
        <f aca="false">IFERROR(VLOOKUP($A243,Equipos!$C$2:$M$967,3,FALSE()),"")</f>
        <v>Medicina</v>
      </c>
      <c r="E243" s="50" t="str">
        <f aca="false">IFERROR(VLOOKUP($A243,Equipos!$C$2:$M$967,7,FALSE()),"")</f>
        <v>Nihon Kohden </v>
      </c>
      <c r="F243" s="50" t="str">
        <f aca="false">IFERROR(VLOOKUP($A243,Equipos!$C$2:$M$967,8,FALSE()),"")</f>
        <v>BSM-3562K</v>
      </c>
      <c r="G243" s="50" t="s">
        <v>515</v>
      </c>
      <c r="H243" s="50" t="s">
        <v>360</v>
      </c>
      <c r="I243" s="50"/>
      <c r="J243" s="50" t="s">
        <v>352</v>
      </c>
      <c r="K243" s="50" t="str">
        <f aca="false">IFERROR(VLOOKUP($J243,Catálogos!$M$4:$N$17,2,FALSE()),"")</f>
        <v>Mantención Preventiva Realizada</v>
      </c>
      <c r="L243" s="52" t="n">
        <v>46068</v>
      </c>
      <c r="M243" s="50" t="s">
        <v>353</v>
      </c>
      <c r="N243" s="50" t="s">
        <v>253</v>
      </c>
      <c r="O243" s="50"/>
      <c r="P243" s="50"/>
      <c r="Q243" s="50" t="s">
        <v>362</v>
      </c>
    </row>
    <row r="244" customFormat="false" ht="15" hidden="false" customHeight="true" outlineLevel="0" collapsed="false">
      <c r="A244" s="51" t="s">
        <v>572</v>
      </c>
      <c r="B244" s="50" t="str">
        <f aca="false">IFERROR(VLOOKUP($A244,Equipos!$C$2:$M$967,2,FALSE()),"")</f>
        <v>Monitor Multiparámetros</v>
      </c>
      <c r="C244" s="50" t="str">
        <f aca="false">IFERROR(VLOOKUP($A244,Equipos!$C$2:$M$967,9,FALSE()),"")</f>
        <v>29805</v>
      </c>
      <c r="D244" s="50" t="str">
        <f aca="false">IFERROR(VLOOKUP($A244,Equipos!$C$2:$M$967,3,FALSE()),"")</f>
        <v>Medicina</v>
      </c>
      <c r="E244" s="50" t="str">
        <f aca="false">IFERROR(VLOOKUP($A244,Equipos!$C$2:$M$967,7,FALSE()),"")</f>
        <v>Nihon Kohden </v>
      </c>
      <c r="F244" s="50" t="str">
        <f aca="false">IFERROR(VLOOKUP($A244,Equipos!$C$2:$M$967,8,FALSE()),"")</f>
        <v>BSM-3562K</v>
      </c>
      <c r="G244" s="50" t="s">
        <v>515</v>
      </c>
      <c r="H244" s="50" t="s">
        <v>360</v>
      </c>
      <c r="I244" s="50"/>
      <c r="J244" s="50" t="s">
        <v>352</v>
      </c>
      <c r="K244" s="50" t="str">
        <f aca="false">IFERROR(VLOOKUP($J244,Catálogos!$M$4:$N$17,2,FALSE()),"")</f>
        <v>Mantención Preventiva Realizada</v>
      </c>
      <c r="L244" s="52" t="n">
        <v>46068</v>
      </c>
      <c r="M244" s="50" t="s">
        <v>353</v>
      </c>
      <c r="N244" s="50" t="s">
        <v>253</v>
      </c>
      <c r="O244" s="50"/>
      <c r="P244" s="50"/>
      <c r="Q244" s="50" t="s">
        <v>362</v>
      </c>
    </row>
    <row r="245" customFormat="false" ht="15" hidden="false" customHeight="true" outlineLevel="0" collapsed="false">
      <c r="A245" s="51" t="s">
        <v>573</v>
      </c>
      <c r="B245" s="50" t="str">
        <f aca="false">IFERROR(VLOOKUP($A245,Equipos!$C$2:$M$967,2,FALSE()),"")</f>
        <v>Monitor Multiparámetros</v>
      </c>
      <c r="C245" s="50" t="str">
        <f aca="false">IFERROR(VLOOKUP($A245,Equipos!$C$2:$M$967,9,FALSE()),"")</f>
        <v>29792</v>
      </c>
      <c r="D245" s="50" t="str">
        <f aca="false">IFERROR(VLOOKUP($A245,Equipos!$C$2:$M$967,3,FALSE()),"")</f>
        <v>Medicina</v>
      </c>
      <c r="E245" s="50" t="str">
        <f aca="false">IFERROR(VLOOKUP($A245,Equipos!$C$2:$M$967,7,FALSE()),"")</f>
        <v>Nihon Kohden </v>
      </c>
      <c r="F245" s="50" t="str">
        <f aca="false">IFERROR(VLOOKUP($A245,Equipos!$C$2:$M$967,8,FALSE()),"")</f>
        <v>BSM-3562K</v>
      </c>
      <c r="G245" s="50" t="s">
        <v>515</v>
      </c>
      <c r="H245" s="50" t="s">
        <v>360</v>
      </c>
      <c r="I245" s="50"/>
      <c r="J245" s="50" t="s">
        <v>352</v>
      </c>
      <c r="K245" s="50" t="str">
        <f aca="false">IFERROR(VLOOKUP($J245,Catálogos!$M$4:$N$17,2,FALSE()),"")</f>
        <v>Mantención Preventiva Realizada</v>
      </c>
      <c r="L245" s="52" t="n">
        <v>46068</v>
      </c>
      <c r="M245" s="50" t="s">
        <v>353</v>
      </c>
      <c r="N245" s="50" t="s">
        <v>253</v>
      </c>
      <c r="O245" s="50"/>
      <c r="P245" s="50"/>
      <c r="Q245" s="50" t="s">
        <v>362</v>
      </c>
    </row>
    <row r="246" customFormat="false" ht="15" hidden="false" customHeight="true" outlineLevel="0" collapsed="false">
      <c r="A246" s="51" t="s">
        <v>574</v>
      </c>
      <c r="B246" s="50" t="str">
        <f aca="false">IFERROR(VLOOKUP($A246,Equipos!$C$2:$M$967,2,FALSE()),"")</f>
        <v>Monitor Multiparámetros</v>
      </c>
      <c r="C246" s="50" t="str">
        <f aca="false">IFERROR(VLOOKUP($A246,Equipos!$C$2:$M$967,9,FALSE()),"")</f>
        <v>29791</v>
      </c>
      <c r="D246" s="50" t="str">
        <f aca="false">IFERROR(VLOOKUP($A246,Equipos!$C$2:$M$967,3,FALSE()),"")</f>
        <v>Medicina</v>
      </c>
      <c r="E246" s="50" t="str">
        <f aca="false">IFERROR(VLOOKUP($A246,Equipos!$C$2:$M$967,7,FALSE()),"")</f>
        <v>Nihon Kohden </v>
      </c>
      <c r="F246" s="50" t="str">
        <f aca="false">IFERROR(VLOOKUP($A246,Equipos!$C$2:$M$967,8,FALSE()),"")</f>
        <v>BSM-3562K</v>
      </c>
      <c r="G246" s="50" t="s">
        <v>515</v>
      </c>
      <c r="H246" s="50" t="s">
        <v>360</v>
      </c>
      <c r="I246" s="50"/>
      <c r="J246" s="50" t="s">
        <v>352</v>
      </c>
      <c r="K246" s="50" t="str">
        <f aca="false">IFERROR(VLOOKUP($J246,Catálogos!$M$4:$N$17,2,FALSE()),"")</f>
        <v>Mantención Preventiva Realizada</v>
      </c>
      <c r="L246" s="52" t="n">
        <v>46068</v>
      </c>
      <c r="M246" s="50" t="s">
        <v>353</v>
      </c>
      <c r="N246" s="50" t="s">
        <v>253</v>
      </c>
      <c r="O246" s="50"/>
      <c r="P246" s="50"/>
      <c r="Q246" s="50" t="s">
        <v>362</v>
      </c>
    </row>
    <row r="247" customFormat="false" ht="15" hidden="false" customHeight="true" outlineLevel="0" collapsed="false">
      <c r="A247" s="51" t="s">
        <v>575</v>
      </c>
      <c r="B247" s="50" t="str">
        <f aca="false">IFERROR(VLOOKUP($A247,Equipos!$C$2:$M$967,2,FALSE()),"")</f>
        <v>Monitor Multiparámetros</v>
      </c>
      <c r="C247" s="50" t="str">
        <f aca="false">IFERROR(VLOOKUP($A247,Equipos!$C$2:$M$967,9,FALSE()),"")</f>
        <v>94999001058</v>
      </c>
      <c r="D247" s="50" t="str">
        <f aca="false">IFERROR(VLOOKUP($A247,Equipos!$C$2:$M$967,3,FALSE()),"")</f>
        <v>Imagenología</v>
      </c>
      <c r="E247" s="50" t="str">
        <f aca="false">IFERROR(VLOOKUP($A247,Equipos!$C$2:$M$967,7,FALSE()),"")</f>
        <v>SCHILLER</v>
      </c>
      <c r="F247" s="50" t="str">
        <f aca="false">IFERROR(VLOOKUP($A247,Equipos!$C$2:$M$967,8,FALSE()),"")</f>
        <v>MAGELIFE Serenity</v>
      </c>
      <c r="G247" s="50" t="s">
        <v>515</v>
      </c>
      <c r="H247" s="50" t="s">
        <v>360</v>
      </c>
      <c r="I247" s="50"/>
      <c r="J247" s="50" t="s">
        <v>331</v>
      </c>
      <c r="K247" s="50" t="str">
        <f aca="false">IFERROR(VLOOKUP($J247,Catálogos!$M$4:$N$17,2,FALSE()),"")</f>
        <v>Reprogramada · Equipo no operativo, a la espera de repuestos o accesorios</v>
      </c>
      <c r="L247" s="52" t="n">
        <v>46068</v>
      </c>
      <c r="M247" s="50" t="s">
        <v>355</v>
      </c>
      <c r="N247" s="50" t="s">
        <v>253</v>
      </c>
      <c r="O247" s="50"/>
      <c r="P247" s="50"/>
      <c r="Q247" s="50" t="s">
        <v>362</v>
      </c>
    </row>
    <row r="248" customFormat="false" ht="15" hidden="false" customHeight="true" outlineLevel="0" collapsed="false">
      <c r="A248" s="51" t="s">
        <v>576</v>
      </c>
      <c r="B248" s="50" t="str">
        <f aca="false">IFERROR(VLOOKUP($A248,Equipos!$C$2:$M$967,2,FALSE()),"")</f>
        <v>Monitor Multiparámetros</v>
      </c>
      <c r="C248" s="50" t="str">
        <f aca="false">IFERROR(VLOOKUP($A248,Equipos!$C$2:$M$967,9,FALSE()),"")</f>
        <v>0118006.</v>
      </c>
      <c r="D248" s="50" t="str">
        <f aca="false">IFERROR(VLOOKUP($A248,Equipos!$C$2:$M$967,3,FALSE()),"")</f>
        <v>Medicina</v>
      </c>
      <c r="E248" s="50" t="str">
        <f aca="false">IFERROR(VLOOKUP($A248,Equipos!$C$2:$M$967,7,FALSE()),"")</f>
        <v>Nihon Kohden </v>
      </c>
      <c r="F248" s="50" t="str">
        <f aca="false">IFERROR(VLOOKUP($A248,Equipos!$C$2:$M$967,8,FALSE()),"")</f>
        <v>PVM-2703</v>
      </c>
      <c r="G248" s="50" t="s">
        <v>515</v>
      </c>
      <c r="H248" s="50" t="s">
        <v>360</v>
      </c>
      <c r="I248" s="50"/>
      <c r="J248" s="50" t="s">
        <v>352</v>
      </c>
      <c r="K248" s="50" t="str">
        <f aca="false">IFERROR(VLOOKUP($J248,Catálogos!$M$4:$N$17,2,FALSE()),"")</f>
        <v>Mantención Preventiva Realizada</v>
      </c>
      <c r="L248" s="52" t="n">
        <v>46068</v>
      </c>
      <c r="M248" s="50" t="s">
        <v>353</v>
      </c>
      <c r="N248" s="50" t="s">
        <v>253</v>
      </c>
      <c r="O248" s="50"/>
      <c r="P248" s="50"/>
      <c r="Q248" s="50" t="s">
        <v>362</v>
      </c>
    </row>
    <row r="249" customFormat="false" ht="15" hidden="false" customHeight="true" outlineLevel="0" collapsed="false">
      <c r="A249" s="51" t="s">
        <v>577</v>
      </c>
      <c r="B249" s="50" t="str">
        <f aca="false">IFERROR(VLOOKUP($A249,Equipos!$C$2:$M$967,2,FALSE()),"")</f>
        <v>Monitor Multiparámetros</v>
      </c>
      <c r="C249" s="50" t="str">
        <f aca="false">IFERROR(VLOOKUP($A249,Equipos!$C$2:$M$967,9,FALSE()),"")</f>
        <v>0118040.</v>
      </c>
      <c r="D249" s="50" t="str">
        <f aca="false">IFERROR(VLOOKUP($A249,Equipos!$C$2:$M$967,3,FALSE()),"")</f>
        <v>Medicina</v>
      </c>
      <c r="E249" s="50" t="str">
        <f aca="false">IFERROR(VLOOKUP($A249,Equipos!$C$2:$M$967,7,FALSE()),"")</f>
        <v>Nihon Kohden </v>
      </c>
      <c r="F249" s="50" t="str">
        <f aca="false">IFERROR(VLOOKUP($A249,Equipos!$C$2:$M$967,8,FALSE()),"")</f>
        <v>PVM-2703</v>
      </c>
      <c r="G249" s="50" t="s">
        <v>515</v>
      </c>
      <c r="H249" s="50" t="s">
        <v>360</v>
      </c>
      <c r="I249" s="50"/>
      <c r="J249" s="50" t="s">
        <v>352</v>
      </c>
      <c r="K249" s="50" t="str">
        <f aca="false">IFERROR(VLOOKUP($J249,Catálogos!$M$4:$N$17,2,FALSE()),"")</f>
        <v>Mantención Preventiva Realizada</v>
      </c>
      <c r="L249" s="52" t="n">
        <v>46068</v>
      </c>
      <c r="M249" s="50" t="s">
        <v>353</v>
      </c>
      <c r="N249" s="50" t="s">
        <v>253</v>
      </c>
      <c r="O249" s="50"/>
      <c r="P249" s="50"/>
      <c r="Q249" s="50" t="s">
        <v>362</v>
      </c>
    </row>
    <row r="250" customFormat="false" ht="15" hidden="false" customHeight="true" outlineLevel="0" collapsed="false">
      <c r="A250" s="51" t="s">
        <v>578</v>
      </c>
      <c r="B250" s="50" t="str">
        <f aca="false">IFERROR(VLOOKUP($A250,Equipos!$C$2:$M$967,2,FALSE()),"")</f>
        <v>Monitor Multiparámetros</v>
      </c>
      <c r="C250" s="50" t="str">
        <f aca="false">IFERROR(VLOOKUP($A250,Equipos!$C$2:$M$967,9,FALSE()),"")</f>
        <v>0117935.</v>
      </c>
      <c r="D250" s="50" t="str">
        <f aca="false">IFERROR(VLOOKUP($A250,Equipos!$C$2:$M$967,3,FALSE()),"")</f>
        <v>Medicina</v>
      </c>
      <c r="E250" s="50" t="str">
        <f aca="false">IFERROR(VLOOKUP($A250,Equipos!$C$2:$M$967,7,FALSE()),"")</f>
        <v>Nihon Kohden </v>
      </c>
      <c r="F250" s="50" t="str">
        <f aca="false">IFERROR(VLOOKUP($A250,Equipos!$C$2:$M$967,8,FALSE()),"")</f>
        <v>PVM-2703</v>
      </c>
      <c r="G250" s="50" t="s">
        <v>515</v>
      </c>
      <c r="H250" s="50" t="s">
        <v>360</v>
      </c>
      <c r="I250" s="50"/>
      <c r="J250" s="50" t="s">
        <v>364</v>
      </c>
      <c r="K250" s="50" t="str">
        <f aca="false">IFERROR(VLOOKUP($J250,Catálogos!$M$4:$N$17,2,FALSE()),"")</f>
        <v>Reprogramada · No disponibilidad de horas hombre del funcionario SEC por alta carga laboral</v>
      </c>
      <c r="L250" s="52" t="n">
        <v>46068</v>
      </c>
      <c r="M250" s="50" t="s">
        <v>353</v>
      </c>
      <c r="N250" s="50" t="s">
        <v>253</v>
      </c>
      <c r="O250" s="50"/>
      <c r="P250" s="50"/>
      <c r="Q250" s="50" t="s">
        <v>362</v>
      </c>
    </row>
    <row r="251" customFormat="false" ht="15" hidden="false" customHeight="true" outlineLevel="0" collapsed="false">
      <c r="A251" s="51" t="s">
        <v>579</v>
      </c>
      <c r="B251" s="50" t="str">
        <f aca="false">IFERROR(VLOOKUP($A251,Equipos!$C$2:$M$967,2,FALSE()),"")</f>
        <v>Monitor Multiparámetros</v>
      </c>
      <c r="C251" s="50" t="str">
        <f aca="false">IFERROR(VLOOKUP($A251,Equipos!$C$2:$M$967,9,FALSE()),"")</f>
        <v>0118042.</v>
      </c>
      <c r="D251" s="50" t="str">
        <f aca="false">IFERROR(VLOOKUP($A251,Equipos!$C$2:$M$967,3,FALSE()),"")</f>
        <v>Medicina</v>
      </c>
      <c r="E251" s="50" t="str">
        <f aca="false">IFERROR(VLOOKUP($A251,Equipos!$C$2:$M$967,7,FALSE()),"")</f>
        <v>Nihon Kohden </v>
      </c>
      <c r="F251" s="50" t="str">
        <f aca="false">IFERROR(VLOOKUP($A251,Equipos!$C$2:$M$967,8,FALSE()),"")</f>
        <v>PVM-2703</v>
      </c>
      <c r="G251" s="50" t="s">
        <v>515</v>
      </c>
      <c r="H251" s="50" t="s">
        <v>360</v>
      </c>
      <c r="I251" s="50"/>
      <c r="J251" s="50" t="s">
        <v>352</v>
      </c>
      <c r="K251" s="50" t="str">
        <f aca="false">IFERROR(VLOOKUP($J251,Catálogos!$M$4:$N$17,2,FALSE()),"")</f>
        <v>Mantención Preventiva Realizada</v>
      </c>
      <c r="L251" s="52" t="n">
        <v>46068</v>
      </c>
      <c r="M251" s="50" t="s">
        <v>353</v>
      </c>
      <c r="N251" s="50" t="s">
        <v>253</v>
      </c>
      <c r="O251" s="50"/>
      <c r="P251" s="50"/>
      <c r="Q251" s="50" t="s">
        <v>362</v>
      </c>
    </row>
    <row r="252" customFormat="false" ht="15" hidden="false" customHeight="true" outlineLevel="0" collapsed="false">
      <c r="A252" s="51" t="s">
        <v>580</v>
      </c>
      <c r="B252" s="50" t="str">
        <f aca="false">IFERROR(VLOOKUP($A252,Equipos!$C$2:$M$967,2,FALSE()),"")</f>
        <v>Monitor Multiparámetros</v>
      </c>
      <c r="C252" s="50" t="str">
        <f aca="false">IFERROR(VLOOKUP($A252,Equipos!$C$2:$M$967,9,FALSE()),"")</f>
        <v>0118020.</v>
      </c>
      <c r="D252" s="50" t="str">
        <f aca="false">IFERROR(VLOOKUP($A252,Equipos!$C$2:$M$967,3,FALSE()),"")</f>
        <v>Medicina (Prestado a medicina cardiovascular)</v>
      </c>
      <c r="E252" s="50" t="str">
        <f aca="false">IFERROR(VLOOKUP($A252,Equipos!$C$2:$M$967,7,FALSE()),"")</f>
        <v>Nihon Kohden </v>
      </c>
      <c r="F252" s="50" t="str">
        <f aca="false">IFERROR(VLOOKUP($A252,Equipos!$C$2:$M$967,8,FALSE()),"")</f>
        <v>PVM-2703</v>
      </c>
      <c r="G252" s="50" t="s">
        <v>515</v>
      </c>
      <c r="H252" s="50" t="s">
        <v>360</v>
      </c>
      <c r="I252" s="50"/>
      <c r="J252" s="50" t="s">
        <v>364</v>
      </c>
      <c r="K252" s="50" t="str">
        <f aca="false">IFERROR(VLOOKUP($J252,Catálogos!$M$4:$N$17,2,FALSE()),"")</f>
        <v>Reprogramada · No disponibilidad de horas hombre del funcionario SEC por alta carga laboral</v>
      </c>
      <c r="L252" s="52" t="n">
        <v>46068</v>
      </c>
      <c r="M252" s="50" t="s">
        <v>353</v>
      </c>
      <c r="N252" s="50" t="s">
        <v>253</v>
      </c>
      <c r="O252" s="50"/>
      <c r="P252" s="50"/>
      <c r="Q252" s="50" t="s">
        <v>362</v>
      </c>
    </row>
    <row r="253" customFormat="false" ht="15" hidden="false" customHeight="true" outlineLevel="0" collapsed="false">
      <c r="A253" s="51" t="s">
        <v>581</v>
      </c>
      <c r="B253" s="50" t="str">
        <f aca="false">IFERROR(VLOOKUP($A253,Equipos!$C$2:$M$967,2,FALSE()),"")</f>
        <v>Monitor Multiparámetros</v>
      </c>
      <c r="C253" s="50" t="str">
        <f aca="false">IFERROR(VLOOKUP($A253,Equipos!$C$2:$M$967,9,FALSE()),"")</f>
        <v>SQE19510031SA</v>
      </c>
      <c r="D253" s="50" t="str">
        <f aca="false">IFERROR(VLOOKUP($A253,Equipos!$C$2:$M$967,3,FALSE()),"")</f>
        <v>Medicina</v>
      </c>
      <c r="E253" s="50" t="str">
        <f aca="false">IFERROR(VLOOKUP($A253,Equipos!$C$2:$M$967,7,FALSE()),"")</f>
        <v>General Electric</v>
      </c>
      <c r="F253" s="50" t="str">
        <f aca="false">IFERROR(VLOOKUP($A253,Equipos!$C$2:$M$967,8,FALSE()),"")</f>
        <v>B105</v>
      </c>
      <c r="G253" s="50" t="s">
        <v>515</v>
      </c>
      <c r="H253" s="50" t="s">
        <v>360</v>
      </c>
      <c r="I253" s="50"/>
      <c r="J253" s="50" t="s">
        <v>364</v>
      </c>
      <c r="K253" s="50" t="str">
        <f aca="false">IFERROR(VLOOKUP($J253,Catálogos!$M$4:$N$17,2,FALSE()),"")</f>
        <v>Reprogramada · No disponibilidad de horas hombre del funcionario SEC por alta carga laboral</v>
      </c>
      <c r="L253" s="52" t="n">
        <v>46068</v>
      </c>
      <c r="M253" s="50" t="s">
        <v>353</v>
      </c>
      <c r="N253" s="50" t="s">
        <v>253</v>
      </c>
      <c r="O253" s="50"/>
      <c r="P253" s="50"/>
      <c r="Q253" s="50" t="s">
        <v>362</v>
      </c>
    </row>
    <row r="254" customFormat="false" ht="15" hidden="false" customHeight="true" outlineLevel="0" collapsed="false">
      <c r="A254" s="51" t="s">
        <v>582</v>
      </c>
      <c r="B254" s="50" t="str">
        <f aca="false">IFERROR(VLOOKUP($A254,Equipos!$C$2:$M$967,2,FALSE()),"")</f>
        <v>Monitor Multiparámetros</v>
      </c>
      <c r="C254" s="50" t="str">
        <f aca="false">IFERROR(VLOOKUP($A254,Equipos!$C$2:$M$967,9,FALSE()),"")</f>
        <v>SQE19510030SA</v>
      </c>
      <c r="D254" s="50" t="str">
        <f aca="false">IFERROR(VLOOKUP($A254,Equipos!$C$2:$M$967,3,FALSE()),"")</f>
        <v>Medicina (Prestado a medicina cardiovascular)</v>
      </c>
      <c r="E254" s="50" t="str">
        <f aca="false">IFERROR(VLOOKUP($A254,Equipos!$C$2:$M$967,7,FALSE()),"")</f>
        <v>General Electric</v>
      </c>
      <c r="F254" s="50" t="str">
        <f aca="false">IFERROR(VLOOKUP($A254,Equipos!$C$2:$M$967,8,FALSE()),"")</f>
        <v>B105</v>
      </c>
      <c r="G254" s="50" t="s">
        <v>515</v>
      </c>
      <c r="H254" s="50" t="s">
        <v>360</v>
      </c>
      <c r="I254" s="50"/>
      <c r="J254" s="50" t="s">
        <v>364</v>
      </c>
      <c r="K254" s="50" t="str">
        <f aca="false">IFERROR(VLOOKUP($J254,Catálogos!$M$4:$N$17,2,FALSE()),"")</f>
        <v>Reprogramada · No disponibilidad de horas hombre del funcionario SEC por alta carga laboral</v>
      </c>
      <c r="L254" s="52" t="n">
        <v>46068</v>
      </c>
      <c r="M254" s="50" t="s">
        <v>353</v>
      </c>
      <c r="N254" s="50" t="s">
        <v>253</v>
      </c>
      <c r="O254" s="50"/>
      <c r="P254" s="50"/>
      <c r="Q254" s="50" t="s">
        <v>362</v>
      </c>
    </row>
    <row r="255" customFormat="false" ht="15" hidden="false" customHeight="true" outlineLevel="0" collapsed="false">
      <c r="A255" s="51" t="s">
        <v>583</v>
      </c>
      <c r="B255" s="50" t="str">
        <f aca="false">IFERROR(VLOOKUP($A255,Equipos!$C$2:$M$967,2,FALSE()),"")</f>
        <v>Monitor Multiparámetros</v>
      </c>
      <c r="C255" s="50" t="str">
        <f aca="false">IFERROR(VLOOKUP($A255,Equipos!$C$2:$M$967,9,FALSE()),"")</f>
        <v>SQE19510029SA</v>
      </c>
      <c r="D255" s="50" t="str">
        <f aca="false">IFERROR(VLOOKUP($A255,Equipos!$C$2:$M$967,3,FALSE()),"")</f>
        <v>Medicina</v>
      </c>
      <c r="E255" s="50" t="str">
        <f aca="false">IFERROR(VLOOKUP($A255,Equipos!$C$2:$M$967,7,FALSE()),"")</f>
        <v>General Electric</v>
      </c>
      <c r="F255" s="50" t="str">
        <f aca="false">IFERROR(VLOOKUP($A255,Equipos!$C$2:$M$967,8,FALSE()),"")</f>
        <v>B105</v>
      </c>
      <c r="G255" s="50" t="s">
        <v>515</v>
      </c>
      <c r="H255" s="50" t="s">
        <v>360</v>
      </c>
      <c r="I255" s="50"/>
      <c r="J255" s="50" t="s">
        <v>364</v>
      </c>
      <c r="K255" s="50" t="str">
        <f aca="false">IFERROR(VLOOKUP($J255,Catálogos!$M$4:$N$17,2,FALSE()),"")</f>
        <v>Reprogramada · No disponibilidad de horas hombre del funcionario SEC por alta carga laboral</v>
      </c>
      <c r="L255" s="52" t="n">
        <v>46068</v>
      </c>
      <c r="M255" s="50" t="s">
        <v>353</v>
      </c>
      <c r="N255" s="50" t="s">
        <v>253</v>
      </c>
      <c r="O255" s="50"/>
      <c r="P255" s="50"/>
      <c r="Q255" s="50" t="s">
        <v>362</v>
      </c>
    </row>
    <row r="256" customFormat="false" ht="15" hidden="false" customHeight="true" outlineLevel="0" collapsed="false">
      <c r="A256" s="51" t="s">
        <v>378</v>
      </c>
      <c r="B256" s="50" t="str">
        <f aca="false">IFERROR(VLOOKUP($A256,Equipos!$C$2:$M$967,2,FALSE()),"")</f>
        <v>Monitor Multiparámetros</v>
      </c>
      <c r="C256" s="50" t="str">
        <f aca="false">IFERROR(VLOOKUP($A256,Equipos!$C$2:$M$967,9,FALSE()),"")</f>
        <v>SQE19510026SA</v>
      </c>
      <c r="D256" s="50" t="str">
        <f aca="false">IFERROR(VLOOKUP($A256,Equipos!$C$2:$M$967,3,FALSE()),"")</f>
        <v>UPC Cardiovascular</v>
      </c>
      <c r="E256" s="50" t="str">
        <f aca="false">IFERROR(VLOOKUP($A256,Equipos!$C$2:$M$967,7,FALSE()),"")</f>
        <v>General Electric</v>
      </c>
      <c r="F256" s="50" t="str">
        <f aca="false">IFERROR(VLOOKUP($A256,Equipos!$C$2:$M$967,8,FALSE()),"")</f>
        <v>B105</v>
      </c>
      <c r="G256" s="50" t="s">
        <v>515</v>
      </c>
      <c r="H256" s="50" t="s">
        <v>360</v>
      </c>
      <c r="I256" s="50"/>
      <c r="J256" s="50" t="s">
        <v>352</v>
      </c>
      <c r="K256" s="50" t="str">
        <f aca="false">IFERROR(VLOOKUP($J256,Catálogos!$M$4:$N$17,2,FALSE()),"")</f>
        <v>Mantención Preventiva Realizada</v>
      </c>
      <c r="L256" s="52" t="n">
        <v>46068</v>
      </c>
      <c r="M256" s="50" t="s">
        <v>353</v>
      </c>
      <c r="N256" s="50" t="s">
        <v>253</v>
      </c>
      <c r="O256" s="50"/>
      <c r="P256" s="50"/>
      <c r="Q256" s="50" t="s">
        <v>362</v>
      </c>
    </row>
    <row r="257" customFormat="false" ht="15" hidden="false" customHeight="true" outlineLevel="0" collapsed="false">
      <c r="A257" s="51" t="s">
        <v>380</v>
      </c>
      <c r="B257" s="50" t="str">
        <f aca="false">IFERROR(VLOOKUP($A257,Equipos!$C$2:$M$967,2,FALSE()),"")</f>
        <v>Monitor Multiparámetros</v>
      </c>
      <c r="C257" s="50" t="str">
        <f aca="false">IFERROR(VLOOKUP($A257,Equipos!$C$2:$M$967,9,FALSE()),"")</f>
        <v>SP318331750WA</v>
      </c>
      <c r="D257" s="50" t="str">
        <f aca="false">IFERROR(VLOOKUP($A257,Equipos!$C$2:$M$967,3,FALSE()),"")</f>
        <v>UPC Pediátrica</v>
      </c>
      <c r="E257" s="50" t="str">
        <f aca="false">IFERROR(VLOOKUP($A257,Equipos!$C$2:$M$967,7,FALSE()),"")</f>
        <v>General Electric</v>
      </c>
      <c r="F257" s="50" t="str">
        <f aca="false">IFERROR(VLOOKUP($A257,Equipos!$C$2:$M$967,8,FALSE()),"")</f>
        <v>B105</v>
      </c>
      <c r="G257" s="50" t="s">
        <v>515</v>
      </c>
      <c r="H257" s="50" t="s">
        <v>360</v>
      </c>
      <c r="I257" s="50"/>
      <c r="J257" s="50" t="s">
        <v>352</v>
      </c>
      <c r="K257" s="50" t="str">
        <f aca="false">IFERROR(VLOOKUP($J257,Catálogos!$M$4:$N$17,2,FALSE()),"")</f>
        <v>Mantención Preventiva Realizada</v>
      </c>
      <c r="L257" s="52" t="n">
        <v>46068</v>
      </c>
      <c r="M257" s="50" t="s">
        <v>353</v>
      </c>
      <c r="N257" s="50" t="s">
        <v>253</v>
      </c>
      <c r="O257" s="50"/>
      <c r="P257" s="50"/>
      <c r="Q257" s="50" t="s">
        <v>362</v>
      </c>
    </row>
    <row r="258" customFormat="false" ht="15" hidden="false" customHeight="true" outlineLevel="0" collapsed="false">
      <c r="A258" s="51" t="s">
        <v>584</v>
      </c>
      <c r="B258" s="50" t="str">
        <f aca="false">IFERROR(VLOOKUP($A258,Equipos!$C$2:$M$967,2,FALSE()),"")</f>
        <v>Monitor Multiparámetros</v>
      </c>
      <c r="C258" s="50" t="str">
        <f aca="false">IFERROR(VLOOKUP($A258,Equipos!$C$2:$M$967,9,FALSE()),"")</f>
        <v>VGSLN0049</v>
      </c>
      <c r="D258" s="50" t="str">
        <f aca="false">IFERROR(VLOOKUP($A258,Equipos!$C$2:$M$967,3,FALSE()),"")</f>
        <v>Urgencia Adulto (Prestado a Pediatría)</v>
      </c>
      <c r="E258" s="50" t="str">
        <f aca="false">IFERROR(VLOOKUP($A258,Equipos!$C$2:$M$967,7,FALSE()),"")</f>
        <v>Drager</v>
      </c>
      <c r="F258" s="50" t="str">
        <f aca="false">IFERROR(VLOOKUP($A258,Equipos!$C$2:$M$967,8,FALSE()),"")</f>
        <v>Vista 120</v>
      </c>
      <c r="G258" s="50" t="s">
        <v>515</v>
      </c>
      <c r="H258" s="50" t="s">
        <v>360</v>
      </c>
      <c r="I258" s="50"/>
      <c r="J258" s="50" t="s">
        <v>364</v>
      </c>
      <c r="K258" s="50" t="str">
        <f aca="false">IFERROR(VLOOKUP($J258,Catálogos!$M$4:$N$17,2,FALSE()),"")</f>
        <v>Reprogramada · No disponibilidad de horas hombre del funcionario SEC por alta carga laboral</v>
      </c>
      <c r="L258" s="52" t="n">
        <v>46068</v>
      </c>
      <c r="M258" s="50" t="s">
        <v>353</v>
      </c>
      <c r="N258" s="50" t="s">
        <v>253</v>
      </c>
      <c r="O258" s="50"/>
      <c r="P258" s="50"/>
      <c r="Q258" s="50" t="s">
        <v>362</v>
      </c>
    </row>
    <row r="259" customFormat="false" ht="15" hidden="false" customHeight="true" outlineLevel="0" collapsed="false">
      <c r="A259" s="51" t="s">
        <v>387</v>
      </c>
      <c r="B259" s="50" t="str">
        <f aca="false">IFERROR(VLOOKUP($A259,Equipos!$C$2:$M$967,2,FALSE()),"")</f>
        <v>Monitor Multiparámetros</v>
      </c>
      <c r="C259" s="50" t="str">
        <f aca="false">IFERROR(VLOOKUP($A259,Equipos!$C$2:$M$967,9,FALSE()),"")</f>
        <v>DE671E0406</v>
      </c>
      <c r="D259" s="50" t="str">
        <f aca="false">IFERROR(VLOOKUP($A259,Equipos!$C$2:$M$967,3,FALSE()),"")</f>
        <v>Neonatología</v>
      </c>
      <c r="E259" s="50" t="str">
        <f aca="false">IFERROR(VLOOKUP($A259,Equipos!$C$2:$M$967,7,FALSE()),"")</f>
        <v>Philips</v>
      </c>
      <c r="F259" s="50" t="str">
        <f aca="false">IFERROR(VLOOKUP($A259,Equipos!$C$2:$M$967,8,FALSE()),"")</f>
        <v>Intellivue MX550</v>
      </c>
      <c r="G259" s="50" t="s">
        <v>515</v>
      </c>
      <c r="H259" s="50" t="s">
        <v>360</v>
      </c>
      <c r="I259" s="50"/>
      <c r="J259" s="50" t="s">
        <v>352</v>
      </c>
      <c r="K259" s="50" t="str">
        <f aca="false">IFERROR(VLOOKUP($J259,Catálogos!$M$4:$N$17,2,FALSE()),"")</f>
        <v>Mantención Preventiva Realizada</v>
      </c>
      <c r="L259" s="52" t="n">
        <v>46068</v>
      </c>
      <c r="M259" s="50" t="s">
        <v>353</v>
      </c>
      <c r="N259" s="50" t="s">
        <v>253</v>
      </c>
      <c r="O259" s="50"/>
      <c r="P259" s="50"/>
      <c r="Q259" s="50" t="s">
        <v>362</v>
      </c>
    </row>
    <row r="260" customFormat="false" ht="15" hidden="false" customHeight="true" outlineLevel="0" collapsed="false">
      <c r="A260" s="51" t="s">
        <v>389</v>
      </c>
      <c r="B260" s="50" t="str">
        <f aca="false">IFERROR(VLOOKUP($A260,Equipos!$C$2:$M$967,2,FALSE()),"")</f>
        <v>Monitor Multiparámetros</v>
      </c>
      <c r="C260" s="50" t="str">
        <f aca="false">IFERROR(VLOOKUP($A260,Equipos!$C$2:$M$967,9,FALSE()),"")</f>
        <v>DE671E0404</v>
      </c>
      <c r="D260" s="50" t="str">
        <f aca="false">IFERROR(VLOOKUP($A260,Equipos!$C$2:$M$967,3,FALSE()),"")</f>
        <v>Neonatología</v>
      </c>
      <c r="E260" s="50" t="str">
        <f aca="false">IFERROR(VLOOKUP($A260,Equipos!$C$2:$M$967,7,FALSE()),"")</f>
        <v>Philips</v>
      </c>
      <c r="F260" s="50" t="str">
        <f aca="false">IFERROR(VLOOKUP($A260,Equipos!$C$2:$M$967,8,FALSE()),"")</f>
        <v>Intellivue MX550</v>
      </c>
      <c r="G260" s="50" t="s">
        <v>515</v>
      </c>
      <c r="H260" s="50" t="s">
        <v>360</v>
      </c>
      <c r="I260" s="50"/>
      <c r="J260" s="50" t="s">
        <v>352</v>
      </c>
      <c r="K260" s="50" t="str">
        <f aca="false">IFERROR(VLOOKUP($J260,Catálogos!$M$4:$N$17,2,FALSE()),"")</f>
        <v>Mantención Preventiva Realizada</v>
      </c>
      <c r="L260" s="52" t="n">
        <v>46068</v>
      </c>
      <c r="M260" s="50" t="s">
        <v>353</v>
      </c>
      <c r="N260" s="50" t="s">
        <v>253</v>
      </c>
      <c r="O260" s="50"/>
      <c r="P260" s="50"/>
      <c r="Q260" s="50" t="s">
        <v>362</v>
      </c>
    </row>
    <row r="261" customFormat="false" ht="15" hidden="false" customHeight="true" outlineLevel="0" collapsed="false">
      <c r="A261" s="51" t="s">
        <v>395</v>
      </c>
      <c r="B261" s="50" t="str">
        <f aca="false">IFERROR(VLOOKUP($A261,Equipos!$C$2:$M$967,2,FALSE()),"")</f>
        <v>Monitor Multiparámetros</v>
      </c>
      <c r="C261" s="50" t="str">
        <f aca="false">IFERROR(VLOOKUP($A261,Equipos!$C$2:$M$967,9,FALSE()),"")</f>
        <v>DE671E0396</v>
      </c>
      <c r="D261" s="50" t="str">
        <f aca="false">IFERROR(VLOOKUP($A261,Equipos!$C$2:$M$967,3,FALSE()),"")</f>
        <v>Neonatología</v>
      </c>
      <c r="E261" s="50" t="str">
        <f aca="false">IFERROR(VLOOKUP($A261,Equipos!$C$2:$M$967,7,FALSE()),"")</f>
        <v>Philips</v>
      </c>
      <c r="F261" s="50" t="str">
        <f aca="false">IFERROR(VLOOKUP($A261,Equipos!$C$2:$M$967,8,FALSE()),"")</f>
        <v>Intellivue MX550</v>
      </c>
      <c r="G261" s="50" t="s">
        <v>515</v>
      </c>
      <c r="H261" s="50" t="s">
        <v>360</v>
      </c>
      <c r="I261" s="50"/>
      <c r="J261" s="50" t="s">
        <v>352</v>
      </c>
      <c r="K261" s="50" t="str">
        <f aca="false">IFERROR(VLOOKUP($J261,Catálogos!$M$4:$N$17,2,FALSE()),"")</f>
        <v>Mantención Preventiva Realizada</v>
      </c>
      <c r="L261" s="52" t="n">
        <v>46068</v>
      </c>
      <c r="M261" s="50" t="s">
        <v>353</v>
      </c>
      <c r="N261" s="50" t="s">
        <v>253</v>
      </c>
      <c r="O261" s="50"/>
      <c r="P261" s="50"/>
      <c r="Q261" s="50" t="s">
        <v>362</v>
      </c>
    </row>
    <row r="262" customFormat="false" ht="15" hidden="false" customHeight="true" outlineLevel="0" collapsed="false">
      <c r="A262" s="51" t="s">
        <v>585</v>
      </c>
      <c r="B262" s="50" t="str">
        <f aca="false">IFERROR(VLOOKUP($A262,Equipos!$C$2:$M$967,2,FALSE()),"")</f>
        <v>Monitor Multiparámetros</v>
      </c>
      <c r="C262" s="50" t="str">
        <f aca="false">IFERROR(VLOOKUP($A262,Equipos!$C$2:$M$967,9,FALSE()),"")</f>
        <v>V1SHL0116</v>
      </c>
      <c r="D262" s="50" t="str">
        <f aca="false">IFERROR(VLOOKUP($A262,Equipos!$C$2:$M$967,3,FALSE()),"")</f>
        <v>Cardiología (Prestado a Medicina cardiovascular)</v>
      </c>
      <c r="E262" s="50" t="str">
        <f aca="false">IFERROR(VLOOKUP($A262,Equipos!$C$2:$M$967,7,FALSE()),"")</f>
        <v>Drager</v>
      </c>
      <c r="F262" s="50" t="str">
        <f aca="false">IFERROR(VLOOKUP($A262,Equipos!$C$2:$M$967,8,FALSE()),"")</f>
        <v>Vista 120</v>
      </c>
      <c r="G262" s="50" t="s">
        <v>515</v>
      </c>
      <c r="H262" s="50" t="s">
        <v>360</v>
      </c>
      <c r="I262" s="50"/>
      <c r="J262" s="50" t="s">
        <v>374</v>
      </c>
      <c r="K262" s="50" t="str">
        <f aca="false">IFERROR(VLOOKUP($J262,Catálogos!$M$4:$N$17,2,FALSE()),"")</f>
        <v>Reprogramada · Ausencia justificada del funcionario SEC superior a 15 días</v>
      </c>
      <c r="L262" s="52" t="n">
        <v>46068</v>
      </c>
      <c r="M262" s="50" t="s">
        <v>353</v>
      </c>
      <c r="N262" s="50" t="s">
        <v>253</v>
      </c>
      <c r="O262" s="50"/>
      <c r="P262" s="50"/>
      <c r="Q262" s="50" t="s">
        <v>362</v>
      </c>
    </row>
    <row r="263" customFormat="false" ht="15" hidden="false" customHeight="true" outlineLevel="0" collapsed="false">
      <c r="A263" s="51" t="s">
        <v>586</v>
      </c>
      <c r="B263" s="50" t="str">
        <f aca="false">IFERROR(VLOOKUP($A263,Equipos!$C$2:$M$967,2,FALSE()),"")</f>
        <v>Monitor Multiparámetros</v>
      </c>
      <c r="C263" s="50" t="str">
        <f aca="false">IFERROR(VLOOKUP($A263,Equipos!$C$2:$M$967,9,FALSE()),"")</f>
        <v>V2SFF0044</v>
      </c>
      <c r="D263" s="50" t="str">
        <f aca="false">IFERROR(VLOOKUP($A263,Equipos!$C$2:$M$967,3,FALSE()),"")</f>
        <v>Cardiología (Prestado a Medicina cardiovascular)</v>
      </c>
      <c r="E263" s="50" t="str">
        <f aca="false">IFERROR(VLOOKUP($A263,Equipos!$C$2:$M$967,7,FALSE()),"")</f>
        <v>Drager</v>
      </c>
      <c r="F263" s="50" t="str">
        <f aca="false">IFERROR(VLOOKUP($A263,Equipos!$C$2:$M$967,8,FALSE()),"")</f>
        <v>Vista 120</v>
      </c>
      <c r="G263" s="50" t="s">
        <v>515</v>
      </c>
      <c r="H263" s="50" t="s">
        <v>360</v>
      </c>
      <c r="I263" s="50"/>
      <c r="J263" s="50" t="s">
        <v>374</v>
      </c>
      <c r="K263" s="50" t="str">
        <f aca="false">IFERROR(VLOOKUP($J263,Catálogos!$M$4:$N$17,2,FALSE()),"")</f>
        <v>Reprogramada · Ausencia justificada del funcionario SEC superior a 15 días</v>
      </c>
      <c r="L263" s="52" t="n">
        <v>46068</v>
      </c>
      <c r="M263" s="50" t="s">
        <v>353</v>
      </c>
      <c r="N263" s="50" t="s">
        <v>253</v>
      </c>
      <c r="O263" s="50"/>
      <c r="P263" s="50"/>
      <c r="Q263" s="50" t="s">
        <v>362</v>
      </c>
    </row>
    <row r="264" customFormat="false" ht="15" hidden="false" customHeight="true" outlineLevel="0" collapsed="false">
      <c r="A264" s="51" t="s">
        <v>398</v>
      </c>
      <c r="B264" s="50" t="str">
        <f aca="false">IFERROR(VLOOKUP($A264,Equipos!$C$2:$M$967,2,FALSE()),"")</f>
        <v>Monitor Multiparámetros</v>
      </c>
      <c r="C264" s="50" t="str">
        <f aca="false">IFERROR(VLOOKUP($A264,Equipos!$C$2:$M$967,9,FALSE()),"")</f>
        <v>260123-M15803660005</v>
      </c>
      <c r="D264" s="50" t="str">
        <f aca="false">IFERROR(VLOOKUP($A264,Equipos!$C$2:$M$967,3,FALSE()),"")</f>
        <v>Pediatría</v>
      </c>
      <c r="E264" s="50" t="str">
        <f aca="false">IFERROR(VLOOKUP($A264,Equipos!$C$2:$M$967,7,FALSE()),"")</f>
        <v>EDAN</v>
      </c>
      <c r="F264" s="50" t="str">
        <f aca="false">IFERROR(VLOOKUP($A264,Equipos!$C$2:$M$967,8,FALSE()),"")</f>
        <v>IM50</v>
      </c>
      <c r="G264" s="50" t="s">
        <v>515</v>
      </c>
      <c r="H264" s="50" t="s">
        <v>360</v>
      </c>
      <c r="I264" s="50"/>
      <c r="J264" s="50" t="s">
        <v>352</v>
      </c>
      <c r="K264" s="50" t="str">
        <f aca="false">IFERROR(VLOOKUP($J264,Catálogos!$M$4:$N$17,2,FALSE()),"")</f>
        <v>Mantención Preventiva Realizada</v>
      </c>
      <c r="L264" s="52" t="n">
        <v>46068</v>
      </c>
      <c r="M264" s="50" t="s">
        <v>353</v>
      </c>
      <c r="N264" s="50" t="s">
        <v>253</v>
      </c>
      <c r="O264" s="50"/>
      <c r="P264" s="50"/>
      <c r="Q264" s="50" t="s">
        <v>362</v>
      </c>
    </row>
    <row r="265" customFormat="false" ht="15" hidden="false" customHeight="true" outlineLevel="0" collapsed="false">
      <c r="A265" s="51" t="s">
        <v>587</v>
      </c>
      <c r="B265" s="50" t="str">
        <f aca="false">IFERROR(VLOOKUP($A265,Equipos!$C$2:$M$967,2,FALSE()),"")</f>
        <v>Monitor Multiparámetros</v>
      </c>
      <c r="C265" s="50" t="str">
        <f aca="false">IFERROR(VLOOKUP($A265,Equipos!$C$2:$M$967,9,FALSE()),"")</f>
        <v>TM3M0264</v>
      </c>
      <c r="D265" s="50" t="str">
        <f aca="false">IFERROR(VLOOKUP($A265,Equipos!$C$2:$M$967,3,FALSE()),"")</f>
        <v>Imagenología</v>
      </c>
      <c r="E265" s="50" t="str">
        <f aca="false">IFERROR(VLOOKUP($A265,Equipos!$C$2:$M$967,7,FALSE()),"")</f>
        <v>Tesla</v>
      </c>
      <c r="F265" s="50" t="str">
        <f aca="false">IFERROR(VLOOKUP($A265,Equipos!$C$2:$M$967,8,FALSE()),"")</f>
        <v>M3</v>
      </c>
      <c r="G265" s="50" t="s">
        <v>515</v>
      </c>
      <c r="H265" s="50" t="s">
        <v>360</v>
      </c>
      <c r="I265" s="50"/>
      <c r="J265" s="50" t="s">
        <v>331</v>
      </c>
      <c r="K265" s="50" t="str">
        <f aca="false">IFERROR(VLOOKUP($J265,Catálogos!$M$4:$N$17,2,FALSE()),"")</f>
        <v>Reprogramada · Equipo no operativo, a la espera de repuestos o accesorios</v>
      </c>
      <c r="L265" s="52" t="n">
        <v>46068</v>
      </c>
      <c r="M265" s="50" t="s">
        <v>355</v>
      </c>
      <c r="N265" s="50" t="s">
        <v>253</v>
      </c>
      <c r="O265" s="50"/>
      <c r="P265" s="50"/>
      <c r="Q265" s="50" t="s">
        <v>362</v>
      </c>
    </row>
    <row r="266" customFormat="false" ht="15" hidden="false" customHeight="true" outlineLevel="0" collapsed="false">
      <c r="A266" s="51" t="s">
        <v>588</v>
      </c>
      <c r="B266" s="50" t="str">
        <f aca="false">IFERROR(VLOOKUP($A266,Equipos!$C$2:$M$967,2,FALSE()),"")</f>
        <v>Monitor Multiparámetros</v>
      </c>
      <c r="C266" s="50" t="str">
        <f aca="false">IFERROR(VLOOKUP($A266,Equipos!$C$2:$M$967,9,FALSE()),"")</f>
        <v>5493736846</v>
      </c>
      <c r="D266" s="50" t="str">
        <f aca="false">IFERROR(VLOOKUP($A266,Equipos!$C$2:$M$967,3,FALSE()),"")</f>
        <v>Cardiología</v>
      </c>
      <c r="E266" s="50" t="str">
        <f aca="false">IFERROR(VLOOKUP($A266,Equipos!$C$2:$M$967,7,FALSE()),"")</f>
        <v>Drager</v>
      </c>
      <c r="F266" s="50" t="str">
        <f aca="false">IFERROR(VLOOKUP($A266,Equipos!$C$2:$M$967,8,FALSE()),"")</f>
        <v>Infinity Kappa</v>
      </c>
      <c r="G266" s="50" t="s">
        <v>515</v>
      </c>
      <c r="H266" s="50" t="s">
        <v>360</v>
      </c>
      <c r="I266" s="50"/>
      <c r="J266" s="50" t="s">
        <v>374</v>
      </c>
      <c r="K266" s="50" t="str">
        <f aca="false">IFERROR(VLOOKUP($J266,Catálogos!$M$4:$N$17,2,FALSE()),"")</f>
        <v>Reprogramada · Ausencia justificada del funcionario SEC superior a 15 días</v>
      </c>
      <c r="L266" s="52" t="n">
        <v>46068</v>
      </c>
      <c r="M266" s="50" t="s">
        <v>353</v>
      </c>
      <c r="N266" s="50" t="s">
        <v>253</v>
      </c>
      <c r="O266" s="50"/>
      <c r="P266" s="50"/>
      <c r="Q266" s="50" t="s">
        <v>362</v>
      </c>
    </row>
    <row r="267" customFormat="false" ht="15" hidden="false" customHeight="true" outlineLevel="0" collapsed="false">
      <c r="A267" s="51" t="s">
        <v>401</v>
      </c>
      <c r="B267" s="50" t="str">
        <f aca="false">IFERROR(VLOOKUP($A267,Equipos!$C$2:$M$967,2,FALSE()),"")</f>
        <v>Monitor Multiparámetros</v>
      </c>
      <c r="C267" s="50" t="str">
        <f aca="false">IFERROR(VLOOKUP($A267,Equipos!$C$2:$M$967,9,FALSE()),"")</f>
        <v>5495339950</v>
      </c>
      <c r="D267" s="50" t="str">
        <f aca="false">IFERROR(VLOOKUP($A267,Equipos!$C$2:$M$967,3,FALSE()),"")</f>
        <v>UPC Cardiovascular</v>
      </c>
      <c r="E267" s="50" t="str">
        <f aca="false">IFERROR(VLOOKUP($A267,Equipos!$C$2:$M$967,7,FALSE()),"")</f>
        <v>Drager</v>
      </c>
      <c r="F267" s="50" t="str">
        <f aca="false">IFERROR(VLOOKUP($A267,Equipos!$C$2:$M$967,8,FALSE()),"")</f>
        <v>Infinity Kappa</v>
      </c>
      <c r="G267" s="50" t="s">
        <v>515</v>
      </c>
      <c r="H267" s="50" t="s">
        <v>360</v>
      </c>
      <c r="I267" s="50"/>
      <c r="J267" s="50" t="s">
        <v>352</v>
      </c>
      <c r="K267" s="50" t="str">
        <f aca="false">IFERROR(VLOOKUP($J267,Catálogos!$M$4:$N$17,2,FALSE()),"")</f>
        <v>Mantención Preventiva Realizada</v>
      </c>
      <c r="L267" s="52" t="n">
        <v>46068</v>
      </c>
      <c r="M267" s="50" t="s">
        <v>353</v>
      </c>
      <c r="N267" s="50" t="s">
        <v>253</v>
      </c>
      <c r="O267" s="50"/>
      <c r="P267" s="50"/>
      <c r="Q267" s="50" t="s">
        <v>362</v>
      </c>
    </row>
    <row r="268" customFormat="false" ht="15" hidden="false" customHeight="true" outlineLevel="0" collapsed="false">
      <c r="A268" s="51" t="s">
        <v>402</v>
      </c>
      <c r="B268" s="50" t="str">
        <f aca="false">IFERROR(VLOOKUP($A268,Equipos!$C$2:$M$967,2,FALSE()),"")</f>
        <v>Monitor Multiparámetros</v>
      </c>
      <c r="C268" s="50" t="str">
        <f aca="false">IFERROR(VLOOKUP($A268,Equipos!$C$2:$M$967,9,FALSE()),"")</f>
        <v>6007939163</v>
      </c>
      <c r="D268" s="50" t="str">
        <f aca="false">IFERROR(VLOOKUP($A268,Equipos!$C$2:$M$967,3,FALSE()),"")</f>
        <v>UPC Cardiovascular</v>
      </c>
      <c r="E268" s="50" t="str">
        <f aca="false">IFERROR(VLOOKUP($A268,Equipos!$C$2:$M$967,7,FALSE()),"")</f>
        <v>Drager</v>
      </c>
      <c r="F268" s="50" t="str">
        <f aca="false">IFERROR(VLOOKUP($A268,Equipos!$C$2:$M$967,8,FALSE()),"")</f>
        <v>Infinity Delta</v>
      </c>
      <c r="G268" s="50" t="s">
        <v>515</v>
      </c>
      <c r="H268" s="50" t="s">
        <v>360</v>
      </c>
      <c r="I268" s="50"/>
      <c r="J268" s="50" t="s">
        <v>352</v>
      </c>
      <c r="K268" s="50" t="str">
        <f aca="false">IFERROR(VLOOKUP($J268,Catálogos!$M$4:$N$17,2,FALSE()),"")</f>
        <v>Mantención Preventiva Realizada</v>
      </c>
      <c r="L268" s="52" t="n">
        <v>46068</v>
      </c>
      <c r="M268" s="50" t="s">
        <v>353</v>
      </c>
      <c r="N268" s="50" t="s">
        <v>253</v>
      </c>
      <c r="O268" s="50"/>
      <c r="P268" s="50"/>
      <c r="Q268" s="50" t="s">
        <v>362</v>
      </c>
    </row>
    <row r="269" customFormat="false" ht="15" hidden="false" customHeight="true" outlineLevel="0" collapsed="false">
      <c r="A269" s="51" t="s">
        <v>589</v>
      </c>
      <c r="B269" s="50" t="str">
        <f aca="false">IFERROR(VLOOKUP($A269,Equipos!$C$2:$M$967,2,FALSE()),"")</f>
        <v>Monitor Multiparámetros</v>
      </c>
      <c r="C269" s="50" t="str">
        <f aca="false">IFERROR(VLOOKUP($A269,Equipos!$C$2:$M$967,9,FALSE()),"")</f>
        <v>VTSHD0021</v>
      </c>
      <c r="D269" s="50" t="str">
        <f aca="false">IFERROR(VLOOKUP($A269,Equipos!$C$2:$M$967,3,FALSE()),"")</f>
        <v>UPC Cardiovascular (Prestado a Medicina)</v>
      </c>
      <c r="E269" s="50" t="str">
        <f aca="false">IFERROR(VLOOKUP($A269,Equipos!$C$2:$M$967,7,FALSE()),"")</f>
        <v>Drager</v>
      </c>
      <c r="F269" s="50" t="str">
        <f aca="false">IFERROR(VLOOKUP($A269,Equipos!$C$2:$M$967,8,FALSE()),"")</f>
        <v>Vista 120</v>
      </c>
      <c r="G269" s="50" t="s">
        <v>515</v>
      </c>
      <c r="H269" s="50" t="s">
        <v>360</v>
      </c>
      <c r="I269" s="50"/>
      <c r="J269" s="50" t="s">
        <v>352</v>
      </c>
      <c r="K269" s="50" t="str">
        <f aca="false">IFERROR(VLOOKUP($J269,Catálogos!$M$4:$N$17,2,FALSE()),"")</f>
        <v>Mantención Preventiva Realizada</v>
      </c>
      <c r="L269" s="52" t="n">
        <v>46068</v>
      </c>
      <c r="M269" s="50" t="s">
        <v>353</v>
      </c>
      <c r="N269" s="50" t="s">
        <v>253</v>
      </c>
      <c r="O269" s="50"/>
      <c r="P269" s="50"/>
      <c r="Q269" s="50" t="s">
        <v>362</v>
      </c>
    </row>
    <row r="270" customFormat="false" ht="15" hidden="false" customHeight="true" outlineLevel="0" collapsed="false">
      <c r="A270" s="51" t="s">
        <v>403</v>
      </c>
      <c r="B270" s="50" t="str">
        <f aca="false">IFERROR(VLOOKUP($A270,Equipos!$C$2:$M$967,2,FALSE()),"")</f>
        <v>Monitor Multiparámetros</v>
      </c>
      <c r="C270" s="50" t="str">
        <f aca="false">IFERROR(VLOOKUP($A270,Equipos!$C$2:$M$967,9,FALSE()),"")</f>
        <v>VQSHD0234</v>
      </c>
      <c r="D270" s="50" t="str">
        <f aca="false">IFERROR(VLOOKUP($A270,Equipos!$C$2:$M$967,3,FALSE()),"")</f>
        <v>Neonatología</v>
      </c>
      <c r="E270" s="50" t="str">
        <f aca="false">IFERROR(VLOOKUP($A270,Equipos!$C$2:$M$967,7,FALSE()),"")</f>
        <v>Drager</v>
      </c>
      <c r="F270" s="50" t="str">
        <f aca="false">IFERROR(VLOOKUP($A270,Equipos!$C$2:$M$967,8,FALSE()),"")</f>
        <v>Vista 120</v>
      </c>
      <c r="G270" s="50" t="s">
        <v>515</v>
      </c>
      <c r="H270" s="50" t="s">
        <v>360</v>
      </c>
      <c r="I270" s="50"/>
      <c r="J270" s="50" t="s">
        <v>352</v>
      </c>
      <c r="K270" s="50" t="str">
        <f aca="false">IFERROR(VLOOKUP($J270,Catálogos!$M$4:$N$17,2,FALSE()),"")</f>
        <v>Mantención Preventiva Realizada</v>
      </c>
      <c r="L270" s="52" t="n">
        <v>46068</v>
      </c>
      <c r="M270" s="50" t="s">
        <v>353</v>
      </c>
      <c r="N270" s="50" t="s">
        <v>253</v>
      </c>
      <c r="O270" s="50"/>
      <c r="P270" s="50"/>
      <c r="Q270" s="50" t="s">
        <v>362</v>
      </c>
    </row>
    <row r="271" customFormat="false" ht="15" hidden="false" customHeight="true" outlineLevel="0" collapsed="false">
      <c r="A271" s="51" t="s">
        <v>404</v>
      </c>
      <c r="B271" s="50" t="str">
        <f aca="false">IFERROR(VLOOKUP($A271,Equipos!$C$2:$M$967,2,FALSE()),"")</f>
        <v>Monitor Multiparámetros</v>
      </c>
      <c r="C271" s="50" t="str">
        <f aca="false">IFERROR(VLOOKUP($A271,Equipos!$C$2:$M$967,9,FALSE()),"")</f>
        <v>VQSHD0233</v>
      </c>
      <c r="D271" s="50" t="str">
        <f aca="false">IFERROR(VLOOKUP($A271,Equipos!$C$2:$M$967,3,FALSE()),"")</f>
        <v>Neonatología</v>
      </c>
      <c r="E271" s="50" t="str">
        <f aca="false">IFERROR(VLOOKUP($A271,Equipos!$C$2:$M$967,7,FALSE()),"")</f>
        <v>Drager</v>
      </c>
      <c r="F271" s="50" t="str">
        <f aca="false">IFERROR(VLOOKUP($A271,Equipos!$C$2:$M$967,8,FALSE()),"")</f>
        <v>Vista 120</v>
      </c>
      <c r="G271" s="50" t="s">
        <v>515</v>
      </c>
      <c r="H271" s="50" t="s">
        <v>360</v>
      </c>
      <c r="I271" s="50"/>
      <c r="J271" s="50" t="s">
        <v>352</v>
      </c>
      <c r="K271" s="50" t="str">
        <f aca="false">IFERROR(VLOOKUP($J271,Catálogos!$M$4:$N$17,2,FALSE()),"")</f>
        <v>Mantención Preventiva Realizada</v>
      </c>
      <c r="L271" s="52" t="n">
        <v>46068</v>
      </c>
      <c r="M271" s="50" t="s">
        <v>353</v>
      </c>
      <c r="N271" s="50" t="s">
        <v>253</v>
      </c>
      <c r="O271" s="50"/>
      <c r="P271" s="50"/>
      <c r="Q271" s="50" t="s">
        <v>362</v>
      </c>
    </row>
    <row r="272" customFormat="false" ht="15" hidden="false" customHeight="true" outlineLevel="0" collapsed="false">
      <c r="A272" s="51" t="s">
        <v>405</v>
      </c>
      <c r="B272" s="50" t="str">
        <f aca="false">IFERROR(VLOOKUP($A272,Equipos!$C$2:$M$967,2,FALSE()),"")</f>
        <v>Monitor Multiparámetros</v>
      </c>
      <c r="C272" s="50" t="str">
        <f aca="false">IFERROR(VLOOKUP($A272,Equipos!$C$2:$M$967,9,FALSE()),"")</f>
        <v>VQSHD0226</v>
      </c>
      <c r="D272" s="50" t="str">
        <f aca="false">IFERROR(VLOOKUP($A272,Equipos!$C$2:$M$967,3,FALSE()),"")</f>
        <v>Neonatología</v>
      </c>
      <c r="E272" s="50" t="str">
        <f aca="false">IFERROR(VLOOKUP($A272,Equipos!$C$2:$M$967,7,FALSE()),"")</f>
        <v>Drager</v>
      </c>
      <c r="F272" s="50" t="str">
        <f aca="false">IFERROR(VLOOKUP($A272,Equipos!$C$2:$M$967,8,FALSE()),"")</f>
        <v>Vista 120</v>
      </c>
      <c r="G272" s="50" t="s">
        <v>515</v>
      </c>
      <c r="H272" s="50" t="s">
        <v>360</v>
      </c>
      <c r="I272" s="50"/>
      <c r="J272" s="50" t="s">
        <v>352</v>
      </c>
      <c r="K272" s="50" t="str">
        <f aca="false">IFERROR(VLOOKUP($J272,Catálogos!$M$4:$N$17,2,FALSE()),"")</f>
        <v>Mantención Preventiva Realizada</v>
      </c>
      <c r="L272" s="52" t="n">
        <v>46068</v>
      </c>
      <c r="M272" s="50" t="s">
        <v>353</v>
      </c>
      <c r="N272" s="50" t="s">
        <v>253</v>
      </c>
      <c r="O272" s="50"/>
      <c r="P272" s="50"/>
      <c r="Q272" s="50" t="s">
        <v>362</v>
      </c>
    </row>
    <row r="273" customFormat="false" ht="15" hidden="false" customHeight="true" outlineLevel="0" collapsed="false">
      <c r="A273" s="51" t="s">
        <v>406</v>
      </c>
      <c r="B273" s="50" t="str">
        <f aca="false">IFERROR(VLOOKUP($A273,Equipos!$C$2:$M$967,2,FALSE()),"")</f>
        <v>Monitor Multiparámetros</v>
      </c>
      <c r="C273" s="50" t="str">
        <f aca="false">IFERROR(VLOOKUP($A273,Equipos!$C$2:$M$967,9,FALSE()),"")</f>
        <v>VQSHD0197</v>
      </c>
      <c r="D273" s="50" t="str">
        <f aca="false">IFERROR(VLOOKUP($A273,Equipos!$C$2:$M$967,3,FALSE()),"")</f>
        <v>Neonatología</v>
      </c>
      <c r="E273" s="50" t="str">
        <f aca="false">IFERROR(VLOOKUP($A273,Equipos!$C$2:$M$967,7,FALSE()),"")</f>
        <v>Drager</v>
      </c>
      <c r="F273" s="50" t="str">
        <f aca="false">IFERROR(VLOOKUP($A273,Equipos!$C$2:$M$967,8,FALSE()),"")</f>
        <v>Vista 120</v>
      </c>
      <c r="G273" s="50" t="s">
        <v>515</v>
      </c>
      <c r="H273" s="50" t="s">
        <v>360</v>
      </c>
      <c r="I273" s="50"/>
      <c r="J273" s="50" t="s">
        <v>352</v>
      </c>
      <c r="K273" s="50" t="str">
        <f aca="false">IFERROR(VLOOKUP($J273,Catálogos!$M$4:$N$17,2,FALSE()),"")</f>
        <v>Mantención Preventiva Realizada</v>
      </c>
      <c r="L273" s="52" t="n">
        <v>46068</v>
      </c>
      <c r="M273" s="50" t="s">
        <v>353</v>
      </c>
      <c r="N273" s="50" t="s">
        <v>253</v>
      </c>
      <c r="O273" s="50"/>
      <c r="P273" s="50"/>
      <c r="Q273" s="50" t="s">
        <v>362</v>
      </c>
    </row>
    <row r="274" customFormat="false" ht="15" hidden="false" customHeight="true" outlineLevel="0" collapsed="false">
      <c r="A274" s="51" t="s">
        <v>407</v>
      </c>
      <c r="B274" s="50" t="str">
        <f aca="false">IFERROR(VLOOKUP($A274,Equipos!$C$2:$M$967,2,FALSE()),"")</f>
        <v>Monitor Multiparámetros</v>
      </c>
      <c r="C274" s="50" t="str">
        <f aca="false">IFERROR(VLOOKUP($A274,Equipos!$C$2:$M$967,9,FALSE()),"")</f>
        <v>VQSHD0194</v>
      </c>
      <c r="D274" s="50" t="str">
        <f aca="false">IFERROR(VLOOKUP($A274,Equipos!$C$2:$M$967,3,FALSE()),"")</f>
        <v>Neonatología</v>
      </c>
      <c r="E274" s="50" t="str">
        <f aca="false">IFERROR(VLOOKUP($A274,Equipos!$C$2:$M$967,7,FALSE()),"")</f>
        <v>Drager</v>
      </c>
      <c r="F274" s="50" t="str">
        <f aca="false">IFERROR(VLOOKUP($A274,Equipos!$C$2:$M$967,8,FALSE()),"")</f>
        <v>Vista 120</v>
      </c>
      <c r="G274" s="50" t="s">
        <v>515</v>
      </c>
      <c r="H274" s="50" t="s">
        <v>360</v>
      </c>
      <c r="I274" s="50"/>
      <c r="J274" s="50" t="s">
        <v>352</v>
      </c>
      <c r="K274" s="50" t="str">
        <f aca="false">IFERROR(VLOOKUP($J274,Catálogos!$M$4:$N$17,2,FALSE()),"")</f>
        <v>Mantención Preventiva Realizada</v>
      </c>
      <c r="L274" s="52" t="n">
        <v>46068</v>
      </c>
      <c r="M274" s="50" t="s">
        <v>353</v>
      </c>
      <c r="N274" s="50" t="s">
        <v>253</v>
      </c>
      <c r="O274" s="50"/>
      <c r="P274" s="50"/>
      <c r="Q274" s="50" t="s">
        <v>362</v>
      </c>
    </row>
    <row r="275" customFormat="false" ht="15" hidden="false" customHeight="true" outlineLevel="0" collapsed="false">
      <c r="A275" s="51" t="s">
        <v>408</v>
      </c>
      <c r="B275" s="50" t="str">
        <f aca="false">IFERROR(VLOOKUP($A275,Equipos!$C$2:$M$967,2,FALSE()),"")</f>
        <v>Monitor Multiparámetros</v>
      </c>
      <c r="C275" s="50" t="str">
        <f aca="false">IFERROR(VLOOKUP($A275,Equipos!$C$2:$M$967,9,FALSE()),"")</f>
        <v>VQSHD0174</v>
      </c>
      <c r="D275" s="50" t="str">
        <f aca="false">IFERROR(VLOOKUP($A275,Equipos!$C$2:$M$967,3,FALSE()),"")</f>
        <v>Neonatología</v>
      </c>
      <c r="E275" s="50" t="str">
        <f aca="false">IFERROR(VLOOKUP($A275,Equipos!$C$2:$M$967,7,FALSE()),"")</f>
        <v>Drager</v>
      </c>
      <c r="F275" s="50" t="str">
        <f aca="false">IFERROR(VLOOKUP($A275,Equipos!$C$2:$M$967,8,FALSE()),"")</f>
        <v>Vista 120</v>
      </c>
      <c r="G275" s="50" t="s">
        <v>515</v>
      </c>
      <c r="H275" s="50" t="s">
        <v>360</v>
      </c>
      <c r="I275" s="50"/>
      <c r="J275" s="50" t="s">
        <v>352</v>
      </c>
      <c r="K275" s="50" t="str">
        <f aca="false">IFERROR(VLOOKUP($J275,Catálogos!$M$4:$N$17,2,FALSE()),"")</f>
        <v>Mantención Preventiva Realizada</v>
      </c>
      <c r="L275" s="52" t="n">
        <v>46068</v>
      </c>
      <c r="M275" s="50" t="s">
        <v>353</v>
      </c>
      <c r="N275" s="50" t="s">
        <v>253</v>
      </c>
      <c r="O275" s="50"/>
      <c r="P275" s="50"/>
      <c r="Q275" s="50" t="s">
        <v>362</v>
      </c>
    </row>
    <row r="276" customFormat="false" ht="15" hidden="false" customHeight="true" outlineLevel="0" collapsed="false">
      <c r="A276" s="51" t="s">
        <v>409</v>
      </c>
      <c r="B276" s="50" t="str">
        <f aca="false">IFERROR(VLOOKUP($A276,Equipos!$C$2:$M$967,2,FALSE()),"")</f>
        <v>Monitor Multiparámetros</v>
      </c>
      <c r="C276" s="50" t="str">
        <f aca="false">IFERROR(VLOOKUP($A276,Equipos!$C$2:$M$967,9,FALSE()),"")</f>
        <v>VQSHD0173</v>
      </c>
      <c r="D276" s="50" t="str">
        <f aca="false">IFERROR(VLOOKUP($A276,Equipos!$C$2:$M$967,3,FALSE()),"")</f>
        <v>Neonatología</v>
      </c>
      <c r="E276" s="50" t="str">
        <f aca="false">IFERROR(VLOOKUP($A276,Equipos!$C$2:$M$967,7,FALSE()),"")</f>
        <v>Drager</v>
      </c>
      <c r="F276" s="50" t="str">
        <f aca="false">IFERROR(VLOOKUP($A276,Equipos!$C$2:$M$967,8,FALSE()),"")</f>
        <v>Vista 120</v>
      </c>
      <c r="G276" s="50" t="s">
        <v>515</v>
      </c>
      <c r="H276" s="50" t="s">
        <v>360</v>
      </c>
      <c r="I276" s="50"/>
      <c r="J276" s="50" t="s">
        <v>352</v>
      </c>
      <c r="K276" s="50" t="str">
        <f aca="false">IFERROR(VLOOKUP($J276,Catálogos!$M$4:$N$17,2,FALSE()),"")</f>
        <v>Mantención Preventiva Realizada</v>
      </c>
      <c r="L276" s="52" t="n">
        <v>46068</v>
      </c>
      <c r="M276" s="50" t="s">
        <v>353</v>
      </c>
      <c r="N276" s="50" t="s">
        <v>253</v>
      </c>
      <c r="O276" s="50"/>
      <c r="P276" s="50"/>
      <c r="Q276" s="50" t="s">
        <v>362</v>
      </c>
    </row>
    <row r="277" customFormat="false" ht="15" hidden="false" customHeight="true" outlineLevel="0" collapsed="false">
      <c r="A277" s="51" t="s">
        <v>410</v>
      </c>
      <c r="B277" s="50" t="str">
        <f aca="false">IFERROR(VLOOKUP($A277,Equipos!$C$2:$M$967,2,FALSE()),"")</f>
        <v>Monitor Multiparámetros</v>
      </c>
      <c r="C277" s="50" t="str">
        <f aca="false">IFERROR(VLOOKUP($A277,Equipos!$C$2:$M$967,9,FALSE()),"")</f>
        <v>VQSHD0171</v>
      </c>
      <c r="D277" s="50" t="str">
        <f aca="false">IFERROR(VLOOKUP($A277,Equipos!$C$2:$M$967,3,FALSE()),"")</f>
        <v>Neonatología</v>
      </c>
      <c r="E277" s="50" t="str">
        <f aca="false">IFERROR(VLOOKUP($A277,Equipos!$C$2:$M$967,7,FALSE()),"")</f>
        <v>Drager</v>
      </c>
      <c r="F277" s="50" t="str">
        <f aca="false">IFERROR(VLOOKUP($A277,Equipos!$C$2:$M$967,8,FALSE()),"")</f>
        <v>Vista 120</v>
      </c>
      <c r="G277" s="50" t="s">
        <v>515</v>
      </c>
      <c r="H277" s="50" t="s">
        <v>360</v>
      </c>
      <c r="I277" s="50"/>
      <c r="J277" s="50" t="s">
        <v>352</v>
      </c>
      <c r="K277" s="50" t="str">
        <f aca="false">IFERROR(VLOOKUP($J277,Catálogos!$M$4:$N$17,2,FALSE()),"")</f>
        <v>Mantención Preventiva Realizada</v>
      </c>
      <c r="L277" s="52" t="n">
        <v>46068</v>
      </c>
      <c r="M277" s="50" t="s">
        <v>353</v>
      </c>
      <c r="N277" s="50" t="s">
        <v>253</v>
      </c>
      <c r="O277" s="50"/>
      <c r="P277" s="50"/>
      <c r="Q277" s="50" t="s">
        <v>362</v>
      </c>
    </row>
    <row r="278" customFormat="false" ht="15" hidden="false" customHeight="true" outlineLevel="0" collapsed="false">
      <c r="A278" s="51" t="s">
        <v>411</v>
      </c>
      <c r="B278" s="50" t="str">
        <f aca="false">IFERROR(VLOOKUP($A278,Equipos!$C$2:$M$967,2,FALSE()),"")</f>
        <v>Monitor Multiparámetros</v>
      </c>
      <c r="C278" s="50" t="str">
        <f aca="false">IFERROR(VLOOKUP($A278,Equipos!$C$2:$M$967,9,FALSE()),"")</f>
        <v>VQSHD0170</v>
      </c>
      <c r="D278" s="50" t="str">
        <f aca="false">IFERROR(VLOOKUP($A278,Equipos!$C$2:$M$967,3,FALSE()),"")</f>
        <v>Neonatología</v>
      </c>
      <c r="E278" s="50" t="str">
        <f aca="false">IFERROR(VLOOKUP($A278,Equipos!$C$2:$M$967,7,FALSE()),"")</f>
        <v>Drager</v>
      </c>
      <c r="F278" s="50" t="str">
        <f aca="false">IFERROR(VLOOKUP($A278,Equipos!$C$2:$M$967,8,FALSE()),"")</f>
        <v>Vista 120</v>
      </c>
      <c r="G278" s="50" t="s">
        <v>515</v>
      </c>
      <c r="H278" s="50" t="s">
        <v>360</v>
      </c>
      <c r="I278" s="50"/>
      <c r="J278" s="50" t="s">
        <v>352</v>
      </c>
      <c r="K278" s="50" t="str">
        <f aca="false">IFERROR(VLOOKUP($J278,Catálogos!$M$4:$N$17,2,FALSE()),"")</f>
        <v>Mantención Preventiva Realizada</v>
      </c>
      <c r="L278" s="52" t="n">
        <v>46068</v>
      </c>
      <c r="M278" s="50" t="s">
        <v>353</v>
      </c>
      <c r="N278" s="50" t="s">
        <v>253</v>
      </c>
      <c r="O278" s="50"/>
      <c r="P278" s="50"/>
      <c r="Q278" s="50" t="s">
        <v>362</v>
      </c>
    </row>
    <row r="279" customFormat="false" ht="15" hidden="false" customHeight="true" outlineLevel="0" collapsed="false">
      <c r="A279" s="51" t="s">
        <v>412</v>
      </c>
      <c r="B279" s="50" t="str">
        <f aca="false">IFERROR(VLOOKUP($A279,Equipos!$C$2:$M$967,2,FALSE()),"")</f>
        <v>Monitor Multiparámetros</v>
      </c>
      <c r="C279" s="50" t="str">
        <f aca="false">IFERROR(VLOOKUP($A279,Equipos!$C$2:$M$967,9,FALSE()),"")</f>
        <v>VQSHD0169</v>
      </c>
      <c r="D279" s="50" t="str">
        <f aca="false">IFERROR(VLOOKUP($A279,Equipos!$C$2:$M$967,3,FALSE()),"")</f>
        <v>Neonatología</v>
      </c>
      <c r="E279" s="50" t="str">
        <f aca="false">IFERROR(VLOOKUP($A279,Equipos!$C$2:$M$967,7,FALSE()),"")</f>
        <v>Drager</v>
      </c>
      <c r="F279" s="50" t="str">
        <f aca="false">IFERROR(VLOOKUP($A279,Equipos!$C$2:$M$967,8,FALSE()),"")</f>
        <v>Vista 120</v>
      </c>
      <c r="G279" s="50" t="s">
        <v>515</v>
      </c>
      <c r="H279" s="50" t="s">
        <v>360</v>
      </c>
      <c r="I279" s="50"/>
      <c r="J279" s="50" t="s">
        <v>352</v>
      </c>
      <c r="K279" s="50" t="str">
        <f aca="false">IFERROR(VLOOKUP($J279,Catálogos!$M$4:$N$17,2,FALSE()),"")</f>
        <v>Mantención Preventiva Realizada</v>
      </c>
      <c r="L279" s="52" t="n">
        <v>46068</v>
      </c>
      <c r="M279" s="50" t="s">
        <v>353</v>
      </c>
      <c r="N279" s="50" t="s">
        <v>253</v>
      </c>
      <c r="O279" s="50"/>
      <c r="P279" s="50"/>
      <c r="Q279" s="50" t="s">
        <v>362</v>
      </c>
    </row>
    <row r="280" customFormat="false" ht="15" hidden="false" customHeight="true" outlineLevel="0" collapsed="false">
      <c r="A280" s="51" t="s">
        <v>413</v>
      </c>
      <c r="B280" s="50" t="str">
        <f aca="false">IFERROR(VLOOKUP($A280,Equipos!$C$2:$M$967,2,FALSE()),"")</f>
        <v>Monitor Multiparámetros</v>
      </c>
      <c r="C280" s="50" t="str">
        <f aca="false">IFERROR(VLOOKUP($A280,Equipos!$C$2:$M$967,9,FALSE()),"")</f>
        <v>VQSHD0166</v>
      </c>
      <c r="D280" s="50" t="str">
        <f aca="false">IFERROR(VLOOKUP($A280,Equipos!$C$2:$M$967,3,FALSE()),"")</f>
        <v>Neonatología</v>
      </c>
      <c r="E280" s="50" t="str">
        <f aca="false">IFERROR(VLOOKUP($A280,Equipos!$C$2:$M$967,7,FALSE()),"")</f>
        <v>Drager</v>
      </c>
      <c r="F280" s="50" t="str">
        <f aca="false">IFERROR(VLOOKUP($A280,Equipos!$C$2:$M$967,8,FALSE()),"")</f>
        <v>Vista 120</v>
      </c>
      <c r="G280" s="50" t="s">
        <v>515</v>
      </c>
      <c r="H280" s="50" t="s">
        <v>360</v>
      </c>
      <c r="I280" s="50"/>
      <c r="J280" s="50" t="s">
        <v>352</v>
      </c>
      <c r="K280" s="50" t="str">
        <f aca="false">IFERROR(VLOOKUP($J280,Catálogos!$M$4:$N$17,2,FALSE()),"")</f>
        <v>Mantención Preventiva Realizada</v>
      </c>
      <c r="L280" s="52" t="n">
        <v>46068</v>
      </c>
      <c r="M280" s="50" t="s">
        <v>353</v>
      </c>
      <c r="N280" s="50" t="s">
        <v>253</v>
      </c>
      <c r="O280" s="50"/>
      <c r="P280" s="50"/>
      <c r="Q280" s="50" t="s">
        <v>362</v>
      </c>
    </row>
    <row r="281" customFormat="false" ht="15" hidden="false" customHeight="true" outlineLevel="0" collapsed="false">
      <c r="A281" s="51" t="s">
        <v>414</v>
      </c>
      <c r="B281" s="50" t="str">
        <f aca="false">IFERROR(VLOOKUP($A281,Equipos!$C$2:$M$967,2,FALSE()),"")</f>
        <v>Monitor Multiparámetros</v>
      </c>
      <c r="C281" s="50" t="str">
        <f aca="false">IFERROR(VLOOKUP($A281,Equipos!$C$2:$M$967,9,FALSE()),"")</f>
        <v>VQSHD0160</v>
      </c>
      <c r="D281" s="50" t="str">
        <f aca="false">IFERROR(VLOOKUP($A281,Equipos!$C$2:$M$967,3,FALSE()),"")</f>
        <v>Neonatología</v>
      </c>
      <c r="E281" s="50" t="str">
        <f aca="false">IFERROR(VLOOKUP($A281,Equipos!$C$2:$M$967,7,FALSE()),"")</f>
        <v>Drager</v>
      </c>
      <c r="F281" s="50" t="str">
        <f aca="false">IFERROR(VLOOKUP($A281,Equipos!$C$2:$M$967,8,FALSE()),"")</f>
        <v>Vista 120</v>
      </c>
      <c r="G281" s="50" t="s">
        <v>515</v>
      </c>
      <c r="H281" s="50" t="s">
        <v>360</v>
      </c>
      <c r="I281" s="50"/>
      <c r="J281" s="50" t="s">
        <v>352</v>
      </c>
      <c r="K281" s="50" t="str">
        <f aca="false">IFERROR(VLOOKUP($J281,Catálogos!$M$4:$N$17,2,FALSE()),"")</f>
        <v>Mantención Preventiva Realizada</v>
      </c>
      <c r="L281" s="52" t="n">
        <v>46068</v>
      </c>
      <c r="M281" s="50" t="s">
        <v>353</v>
      </c>
      <c r="N281" s="50" t="s">
        <v>253</v>
      </c>
      <c r="O281" s="50"/>
      <c r="P281" s="50"/>
      <c r="Q281" s="50" t="s">
        <v>362</v>
      </c>
    </row>
    <row r="282" customFormat="false" ht="15" hidden="false" customHeight="true" outlineLevel="0" collapsed="false">
      <c r="A282" s="51" t="s">
        <v>415</v>
      </c>
      <c r="B282" s="50" t="str">
        <f aca="false">IFERROR(VLOOKUP($A282,Equipos!$C$2:$M$967,2,FALSE()),"")</f>
        <v>Monitor Multiparámetros</v>
      </c>
      <c r="C282" s="50" t="str">
        <f aca="false">IFERROR(VLOOKUP($A282,Equipos!$C$2:$M$967,9,FALSE()),"")</f>
        <v>VQSHD0158</v>
      </c>
      <c r="D282" s="50" t="str">
        <f aca="false">IFERROR(VLOOKUP($A282,Equipos!$C$2:$M$967,3,FALSE()),"")</f>
        <v>Neonatología</v>
      </c>
      <c r="E282" s="50" t="str">
        <f aca="false">IFERROR(VLOOKUP($A282,Equipos!$C$2:$M$967,7,FALSE()),"")</f>
        <v>Drager</v>
      </c>
      <c r="F282" s="50" t="str">
        <f aca="false">IFERROR(VLOOKUP($A282,Equipos!$C$2:$M$967,8,FALSE()),"")</f>
        <v>Vista 120</v>
      </c>
      <c r="G282" s="50" t="s">
        <v>515</v>
      </c>
      <c r="H282" s="50" t="s">
        <v>360</v>
      </c>
      <c r="I282" s="50"/>
      <c r="J282" s="50" t="s">
        <v>352</v>
      </c>
      <c r="K282" s="50" t="str">
        <f aca="false">IFERROR(VLOOKUP($J282,Catálogos!$M$4:$N$17,2,FALSE()),"")</f>
        <v>Mantención Preventiva Realizada</v>
      </c>
      <c r="L282" s="52" t="n">
        <v>46068</v>
      </c>
      <c r="M282" s="50" t="s">
        <v>353</v>
      </c>
      <c r="N282" s="50" t="s">
        <v>253</v>
      </c>
      <c r="O282" s="50"/>
      <c r="P282" s="50"/>
      <c r="Q282" s="50" t="s">
        <v>362</v>
      </c>
    </row>
    <row r="283" customFormat="false" ht="15" hidden="false" customHeight="true" outlineLevel="0" collapsed="false">
      <c r="A283" s="51" t="s">
        <v>416</v>
      </c>
      <c r="B283" s="50" t="str">
        <f aca="false">IFERROR(VLOOKUP($A283,Equipos!$C$2:$M$967,2,FALSE()),"")</f>
        <v>Monitor Multiparámetros</v>
      </c>
      <c r="C283" s="50" t="str">
        <f aca="false">IFERROR(VLOOKUP($A283,Equipos!$C$2:$M$967,9,FALSE()),"")</f>
        <v>VQSHD0154</v>
      </c>
      <c r="D283" s="50" t="str">
        <f aca="false">IFERROR(VLOOKUP($A283,Equipos!$C$2:$M$967,3,FALSE()),"")</f>
        <v>Neonatología</v>
      </c>
      <c r="E283" s="50" t="str">
        <f aca="false">IFERROR(VLOOKUP($A283,Equipos!$C$2:$M$967,7,FALSE()),"")</f>
        <v>Drager</v>
      </c>
      <c r="F283" s="50" t="str">
        <f aca="false">IFERROR(VLOOKUP($A283,Equipos!$C$2:$M$967,8,FALSE()),"")</f>
        <v>Vista 120</v>
      </c>
      <c r="G283" s="50" t="s">
        <v>515</v>
      </c>
      <c r="H283" s="50" t="s">
        <v>360</v>
      </c>
      <c r="I283" s="50"/>
      <c r="J283" s="50" t="s">
        <v>352</v>
      </c>
      <c r="K283" s="50" t="str">
        <f aca="false">IFERROR(VLOOKUP($J283,Catálogos!$M$4:$N$17,2,FALSE()),"")</f>
        <v>Mantención Preventiva Realizada</v>
      </c>
      <c r="L283" s="52" t="n">
        <v>46068</v>
      </c>
      <c r="M283" s="50" t="s">
        <v>353</v>
      </c>
      <c r="N283" s="50" t="s">
        <v>253</v>
      </c>
      <c r="O283" s="50"/>
      <c r="P283" s="50"/>
      <c r="Q283" s="50" t="s">
        <v>362</v>
      </c>
    </row>
    <row r="284" customFormat="false" ht="15" hidden="false" customHeight="true" outlineLevel="0" collapsed="false">
      <c r="A284" s="51" t="s">
        <v>417</v>
      </c>
      <c r="B284" s="50" t="str">
        <f aca="false">IFERROR(VLOOKUP($A284,Equipos!$C$2:$M$967,2,FALSE()),"")</f>
        <v>Monitor Multiparámetros</v>
      </c>
      <c r="C284" s="50" t="str">
        <f aca="false">IFERROR(VLOOKUP($A284,Equipos!$C$2:$M$967,9,FALSE()),"")</f>
        <v>VQSHD0152</v>
      </c>
      <c r="D284" s="50" t="str">
        <f aca="false">IFERROR(VLOOKUP($A284,Equipos!$C$2:$M$967,3,FALSE()),"")</f>
        <v>Neonatología</v>
      </c>
      <c r="E284" s="50" t="str">
        <f aca="false">IFERROR(VLOOKUP($A284,Equipos!$C$2:$M$967,7,FALSE()),"")</f>
        <v>Drager</v>
      </c>
      <c r="F284" s="50" t="str">
        <f aca="false">IFERROR(VLOOKUP($A284,Equipos!$C$2:$M$967,8,FALSE()),"")</f>
        <v>Vista 120</v>
      </c>
      <c r="G284" s="50" t="s">
        <v>515</v>
      </c>
      <c r="H284" s="50" t="s">
        <v>360</v>
      </c>
      <c r="I284" s="50"/>
      <c r="J284" s="50" t="s">
        <v>352</v>
      </c>
      <c r="K284" s="50" t="str">
        <f aca="false">IFERROR(VLOOKUP($J284,Catálogos!$M$4:$N$17,2,FALSE()),"")</f>
        <v>Mantención Preventiva Realizada</v>
      </c>
      <c r="L284" s="52" t="n">
        <v>46068</v>
      </c>
      <c r="M284" s="50" t="s">
        <v>353</v>
      </c>
      <c r="N284" s="50" t="s">
        <v>253</v>
      </c>
      <c r="O284" s="50"/>
      <c r="P284" s="50"/>
      <c r="Q284" s="50" t="s">
        <v>362</v>
      </c>
    </row>
    <row r="285" customFormat="false" ht="15" hidden="false" customHeight="true" outlineLevel="0" collapsed="false">
      <c r="A285" s="51" t="s">
        <v>418</v>
      </c>
      <c r="B285" s="50" t="str">
        <f aca="false">IFERROR(VLOOKUP($A285,Equipos!$C$2:$M$967,2,FALSE()),"")</f>
        <v>Monitor Multiparámetros</v>
      </c>
      <c r="C285" s="50" t="str">
        <f aca="false">IFERROR(VLOOKUP($A285,Equipos!$C$2:$M$967,9,FALSE()),"")</f>
        <v>VQSHD0146</v>
      </c>
      <c r="D285" s="50" t="str">
        <f aca="false">IFERROR(VLOOKUP($A285,Equipos!$C$2:$M$967,3,FALSE()),"")</f>
        <v>Neonatología</v>
      </c>
      <c r="E285" s="50" t="str">
        <f aca="false">IFERROR(VLOOKUP($A285,Equipos!$C$2:$M$967,7,FALSE()),"")</f>
        <v>Drager</v>
      </c>
      <c r="F285" s="50" t="str">
        <f aca="false">IFERROR(VLOOKUP($A285,Equipos!$C$2:$M$967,8,FALSE()),"")</f>
        <v>Vista 120</v>
      </c>
      <c r="G285" s="50" t="s">
        <v>515</v>
      </c>
      <c r="H285" s="50" t="s">
        <v>360</v>
      </c>
      <c r="I285" s="50"/>
      <c r="J285" s="50" t="s">
        <v>352</v>
      </c>
      <c r="K285" s="50" t="str">
        <f aca="false">IFERROR(VLOOKUP($J285,Catálogos!$M$4:$N$17,2,FALSE()),"")</f>
        <v>Mantención Preventiva Realizada</v>
      </c>
      <c r="L285" s="52" t="n">
        <v>46068</v>
      </c>
      <c r="M285" s="50" t="s">
        <v>353</v>
      </c>
      <c r="N285" s="50" t="s">
        <v>253</v>
      </c>
      <c r="O285" s="50"/>
      <c r="P285" s="50"/>
      <c r="Q285" s="50" t="s">
        <v>362</v>
      </c>
    </row>
    <row r="286" customFormat="false" ht="15" hidden="false" customHeight="true" outlineLevel="0" collapsed="false">
      <c r="A286" s="51" t="s">
        <v>419</v>
      </c>
      <c r="B286" s="50" t="str">
        <f aca="false">IFERROR(VLOOKUP($A286,Equipos!$C$2:$M$967,2,FALSE()),"")</f>
        <v>Monitor Multiparámetros</v>
      </c>
      <c r="C286" s="50" t="str">
        <f aca="false">IFERROR(VLOOKUP($A286,Equipos!$C$2:$M$967,9,FALSE()),"")</f>
        <v>VQSHD0133</v>
      </c>
      <c r="D286" s="50" t="str">
        <f aca="false">IFERROR(VLOOKUP($A286,Equipos!$C$2:$M$967,3,FALSE()),"")</f>
        <v>Neonatología</v>
      </c>
      <c r="E286" s="50" t="str">
        <f aca="false">IFERROR(VLOOKUP($A286,Equipos!$C$2:$M$967,7,FALSE()),"")</f>
        <v>Drager</v>
      </c>
      <c r="F286" s="50" t="str">
        <f aca="false">IFERROR(VLOOKUP($A286,Equipos!$C$2:$M$967,8,FALSE()),"")</f>
        <v>Vista 120</v>
      </c>
      <c r="G286" s="50" t="s">
        <v>515</v>
      </c>
      <c r="H286" s="50" t="s">
        <v>360</v>
      </c>
      <c r="I286" s="50"/>
      <c r="J286" s="50" t="s">
        <v>352</v>
      </c>
      <c r="K286" s="50" t="str">
        <f aca="false">IFERROR(VLOOKUP($J286,Catálogos!$M$4:$N$17,2,FALSE()),"")</f>
        <v>Mantención Preventiva Realizada</v>
      </c>
      <c r="L286" s="52" t="n">
        <v>46068</v>
      </c>
      <c r="M286" s="50" t="s">
        <v>353</v>
      </c>
      <c r="N286" s="50" t="s">
        <v>253</v>
      </c>
      <c r="O286" s="50"/>
      <c r="P286" s="50"/>
      <c r="Q286" s="50" t="s">
        <v>362</v>
      </c>
    </row>
    <row r="287" customFormat="false" ht="15" hidden="false" customHeight="true" outlineLevel="0" collapsed="false">
      <c r="A287" s="51" t="s">
        <v>420</v>
      </c>
      <c r="B287" s="50" t="str">
        <f aca="false">IFERROR(VLOOKUP($A287,Equipos!$C$2:$M$967,2,FALSE()),"")</f>
        <v>Monitor Multiparámetros</v>
      </c>
      <c r="C287" s="50" t="str">
        <f aca="false">IFERROR(VLOOKUP($A287,Equipos!$C$2:$M$967,9,FALSE()),"")</f>
        <v>VQSHD0130</v>
      </c>
      <c r="D287" s="50" t="str">
        <f aca="false">IFERROR(VLOOKUP($A287,Equipos!$C$2:$M$967,3,FALSE()),"")</f>
        <v>Neonatología</v>
      </c>
      <c r="E287" s="50" t="str">
        <f aca="false">IFERROR(VLOOKUP($A287,Equipos!$C$2:$M$967,7,FALSE()),"")</f>
        <v>Drager</v>
      </c>
      <c r="F287" s="50" t="str">
        <f aca="false">IFERROR(VLOOKUP($A287,Equipos!$C$2:$M$967,8,FALSE()),"")</f>
        <v>Vista 120</v>
      </c>
      <c r="G287" s="50" t="s">
        <v>515</v>
      </c>
      <c r="H287" s="50" t="s">
        <v>360</v>
      </c>
      <c r="I287" s="50"/>
      <c r="J287" s="50" t="s">
        <v>352</v>
      </c>
      <c r="K287" s="50" t="str">
        <f aca="false">IFERROR(VLOOKUP($J287,Catálogos!$M$4:$N$17,2,FALSE()),"")</f>
        <v>Mantención Preventiva Realizada</v>
      </c>
      <c r="L287" s="52" t="n">
        <v>46068</v>
      </c>
      <c r="M287" s="50" t="s">
        <v>353</v>
      </c>
      <c r="N287" s="50" t="s">
        <v>253</v>
      </c>
      <c r="O287" s="50"/>
      <c r="P287" s="50"/>
      <c r="Q287" s="50" t="s">
        <v>362</v>
      </c>
    </row>
    <row r="288" customFormat="false" ht="15" hidden="false" customHeight="true" outlineLevel="0" collapsed="false">
      <c r="A288" s="51" t="s">
        <v>421</v>
      </c>
      <c r="B288" s="50" t="str">
        <f aca="false">IFERROR(VLOOKUP($A288,Equipos!$C$2:$M$967,2,FALSE()),"")</f>
        <v>Monitor Multiparámetros</v>
      </c>
      <c r="C288" s="50" t="str">
        <f aca="false">IFERROR(VLOOKUP($A288,Equipos!$C$2:$M$967,9,FALSE()),"")</f>
        <v>VQSHD0127</v>
      </c>
      <c r="D288" s="50" t="str">
        <f aca="false">IFERROR(VLOOKUP($A288,Equipos!$C$2:$M$967,3,FALSE()),"")</f>
        <v>Neonatología</v>
      </c>
      <c r="E288" s="50" t="str">
        <f aca="false">IFERROR(VLOOKUP($A288,Equipos!$C$2:$M$967,7,FALSE()),"")</f>
        <v>Drager</v>
      </c>
      <c r="F288" s="50" t="str">
        <f aca="false">IFERROR(VLOOKUP($A288,Equipos!$C$2:$M$967,8,FALSE()),"")</f>
        <v>Vista 120</v>
      </c>
      <c r="G288" s="50" t="s">
        <v>515</v>
      </c>
      <c r="H288" s="50" t="s">
        <v>360</v>
      </c>
      <c r="I288" s="50"/>
      <c r="J288" s="50" t="s">
        <v>352</v>
      </c>
      <c r="K288" s="50" t="str">
        <f aca="false">IFERROR(VLOOKUP($J288,Catálogos!$M$4:$N$17,2,FALSE()),"")</f>
        <v>Mantención Preventiva Realizada</v>
      </c>
      <c r="L288" s="52" t="n">
        <v>46068</v>
      </c>
      <c r="M288" s="50" t="s">
        <v>353</v>
      </c>
      <c r="N288" s="50" t="s">
        <v>253</v>
      </c>
      <c r="O288" s="50"/>
      <c r="P288" s="50"/>
      <c r="Q288" s="50" t="s">
        <v>362</v>
      </c>
    </row>
    <row r="289" customFormat="false" ht="15" hidden="false" customHeight="true" outlineLevel="0" collapsed="false">
      <c r="A289" s="51" t="s">
        <v>422</v>
      </c>
      <c r="B289" s="50" t="str">
        <f aca="false">IFERROR(VLOOKUP($A289,Equipos!$C$2:$M$967,2,FALSE()),"")</f>
        <v>Monitor Multiparámetros</v>
      </c>
      <c r="C289" s="50" t="str">
        <f aca="false">IFERROR(VLOOKUP($A289,Equipos!$C$2:$M$967,9,FALSE()),"")</f>
        <v>VQSHD0124</v>
      </c>
      <c r="D289" s="50" t="str">
        <f aca="false">IFERROR(VLOOKUP($A289,Equipos!$C$2:$M$967,3,FALSE()),"")</f>
        <v>Neonatología</v>
      </c>
      <c r="E289" s="50" t="str">
        <f aca="false">IFERROR(VLOOKUP($A289,Equipos!$C$2:$M$967,7,FALSE()),"")</f>
        <v>Drager</v>
      </c>
      <c r="F289" s="50" t="str">
        <f aca="false">IFERROR(VLOOKUP($A289,Equipos!$C$2:$M$967,8,FALSE()),"")</f>
        <v>Vista 120</v>
      </c>
      <c r="G289" s="50" t="s">
        <v>515</v>
      </c>
      <c r="H289" s="50" t="s">
        <v>360</v>
      </c>
      <c r="I289" s="50"/>
      <c r="J289" s="50" t="s">
        <v>352</v>
      </c>
      <c r="K289" s="50" t="str">
        <f aca="false">IFERROR(VLOOKUP($J289,Catálogos!$M$4:$N$17,2,FALSE()),"")</f>
        <v>Mantención Preventiva Realizada</v>
      </c>
      <c r="L289" s="52" t="n">
        <v>46068</v>
      </c>
      <c r="M289" s="50" t="s">
        <v>353</v>
      </c>
      <c r="N289" s="50" t="s">
        <v>253</v>
      </c>
      <c r="O289" s="50"/>
      <c r="P289" s="50"/>
      <c r="Q289" s="50" t="s">
        <v>362</v>
      </c>
    </row>
    <row r="290" customFormat="false" ht="15" hidden="false" customHeight="true" outlineLevel="0" collapsed="false">
      <c r="A290" s="51" t="s">
        <v>423</v>
      </c>
      <c r="B290" s="50" t="str">
        <f aca="false">IFERROR(VLOOKUP($A290,Equipos!$C$2:$M$967,2,FALSE()),"")</f>
        <v>Monitor Multiparámetros</v>
      </c>
      <c r="C290" s="50" t="str">
        <f aca="false">IFERROR(VLOOKUP($A290,Equipos!$C$2:$M$967,9,FALSE()),"")</f>
        <v>VQSHD0122</v>
      </c>
      <c r="D290" s="50" t="str">
        <f aca="false">IFERROR(VLOOKUP($A290,Equipos!$C$2:$M$967,3,FALSE()),"")</f>
        <v>Neonatología</v>
      </c>
      <c r="E290" s="50" t="str">
        <f aca="false">IFERROR(VLOOKUP($A290,Equipos!$C$2:$M$967,7,FALSE()),"")</f>
        <v>Drager</v>
      </c>
      <c r="F290" s="50" t="str">
        <f aca="false">IFERROR(VLOOKUP($A290,Equipos!$C$2:$M$967,8,FALSE()),"")</f>
        <v>Vista 120</v>
      </c>
      <c r="G290" s="50" t="s">
        <v>515</v>
      </c>
      <c r="H290" s="50" t="s">
        <v>360</v>
      </c>
      <c r="I290" s="50"/>
      <c r="J290" s="50" t="s">
        <v>352</v>
      </c>
      <c r="K290" s="50" t="str">
        <f aca="false">IFERROR(VLOOKUP($J290,Catálogos!$M$4:$N$17,2,FALSE()),"")</f>
        <v>Mantención Preventiva Realizada</v>
      </c>
      <c r="L290" s="52" t="n">
        <v>46068</v>
      </c>
      <c r="M290" s="50" t="s">
        <v>353</v>
      </c>
      <c r="N290" s="50" t="s">
        <v>253</v>
      </c>
      <c r="O290" s="50"/>
      <c r="P290" s="50"/>
      <c r="Q290" s="50" t="s">
        <v>362</v>
      </c>
    </row>
    <row r="291" customFormat="false" ht="15" hidden="false" customHeight="true" outlineLevel="0" collapsed="false">
      <c r="A291" s="51" t="s">
        <v>424</v>
      </c>
      <c r="B291" s="50" t="str">
        <f aca="false">IFERROR(VLOOKUP($A291,Equipos!$C$2:$M$967,2,FALSE()),"")</f>
        <v>Monitor Multiparámetros</v>
      </c>
      <c r="C291" s="50" t="str">
        <f aca="false">IFERROR(VLOOKUP($A291,Equipos!$C$2:$M$967,9,FALSE()),"")</f>
        <v>VQSHD0120</v>
      </c>
      <c r="D291" s="50" t="str">
        <f aca="false">IFERROR(VLOOKUP($A291,Equipos!$C$2:$M$967,3,FALSE()),"")</f>
        <v>Neonatología</v>
      </c>
      <c r="E291" s="50" t="str">
        <f aca="false">IFERROR(VLOOKUP($A291,Equipos!$C$2:$M$967,7,FALSE()),"")</f>
        <v>Drager</v>
      </c>
      <c r="F291" s="50" t="str">
        <f aca="false">IFERROR(VLOOKUP($A291,Equipos!$C$2:$M$967,8,FALSE()),"")</f>
        <v>Vista 120</v>
      </c>
      <c r="G291" s="50" t="s">
        <v>515</v>
      </c>
      <c r="H291" s="50" t="s">
        <v>360</v>
      </c>
      <c r="I291" s="50"/>
      <c r="J291" s="50" t="s">
        <v>352</v>
      </c>
      <c r="K291" s="50" t="str">
        <f aca="false">IFERROR(VLOOKUP($J291,Catálogos!$M$4:$N$17,2,FALSE()),"")</f>
        <v>Mantención Preventiva Realizada</v>
      </c>
      <c r="L291" s="52" t="n">
        <v>46068</v>
      </c>
      <c r="M291" s="50" t="s">
        <v>353</v>
      </c>
      <c r="N291" s="50" t="s">
        <v>253</v>
      </c>
      <c r="O291" s="50"/>
      <c r="P291" s="50"/>
      <c r="Q291" s="50" t="s">
        <v>362</v>
      </c>
    </row>
    <row r="292" customFormat="false" ht="15" hidden="false" customHeight="true" outlineLevel="0" collapsed="false">
      <c r="A292" s="51" t="s">
        <v>425</v>
      </c>
      <c r="B292" s="50" t="str">
        <f aca="false">IFERROR(VLOOKUP($A292,Equipos!$C$2:$M$967,2,FALSE()),"")</f>
        <v>Monitor Multiparámetros</v>
      </c>
      <c r="C292" s="50" t="str">
        <f aca="false">IFERROR(VLOOKUP($A292,Equipos!$C$2:$M$967,9,FALSE()),"")</f>
        <v>VQSHD0103</v>
      </c>
      <c r="D292" s="50" t="str">
        <f aca="false">IFERROR(VLOOKUP($A292,Equipos!$C$2:$M$967,3,FALSE()),"")</f>
        <v>Neonatología</v>
      </c>
      <c r="E292" s="50" t="str">
        <f aca="false">IFERROR(VLOOKUP($A292,Equipos!$C$2:$M$967,7,FALSE()),"")</f>
        <v>Drager</v>
      </c>
      <c r="F292" s="50" t="str">
        <f aca="false">IFERROR(VLOOKUP($A292,Equipos!$C$2:$M$967,8,FALSE()),"")</f>
        <v>Vista 120</v>
      </c>
      <c r="G292" s="50" t="s">
        <v>515</v>
      </c>
      <c r="H292" s="50" t="s">
        <v>360</v>
      </c>
      <c r="I292" s="50"/>
      <c r="J292" s="50" t="s">
        <v>352</v>
      </c>
      <c r="K292" s="50" t="str">
        <f aca="false">IFERROR(VLOOKUP($J292,Catálogos!$M$4:$N$17,2,FALSE()),"")</f>
        <v>Mantención Preventiva Realizada</v>
      </c>
      <c r="L292" s="52" t="n">
        <v>46068</v>
      </c>
      <c r="M292" s="50" t="s">
        <v>353</v>
      </c>
      <c r="N292" s="50" t="s">
        <v>253</v>
      </c>
      <c r="O292" s="50"/>
      <c r="P292" s="50"/>
      <c r="Q292" s="50" t="s">
        <v>362</v>
      </c>
    </row>
    <row r="293" customFormat="false" ht="15" hidden="false" customHeight="true" outlineLevel="0" collapsed="false">
      <c r="A293" s="51" t="s">
        <v>426</v>
      </c>
      <c r="B293" s="50" t="str">
        <f aca="false">IFERROR(VLOOKUP($A293,Equipos!$C$2:$M$967,2,FALSE()),"")</f>
        <v>Monitor Multiparámetros</v>
      </c>
      <c r="C293" s="50" t="str">
        <f aca="false">IFERROR(VLOOKUP($A293,Equipos!$C$2:$M$967,9,FALSE()),"")</f>
        <v>VQSHD0088</v>
      </c>
      <c r="D293" s="50" t="str">
        <f aca="false">IFERROR(VLOOKUP($A293,Equipos!$C$2:$M$967,3,FALSE()),"")</f>
        <v>Neonatología</v>
      </c>
      <c r="E293" s="50" t="str">
        <f aca="false">IFERROR(VLOOKUP($A293,Equipos!$C$2:$M$967,7,FALSE()),"")</f>
        <v>Drager</v>
      </c>
      <c r="F293" s="50" t="str">
        <f aca="false">IFERROR(VLOOKUP($A293,Equipos!$C$2:$M$967,8,FALSE()),"")</f>
        <v>Vista 120</v>
      </c>
      <c r="G293" s="50" t="s">
        <v>515</v>
      </c>
      <c r="H293" s="50" t="s">
        <v>360</v>
      </c>
      <c r="I293" s="50"/>
      <c r="J293" s="50" t="s">
        <v>352</v>
      </c>
      <c r="K293" s="50" t="str">
        <f aca="false">IFERROR(VLOOKUP($J293,Catálogos!$M$4:$N$17,2,FALSE()),"")</f>
        <v>Mantención Preventiva Realizada</v>
      </c>
      <c r="L293" s="52" t="n">
        <v>46068</v>
      </c>
      <c r="M293" s="50" t="s">
        <v>353</v>
      </c>
      <c r="N293" s="50" t="s">
        <v>253</v>
      </c>
      <c r="O293" s="50"/>
      <c r="P293" s="50"/>
      <c r="Q293" s="50" t="s">
        <v>362</v>
      </c>
    </row>
    <row r="294" customFormat="false" ht="15" hidden="false" customHeight="true" outlineLevel="0" collapsed="false">
      <c r="A294" s="51" t="s">
        <v>427</v>
      </c>
      <c r="B294" s="50" t="str">
        <f aca="false">IFERROR(VLOOKUP($A294,Equipos!$C$2:$M$967,2,FALSE()),"")</f>
        <v>Monitor Multiparámetros</v>
      </c>
      <c r="C294" s="50" t="str">
        <f aca="false">IFERROR(VLOOKUP($A294,Equipos!$C$2:$M$967,9,FALSE()),"")</f>
        <v>VQSHD0069</v>
      </c>
      <c r="D294" s="50" t="str">
        <f aca="false">IFERROR(VLOOKUP($A294,Equipos!$C$2:$M$967,3,FALSE()),"")</f>
        <v>Neonatología</v>
      </c>
      <c r="E294" s="50" t="str">
        <f aca="false">IFERROR(VLOOKUP($A294,Equipos!$C$2:$M$967,7,FALSE()),"")</f>
        <v>Drager</v>
      </c>
      <c r="F294" s="50" t="str">
        <f aca="false">IFERROR(VLOOKUP($A294,Equipos!$C$2:$M$967,8,FALSE()),"")</f>
        <v>Vista 120</v>
      </c>
      <c r="G294" s="50" t="s">
        <v>515</v>
      </c>
      <c r="H294" s="50" t="s">
        <v>360</v>
      </c>
      <c r="I294" s="50"/>
      <c r="J294" s="50" t="s">
        <v>352</v>
      </c>
      <c r="K294" s="50" t="str">
        <f aca="false">IFERROR(VLOOKUP($J294,Catálogos!$M$4:$N$17,2,FALSE()),"")</f>
        <v>Mantención Preventiva Realizada</v>
      </c>
      <c r="L294" s="52" t="n">
        <v>46068</v>
      </c>
      <c r="M294" s="50" t="s">
        <v>353</v>
      </c>
      <c r="N294" s="50" t="s">
        <v>253</v>
      </c>
      <c r="O294" s="50"/>
      <c r="P294" s="50"/>
      <c r="Q294" s="50" t="s">
        <v>362</v>
      </c>
    </row>
    <row r="295" customFormat="false" ht="15" hidden="false" customHeight="true" outlineLevel="0" collapsed="false">
      <c r="A295" s="51" t="s">
        <v>428</v>
      </c>
      <c r="B295" s="50" t="str">
        <f aca="false">IFERROR(VLOOKUP($A295,Equipos!$C$2:$M$967,2,FALSE()),"")</f>
        <v>Monitor Multiparámetros</v>
      </c>
      <c r="C295" s="50" t="str">
        <f aca="false">IFERROR(VLOOKUP($A295,Equipos!$C$2:$M$967,9,FALSE()),"")</f>
        <v>VTSHD0099</v>
      </c>
      <c r="D295" s="50" t="str">
        <f aca="false">IFERROR(VLOOKUP($A295,Equipos!$C$2:$M$967,3,FALSE()),"")</f>
        <v>Pediatría</v>
      </c>
      <c r="E295" s="50" t="str">
        <f aca="false">IFERROR(VLOOKUP($A295,Equipos!$C$2:$M$967,7,FALSE()),"")</f>
        <v>Drager</v>
      </c>
      <c r="F295" s="50" t="str">
        <f aca="false">IFERROR(VLOOKUP($A295,Equipos!$C$2:$M$967,8,FALSE()),"")</f>
        <v>Vista 120</v>
      </c>
      <c r="G295" s="50" t="s">
        <v>515</v>
      </c>
      <c r="H295" s="50" t="s">
        <v>360</v>
      </c>
      <c r="I295" s="50"/>
      <c r="J295" s="50" t="s">
        <v>352</v>
      </c>
      <c r="K295" s="50" t="str">
        <f aca="false">IFERROR(VLOOKUP($J295,Catálogos!$M$4:$N$17,2,FALSE()),"")</f>
        <v>Mantención Preventiva Realizada</v>
      </c>
      <c r="L295" s="52" t="n">
        <v>46068</v>
      </c>
      <c r="M295" s="50" t="s">
        <v>353</v>
      </c>
      <c r="N295" s="50" t="s">
        <v>253</v>
      </c>
      <c r="O295" s="50"/>
      <c r="P295" s="50"/>
      <c r="Q295" s="50" t="s">
        <v>362</v>
      </c>
    </row>
    <row r="296" customFormat="false" ht="15" hidden="false" customHeight="true" outlineLevel="0" collapsed="false">
      <c r="A296" s="51" t="s">
        <v>590</v>
      </c>
      <c r="B296" s="50" t="str">
        <f aca="false">IFERROR(VLOOKUP($A296,Equipos!$C$2:$M$967,2,FALSE()),"")</f>
        <v>Monitor Multiparámetros</v>
      </c>
      <c r="C296" s="50" t="str">
        <f aca="false">IFERROR(VLOOKUP($A296,Equipos!$C$2:$M$967,9,FALSE()),"")</f>
        <v>VTSHD0094</v>
      </c>
      <c r="D296" s="50" t="str">
        <f aca="false">IFERROR(VLOOKUP($A296,Equipos!$C$2:$M$967,3,FALSE()),"")</f>
        <v>Medicina</v>
      </c>
      <c r="E296" s="50" t="str">
        <f aca="false">IFERROR(VLOOKUP($A296,Equipos!$C$2:$M$967,7,FALSE()),"")</f>
        <v>Drager</v>
      </c>
      <c r="F296" s="50" t="str">
        <f aca="false">IFERROR(VLOOKUP($A296,Equipos!$C$2:$M$967,8,FALSE()),"")</f>
        <v>Vista 120</v>
      </c>
      <c r="G296" s="50" t="s">
        <v>515</v>
      </c>
      <c r="H296" s="50" t="s">
        <v>360</v>
      </c>
      <c r="I296" s="50"/>
      <c r="J296" s="50" t="s">
        <v>352</v>
      </c>
      <c r="K296" s="50" t="str">
        <f aca="false">IFERROR(VLOOKUP($J296,Catálogos!$M$4:$N$17,2,FALSE()),"")</f>
        <v>Mantención Preventiva Realizada</v>
      </c>
      <c r="L296" s="52" t="n">
        <v>46068</v>
      </c>
      <c r="M296" s="50" t="s">
        <v>353</v>
      </c>
      <c r="N296" s="50" t="s">
        <v>253</v>
      </c>
      <c r="O296" s="50"/>
      <c r="P296" s="50"/>
      <c r="Q296" s="50" t="s">
        <v>362</v>
      </c>
    </row>
    <row r="297" customFormat="false" ht="15" hidden="false" customHeight="true" outlineLevel="0" collapsed="false">
      <c r="A297" s="51" t="s">
        <v>591</v>
      </c>
      <c r="B297" s="50" t="str">
        <f aca="false">IFERROR(VLOOKUP($A297,Equipos!$C$2:$M$967,2,FALSE()),"")</f>
        <v>Monitor Multiparámetros</v>
      </c>
      <c r="C297" s="50" t="str">
        <f aca="false">IFERROR(VLOOKUP($A297,Equipos!$C$2:$M$967,9,FALSE()),"")</f>
        <v>VTSHD0106</v>
      </c>
      <c r="D297" s="50" t="str">
        <f aca="false">IFERROR(VLOOKUP($A297,Equipos!$C$2:$M$967,3,FALSE()),"")</f>
        <v>Medicina</v>
      </c>
      <c r="E297" s="50" t="str">
        <f aca="false">IFERROR(VLOOKUP($A297,Equipos!$C$2:$M$967,7,FALSE()),"")</f>
        <v>Drager</v>
      </c>
      <c r="F297" s="50" t="str">
        <f aca="false">IFERROR(VLOOKUP($A297,Equipos!$C$2:$M$967,8,FALSE()),"")</f>
        <v>Vista 120</v>
      </c>
      <c r="G297" s="50" t="s">
        <v>515</v>
      </c>
      <c r="H297" s="50" t="s">
        <v>360</v>
      </c>
      <c r="I297" s="50"/>
      <c r="J297" s="50" t="s">
        <v>352</v>
      </c>
      <c r="K297" s="50" t="str">
        <f aca="false">IFERROR(VLOOKUP($J297,Catálogos!$M$4:$N$17,2,FALSE()),"")</f>
        <v>Mantención Preventiva Realizada</v>
      </c>
      <c r="L297" s="52" t="n">
        <v>46068</v>
      </c>
      <c r="M297" s="50" t="s">
        <v>353</v>
      </c>
      <c r="N297" s="50" t="s">
        <v>253</v>
      </c>
      <c r="O297" s="50"/>
      <c r="P297" s="50"/>
      <c r="Q297" s="50" t="s">
        <v>362</v>
      </c>
    </row>
    <row r="298" customFormat="false" ht="15" hidden="false" customHeight="true" outlineLevel="0" collapsed="false">
      <c r="A298" s="51" t="s">
        <v>592</v>
      </c>
      <c r="B298" s="50" t="str">
        <f aca="false">IFERROR(VLOOKUP($A298,Equipos!$C$2:$M$967,2,FALSE()),"")</f>
        <v>Monitor Multiparámetros</v>
      </c>
      <c r="C298" s="50" t="str">
        <f aca="false">IFERROR(VLOOKUP($A298,Equipos!$C$2:$M$967,9,FALSE()),"")</f>
        <v>VTSHD0070</v>
      </c>
      <c r="D298" s="50" t="str">
        <f aca="false">IFERROR(VLOOKUP($A298,Equipos!$C$2:$M$967,3,FALSE()),"")</f>
        <v>Medicina</v>
      </c>
      <c r="E298" s="50" t="str">
        <f aca="false">IFERROR(VLOOKUP($A298,Equipos!$C$2:$M$967,7,FALSE()),"")</f>
        <v>Drager</v>
      </c>
      <c r="F298" s="50" t="str">
        <f aca="false">IFERROR(VLOOKUP($A298,Equipos!$C$2:$M$967,8,FALSE()),"")</f>
        <v>Vista 120</v>
      </c>
      <c r="G298" s="50" t="s">
        <v>515</v>
      </c>
      <c r="H298" s="50" t="s">
        <v>360</v>
      </c>
      <c r="I298" s="50"/>
      <c r="J298" s="50" t="s">
        <v>352</v>
      </c>
      <c r="K298" s="50" t="str">
        <f aca="false">IFERROR(VLOOKUP($J298,Catálogos!$M$4:$N$17,2,FALSE()),"")</f>
        <v>Mantención Preventiva Realizada</v>
      </c>
      <c r="L298" s="52" t="n">
        <v>46068</v>
      </c>
      <c r="M298" s="50" t="s">
        <v>353</v>
      </c>
      <c r="N298" s="50" t="s">
        <v>253</v>
      </c>
      <c r="O298" s="50"/>
      <c r="P298" s="50"/>
      <c r="Q298" s="50" t="s">
        <v>362</v>
      </c>
    </row>
    <row r="299" customFormat="false" ht="15" hidden="false" customHeight="true" outlineLevel="0" collapsed="false">
      <c r="A299" s="51" t="s">
        <v>593</v>
      </c>
      <c r="B299" s="50" t="str">
        <f aca="false">IFERROR(VLOOKUP($A299,Equipos!$C$2:$M$967,2,FALSE()),"")</f>
        <v>Monitor Multiparámetros</v>
      </c>
      <c r="C299" s="50" t="str">
        <f aca="false">IFERROR(VLOOKUP($A299,Equipos!$C$2:$M$967,9,FALSE()),"")</f>
        <v>VTSHD0072</v>
      </c>
      <c r="D299" s="50" t="str">
        <f aca="false">IFERROR(VLOOKUP($A299,Equipos!$C$2:$M$967,3,FALSE()),"")</f>
        <v>Medicina</v>
      </c>
      <c r="E299" s="50" t="str">
        <f aca="false">IFERROR(VLOOKUP($A299,Equipos!$C$2:$M$967,7,FALSE()),"")</f>
        <v>Drager</v>
      </c>
      <c r="F299" s="50" t="str">
        <f aca="false">IFERROR(VLOOKUP($A299,Equipos!$C$2:$M$967,8,FALSE()),"")</f>
        <v>Vista 120</v>
      </c>
      <c r="G299" s="50" t="s">
        <v>515</v>
      </c>
      <c r="H299" s="50" t="s">
        <v>360</v>
      </c>
      <c r="I299" s="50"/>
      <c r="J299" s="50" t="s">
        <v>352</v>
      </c>
      <c r="K299" s="50" t="str">
        <f aca="false">IFERROR(VLOOKUP($J299,Catálogos!$M$4:$N$17,2,FALSE()),"")</f>
        <v>Mantención Preventiva Realizada</v>
      </c>
      <c r="L299" s="52" t="n">
        <v>46068</v>
      </c>
      <c r="M299" s="50" t="s">
        <v>353</v>
      </c>
      <c r="N299" s="50" t="s">
        <v>253</v>
      </c>
      <c r="O299" s="50"/>
      <c r="P299" s="50"/>
      <c r="Q299" s="50" t="s">
        <v>362</v>
      </c>
    </row>
    <row r="300" customFormat="false" ht="15" hidden="false" customHeight="true" outlineLevel="0" collapsed="false">
      <c r="A300" s="51" t="s">
        <v>594</v>
      </c>
      <c r="B300" s="50" t="str">
        <f aca="false">IFERROR(VLOOKUP($A300,Equipos!$C$2:$M$967,2,FALSE()),"")</f>
        <v>Monitor Multiparámetros</v>
      </c>
      <c r="C300" s="50" t="str">
        <f aca="false">IFERROR(VLOOKUP($A300,Equipos!$C$2:$M$967,9,FALSE()),"")</f>
        <v>VTSHD0065</v>
      </c>
      <c r="D300" s="50" t="str">
        <f aca="false">IFERROR(VLOOKUP($A300,Equipos!$C$2:$M$967,3,FALSE()),"")</f>
        <v>Medicina</v>
      </c>
      <c r="E300" s="50" t="str">
        <f aca="false">IFERROR(VLOOKUP($A300,Equipos!$C$2:$M$967,7,FALSE()),"")</f>
        <v>Drager</v>
      </c>
      <c r="F300" s="50" t="str">
        <f aca="false">IFERROR(VLOOKUP($A300,Equipos!$C$2:$M$967,8,FALSE()),"")</f>
        <v>Vista 120</v>
      </c>
      <c r="G300" s="50" t="s">
        <v>515</v>
      </c>
      <c r="H300" s="50" t="s">
        <v>360</v>
      </c>
      <c r="I300" s="50"/>
      <c r="J300" s="50" t="s">
        <v>352</v>
      </c>
      <c r="K300" s="50" t="str">
        <f aca="false">IFERROR(VLOOKUP($J300,Catálogos!$M$4:$N$17,2,FALSE()),"")</f>
        <v>Mantención Preventiva Realizada</v>
      </c>
      <c r="L300" s="52" t="n">
        <v>46068</v>
      </c>
      <c r="M300" s="50" t="s">
        <v>353</v>
      </c>
      <c r="N300" s="50" t="s">
        <v>253</v>
      </c>
      <c r="O300" s="50"/>
      <c r="P300" s="50"/>
      <c r="Q300" s="50" t="s">
        <v>362</v>
      </c>
    </row>
    <row r="301" customFormat="false" ht="15" hidden="false" customHeight="true" outlineLevel="0" collapsed="false">
      <c r="A301" s="51" t="s">
        <v>429</v>
      </c>
      <c r="B301" s="50" t="str">
        <f aca="false">IFERROR(VLOOKUP($A301,Equipos!$C$2:$M$967,2,FALSE()),"")</f>
        <v>Monitor Multiparámetros</v>
      </c>
      <c r="C301" s="50" t="str">
        <f aca="false">IFERROR(VLOOKUP($A301,Equipos!$C$2:$M$967,9,FALSE()),"")</f>
        <v>VTSHD0103</v>
      </c>
      <c r="D301" s="50" t="str">
        <f aca="false">IFERROR(VLOOKUP($A301,Equipos!$C$2:$M$967,3,FALSE()),"")</f>
        <v>Pediatría</v>
      </c>
      <c r="E301" s="50" t="str">
        <f aca="false">IFERROR(VLOOKUP($A301,Equipos!$C$2:$M$967,7,FALSE()),"")</f>
        <v>Drager</v>
      </c>
      <c r="F301" s="50" t="str">
        <f aca="false">IFERROR(VLOOKUP($A301,Equipos!$C$2:$M$967,8,FALSE()),"")</f>
        <v>Vista 120</v>
      </c>
      <c r="G301" s="50" t="s">
        <v>515</v>
      </c>
      <c r="H301" s="50" t="s">
        <v>360</v>
      </c>
      <c r="I301" s="50"/>
      <c r="J301" s="50" t="s">
        <v>352</v>
      </c>
      <c r="K301" s="50" t="str">
        <f aca="false">IFERROR(VLOOKUP($J301,Catálogos!$M$4:$N$17,2,FALSE()),"")</f>
        <v>Mantención Preventiva Realizada</v>
      </c>
      <c r="L301" s="52" t="n">
        <v>46068</v>
      </c>
      <c r="M301" s="50" t="s">
        <v>353</v>
      </c>
      <c r="N301" s="50" t="s">
        <v>253</v>
      </c>
      <c r="O301" s="50"/>
      <c r="P301" s="50"/>
      <c r="Q301" s="50" t="s">
        <v>362</v>
      </c>
    </row>
    <row r="302" customFormat="false" ht="15" hidden="false" customHeight="true" outlineLevel="0" collapsed="false">
      <c r="A302" s="51" t="s">
        <v>430</v>
      </c>
      <c r="B302" s="50" t="str">
        <f aca="false">IFERROR(VLOOKUP($A302,Equipos!$C$2:$M$967,2,FALSE()),"")</f>
        <v>Monitor Multiparámetros</v>
      </c>
      <c r="C302" s="50" t="str">
        <f aca="false">IFERROR(VLOOKUP($A302,Equipos!$C$2:$M$967,9,FALSE()),"")</f>
        <v>VTSHD0101</v>
      </c>
      <c r="D302" s="50" t="str">
        <f aca="false">IFERROR(VLOOKUP($A302,Equipos!$C$2:$M$967,3,FALSE()),"")</f>
        <v>Pediatría</v>
      </c>
      <c r="E302" s="50" t="str">
        <f aca="false">IFERROR(VLOOKUP($A302,Equipos!$C$2:$M$967,7,FALSE()),"")</f>
        <v>Drager</v>
      </c>
      <c r="F302" s="50" t="str">
        <f aca="false">IFERROR(VLOOKUP($A302,Equipos!$C$2:$M$967,8,FALSE()),"")</f>
        <v>Vista 120</v>
      </c>
      <c r="G302" s="50" t="s">
        <v>515</v>
      </c>
      <c r="H302" s="50" t="s">
        <v>360</v>
      </c>
      <c r="I302" s="50"/>
      <c r="J302" s="50" t="s">
        <v>352</v>
      </c>
      <c r="K302" s="50" t="str">
        <f aca="false">IFERROR(VLOOKUP($J302,Catálogos!$M$4:$N$17,2,FALSE()),"")</f>
        <v>Mantención Preventiva Realizada</v>
      </c>
      <c r="L302" s="52" t="n">
        <v>46068</v>
      </c>
      <c r="M302" s="50" t="s">
        <v>353</v>
      </c>
      <c r="N302" s="50" t="s">
        <v>253</v>
      </c>
      <c r="O302" s="50"/>
      <c r="P302" s="50"/>
      <c r="Q302" s="50" t="s">
        <v>362</v>
      </c>
    </row>
    <row r="303" customFormat="false" ht="15" hidden="false" customHeight="true" outlineLevel="0" collapsed="false">
      <c r="A303" s="51" t="s">
        <v>595</v>
      </c>
      <c r="B303" s="50" t="str">
        <f aca="false">IFERROR(VLOOKUP($A303,Equipos!$C$2:$M$967,2,FALSE()),"")</f>
        <v>Monitor Multiparámetros</v>
      </c>
      <c r="C303" s="50" t="str">
        <f aca="false">IFERROR(VLOOKUP($A303,Equipos!$C$2:$M$967,9,FALSE()),"")</f>
        <v>V2SFH0026</v>
      </c>
      <c r="D303" s="50" t="str">
        <f aca="false">IFERROR(VLOOKUP($A303,Equipos!$C$2:$M$967,3,FALSE()),"")</f>
        <v>Pabellón (Recuperación)</v>
      </c>
      <c r="E303" s="50" t="str">
        <f aca="false">IFERROR(VLOOKUP($A303,Equipos!$C$2:$M$967,7,FALSE()),"")</f>
        <v>Drager</v>
      </c>
      <c r="F303" s="50" t="str">
        <f aca="false">IFERROR(VLOOKUP($A303,Equipos!$C$2:$M$967,8,FALSE()),"")</f>
        <v>Vista 120</v>
      </c>
      <c r="G303" s="50" t="s">
        <v>515</v>
      </c>
      <c r="H303" s="50" t="s">
        <v>360</v>
      </c>
      <c r="I303" s="50"/>
      <c r="J303" s="50" t="s">
        <v>352</v>
      </c>
      <c r="K303" s="50" t="str">
        <f aca="false">IFERROR(VLOOKUP($J303,Catálogos!$M$4:$N$17,2,FALSE()),"")</f>
        <v>Mantención Preventiva Realizada</v>
      </c>
      <c r="L303" s="52" t="n">
        <v>46068</v>
      </c>
      <c r="M303" s="50" t="s">
        <v>353</v>
      </c>
      <c r="N303" s="50" t="s">
        <v>253</v>
      </c>
      <c r="O303" s="50"/>
      <c r="P303" s="50"/>
      <c r="Q303" s="50" t="s">
        <v>362</v>
      </c>
    </row>
    <row r="304" customFormat="false" ht="15" hidden="false" customHeight="true" outlineLevel="0" collapsed="false">
      <c r="A304" s="51" t="s">
        <v>596</v>
      </c>
      <c r="B304" s="50" t="str">
        <f aca="false">IFERROR(VLOOKUP($A304,Equipos!$C$2:$M$967,2,FALSE()),"")</f>
        <v>Monitor Multiparámetros</v>
      </c>
      <c r="C304" s="50" t="str">
        <f aca="false">IFERROR(VLOOKUP($A304,Equipos!$C$2:$M$967,9,FALSE()),"")</f>
        <v>V2SFH0019</v>
      </c>
      <c r="D304" s="50" t="str">
        <f aca="false">IFERROR(VLOOKUP($A304,Equipos!$C$2:$M$967,3,FALSE()),"")</f>
        <v>Pabellón (Recuperación)</v>
      </c>
      <c r="E304" s="50" t="str">
        <f aca="false">IFERROR(VLOOKUP($A304,Equipos!$C$2:$M$967,7,FALSE()),"")</f>
        <v>Drager</v>
      </c>
      <c r="F304" s="50" t="str">
        <f aca="false">IFERROR(VLOOKUP($A304,Equipos!$C$2:$M$967,8,FALSE()),"")</f>
        <v>Vista 120</v>
      </c>
      <c r="G304" s="50" t="s">
        <v>515</v>
      </c>
      <c r="H304" s="50" t="s">
        <v>360</v>
      </c>
      <c r="I304" s="50"/>
      <c r="J304" s="50" t="s">
        <v>352</v>
      </c>
      <c r="K304" s="50" t="str">
        <f aca="false">IFERROR(VLOOKUP($J304,Catálogos!$M$4:$N$17,2,FALSE()),"")</f>
        <v>Mantención Preventiva Realizada</v>
      </c>
      <c r="L304" s="52" t="n">
        <v>46068</v>
      </c>
      <c r="M304" s="50" t="s">
        <v>353</v>
      </c>
      <c r="N304" s="50" t="s">
        <v>253</v>
      </c>
      <c r="O304" s="50"/>
      <c r="P304" s="50"/>
      <c r="Q304" s="50" t="s">
        <v>362</v>
      </c>
    </row>
    <row r="305" customFormat="false" ht="15" hidden="false" customHeight="true" outlineLevel="0" collapsed="false">
      <c r="A305" s="51" t="s">
        <v>597</v>
      </c>
      <c r="B305" s="50" t="str">
        <f aca="false">IFERROR(VLOOKUP($A305,Equipos!$C$2:$M$967,2,FALSE()),"")</f>
        <v>Monitor Multiparámetros</v>
      </c>
      <c r="C305" s="50" t="str">
        <f aca="false">IFERROR(VLOOKUP($A305,Equipos!$C$2:$M$967,9,FALSE()),"")</f>
        <v>V2SFH0038</v>
      </c>
      <c r="D305" s="50" t="str">
        <f aca="false">IFERROR(VLOOKUP($A305,Equipos!$C$2:$M$967,3,FALSE()),"")</f>
        <v>Pabellón (Recuperación)</v>
      </c>
      <c r="E305" s="50" t="str">
        <f aca="false">IFERROR(VLOOKUP($A305,Equipos!$C$2:$M$967,7,FALSE()),"")</f>
        <v>Drager</v>
      </c>
      <c r="F305" s="50" t="str">
        <f aca="false">IFERROR(VLOOKUP($A305,Equipos!$C$2:$M$967,8,FALSE()),"")</f>
        <v>Vista 120</v>
      </c>
      <c r="G305" s="50" t="s">
        <v>515</v>
      </c>
      <c r="H305" s="50" t="s">
        <v>360</v>
      </c>
      <c r="I305" s="50"/>
      <c r="J305" s="50" t="s">
        <v>352</v>
      </c>
      <c r="K305" s="50" t="str">
        <f aca="false">IFERROR(VLOOKUP($J305,Catálogos!$M$4:$N$17,2,FALSE()),"")</f>
        <v>Mantención Preventiva Realizada</v>
      </c>
      <c r="L305" s="52" t="n">
        <v>46068</v>
      </c>
      <c r="M305" s="50" t="s">
        <v>353</v>
      </c>
      <c r="N305" s="50" t="s">
        <v>253</v>
      </c>
      <c r="O305" s="50"/>
      <c r="P305" s="50"/>
      <c r="Q305" s="50" t="s">
        <v>362</v>
      </c>
    </row>
    <row r="306" customFormat="false" ht="15" hidden="false" customHeight="true" outlineLevel="0" collapsed="false">
      <c r="A306" s="51" t="s">
        <v>598</v>
      </c>
      <c r="B306" s="50" t="str">
        <f aca="false">IFERROR(VLOOKUP($A306,Equipos!$C$2:$M$967,2,FALSE()),"")</f>
        <v>Monitor Multiparámetros</v>
      </c>
      <c r="C306" s="50" t="str">
        <f aca="false">IFERROR(VLOOKUP($A306,Equipos!$C$2:$M$967,9,FALSE()),"")</f>
        <v>V2SFH0035</v>
      </c>
      <c r="D306" s="50" t="str">
        <f aca="false">IFERROR(VLOOKUP($A306,Equipos!$C$2:$M$967,3,FALSE()),"")</f>
        <v>Pabellón (Recuperación)</v>
      </c>
      <c r="E306" s="50" t="str">
        <f aca="false">IFERROR(VLOOKUP($A306,Equipos!$C$2:$M$967,7,FALSE()),"")</f>
        <v>Drager</v>
      </c>
      <c r="F306" s="50" t="str">
        <f aca="false">IFERROR(VLOOKUP($A306,Equipos!$C$2:$M$967,8,FALSE()),"")</f>
        <v>Vista 120</v>
      </c>
      <c r="G306" s="50" t="s">
        <v>515</v>
      </c>
      <c r="H306" s="50" t="s">
        <v>360</v>
      </c>
      <c r="I306" s="50"/>
      <c r="J306" s="50" t="s">
        <v>332</v>
      </c>
      <c r="K306" s="50" t="str">
        <f aca="false">IFERROR(VLOOKUP($J306,Catálogos!$M$4:$N$17,2,FALSE()),"")</f>
        <v>Reprogramada · Equipo en servicio técnico</v>
      </c>
      <c r="L306" s="52" t="n">
        <v>46068</v>
      </c>
      <c r="M306" s="50" t="s">
        <v>6</v>
      </c>
      <c r="N306" s="50" t="s">
        <v>253</v>
      </c>
      <c r="O306" s="50"/>
      <c r="P306" s="50"/>
      <c r="Q306" s="50" t="s">
        <v>362</v>
      </c>
    </row>
    <row r="307" customFormat="false" ht="15" hidden="false" customHeight="true" outlineLevel="0" collapsed="false">
      <c r="A307" s="51" t="s">
        <v>599</v>
      </c>
      <c r="B307" s="50" t="str">
        <f aca="false">IFERROR(VLOOKUP($A307,Equipos!$C$2:$M$967,2,FALSE()),"")</f>
        <v>Monitor Multiparámetros</v>
      </c>
      <c r="C307" s="50" t="str">
        <f aca="false">IFERROR(VLOOKUP($A307,Equipos!$C$2:$M$967,9,FALSE()),"")</f>
        <v>V2SFH0031</v>
      </c>
      <c r="D307" s="50" t="str">
        <f aca="false">IFERROR(VLOOKUP($A307,Equipos!$C$2:$M$967,3,FALSE()),"")</f>
        <v>Pabellón (Recuperación)</v>
      </c>
      <c r="E307" s="50" t="str">
        <f aca="false">IFERROR(VLOOKUP($A307,Equipos!$C$2:$M$967,7,FALSE()),"")</f>
        <v>Drager</v>
      </c>
      <c r="F307" s="50" t="str">
        <f aca="false">IFERROR(VLOOKUP($A307,Equipos!$C$2:$M$967,8,FALSE()),"")</f>
        <v>Vista 120</v>
      </c>
      <c r="G307" s="50" t="s">
        <v>515</v>
      </c>
      <c r="H307" s="50" t="s">
        <v>360</v>
      </c>
      <c r="I307" s="50"/>
      <c r="J307" s="50" t="s">
        <v>352</v>
      </c>
      <c r="K307" s="50" t="str">
        <f aca="false">IFERROR(VLOOKUP($J307,Catálogos!$M$4:$N$17,2,FALSE()),"")</f>
        <v>Mantención Preventiva Realizada</v>
      </c>
      <c r="L307" s="52" t="n">
        <v>46068</v>
      </c>
      <c r="M307" s="50" t="s">
        <v>353</v>
      </c>
      <c r="N307" s="50" t="s">
        <v>253</v>
      </c>
      <c r="O307" s="50"/>
      <c r="P307" s="50"/>
      <c r="Q307" s="50" t="s">
        <v>362</v>
      </c>
    </row>
    <row r="308" customFormat="false" ht="15" hidden="false" customHeight="true" outlineLevel="0" collapsed="false">
      <c r="A308" s="51" t="s">
        <v>600</v>
      </c>
      <c r="B308" s="50" t="str">
        <f aca="false">IFERROR(VLOOKUP($A308,Equipos!$C$2:$M$967,2,FALSE()),"")</f>
        <v>Monitor Multiparámetros</v>
      </c>
      <c r="C308" s="50" t="str">
        <f aca="false">IFERROR(VLOOKUP($A308,Equipos!$C$2:$M$967,9,FALSE()),"")</f>
        <v>V2SFH0016</v>
      </c>
      <c r="D308" s="50" t="str">
        <f aca="false">IFERROR(VLOOKUP($A308,Equipos!$C$2:$M$967,3,FALSE()),"")</f>
        <v>Pabellón (Recuperación)</v>
      </c>
      <c r="E308" s="50" t="str">
        <f aca="false">IFERROR(VLOOKUP($A308,Equipos!$C$2:$M$967,7,FALSE()),"")</f>
        <v>Drager</v>
      </c>
      <c r="F308" s="50" t="str">
        <f aca="false">IFERROR(VLOOKUP($A308,Equipos!$C$2:$M$967,8,FALSE()),"")</f>
        <v>Vista 120</v>
      </c>
      <c r="G308" s="50" t="s">
        <v>515</v>
      </c>
      <c r="H308" s="50" t="s">
        <v>360</v>
      </c>
      <c r="I308" s="50"/>
      <c r="J308" s="50" t="s">
        <v>352</v>
      </c>
      <c r="K308" s="50" t="str">
        <f aca="false">IFERROR(VLOOKUP($J308,Catálogos!$M$4:$N$17,2,FALSE()),"")</f>
        <v>Mantención Preventiva Realizada</v>
      </c>
      <c r="L308" s="52" t="n">
        <v>46068</v>
      </c>
      <c r="M308" s="50" t="s">
        <v>353</v>
      </c>
      <c r="N308" s="50" t="s">
        <v>253</v>
      </c>
      <c r="O308" s="50"/>
      <c r="P308" s="50"/>
      <c r="Q308" s="50" t="s">
        <v>362</v>
      </c>
    </row>
    <row r="309" customFormat="false" ht="15" hidden="false" customHeight="true" outlineLevel="0" collapsed="false">
      <c r="A309" s="51" t="s">
        <v>601</v>
      </c>
      <c r="B309" s="50" t="str">
        <f aca="false">IFERROR(VLOOKUP($A309,Equipos!$C$2:$M$967,2,FALSE()),"")</f>
        <v>Monitor Multiparámetros</v>
      </c>
      <c r="C309" s="50" t="str">
        <f aca="false">IFERROR(VLOOKUP($A309,Equipos!$C$2:$M$967,9,FALSE()),"")</f>
        <v>V2SFH0025</v>
      </c>
      <c r="D309" s="50" t="str">
        <f aca="false">IFERROR(VLOOKUP($A309,Equipos!$C$2:$M$967,3,FALSE()),"")</f>
        <v>Pabellón (Recuperación)</v>
      </c>
      <c r="E309" s="50" t="str">
        <f aca="false">IFERROR(VLOOKUP($A309,Equipos!$C$2:$M$967,7,FALSE()),"")</f>
        <v>Drager</v>
      </c>
      <c r="F309" s="50" t="str">
        <f aca="false">IFERROR(VLOOKUP($A309,Equipos!$C$2:$M$967,8,FALSE()),"")</f>
        <v>Vista 120</v>
      </c>
      <c r="G309" s="50" t="s">
        <v>515</v>
      </c>
      <c r="H309" s="50" t="s">
        <v>360</v>
      </c>
      <c r="I309" s="50"/>
      <c r="J309" s="50" t="s">
        <v>352</v>
      </c>
      <c r="K309" s="50" t="str">
        <f aca="false">IFERROR(VLOOKUP($J309,Catálogos!$M$4:$N$17,2,FALSE()),"")</f>
        <v>Mantención Preventiva Realizada</v>
      </c>
      <c r="L309" s="52" t="n">
        <v>46068</v>
      </c>
      <c r="M309" s="50" t="s">
        <v>353</v>
      </c>
      <c r="N309" s="50" t="s">
        <v>253</v>
      </c>
      <c r="O309" s="50"/>
      <c r="P309" s="50"/>
      <c r="Q309" s="50" t="s">
        <v>362</v>
      </c>
    </row>
    <row r="310" customFormat="false" ht="15" hidden="false" customHeight="true" outlineLevel="0" collapsed="false">
      <c r="A310" s="51" t="s">
        <v>602</v>
      </c>
      <c r="B310" s="50" t="str">
        <f aca="false">IFERROR(VLOOKUP($A310,Equipos!$C$2:$M$967,2,FALSE()),"")</f>
        <v>Monitor Multiparámetros</v>
      </c>
      <c r="C310" s="50" t="str">
        <f aca="false">IFERROR(VLOOKUP($A310,Equipos!$C$2:$M$967,9,FALSE()),"")</f>
        <v>V2SFH0032</v>
      </c>
      <c r="D310" s="50" t="str">
        <f aca="false">IFERROR(VLOOKUP($A310,Equipos!$C$2:$M$967,3,FALSE()),"")</f>
        <v>Pabellón (Recuperación)</v>
      </c>
      <c r="E310" s="50" t="str">
        <f aca="false">IFERROR(VLOOKUP($A310,Equipos!$C$2:$M$967,7,FALSE()),"")</f>
        <v>Drager</v>
      </c>
      <c r="F310" s="50" t="str">
        <f aca="false">IFERROR(VLOOKUP($A310,Equipos!$C$2:$M$967,8,FALSE()),"")</f>
        <v>Vista 120</v>
      </c>
      <c r="G310" s="50" t="s">
        <v>515</v>
      </c>
      <c r="H310" s="50" t="s">
        <v>360</v>
      </c>
      <c r="I310" s="50"/>
      <c r="J310" s="50" t="s">
        <v>352</v>
      </c>
      <c r="K310" s="50" t="str">
        <f aca="false">IFERROR(VLOOKUP($J310,Catálogos!$M$4:$N$17,2,FALSE()),"")</f>
        <v>Mantención Preventiva Realizada</v>
      </c>
      <c r="L310" s="52" t="n">
        <v>46068</v>
      </c>
      <c r="M310" s="50" t="s">
        <v>353</v>
      </c>
      <c r="N310" s="50" t="s">
        <v>253</v>
      </c>
      <c r="O310" s="50"/>
      <c r="P310" s="50"/>
      <c r="Q310" s="50" t="s">
        <v>362</v>
      </c>
    </row>
    <row r="311" customFormat="false" ht="15" hidden="false" customHeight="true" outlineLevel="0" collapsed="false">
      <c r="A311" s="51" t="s">
        <v>603</v>
      </c>
      <c r="B311" s="50" t="str">
        <f aca="false">IFERROR(VLOOKUP($A311,Equipos!$C$2:$M$967,2,FALSE()),"")</f>
        <v>Monitor Multiparámetros</v>
      </c>
      <c r="C311" s="50" t="str">
        <f aca="false">IFERROR(VLOOKUP($A311,Equipos!$C$2:$M$967,9,FALSE()),"")</f>
        <v>V2SFH0017</v>
      </c>
      <c r="D311" s="50" t="str">
        <f aca="false">IFERROR(VLOOKUP($A311,Equipos!$C$2:$M$967,3,FALSE()),"")</f>
        <v>Pabellón (Recuperación)</v>
      </c>
      <c r="E311" s="50" t="str">
        <f aca="false">IFERROR(VLOOKUP($A311,Equipos!$C$2:$M$967,7,FALSE()),"")</f>
        <v>Drager</v>
      </c>
      <c r="F311" s="50" t="str">
        <f aca="false">IFERROR(VLOOKUP($A311,Equipos!$C$2:$M$967,8,FALSE()),"")</f>
        <v>Vista 120</v>
      </c>
      <c r="G311" s="50" t="s">
        <v>515</v>
      </c>
      <c r="H311" s="50" t="s">
        <v>360</v>
      </c>
      <c r="I311" s="50"/>
      <c r="J311" s="50" t="s">
        <v>352</v>
      </c>
      <c r="K311" s="50" t="str">
        <f aca="false">IFERROR(VLOOKUP($J311,Catálogos!$M$4:$N$17,2,FALSE()),"")</f>
        <v>Mantención Preventiva Realizada</v>
      </c>
      <c r="L311" s="52" t="n">
        <v>46068</v>
      </c>
      <c r="M311" s="50" t="s">
        <v>353</v>
      </c>
      <c r="N311" s="50" t="s">
        <v>253</v>
      </c>
      <c r="O311" s="50"/>
      <c r="P311" s="50"/>
      <c r="Q311" s="50" t="s">
        <v>362</v>
      </c>
    </row>
    <row r="312" customFormat="false" ht="15" hidden="false" customHeight="true" outlineLevel="0" collapsed="false">
      <c r="A312" s="51" t="s">
        <v>604</v>
      </c>
      <c r="B312" s="50" t="str">
        <f aca="false">IFERROR(VLOOKUP($A312,Equipos!$C$2:$M$967,2,FALSE()),"")</f>
        <v>Monitor Multiparámetros</v>
      </c>
      <c r="C312" s="50" t="str">
        <f aca="false">IFERROR(VLOOKUP($A312,Equipos!$C$2:$M$967,9,FALSE()),"")</f>
        <v>5396140362</v>
      </c>
      <c r="D312" s="50" t="str">
        <f aca="false">IFERROR(VLOOKUP($A312,Equipos!$C$2:$M$967,3,FALSE()),"")</f>
        <v>Imagenología</v>
      </c>
      <c r="E312" s="50" t="str">
        <f aca="false">IFERROR(VLOOKUP($A312,Equipos!$C$2:$M$967,7,FALSE()),"")</f>
        <v>Drager</v>
      </c>
      <c r="F312" s="50" t="str">
        <f aca="false">IFERROR(VLOOKUP($A312,Equipos!$C$2:$M$967,8,FALSE()),"")</f>
        <v>Infinity Vista XL </v>
      </c>
      <c r="G312" s="50" t="s">
        <v>515</v>
      </c>
      <c r="H312" s="50" t="s">
        <v>360</v>
      </c>
      <c r="I312" s="50"/>
      <c r="J312" s="50" t="s">
        <v>364</v>
      </c>
      <c r="K312" s="50" t="str">
        <f aca="false">IFERROR(VLOOKUP($J312,Catálogos!$M$4:$N$17,2,FALSE()),"")</f>
        <v>Reprogramada · No disponibilidad de horas hombre del funcionario SEC por alta carga laboral</v>
      </c>
      <c r="L312" s="52" t="n">
        <v>46068</v>
      </c>
      <c r="M312" s="50" t="s">
        <v>353</v>
      </c>
      <c r="N312" s="50" t="s">
        <v>253</v>
      </c>
      <c r="O312" s="50"/>
      <c r="P312" s="50"/>
      <c r="Q312" s="50" t="s">
        <v>362</v>
      </c>
    </row>
    <row r="313" customFormat="false" ht="15" hidden="false" customHeight="true" outlineLevel="0" collapsed="false">
      <c r="A313" s="51" t="s">
        <v>605</v>
      </c>
      <c r="B313" s="50" t="str">
        <f aca="false">IFERROR(VLOOKUP($A313,Equipos!$C$2:$M$967,2,FALSE()),"")</f>
        <v>Monitor Multiparámetros</v>
      </c>
      <c r="C313" s="50" t="str">
        <f aca="false">IFERROR(VLOOKUP($A313,Equipos!$C$2:$M$967,9,FALSE()),"")</f>
        <v>SQE19510010SA</v>
      </c>
      <c r="D313" s="50" t="str">
        <f aca="false">IFERROR(VLOOKUP($A313,Equipos!$C$2:$M$967,3,FALSE()),"")</f>
        <v>Medicina</v>
      </c>
      <c r="E313" s="50" t="str">
        <f aca="false">IFERROR(VLOOKUP($A313,Equipos!$C$2:$M$967,7,FALSE()),"")</f>
        <v>General Electric</v>
      </c>
      <c r="F313" s="50" t="str">
        <f aca="false">IFERROR(VLOOKUP($A313,Equipos!$C$2:$M$967,8,FALSE()),"")</f>
        <v>B105</v>
      </c>
      <c r="G313" s="50" t="s">
        <v>515</v>
      </c>
      <c r="H313" s="50" t="s">
        <v>360</v>
      </c>
      <c r="I313" s="50"/>
      <c r="J313" s="50" t="s">
        <v>364</v>
      </c>
      <c r="K313" s="50" t="str">
        <f aca="false">IFERROR(VLOOKUP($J313,Catálogos!$M$4:$N$17,2,FALSE()),"")</f>
        <v>Reprogramada · No disponibilidad de horas hombre del funcionario SEC por alta carga laboral</v>
      </c>
      <c r="L313" s="52" t="n">
        <v>46068</v>
      </c>
      <c r="M313" s="50" t="s">
        <v>353</v>
      </c>
      <c r="N313" s="50" t="s">
        <v>253</v>
      </c>
      <c r="O313" s="50"/>
      <c r="P313" s="50"/>
      <c r="Q313" s="50" t="s">
        <v>362</v>
      </c>
    </row>
    <row r="314" customFormat="false" ht="15" hidden="false" customHeight="true" outlineLevel="0" collapsed="false">
      <c r="A314" s="51" t="s">
        <v>431</v>
      </c>
      <c r="B314" s="50" t="str">
        <f aca="false">IFERROR(VLOOKUP($A314,Equipos!$C$2:$M$967,2,FALSE()),"")</f>
        <v>Monitor Multiparámetros</v>
      </c>
      <c r="C314" s="50" t="str">
        <f aca="false">IFERROR(VLOOKUP($A314,Equipos!$C$2:$M$967,9,FALSE()),"")</f>
        <v>5494308059</v>
      </c>
      <c r="D314" s="50" t="str">
        <f aca="false">IFERROR(VLOOKUP($A314,Equipos!$C$2:$M$967,3,FALSE()),"")</f>
        <v>UPC Cardiovascular</v>
      </c>
      <c r="E314" s="50" t="str">
        <f aca="false">IFERROR(VLOOKUP($A314,Equipos!$C$2:$M$967,7,FALSE()),"")</f>
        <v>Drager</v>
      </c>
      <c r="F314" s="50" t="str">
        <f aca="false">IFERROR(VLOOKUP($A314,Equipos!$C$2:$M$967,8,FALSE()),"")</f>
        <v>Infinity Kappa</v>
      </c>
      <c r="G314" s="50" t="s">
        <v>515</v>
      </c>
      <c r="H314" s="50" t="s">
        <v>360</v>
      </c>
      <c r="I314" s="50"/>
      <c r="J314" s="50" t="s">
        <v>352</v>
      </c>
      <c r="K314" s="50" t="str">
        <f aca="false">IFERROR(VLOOKUP($J314,Catálogos!$M$4:$N$17,2,FALSE()),"")</f>
        <v>Mantención Preventiva Realizada</v>
      </c>
      <c r="L314" s="52" t="n">
        <v>46068</v>
      </c>
      <c r="M314" s="50" t="s">
        <v>353</v>
      </c>
      <c r="N314" s="50" t="s">
        <v>253</v>
      </c>
      <c r="O314" s="50"/>
      <c r="P314" s="50"/>
      <c r="Q314" s="50" t="s">
        <v>362</v>
      </c>
    </row>
    <row r="315" customFormat="false" ht="15" hidden="false" customHeight="true" outlineLevel="0" collapsed="false">
      <c r="A315" s="51" t="s">
        <v>606</v>
      </c>
      <c r="B315" s="50" t="str">
        <f aca="false">IFERROR(VLOOKUP($A315,Equipos!$C$2:$M$967,2,FALSE()),"")</f>
        <v>Monitor Multiparámetros</v>
      </c>
      <c r="C315" s="50" t="str">
        <f aca="false">IFERROR(VLOOKUP($A315,Equipos!$C$2:$M$967,9,FALSE()),"")</f>
        <v>03644.</v>
      </c>
      <c r="D315" s="50" t="str">
        <f aca="false">IFERROR(VLOOKUP($A315,Equipos!$C$2:$M$967,3,FALSE()),"")</f>
        <v>Medicina</v>
      </c>
      <c r="E315" s="50" t="str">
        <f aca="false">IFERROR(VLOOKUP($A315,Equipos!$C$2:$M$967,7,FALSE()),"")</f>
        <v>Nihon Kohden </v>
      </c>
      <c r="F315" s="50" t="str">
        <f aca="false">IFERROR(VLOOKUP($A315,Equipos!$C$2:$M$967,8,FALSE()),"")</f>
        <v>BSM-2351K</v>
      </c>
      <c r="G315" s="50" t="s">
        <v>515</v>
      </c>
      <c r="H315" s="50" t="s">
        <v>360</v>
      </c>
      <c r="I315" s="50"/>
      <c r="J315" s="50" t="s">
        <v>352</v>
      </c>
      <c r="K315" s="50" t="str">
        <f aca="false">IFERROR(VLOOKUP($J315,Catálogos!$M$4:$N$17,2,FALSE()),"")</f>
        <v>Mantención Preventiva Realizada</v>
      </c>
      <c r="L315" s="52" t="n">
        <v>46068</v>
      </c>
      <c r="M315" s="50" t="s">
        <v>353</v>
      </c>
      <c r="N315" s="50" t="s">
        <v>253</v>
      </c>
      <c r="O315" s="50"/>
      <c r="P315" s="50"/>
      <c r="Q315" s="50" t="s">
        <v>362</v>
      </c>
    </row>
    <row r="316" customFormat="false" ht="15" hidden="false" customHeight="true" outlineLevel="0" collapsed="false">
      <c r="A316" s="51" t="s">
        <v>607</v>
      </c>
      <c r="B316" s="50" t="str">
        <f aca="false">IFERROR(VLOOKUP($A316,Equipos!$C$2:$M$967,2,FALSE()),"")</f>
        <v>Monitor Multiparámetros</v>
      </c>
      <c r="C316" s="50" t="str">
        <f aca="false">IFERROR(VLOOKUP($A316,Equipos!$C$2:$M$967,9,FALSE()),"")</f>
        <v>VGSML0072</v>
      </c>
      <c r="D316" s="50" t="str">
        <f aca="false">IFERROR(VLOOKUP($A316,Equipos!$C$2:$M$967,3,FALSE()),"")</f>
        <v>Pabellón (Recuperación)</v>
      </c>
      <c r="E316" s="50" t="str">
        <f aca="false">IFERROR(VLOOKUP($A316,Equipos!$C$2:$M$967,7,FALSE()),"")</f>
        <v>Drager</v>
      </c>
      <c r="F316" s="50" t="str">
        <f aca="false">IFERROR(VLOOKUP($A316,Equipos!$C$2:$M$967,8,FALSE()),"")</f>
        <v>Vista 120</v>
      </c>
      <c r="G316" s="50" t="s">
        <v>515</v>
      </c>
      <c r="H316" s="50" t="s">
        <v>360</v>
      </c>
      <c r="I316" s="50"/>
      <c r="J316" s="50" t="s">
        <v>352</v>
      </c>
      <c r="K316" s="50" t="str">
        <f aca="false">IFERROR(VLOOKUP($J316,Catálogos!$M$4:$N$17,2,FALSE()),"")</f>
        <v>Mantención Preventiva Realizada</v>
      </c>
      <c r="L316" s="52" t="n">
        <v>46068</v>
      </c>
      <c r="M316" s="50" t="s">
        <v>353</v>
      </c>
      <c r="N316" s="50" t="s">
        <v>253</v>
      </c>
      <c r="O316" s="50"/>
      <c r="P316" s="50"/>
      <c r="Q316" s="50" t="s">
        <v>362</v>
      </c>
    </row>
    <row r="317" customFormat="false" ht="15" hidden="false" customHeight="true" outlineLevel="0" collapsed="false">
      <c r="A317" s="51" t="s">
        <v>432</v>
      </c>
      <c r="B317" s="50" t="str">
        <f aca="false">IFERROR(VLOOKUP($A317,Equipos!$C$2:$M$967,2,FALSE()),"")</f>
        <v>Monitor Multiparámetros</v>
      </c>
      <c r="C317" s="50" t="str">
        <f aca="false">IFERROR(VLOOKUP($A317,Equipos!$C$2:$M$967,9,FALSE()),"")</f>
        <v>1066</v>
      </c>
      <c r="D317" s="50" t="str">
        <f aca="false">IFERROR(VLOOKUP($A317,Equipos!$C$2:$M$967,3,FALSE()),"")</f>
        <v>Cirugía Infantil</v>
      </c>
      <c r="E317" s="50" t="str">
        <f aca="false">IFERROR(VLOOKUP($A317,Equipos!$C$2:$M$967,7,FALSE()),"")</f>
        <v>Nihon Kohden </v>
      </c>
      <c r="F317" s="50" t="str">
        <f aca="false">IFERROR(VLOOKUP($A317,Equipos!$C$2:$M$967,8,FALSE()),"")</f>
        <v>BSM-6301K</v>
      </c>
      <c r="G317" s="50" t="s">
        <v>515</v>
      </c>
      <c r="H317" s="50" t="s">
        <v>360</v>
      </c>
      <c r="I317" s="50"/>
      <c r="J317" s="50" t="s">
        <v>352</v>
      </c>
      <c r="K317" s="50" t="str">
        <f aca="false">IFERROR(VLOOKUP($J317,Catálogos!$M$4:$N$17,2,FALSE()),"")</f>
        <v>Mantención Preventiva Realizada</v>
      </c>
      <c r="L317" s="52" t="n">
        <v>46068</v>
      </c>
      <c r="M317" s="50" t="s">
        <v>353</v>
      </c>
      <c r="N317" s="50" t="s">
        <v>253</v>
      </c>
      <c r="O317" s="50"/>
      <c r="P317" s="50"/>
      <c r="Q317" s="50" t="s">
        <v>362</v>
      </c>
    </row>
    <row r="318" customFormat="false" ht="15" hidden="false" customHeight="true" outlineLevel="0" collapsed="false">
      <c r="A318" s="51" t="s">
        <v>608</v>
      </c>
      <c r="B318" s="50" t="str">
        <f aca="false">IFERROR(VLOOKUP($A318,Equipos!$C$2:$M$967,2,FALSE()),"")</f>
        <v>Monitor Multiparámetros</v>
      </c>
      <c r="C318" s="50" t="str">
        <f aca="false">IFERROR(VLOOKUP($A318,Equipos!$C$2:$M$967,9,FALSE()),"")</f>
        <v>5395673564</v>
      </c>
      <c r="D318" s="50" t="str">
        <f aca="false">IFERROR(VLOOKUP($A318,Equipos!$C$2:$M$967,3,FALSE()),"")</f>
        <v>Urgencia Infantil (Prestado a Pediatría)</v>
      </c>
      <c r="E318" s="50" t="str">
        <f aca="false">IFERROR(VLOOKUP($A318,Equipos!$C$2:$M$967,7,FALSE()),"")</f>
        <v>Drager </v>
      </c>
      <c r="F318" s="50" t="str">
        <f aca="false">IFERROR(VLOOKUP($A318,Equipos!$C$2:$M$967,8,FALSE()),"")</f>
        <v>Infinity Vista XL </v>
      </c>
      <c r="G318" s="50" t="s">
        <v>515</v>
      </c>
      <c r="H318" s="50" t="s">
        <v>360</v>
      </c>
      <c r="I318" s="50"/>
      <c r="J318" s="50" t="s">
        <v>364</v>
      </c>
      <c r="K318" s="50" t="str">
        <f aca="false">IFERROR(VLOOKUP($J318,Catálogos!$M$4:$N$17,2,FALSE()),"")</f>
        <v>Reprogramada · No disponibilidad de horas hombre del funcionario SEC por alta carga laboral</v>
      </c>
      <c r="L318" s="52" t="n">
        <v>46068</v>
      </c>
      <c r="M318" s="50" t="s">
        <v>353</v>
      </c>
      <c r="N318" s="50" t="s">
        <v>253</v>
      </c>
      <c r="O318" s="50"/>
      <c r="P318" s="50"/>
      <c r="Q318" s="50" t="s">
        <v>362</v>
      </c>
    </row>
    <row r="319" customFormat="false" ht="15" hidden="false" customHeight="true" outlineLevel="0" collapsed="false">
      <c r="A319" s="51" t="s">
        <v>609</v>
      </c>
      <c r="B319" s="50" t="str">
        <f aca="false">IFERROR(VLOOKUP($A319,Equipos!$C$2:$M$967,2,FALSE()),"")</f>
        <v>Monitor Multiparámetros</v>
      </c>
      <c r="C319" s="50" t="str">
        <f aca="false">IFERROR(VLOOKUP($A319,Equipos!$C$2:$M$967,9,FALSE()),"")</f>
        <v>6000873372</v>
      </c>
      <c r="D319" s="50" t="str">
        <f aca="false">IFERROR(VLOOKUP($A319,Equipos!$C$2:$M$967,3,FALSE()),"")</f>
        <v>Medicina</v>
      </c>
      <c r="E319" s="50" t="str">
        <f aca="false">IFERROR(VLOOKUP($A319,Equipos!$C$2:$M$967,7,FALSE()),"")</f>
        <v>Drager </v>
      </c>
      <c r="F319" s="50" t="str">
        <f aca="false">IFERROR(VLOOKUP($A319,Equipos!$C$2:$M$967,8,FALSE()),"")</f>
        <v>Infinity Vista XL </v>
      </c>
      <c r="G319" s="50" t="s">
        <v>515</v>
      </c>
      <c r="H319" s="50" t="s">
        <v>360</v>
      </c>
      <c r="I319" s="50"/>
      <c r="J319" s="50" t="s">
        <v>352</v>
      </c>
      <c r="K319" s="50" t="str">
        <f aca="false">IFERROR(VLOOKUP($J319,Catálogos!$M$4:$N$17,2,FALSE()),"")</f>
        <v>Mantención Preventiva Realizada</v>
      </c>
      <c r="L319" s="52" t="n">
        <v>46068</v>
      </c>
      <c r="M319" s="50" t="s">
        <v>353</v>
      </c>
      <c r="N319" s="50" t="s">
        <v>253</v>
      </c>
      <c r="O319" s="50"/>
      <c r="P319" s="50"/>
      <c r="Q319" s="50" t="s">
        <v>362</v>
      </c>
    </row>
    <row r="320" customFormat="false" ht="15" hidden="false" customHeight="true" outlineLevel="0" collapsed="false">
      <c r="A320" s="51" t="s">
        <v>434</v>
      </c>
      <c r="B320" s="50" t="str">
        <f aca="false">IFERROR(VLOOKUP($A320,Equipos!$C$2:$M$967,2,FALSE()),"")</f>
        <v>Monitor Multiparámetros</v>
      </c>
      <c r="C320" s="50" t="str">
        <f aca="false">IFERROR(VLOOKUP($A320,Equipos!$C$2:$M$967,9,FALSE()),"")</f>
        <v>6000874576</v>
      </c>
      <c r="D320" s="50" t="str">
        <f aca="false">IFERROR(VLOOKUP($A320,Equipos!$C$2:$M$967,3,FALSE()),"")</f>
        <v>UPC Cardiovascular</v>
      </c>
      <c r="E320" s="50" t="str">
        <f aca="false">IFERROR(VLOOKUP($A320,Equipos!$C$2:$M$967,7,FALSE()),"")</f>
        <v>Drager </v>
      </c>
      <c r="F320" s="50" t="str">
        <f aca="false">IFERROR(VLOOKUP($A320,Equipos!$C$2:$M$967,8,FALSE()),"")</f>
        <v>Infinity Vista XL </v>
      </c>
      <c r="G320" s="50" t="s">
        <v>515</v>
      </c>
      <c r="H320" s="50" t="s">
        <v>360</v>
      </c>
      <c r="I320" s="50"/>
      <c r="J320" s="50" t="s">
        <v>352</v>
      </c>
      <c r="K320" s="50" t="str">
        <f aca="false">IFERROR(VLOOKUP($J320,Catálogos!$M$4:$N$17,2,FALSE()),"")</f>
        <v>Mantención Preventiva Realizada</v>
      </c>
      <c r="L320" s="52" t="n">
        <v>46068</v>
      </c>
      <c r="M320" s="50" t="s">
        <v>353</v>
      </c>
      <c r="N320" s="50" t="s">
        <v>253</v>
      </c>
      <c r="O320" s="50"/>
      <c r="P320" s="50"/>
      <c r="Q320" s="50" t="s">
        <v>362</v>
      </c>
    </row>
    <row r="321" customFormat="false" ht="15" hidden="false" customHeight="true" outlineLevel="0" collapsed="false">
      <c r="A321" s="51" t="s">
        <v>435</v>
      </c>
      <c r="B321" s="50" t="str">
        <f aca="false">IFERROR(VLOOKUP($A321,Equipos!$C$2:$M$967,2,FALSE()),"")</f>
        <v>Monitor Multiparámetros</v>
      </c>
      <c r="C321" s="50" t="str">
        <f aca="false">IFERROR(VLOOKUP($A321,Equipos!$C$2:$M$967,9,FALSE()),"")</f>
        <v>1393-109314</v>
      </c>
      <c r="D321" s="50" t="str">
        <f aca="false">IFERROR(VLOOKUP($A321,Equipos!$C$2:$M$967,3,FALSE()),"")</f>
        <v>UPC Pediátrica</v>
      </c>
      <c r="E321" s="50" t="str">
        <f aca="false">IFERROR(VLOOKUP($A321,Equipos!$C$2:$M$967,7,FALSE()),"")</f>
        <v>SPACELABS HEALTHCARE</v>
      </c>
      <c r="F321" s="50" t="str">
        <f aca="false">IFERROR(VLOOKUP($A321,Equipos!$C$2:$M$967,8,FALSE()),"")</f>
        <v>XPREZZON</v>
      </c>
      <c r="G321" s="50" t="s">
        <v>515</v>
      </c>
      <c r="H321" s="50" t="s">
        <v>360</v>
      </c>
      <c r="I321" s="50"/>
      <c r="J321" s="50" t="s">
        <v>352</v>
      </c>
      <c r="K321" s="50" t="str">
        <f aca="false">IFERROR(VLOOKUP($J321,Catálogos!$M$4:$N$17,2,FALSE()),"")</f>
        <v>Mantención Preventiva Realizada</v>
      </c>
      <c r="L321" s="52" t="n">
        <v>46068</v>
      </c>
      <c r="M321" s="50" t="s">
        <v>353</v>
      </c>
      <c r="N321" s="50" t="s">
        <v>253</v>
      </c>
      <c r="O321" s="50"/>
      <c r="P321" s="50"/>
      <c r="Q321" s="50" t="s">
        <v>362</v>
      </c>
    </row>
    <row r="322" customFormat="false" ht="15" hidden="false" customHeight="true" outlineLevel="0" collapsed="false">
      <c r="A322" s="51" t="s">
        <v>436</v>
      </c>
      <c r="B322" s="50" t="str">
        <f aca="false">IFERROR(VLOOKUP($A322,Equipos!$C$2:$M$967,2,FALSE()),"")</f>
        <v>Monitor Multiparámetros</v>
      </c>
      <c r="C322" s="50" t="str">
        <f aca="false">IFERROR(VLOOKUP($A322,Equipos!$C$2:$M$967,9,FALSE()),"")</f>
        <v>1393-109325</v>
      </c>
      <c r="D322" s="50" t="str">
        <f aca="false">IFERROR(VLOOKUP($A322,Equipos!$C$2:$M$967,3,FALSE()),"")</f>
        <v>UPC Pediátrica</v>
      </c>
      <c r="E322" s="50" t="str">
        <f aca="false">IFERROR(VLOOKUP($A322,Equipos!$C$2:$M$967,7,FALSE()),"")</f>
        <v>SPACELABS HEALTHCARE</v>
      </c>
      <c r="F322" s="50" t="str">
        <f aca="false">IFERROR(VLOOKUP($A322,Equipos!$C$2:$M$967,8,FALSE()),"")</f>
        <v>XPREZZON</v>
      </c>
      <c r="G322" s="50" t="s">
        <v>515</v>
      </c>
      <c r="H322" s="50" t="s">
        <v>360</v>
      </c>
      <c r="I322" s="50"/>
      <c r="J322" s="50" t="s">
        <v>352</v>
      </c>
      <c r="K322" s="50" t="str">
        <f aca="false">IFERROR(VLOOKUP($J322,Catálogos!$M$4:$N$17,2,FALSE()),"")</f>
        <v>Mantención Preventiva Realizada</v>
      </c>
      <c r="L322" s="52" t="n">
        <v>46068</v>
      </c>
      <c r="M322" s="50" t="s">
        <v>353</v>
      </c>
      <c r="N322" s="50" t="s">
        <v>253</v>
      </c>
      <c r="O322" s="50"/>
      <c r="P322" s="50"/>
      <c r="Q322" s="50" t="s">
        <v>362</v>
      </c>
    </row>
    <row r="323" customFormat="false" ht="15" hidden="false" customHeight="true" outlineLevel="0" collapsed="false">
      <c r="A323" s="51" t="s">
        <v>610</v>
      </c>
      <c r="B323" s="50" t="str">
        <f aca="false">IFERROR(VLOOKUP($A323,Equipos!$C$2:$M$967,2,FALSE()),"")</f>
        <v>Monitor Multiparámetros</v>
      </c>
      <c r="C323" s="50" t="str">
        <f aca="false">IFERROR(VLOOKUP($A323,Equipos!$C$2:$M$967,9,FALSE()),"")</f>
        <v>VGSML0069</v>
      </c>
      <c r="D323" s="50" t="str">
        <f aca="false">IFERROR(VLOOKUP($A323,Equipos!$C$2:$M$967,3,FALSE()),"")</f>
        <v>Pabellón (Recuperación)</v>
      </c>
      <c r="E323" s="50" t="str">
        <f aca="false">IFERROR(VLOOKUP($A323,Equipos!$C$2:$M$967,7,FALSE()),"")</f>
        <v>Drager</v>
      </c>
      <c r="F323" s="50" t="str">
        <f aca="false">IFERROR(VLOOKUP($A323,Equipos!$C$2:$M$967,8,FALSE()),"")</f>
        <v>Vista 120</v>
      </c>
      <c r="G323" s="50" t="s">
        <v>515</v>
      </c>
      <c r="H323" s="50" t="s">
        <v>360</v>
      </c>
      <c r="I323" s="50"/>
      <c r="J323" s="50" t="s">
        <v>352</v>
      </c>
      <c r="K323" s="50" t="str">
        <f aca="false">IFERROR(VLOOKUP($J323,Catálogos!$M$4:$N$17,2,FALSE()),"")</f>
        <v>Mantención Preventiva Realizada</v>
      </c>
      <c r="L323" s="52" t="n">
        <v>46068</v>
      </c>
      <c r="M323" s="50" t="s">
        <v>353</v>
      </c>
      <c r="N323" s="50" t="s">
        <v>253</v>
      </c>
      <c r="O323" s="50"/>
      <c r="P323" s="50"/>
      <c r="Q323" s="50" t="s">
        <v>362</v>
      </c>
    </row>
    <row r="324" customFormat="false" ht="15" hidden="false" customHeight="true" outlineLevel="0" collapsed="false">
      <c r="A324" s="51" t="s">
        <v>611</v>
      </c>
      <c r="B324" s="50" t="str">
        <f aca="false">IFERROR(VLOOKUP($A324,Equipos!$C$2:$M$967,2,FALSE()),"")</f>
        <v>Monitor Multiparámetros</v>
      </c>
      <c r="C324" s="50" t="str">
        <f aca="false">IFERROR(VLOOKUP($A324,Equipos!$C$2:$M$967,9,FALSE()),"")</f>
        <v>3643</v>
      </c>
      <c r="D324" s="50" t="str">
        <f aca="false">IFERROR(VLOOKUP($A324,Equipos!$C$2:$M$967,3,FALSE()),"")</f>
        <v>Cirugía Adulto</v>
      </c>
      <c r="E324" s="50" t="str">
        <f aca="false">IFERROR(VLOOKUP($A324,Equipos!$C$2:$M$967,7,FALSE()),"")</f>
        <v>Nihon Kohden </v>
      </c>
      <c r="F324" s="50" t="str">
        <f aca="false">IFERROR(VLOOKUP($A324,Equipos!$C$2:$M$967,8,FALSE()),"")</f>
        <v>BSM-2351K</v>
      </c>
      <c r="G324" s="50" t="s">
        <v>515</v>
      </c>
      <c r="H324" s="50" t="s">
        <v>360</v>
      </c>
      <c r="I324" s="50"/>
      <c r="J324" s="50" t="s">
        <v>361</v>
      </c>
      <c r="K324" s="50" t="str">
        <f aca="false">IFERROR(VLOOKUP($J324,Catálogos!$M$4:$N$17,2,FALSE()),"")</f>
        <v>Equipo Dado de Baja</v>
      </c>
      <c r="L324" s="52" t="n">
        <v>46068</v>
      </c>
      <c r="M324" s="50" t="s">
        <v>361</v>
      </c>
      <c r="N324" s="50" t="s">
        <v>253</v>
      </c>
      <c r="O324" s="50"/>
      <c r="P324" s="50"/>
      <c r="Q324" s="50" t="s">
        <v>362</v>
      </c>
    </row>
    <row r="325" customFormat="false" ht="15" hidden="false" customHeight="true" outlineLevel="0" collapsed="false">
      <c r="A325" s="51" t="s">
        <v>437</v>
      </c>
      <c r="B325" s="50" t="str">
        <f aca="false">IFERROR(VLOOKUP($A325,Equipos!$C$2:$M$967,2,FALSE()),"")</f>
        <v>Monitor Multiparámetros</v>
      </c>
      <c r="C325" s="50" t="str">
        <f aca="false">IFERROR(VLOOKUP($A325,Equipos!$C$2:$M$967,9,FALSE()),"")</f>
        <v>1393-109301</v>
      </c>
      <c r="D325" s="50" t="str">
        <f aca="false">IFERROR(VLOOKUP($A325,Equipos!$C$2:$M$967,3,FALSE()),"")</f>
        <v>UPC Pediátrica</v>
      </c>
      <c r="E325" s="50" t="str">
        <f aca="false">IFERROR(VLOOKUP($A325,Equipos!$C$2:$M$967,7,FALSE()),"")</f>
        <v>SPACELABS HEALTHCARE</v>
      </c>
      <c r="F325" s="50" t="str">
        <f aca="false">IFERROR(VLOOKUP($A325,Equipos!$C$2:$M$967,8,FALSE()),"")</f>
        <v>XPREZZON</v>
      </c>
      <c r="G325" s="50" t="s">
        <v>515</v>
      </c>
      <c r="H325" s="50" t="s">
        <v>360</v>
      </c>
      <c r="I325" s="50"/>
      <c r="J325" s="50" t="s">
        <v>352</v>
      </c>
      <c r="K325" s="50" t="str">
        <f aca="false">IFERROR(VLOOKUP($J325,Catálogos!$M$4:$N$17,2,FALSE()),"")</f>
        <v>Mantención Preventiva Realizada</v>
      </c>
      <c r="L325" s="52" t="n">
        <v>46068</v>
      </c>
      <c r="M325" s="50" t="s">
        <v>353</v>
      </c>
      <c r="N325" s="50" t="s">
        <v>253</v>
      </c>
      <c r="O325" s="50"/>
      <c r="P325" s="50"/>
      <c r="Q325" s="50" t="s">
        <v>362</v>
      </c>
    </row>
    <row r="326" customFormat="false" ht="15" hidden="false" customHeight="true" outlineLevel="0" collapsed="false">
      <c r="A326" s="51" t="s">
        <v>612</v>
      </c>
      <c r="B326" s="50" t="str">
        <f aca="false">IFERROR(VLOOKUP($A326,Equipos!$C$2:$M$967,2,FALSE()),"")</f>
        <v>Monitor Multiparámetros</v>
      </c>
      <c r="C326" s="50" t="str">
        <f aca="false">IFERROR(VLOOKUP($A326,Equipos!$C$2:$M$967,9,FALSE()),"")</f>
        <v>1054</v>
      </c>
      <c r="D326" s="50" t="str">
        <f aca="false">IFERROR(VLOOKUP($A326,Equipos!$C$2:$M$967,3,FALSE()),"")</f>
        <v>Medicina</v>
      </c>
      <c r="E326" s="50" t="str">
        <f aca="false">IFERROR(VLOOKUP($A326,Equipos!$C$2:$M$967,7,FALSE()),"")</f>
        <v>Nihon Kohden </v>
      </c>
      <c r="F326" s="50" t="str">
        <f aca="false">IFERROR(VLOOKUP($A326,Equipos!$C$2:$M$967,8,FALSE()),"")</f>
        <v>BSM-6301K</v>
      </c>
      <c r="G326" s="50" t="s">
        <v>515</v>
      </c>
      <c r="H326" s="50" t="s">
        <v>360</v>
      </c>
      <c r="I326" s="50"/>
      <c r="J326" s="50" t="s">
        <v>364</v>
      </c>
      <c r="K326" s="50" t="str">
        <f aca="false">IFERROR(VLOOKUP($J326,Catálogos!$M$4:$N$17,2,FALSE()),"")</f>
        <v>Reprogramada · No disponibilidad de horas hombre del funcionario SEC por alta carga laboral</v>
      </c>
      <c r="L326" s="52" t="n">
        <v>46068</v>
      </c>
      <c r="M326" s="50" t="s">
        <v>353</v>
      </c>
      <c r="N326" s="50" t="s">
        <v>253</v>
      </c>
      <c r="O326" s="50"/>
      <c r="P326" s="50"/>
      <c r="Q326" s="50" t="s">
        <v>362</v>
      </c>
    </row>
    <row r="327" customFormat="false" ht="15" hidden="false" customHeight="true" outlineLevel="0" collapsed="false">
      <c r="A327" s="51" t="s">
        <v>613</v>
      </c>
      <c r="B327" s="50" t="str">
        <f aca="false">IFERROR(VLOOKUP($A327,Equipos!$C$2:$M$967,2,FALSE()),"")</f>
        <v>Monitor Multiparámetros</v>
      </c>
      <c r="C327" s="50" t="str">
        <f aca="false">IFERROR(VLOOKUP($A327,Equipos!$C$2:$M$967,9,FALSE()),"")</f>
        <v>29789</v>
      </c>
      <c r="D327" s="50" t="str">
        <f aca="false">IFERROR(VLOOKUP($A327,Equipos!$C$2:$M$967,3,FALSE()),"")</f>
        <v>Medicina</v>
      </c>
      <c r="E327" s="50" t="str">
        <f aca="false">IFERROR(VLOOKUP($A327,Equipos!$C$2:$M$967,7,FALSE()),"")</f>
        <v>Nihon Kohden </v>
      </c>
      <c r="F327" s="50" t="str">
        <f aca="false">IFERROR(VLOOKUP($A327,Equipos!$C$2:$M$967,8,FALSE()),"")</f>
        <v>BSM-3562K</v>
      </c>
      <c r="G327" s="50" t="s">
        <v>515</v>
      </c>
      <c r="H327" s="50" t="s">
        <v>360</v>
      </c>
      <c r="I327" s="50"/>
      <c r="J327" s="50" t="s">
        <v>352</v>
      </c>
      <c r="K327" s="50" t="str">
        <f aca="false">IFERROR(VLOOKUP($J327,Catálogos!$M$4:$N$17,2,FALSE()),"")</f>
        <v>Mantención Preventiva Realizada</v>
      </c>
      <c r="L327" s="52" t="n">
        <v>46068</v>
      </c>
      <c r="M327" s="50" t="s">
        <v>353</v>
      </c>
      <c r="N327" s="50" t="s">
        <v>253</v>
      </c>
      <c r="O327" s="50"/>
      <c r="P327" s="50"/>
      <c r="Q327" s="50" t="s">
        <v>362</v>
      </c>
    </row>
    <row r="328" customFormat="false" ht="15" hidden="false" customHeight="true" outlineLevel="0" collapsed="false">
      <c r="A328" s="51" t="s">
        <v>614</v>
      </c>
      <c r="B328" s="50" t="str">
        <f aca="false">IFERROR(VLOOKUP($A328,Equipos!$C$2:$M$967,2,FALSE()),"")</f>
        <v>Monitor Multiparámetros</v>
      </c>
      <c r="C328" s="50" t="str">
        <f aca="false">IFERROR(VLOOKUP($A328,Equipos!$C$2:$M$967,9,FALSE()),"")</f>
        <v>1069</v>
      </c>
      <c r="D328" s="50" t="str">
        <f aca="false">IFERROR(VLOOKUP($A328,Equipos!$C$2:$M$967,3,FALSE()),"")</f>
        <v>Medicina</v>
      </c>
      <c r="E328" s="50" t="str">
        <f aca="false">IFERROR(VLOOKUP($A328,Equipos!$C$2:$M$967,7,FALSE()),"")</f>
        <v>Nihon Kohden </v>
      </c>
      <c r="F328" s="50" t="str">
        <f aca="false">IFERROR(VLOOKUP($A328,Equipos!$C$2:$M$967,8,FALSE()),"")</f>
        <v>BSM-6301K</v>
      </c>
      <c r="G328" s="50" t="s">
        <v>515</v>
      </c>
      <c r="H328" s="50" t="s">
        <v>360</v>
      </c>
      <c r="I328" s="50"/>
      <c r="J328" s="50" t="s">
        <v>364</v>
      </c>
      <c r="K328" s="50" t="str">
        <f aca="false">IFERROR(VLOOKUP($J328,Catálogos!$M$4:$N$17,2,FALSE()),"")</f>
        <v>Reprogramada · No disponibilidad de horas hombre del funcionario SEC por alta carga laboral</v>
      </c>
      <c r="L328" s="52" t="n">
        <v>46068</v>
      </c>
      <c r="M328" s="50" t="s">
        <v>353</v>
      </c>
      <c r="N328" s="50" t="s">
        <v>253</v>
      </c>
      <c r="O328" s="50"/>
      <c r="P328" s="50"/>
      <c r="Q328" s="50" t="s">
        <v>362</v>
      </c>
    </row>
    <row r="329" customFormat="false" ht="15" hidden="false" customHeight="true" outlineLevel="0" collapsed="false">
      <c r="A329" s="51" t="s">
        <v>438</v>
      </c>
      <c r="B329" s="50" t="str">
        <f aca="false">IFERROR(VLOOKUP($A329,Equipos!$C$2:$M$967,2,FALSE()),"")</f>
        <v>Monitor Multiparámetros</v>
      </c>
      <c r="C329" s="50" t="str">
        <f aca="false">IFERROR(VLOOKUP($A329,Equipos!$C$2:$M$967,9,FALSE()),"")</f>
        <v>1393-109310</v>
      </c>
      <c r="D329" s="50" t="str">
        <f aca="false">IFERROR(VLOOKUP($A329,Equipos!$C$2:$M$967,3,FALSE()),"")</f>
        <v>UPC Pediátrica</v>
      </c>
      <c r="E329" s="50" t="str">
        <f aca="false">IFERROR(VLOOKUP($A329,Equipos!$C$2:$M$967,7,FALSE()),"")</f>
        <v>SPACELABS HEALTHCARE</v>
      </c>
      <c r="F329" s="50" t="str">
        <f aca="false">IFERROR(VLOOKUP($A329,Equipos!$C$2:$M$967,8,FALSE()),"")</f>
        <v>XPREZZON</v>
      </c>
      <c r="G329" s="50" t="s">
        <v>515</v>
      </c>
      <c r="H329" s="50" t="s">
        <v>360</v>
      </c>
      <c r="I329" s="50"/>
      <c r="J329" s="50" t="s">
        <v>352</v>
      </c>
      <c r="K329" s="50" t="str">
        <f aca="false">IFERROR(VLOOKUP($J329,Catálogos!$M$4:$N$17,2,FALSE()),"")</f>
        <v>Mantención Preventiva Realizada</v>
      </c>
      <c r="L329" s="52" t="n">
        <v>46068</v>
      </c>
      <c r="M329" s="50" t="s">
        <v>353</v>
      </c>
      <c r="N329" s="50" t="s">
        <v>253</v>
      </c>
      <c r="O329" s="50"/>
      <c r="P329" s="50"/>
      <c r="Q329" s="50" t="s">
        <v>362</v>
      </c>
    </row>
    <row r="330" customFormat="false" ht="15" hidden="false" customHeight="true" outlineLevel="0" collapsed="false">
      <c r="A330" s="51" t="s">
        <v>439</v>
      </c>
      <c r="B330" s="50" t="str">
        <f aca="false">IFERROR(VLOOKUP($A330,Equipos!$C$2:$M$967,2,FALSE()),"")</f>
        <v>Monitor Multiparámetros</v>
      </c>
      <c r="C330" s="50" t="str">
        <f aca="false">IFERROR(VLOOKUP($A330,Equipos!$C$2:$M$967,9,FALSE()),"")</f>
        <v>1393-109309</v>
      </c>
      <c r="D330" s="50" t="str">
        <f aca="false">IFERROR(VLOOKUP($A330,Equipos!$C$2:$M$967,3,FALSE()),"")</f>
        <v>UPC Pediátrica</v>
      </c>
      <c r="E330" s="50" t="str">
        <f aca="false">IFERROR(VLOOKUP($A330,Equipos!$C$2:$M$967,7,FALSE()),"")</f>
        <v>SPACELABS HEALTHCARE</v>
      </c>
      <c r="F330" s="50" t="str">
        <f aca="false">IFERROR(VLOOKUP($A330,Equipos!$C$2:$M$967,8,FALSE()),"")</f>
        <v>XPREZZON</v>
      </c>
      <c r="G330" s="50" t="s">
        <v>515</v>
      </c>
      <c r="H330" s="50" t="s">
        <v>360</v>
      </c>
      <c r="I330" s="50"/>
      <c r="J330" s="50" t="s">
        <v>352</v>
      </c>
      <c r="K330" s="50" t="str">
        <f aca="false">IFERROR(VLOOKUP($J330,Catálogos!$M$4:$N$17,2,FALSE()),"")</f>
        <v>Mantención Preventiva Realizada</v>
      </c>
      <c r="L330" s="52" t="n">
        <v>46068</v>
      </c>
      <c r="M330" s="50" t="s">
        <v>353</v>
      </c>
      <c r="N330" s="50" t="s">
        <v>253</v>
      </c>
      <c r="O330" s="50"/>
      <c r="P330" s="50"/>
      <c r="Q330" s="50" t="s">
        <v>362</v>
      </c>
    </row>
    <row r="331" customFormat="false" ht="15" hidden="false" customHeight="true" outlineLevel="0" collapsed="false">
      <c r="A331" s="51" t="s">
        <v>192</v>
      </c>
      <c r="B331" s="50" t="str">
        <f aca="false">IFERROR(VLOOKUP($A331,Equipos!$C$2:$M$967,2,FALSE()),"")</f>
        <v>Monitor Multiparámetros</v>
      </c>
      <c r="C331" s="50" t="str">
        <f aca="false">IFERROR(VLOOKUP($A331,Equipos!$C$2:$M$967,9,FALSE()),"")</f>
        <v>1045</v>
      </c>
      <c r="D331" s="50" t="str">
        <f aca="false">IFERROR(VLOOKUP($A331,Equipos!$C$2:$M$967,3,FALSE()),"")</f>
        <v>Medicina</v>
      </c>
      <c r="E331" s="50" t="str">
        <f aca="false">IFERROR(VLOOKUP($A331,Equipos!$C$2:$M$967,7,FALSE()),"")</f>
        <v>Nihon Kohden </v>
      </c>
      <c r="F331" s="50" t="str">
        <f aca="false">IFERROR(VLOOKUP($A331,Equipos!$C$2:$M$967,8,FALSE()),"")</f>
        <v>BSM-6301K</v>
      </c>
      <c r="G331" s="50" t="s">
        <v>515</v>
      </c>
      <c r="H331" s="50" t="s">
        <v>360</v>
      </c>
      <c r="I331" s="50"/>
      <c r="J331" s="50" t="s">
        <v>332</v>
      </c>
      <c r="K331" s="50" t="str">
        <f aca="false">IFERROR(VLOOKUP($J331,Catálogos!$M$4:$N$17,2,FALSE()),"")</f>
        <v>Reprogramada · Equipo en servicio técnico</v>
      </c>
      <c r="L331" s="52" t="n">
        <v>46068</v>
      </c>
      <c r="M331" s="50" t="s">
        <v>6</v>
      </c>
      <c r="N331" s="50" t="s">
        <v>253</v>
      </c>
      <c r="O331" s="50"/>
      <c r="P331" s="50"/>
      <c r="Q331" s="50" t="s">
        <v>362</v>
      </c>
    </row>
    <row r="332" customFormat="false" ht="15" hidden="false" customHeight="true" outlineLevel="0" collapsed="false">
      <c r="A332" s="51" t="s">
        <v>615</v>
      </c>
      <c r="B332" s="50" t="str">
        <f aca="false">IFERROR(VLOOKUP($A332,Equipos!$C$2:$M$967,2,FALSE()),"")</f>
        <v>Monitor Multiparámetros</v>
      </c>
      <c r="C332" s="50" t="str">
        <f aca="false">IFERROR(VLOOKUP($A332,Equipos!$C$2:$M$967,9,FALSE()),"")</f>
        <v>1058</v>
      </c>
      <c r="D332" s="50" t="str">
        <f aca="false">IFERROR(VLOOKUP($A332,Equipos!$C$2:$M$967,3,FALSE()),"")</f>
        <v>Medicina (Prestado a medicina cardiovascular)</v>
      </c>
      <c r="E332" s="50" t="str">
        <f aca="false">IFERROR(VLOOKUP($A332,Equipos!$C$2:$M$967,7,FALSE()),"")</f>
        <v>Nihon Kohden </v>
      </c>
      <c r="F332" s="50" t="str">
        <f aca="false">IFERROR(VLOOKUP($A332,Equipos!$C$2:$M$967,8,FALSE()),"")</f>
        <v>BSM-6301K</v>
      </c>
      <c r="G332" s="50" t="s">
        <v>515</v>
      </c>
      <c r="H332" s="50" t="s">
        <v>360</v>
      </c>
      <c r="I332" s="50"/>
      <c r="J332" s="50" t="s">
        <v>364</v>
      </c>
      <c r="K332" s="50" t="str">
        <f aca="false">IFERROR(VLOOKUP($J332,Catálogos!$M$4:$N$17,2,FALSE()),"")</f>
        <v>Reprogramada · No disponibilidad de horas hombre del funcionario SEC por alta carga laboral</v>
      </c>
      <c r="L332" s="52" t="n">
        <v>46068</v>
      </c>
      <c r="M332" s="50" t="s">
        <v>353</v>
      </c>
      <c r="N332" s="50" t="s">
        <v>253</v>
      </c>
      <c r="O332" s="50"/>
      <c r="P332" s="50"/>
      <c r="Q332" s="50" t="s">
        <v>362</v>
      </c>
    </row>
    <row r="333" customFormat="false" ht="15" hidden="false" customHeight="true" outlineLevel="0" collapsed="false">
      <c r="A333" s="51" t="s">
        <v>616</v>
      </c>
      <c r="B333" s="50" t="str">
        <f aca="false">IFERROR(VLOOKUP($A333,Equipos!$C$2:$M$967,2,FALSE()),"")</f>
        <v>Monitor Multiparámetros</v>
      </c>
      <c r="C333" s="50" t="str">
        <f aca="false">IFERROR(VLOOKUP($A333,Equipos!$C$2:$M$967,9,FALSE()),"")</f>
        <v>1042</v>
      </c>
      <c r="D333" s="50" t="str">
        <f aca="false">IFERROR(VLOOKUP($A333,Equipos!$C$2:$M$967,3,FALSE()),"")</f>
        <v>Medicina</v>
      </c>
      <c r="E333" s="50" t="str">
        <f aca="false">IFERROR(VLOOKUP($A333,Equipos!$C$2:$M$967,7,FALSE()),"")</f>
        <v>Nihon Kohden </v>
      </c>
      <c r="F333" s="50" t="str">
        <f aca="false">IFERROR(VLOOKUP($A333,Equipos!$C$2:$M$967,8,FALSE()),"")</f>
        <v>BSM-6301K</v>
      </c>
      <c r="G333" s="50" t="s">
        <v>515</v>
      </c>
      <c r="H333" s="50" t="s">
        <v>360</v>
      </c>
      <c r="I333" s="50"/>
      <c r="J333" s="50" t="s">
        <v>352</v>
      </c>
      <c r="K333" s="50" t="str">
        <f aca="false">IFERROR(VLOOKUP($J333,Catálogos!$M$4:$N$17,2,FALSE()),"")</f>
        <v>Mantención Preventiva Realizada</v>
      </c>
      <c r="L333" s="52" t="n">
        <v>46068</v>
      </c>
      <c r="M333" s="50" t="s">
        <v>353</v>
      </c>
      <c r="N333" s="50" t="s">
        <v>253</v>
      </c>
      <c r="O333" s="50"/>
      <c r="P333" s="50"/>
      <c r="Q333" s="50" t="s">
        <v>362</v>
      </c>
    </row>
    <row r="334" customFormat="false" ht="15" hidden="false" customHeight="true" outlineLevel="0" collapsed="false">
      <c r="A334" s="51" t="s">
        <v>617</v>
      </c>
      <c r="B334" s="50" t="str">
        <f aca="false">IFERROR(VLOOKUP($A334,Equipos!$C$2:$M$967,2,FALSE()),"")</f>
        <v>Monitor Multiparámetros</v>
      </c>
      <c r="C334" s="50" t="str">
        <f aca="false">IFERROR(VLOOKUP($A334,Equipos!$C$2:$M$967,9,FALSE()),"")</f>
        <v>1067</v>
      </c>
      <c r="D334" s="50" t="str">
        <f aca="false">IFERROR(VLOOKUP($A334,Equipos!$C$2:$M$967,3,FALSE()),"")</f>
        <v>Medicina</v>
      </c>
      <c r="E334" s="50" t="str">
        <f aca="false">IFERROR(VLOOKUP($A334,Equipos!$C$2:$M$967,7,FALSE()),"")</f>
        <v>Nihon Kohden </v>
      </c>
      <c r="F334" s="50" t="str">
        <f aca="false">IFERROR(VLOOKUP($A334,Equipos!$C$2:$M$967,8,FALSE()),"")</f>
        <v>BSM-6301K</v>
      </c>
      <c r="G334" s="50" t="s">
        <v>515</v>
      </c>
      <c r="H334" s="50" t="s">
        <v>360</v>
      </c>
      <c r="I334" s="50"/>
      <c r="J334" s="50" t="s">
        <v>352</v>
      </c>
      <c r="K334" s="50" t="str">
        <f aca="false">IFERROR(VLOOKUP($J334,Catálogos!$M$4:$N$17,2,FALSE()),"")</f>
        <v>Mantención Preventiva Realizada</v>
      </c>
      <c r="L334" s="52" t="n">
        <v>46068</v>
      </c>
      <c r="M334" s="50" t="s">
        <v>353</v>
      </c>
      <c r="N334" s="50" t="s">
        <v>253</v>
      </c>
      <c r="O334" s="50"/>
      <c r="P334" s="50"/>
      <c r="Q334" s="50" t="s">
        <v>362</v>
      </c>
    </row>
    <row r="335" customFormat="false" ht="15" hidden="false" customHeight="true" outlineLevel="0" collapsed="false">
      <c r="A335" s="51" t="s">
        <v>618</v>
      </c>
      <c r="B335" s="50" t="str">
        <f aca="false">IFERROR(VLOOKUP($A335,Equipos!$C$2:$M$967,2,FALSE()),"")</f>
        <v>Monitor Multiparámetros</v>
      </c>
      <c r="C335" s="50" t="str">
        <f aca="false">IFERROR(VLOOKUP($A335,Equipos!$C$2:$M$967,9,FALSE()),"")</f>
        <v>1068</v>
      </c>
      <c r="D335" s="50" t="str">
        <f aca="false">IFERROR(VLOOKUP($A335,Equipos!$C$2:$M$967,3,FALSE()),"")</f>
        <v>Medicina (Prestado a medicina cardiovascular)</v>
      </c>
      <c r="E335" s="50" t="str">
        <f aca="false">IFERROR(VLOOKUP($A335,Equipos!$C$2:$M$967,7,FALSE()),"")</f>
        <v>Nihon Kohden </v>
      </c>
      <c r="F335" s="50" t="str">
        <f aca="false">IFERROR(VLOOKUP($A335,Equipos!$C$2:$M$967,8,FALSE()),"")</f>
        <v>BSM-6301K</v>
      </c>
      <c r="G335" s="50" t="s">
        <v>515</v>
      </c>
      <c r="H335" s="50" t="s">
        <v>360</v>
      </c>
      <c r="I335" s="50"/>
      <c r="J335" s="50" t="s">
        <v>364</v>
      </c>
      <c r="K335" s="50" t="str">
        <f aca="false">IFERROR(VLOOKUP($J335,Catálogos!$M$4:$N$17,2,FALSE()),"")</f>
        <v>Reprogramada · No disponibilidad de horas hombre del funcionario SEC por alta carga laboral</v>
      </c>
      <c r="L335" s="52" t="n">
        <v>46068</v>
      </c>
      <c r="M335" s="50" t="s">
        <v>353</v>
      </c>
      <c r="N335" s="50" t="s">
        <v>253</v>
      </c>
      <c r="O335" s="50"/>
      <c r="P335" s="50"/>
      <c r="Q335" s="50" t="s">
        <v>362</v>
      </c>
    </row>
    <row r="336" customFormat="false" ht="15" hidden="false" customHeight="true" outlineLevel="0" collapsed="false">
      <c r="A336" s="51" t="s">
        <v>619</v>
      </c>
      <c r="B336" s="50" t="str">
        <f aca="false">IFERROR(VLOOKUP($A336,Equipos!$C$2:$M$967,2,FALSE()),"")</f>
        <v>Monitor Multiparámetros</v>
      </c>
      <c r="C336" s="50" t="str">
        <f aca="false">IFERROR(VLOOKUP($A336,Equipos!$C$2:$M$967,9,FALSE()),"")</f>
        <v>1061</v>
      </c>
      <c r="D336" s="50" t="str">
        <f aca="false">IFERROR(VLOOKUP($A336,Equipos!$C$2:$M$967,3,FALSE()),"")</f>
        <v>Medicina</v>
      </c>
      <c r="E336" s="50" t="str">
        <f aca="false">IFERROR(VLOOKUP($A336,Equipos!$C$2:$M$967,7,FALSE()),"")</f>
        <v>Nihon Kohden </v>
      </c>
      <c r="F336" s="50" t="str">
        <f aca="false">IFERROR(VLOOKUP($A336,Equipos!$C$2:$M$967,8,FALSE()),"")</f>
        <v>BSM-6301K</v>
      </c>
      <c r="G336" s="50" t="s">
        <v>515</v>
      </c>
      <c r="H336" s="50" t="s">
        <v>360</v>
      </c>
      <c r="I336" s="50"/>
      <c r="J336" s="50" t="s">
        <v>352</v>
      </c>
      <c r="K336" s="50" t="str">
        <f aca="false">IFERROR(VLOOKUP($J336,Catálogos!$M$4:$N$17,2,FALSE()),"")</f>
        <v>Mantención Preventiva Realizada</v>
      </c>
      <c r="L336" s="52" t="n">
        <v>46068</v>
      </c>
      <c r="M336" s="50" t="s">
        <v>353</v>
      </c>
      <c r="N336" s="50" t="s">
        <v>253</v>
      </c>
      <c r="O336" s="50"/>
      <c r="P336" s="50"/>
      <c r="Q336" s="50" t="s">
        <v>362</v>
      </c>
    </row>
    <row r="337" customFormat="false" ht="15" hidden="false" customHeight="true" outlineLevel="0" collapsed="false">
      <c r="A337" s="51" t="s">
        <v>620</v>
      </c>
      <c r="B337" s="50" t="str">
        <f aca="false">IFERROR(VLOOKUP($A337,Equipos!$C$2:$M$967,2,FALSE()),"")</f>
        <v>Monitor Multiparámetros</v>
      </c>
      <c r="C337" s="50" t="str">
        <f aca="false">IFERROR(VLOOKUP($A337,Equipos!$C$2:$M$967,9,FALSE()),"")</f>
        <v>1073</v>
      </c>
      <c r="D337" s="50" t="str">
        <f aca="false">IFERROR(VLOOKUP($A337,Equipos!$C$2:$M$967,3,FALSE()),"")</f>
        <v>Medicina</v>
      </c>
      <c r="E337" s="50" t="str">
        <f aca="false">IFERROR(VLOOKUP($A337,Equipos!$C$2:$M$967,7,FALSE()),"")</f>
        <v>Nihon Kohden </v>
      </c>
      <c r="F337" s="50" t="str">
        <f aca="false">IFERROR(VLOOKUP($A337,Equipos!$C$2:$M$967,8,FALSE()),"")</f>
        <v>BSM-6301K</v>
      </c>
      <c r="G337" s="50" t="s">
        <v>515</v>
      </c>
      <c r="H337" s="50" t="s">
        <v>360</v>
      </c>
      <c r="I337" s="50"/>
      <c r="J337" s="50" t="s">
        <v>352</v>
      </c>
      <c r="K337" s="50" t="str">
        <f aca="false">IFERROR(VLOOKUP($J337,Catálogos!$M$4:$N$17,2,FALSE()),"")</f>
        <v>Mantención Preventiva Realizada</v>
      </c>
      <c r="L337" s="52" t="n">
        <v>46068</v>
      </c>
      <c r="M337" s="50" t="s">
        <v>353</v>
      </c>
      <c r="N337" s="50" t="s">
        <v>253</v>
      </c>
      <c r="O337" s="50"/>
      <c r="P337" s="50"/>
      <c r="Q337" s="50" t="s">
        <v>362</v>
      </c>
    </row>
    <row r="338" customFormat="false" ht="15" hidden="false" customHeight="true" outlineLevel="0" collapsed="false">
      <c r="A338" s="51" t="s">
        <v>621</v>
      </c>
      <c r="B338" s="50" t="str">
        <f aca="false">IFERROR(VLOOKUP($A338,Equipos!$C$2:$M$967,2,FALSE()),"")</f>
        <v>Monitor Multiparámetros</v>
      </c>
      <c r="C338" s="50" t="str">
        <f aca="false">IFERROR(VLOOKUP($A338,Equipos!$C$2:$M$967,9,FALSE()),"")</f>
        <v>1064</v>
      </c>
      <c r="D338" s="50" t="str">
        <f aca="false">IFERROR(VLOOKUP($A338,Equipos!$C$2:$M$967,3,FALSE()),"")</f>
        <v>Medicina</v>
      </c>
      <c r="E338" s="50" t="str">
        <f aca="false">IFERROR(VLOOKUP($A338,Equipos!$C$2:$M$967,7,FALSE()),"")</f>
        <v>Nihon Kohden </v>
      </c>
      <c r="F338" s="50" t="str">
        <f aca="false">IFERROR(VLOOKUP($A338,Equipos!$C$2:$M$967,8,FALSE()),"")</f>
        <v>BSM-6301K</v>
      </c>
      <c r="G338" s="50" t="s">
        <v>515</v>
      </c>
      <c r="H338" s="50" t="s">
        <v>360</v>
      </c>
      <c r="I338" s="50"/>
      <c r="J338" s="50" t="s">
        <v>364</v>
      </c>
      <c r="K338" s="50" t="str">
        <f aca="false">IFERROR(VLOOKUP($J338,Catálogos!$M$4:$N$17,2,FALSE()),"")</f>
        <v>Reprogramada · No disponibilidad de horas hombre del funcionario SEC por alta carga laboral</v>
      </c>
      <c r="L338" s="52" t="n">
        <v>46068</v>
      </c>
      <c r="M338" s="50" t="s">
        <v>353</v>
      </c>
      <c r="N338" s="50" t="s">
        <v>253</v>
      </c>
      <c r="O338" s="50"/>
      <c r="P338" s="50"/>
      <c r="Q338" s="50" t="s">
        <v>362</v>
      </c>
    </row>
    <row r="339" customFormat="false" ht="15" hidden="false" customHeight="true" outlineLevel="0" collapsed="false">
      <c r="A339" s="51" t="s">
        <v>440</v>
      </c>
      <c r="B339" s="50" t="str">
        <f aca="false">IFERROR(VLOOKUP($A339,Equipos!$C$2:$M$967,2,FALSE()),"")</f>
        <v>Monitor Multiparámetros</v>
      </c>
      <c r="C339" s="50" t="str">
        <f aca="false">IFERROR(VLOOKUP($A339,Equipos!$C$2:$M$967,9,FALSE()),"")</f>
        <v>1030</v>
      </c>
      <c r="D339" s="50" t="str">
        <f aca="false">IFERROR(VLOOKUP($A339,Equipos!$C$2:$M$967,3,FALSE()),"")</f>
        <v>Cirugía Infantil</v>
      </c>
      <c r="E339" s="50" t="str">
        <f aca="false">IFERROR(VLOOKUP($A339,Equipos!$C$2:$M$967,7,FALSE()),"")</f>
        <v>Nihon Kohden </v>
      </c>
      <c r="F339" s="50" t="str">
        <f aca="false">IFERROR(VLOOKUP($A339,Equipos!$C$2:$M$967,8,FALSE()),"")</f>
        <v>BSM-6301K</v>
      </c>
      <c r="G339" s="50" t="s">
        <v>515</v>
      </c>
      <c r="H339" s="50" t="s">
        <v>360</v>
      </c>
      <c r="I339" s="50"/>
      <c r="J339" s="50" t="s">
        <v>352</v>
      </c>
      <c r="K339" s="50" t="str">
        <f aca="false">IFERROR(VLOOKUP($J339,Catálogos!$M$4:$N$17,2,FALSE()),"")</f>
        <v>Mantención Preventiva Realizada</v>
      </c>
      <c r="L339" s="52" t="n">
        <v>46068</v>
      </c>
      <c r="M339" s="50" t="s">
        <v>353</v>
      </c>
      <c r="N339" s="50" t="s">
        <v>253</v>
      </c>
      <c r="O339" s="50"/>
      <c r="P339" s="50"/>
      <c r="Q339" s="50" t="s">
        <v>362</v>
      </c>
    </row>
    <row r="340" customFormat="false" ht="15" hidden="false" customHeight="true" outlineLevel="0" collapsed="false">
      <c r="A340" s="51" t="s">
        <v>441</v>
      </c>
      <c r="B340" s="50" t="str">
        <f aca="false">IFERROR(VLOOKUP($A340,Equipos!$C$2:$M$967,2,FALSE()),"")</f>
        <v>Monitor Multiparámetros</v>
      </c>
      <c r="C340" s="50" t="str">
        <f aca="false">IFERROR(VLOOKUP($A340,Equipos!$C$2:$M$967,9,FALSE()),"")</f>
        <v>212726126</v>
      </c>
      <c r="D340" s="50" t="str">
        <f aca="false">IFERROR(VLOOKUP($A340,Equipos!$C$2:$M$967,3,FALSE()),"")</f>
        <v>Pediatría</v>
      </c>
      <c r="E340" s="50" t="str">
        <f aca="false">IFERROR(VLOOKUP($A340,Equipos!$C$2:$M$967,7,FALSE()),"")</f>
        <v>Criticare </v>
      </c>
      <c r="F340" s="50" t="str">
        <f aca="false">IFERROR(VLOOKUP($A340,Equipos!$C$2:$M$967,8,FALSE()),"")</f>
        <v>8100E-S</v>
      </c>
      <c r="G340" s="50" t="s">
        <v>515</v>
      </c>
      <c r="H340" s="50" t="s">
        <v>360</v>
      </c>
      <c r="I340" s="50"/>
      <c r="J340" s="50" t="s">
        <v>352</v>
      </c>
      <c r="K340" s="50" t="str">
        <f aca="false">IFERROR(VLOOKUP($J340,Catálogos!$M$4:$N$17,2,FALSE()),"")</f>
        <v>Mantención Preventiva Realizada</v>
      </c>
      <c r="L340" s="52" t="n">
        <v>46068</v>
      </c>
      <c r="M340" s="50" t="s">
        <v>353</v>
      </c>
      <c r="N340" s="50" t="s">
        <v>253</v>
      </c>
      <c r="O340" s="50"/>
      <c r="P340" s="50"/>
      <c r="Q340" s="50" t="s">
        <v>362</v>
      </c>
    </row>
    <row r="341" customFormat="false" ht="15" hidden="false" customHeight="true" outlineLevel="0" collapsed="false">
      <c r="A341" s="51" t="s">
        <v>442</v>
      </c>
      <c r="B341" s="50" t="str">
        <f aca="false">IFERROR(VLOOKUP($A341,Equipos!$C$2:$M$967,2,FALSE()),"")</f>
        <v>Monitor Multiparámetros</v>
      </c>
      <c r="C341" s="50" t="str">
        <f aca="false">IFERROR(VLOOKUP($A341,Equipos!$C$2:$M$967,9,FALSE()),"")</f>
        <v>1062</v>
      </c>
      <c r="D341" s="50" t="str">
        <f aca="false">IFERROR(VLOOKUP($A341,Equipos!$C$2:$M$967,3,FALSE()),"")</f>
        <v>Pediatría</v>
      </c>
      <c r="E341" s="50" t="str">
        <f aca="false">IFERROR(VLOOKUP($A341,Equipos!$C$2:$M$967,7,FALSE()),"")</f>
        <v>Nihon Kohden </v>
      </c>
      <c r="F341" s="50" t="str">
        <f aca="false">IFERROR(VLOOKUP($A341,Equipos!$C$2:$M$967,8,FALSE()),"")</f>
        <v>BSM-6301K</v>
      </c>
      <c r="G341" s="50" t="s">
        <v>515</v>
      </c>
      <c r="H341" s="50" t="s">
        <v>360</v>
      </c>
      <c r="I341" s="50"/>
      <c r="J341" s="50" t="s">
        <v>352</v>
      </c>
      <c r="K341" s="50" t="str">
        <f aca="false">IFERROR(VLOOKUP($J341,Catálogos!$M$4:$N$17,2,FALSE()),"")</f>
        <v>Mantención Preventiva Realizada</v>
      </c>
      <c r="L341" s="52" t="n">
        <v>46068</v>
      </c>
      <c r="M341" s="50" t="s">
        <v>353</v>
      </c>
      <c r="N341" s="50" t="s">
        <v>253</v>
      </c>
      <c r="O341" s="50"/>
      <c r="P341" s="50"/>
      <c r="Q341" s="50" t="s">
        <v>362</v>
      </c>
    </row>
    <row r="342" customFormat="false" ht="15" hidden="false" customHeight="true" outlineLevel="0" collapsed="false">
      <c r="A342" s="51" t="s">
        <v>443</v>
      </c>
      <c r="B342" s="50" t="str">
        <f aca="false">IFERROR(VLOOKUP($A342,Equipos!$C$2:$M$967,2,FALSE()),"")</f>
        <v>Monitor Multiparámetros</v>
      </c>
      <c r="C342" s="50" t="str">
        <f aca="false">IFERROR(VLOOKUP($A342,Equipos!$C$2:$M$967,9,FALSE()),"")</f>
        <v>212726134</v>
      </c>
      <c r="D342" s="50" t="str">
        <f aca="false">IFERROR(VLOOKUP($A342,Equipos!$C$2:$M$967,3,FALSE()),"")</f>
        <v>Pediatría</v>
      </c>
      <c r="E342" s="50" t="str">
        <f aca="false">IFERROR(VLOOKUP($A342,Equipos!$C$2:$M$967,7,FALSE()),"")</f>
        <v>Criticare </v>
      </c>
      <c r="F342" s="50" t="str">
        <f aca="false">IFERROR(VLOOKUP($A342,Equipos!$C$2:$M$967,8,FALSE()),"")</f>
        <v>8100E-S</v>
      </c>
      <c r="G342" s="50" t="s">
        <v>515</v>
      </c>
      <c r="H342" s="50" t="s">
        <v>360</v>
      </c>
      <c r="I342" s="50"/>
      <c r="J342" s="50" t="s">
        <v>352</v>
      </c>
      <c r="K342" s="50" t="str">
        <f aca="false">IFERROR(VLOOKUP($J342,Catálogos!$M$4:$N$17,2,FALSE()),"")</f>
        <v>Mantención Preventiva Realizada</v>
      </c>
      <c r="L342" s="52" t="n">
        <v>46068</v>
      </c>
      <c r="M342" s="50" t="s">
        <v>353</v>
      </c>
      <c r="N342" s="50" t="s">
        <v>253</v>
      </c>
      <c r="O342" s="50"/>
      <c r="P342" s="50"/>
      <c r="Q342" s="50" t="s">
        <v>362</v>
      </c>
    </row>
    <row r="343" customFormat="false" ht="15" hidden="false" customHeight="true" outlineLevel="0" collapsed="false">
      <c r="A343" s="51" t="s">
        <v>444</v>
      </c>
      <c r="B343" s="50" t="str">
        <f aca="false">IFERROR(VLOOKUP($A343,Equipos!$C$2:$M$967,2,FALSE()),"")</f>
        <v>Monitor Multiparámetros</v>
      </c>
      <c r="C343" s="50" t="str">
        <f aca="false">IFERROR(VLOOKUP($A343,Equipos!$C$2:$M$967,9,FALSE()),"")</f>
        <v>212726139</v>
      </c>
      <c r="D343" s="50" t="str">
        <f aca="false">IFERROR(VLOOKUP($A343,Equipos!$C$2:$M$967,3,FALSE()),"")</f>
        <v>Pediatría</v>
      </c>
      <c r="E343" s="50" t="str">
        <f aca="false">IFERROR(VLOOKUP($A343,Equipos!$C$2:$M$967,7,FALSE()),"")</f>
        <v>Criticare </v>
      </c>
      <c r="F343" s="50" t="str">
        <f aca="false">IFERROR(VLOOKUP($A343,Equipos!$C$2:$M$967,8,FALSE()),"")</f>
        <v>8100E-S</v>
      </c>
      <c r="G343" s="50" t="s">
        <v>515</v>
      </c>
      <c r="H343" s="50" t="s">
        <v>360</v>
      </c>
      <c r="I343" s="50"/>
      <c r="J343" s="50" t="s">
        <v>352</v>
      </c>
      <c r="K343" s="50" t="str">
        <f aca="false">IFERROR(VLOOKUP($J343,Catálogos!$M$4:$N$17,2,FALSE()),"")</f>
        <v>Mantención Preventiva Realizada</v>
      </c>
      <c r="L343" s="52" t="n">
        <v>46068</v>
      </c>
      <c r="M343" s="50" t="s">
        <v>353</v>
      </c>
      <c r="N343" s="50" t="s">
        <v>253</v>
      </c>
      <c r="O343" s="50"/>
      <c r="P343" s="50"/>
      <c r="Q343" s="50" t="s">
        <v>362</v>
      </c>
    </row>
    <row r="344" customFormat="false" ht="15" hidden="false" customHeight="true" outlineLevel="0" collapsed="false">
      <c r="A344" s="51" t="s">
        <v>445</v>
      </c>
      <c r="B344" s="50" t="str">
        <f aca="false">IFERROR(VLOOKUP($A344,Equipos!$C$2:$M$967,2,FALSE()),"")</f>
        <v>Monitor Multiparámetros</v>
      </c>
      <c r="C344" s="50" t="str">
        <f aca="false">IFERROR(VLOOKUP($A344,Equipos!$C$2:$M$967,9,FALSE()),"")</f>
        <v>1393-109300</v>
      </c>
      <c r="D344" s="50" t="str">
        <f aca="false">IFERROR(VLOOKUP($A344,Equipos!$C$2:$M$967,3,FALSE()),"")</f>
        <v>UPC Pediátrica</v>
      </c>
      <c r="E344" s="50" t="str">
        <f aca="false">IFERROR(VLOOKUP($A344,Equipos!$C$2:$M$967,7,FALSE()),"")</f>
        <v>SPACELABS HEALTHCARE</v>
      </c>
      <c r="F344" s="50" t="str">
        <f aca="false">IFERROR(VLOOKUP($A344,Equipos!$C$2:$M$967,8,FALSE()),"")</f>
        <v>XPREZZON</v>
      </c>
      <c r="G344" s="50" t="s">
        <v>515</v>
      </c>
      <c r="H344" s="50" t="s">
        <v>360</v>
      </c>
      <c r="I344" s="50"/>
      <c r="J344" s="50" t="s">
        <v>352</v>
      </c>
      <c r="K344" s="50" t="str">
        <f aca="false">IFERROR(VLOOKUP($J344,Catálogos!$M$4:$N$17,2,FALSE()),"")</f>
        <v>Mantención Preventiva Realizada</v>
      </c>
      <c r="L344" s="52" t="n">
        <v>46068</v>
      </c>
      <c r="M344" s="50" t="s">
        <v>353</v>
      </c>
      <c r="N344" s="50" t="s">
        <v>253</v>
      </c>
      <c r="O344" s="50"/>
      <c r="P344" s="50"/>
      <c r="Q344" s="50" t="s">
        <v>362</v>
      </c>
    </row>
    <row r="345" customFormat="false" ht="15" hidden="false" customHeight="true" outlineLevel="0" collapsed="false">
      <c r="A345" s="51" t="s">
        <v>446</v>
      </c>
      <c r="B345" s="50" t="str">
        <f aca="false">IFERROR(VLOOKUP($A345,Equipos!$C$2:$M$967,2,FALSE()),"")</f>
        <v>Monitor Multiparámetros</v>
      </c>
      <c r="C345" s="50" t="str">
        <f aca="false">IFERROR(VLOOKUP($A345,Equipos!$C$2:$M$967,9,FALSE()),"")</f>
        <v>100640</v>
      </c>
      <c r="D345" s="50" t="str">
        <f aca="false">IFERROR(VLOOKUP($A345,Equipos!$C$2:$M$967,3,FALSE()),"")</f>
        <v>Pediatría</v>
      </c>
      <c r="E345" s="50" t="str">
        <f aca="false">IFERROR(VLOOKUP($A345,Equipos!$C$2:$M$967,7,FALSE()),"")</f>
        <v>Nihon Kohden </v>
      </c>
      <c r="F345" s="50" t="str">
        <f aca="false">IFERROR(VLOOKUP($A345,Equipos!$C$2:$M$967,8,FALSE()),"")</f>
        <v>PVM-2701K</v>
      </c>
      <c r="G345" s="50" t="s">
        <v>515</v>
      </c>
      <c r="H345" s="50" t="s">
        <v>360</v>
      </c>
      <c r="I345" s="50"/>
      <c r="J345" s="50" t="s">
        <v>352</v>
      </c>
      <c r="K345" s="50" t="str">
        <f aca="false">IFERROR(VLOOKUP($J345,Catálogos!$M$4:$N$17,2,FALSE()),"")</f>
        <v>Mantención Preventiva Realizada</v>
      </c>
      <c r="L345" s="52" t="n">
        <v>46068</v>
      </c>
      <c r="M345" s="50" t="s">
        <v>353</v>
      </c>
      <c r="N345" s="50" t="s">
        <v>253</v>
      </c>
      <c r="O345" s="50"/>
      <c r="P345" s="50"/>
      <c r="Q345" s="50" t="s">
        <v>362</v>
      </c>
    </row>
    <row r="346" customFormat="false" ht="15" hidden="false" customHeight="true" outlineLevel="0" collapsed="false">
      <c r="A346" s="51" t="s">
        <v>447</v>
      </c>
      <c r="B346" s="50" t="str">
        <f aca="false">IFERROR(VLOOKUP($A346,Equipos!$C$2:$M$967,2,FALSE()),"")</f>
        <v>Monitor Multiparámetros</v>
      </c>
      <c r="C346" s="50" t="str">
        <f aca="false">IFERROR(VLOOKUP($A346,Equipos!$C$2:$M$967,9,FALSE()),"")</f>
        <v>100649</v>
      </c>
      <c r="D346" s="50" t="str">
        <f aca="false">IFERROR(VLOOKUP($A346,Equipos!$C$2:$M$967,3,FALSE()),"")</f>
        <v>Pediatría</v>
      </c>
      <c r="E346" s="50" t="str">
        <f aca="false">IFERROR(VLOOKUP($A346,Equipos!$C$2:$M$967,7,FALSE()),"")</f>
        <v>Nihon Kohden </v>
      </c>
      <c r="F346" s="50" t="str">
        <f aca="false">IFERROR(VLOOKUP($A346,Equipos!$C$2:$M$967,8,FALSE()),"")</f>
        <v>PVM-2701K</v>
      </c>
      <c r="G346" s="50" t="s">
        <v>515</v>
      </c>
      <c r="H346" s="50" t="s">
        <v>360</v>
      </c>
      <c r="I346" s="50"/>
      <c r="J346" s="50" t="s">
        <v>352</v>
      </c>
      <c r="K346" s="50" t="str">
        <f aca="false">IFERROR(VLOOKUP($J346,Catálogos!$M$4:$N$17,2,FALSE()),"")</f>
        <v>Mantención Preventiva Realizada</v>
      </c>
      <c r="L346" s="52" t="n">
        <v>46068</v>
      </c>
      <c r="M346" s="50" t="s">
        <v>353</v>
      </c>
      <c r="N346" s="50" t="s">
        <v>253</v>
      </c>
      <c r="O346" s="50"/>
      <c r="P346" s="50"/>
      <c r="Q346" s="50" t="s">
        <v>362</v>
      </c>
    </row>
    <row r="347" customFormat="false" ht="15" hidden="false" customHeight="true" outlineLevel="0" collapsed="false">
      <c r="A347" s="51" t="s">
        <v>448</v>
      </c>
      <c r="B347" s="50" t="str">
        <f aca="false">IFERROR(VLOOKUP($A347,Equipos!$C$2:$M$967,2,FALSE()),"")</f>
        <v>Monitor Multiparámetros</v>
      </c>
      <c r="C347" s="50" t="str">
        <f aca="false">IFERROR(VLOOKUP($A347,Equipos!$C$2:$M$967,9,FALSE()),"")</f>
        <v>5516414472</v>
      </c>
      <c r="D347" s="50" t="str">
        <f aca="false">IFERROR(VLOOKUP($A347,Equipos!$C$2:$M$967,3,FALSE()),"")</f>
        <v>Pediatría</v>
      </c>
      <c r="E347" s="50" t="str">
        <f aca="false">IFERROR(VLOOKUP($A347,Equipos!$C$2:$M$967,7,FALSE()),"")</f>
        <v>Drager </v>
      </c>
      <c r="F347" s="50" t="str">
        <f aca="false">IFERROR(VLOOKUP($A347,Equipos!$C$2:$M$967,8,FALSE()),"")</f>
        <v>Infinity Vista </v>
      </c>
      <c r="G347" s="50" t="s">
        <v>515</v>
      </c>
      <c r="H347" s="50" t="s">
        <v>360</v>
      </c>
      <c r="I347" s="50"/>
      <c r="J347" s="50" t="s">
        <v>352</v>
      </c>
      <c r="K347" s="50" t="str">
        <f aca="false">IFERROR(VLOOKUP($J347,Catálogos!$M$4:$N$17,2,FALSE()),"")</f>
        <v>Mantención Preventiva Realizada</v>
      </c>
      <c r="L347" s="52" t="n">
        <v>46068</v>
      </c>
      <c r="M347" s="50" t="s">
        <v>353</v>
      </c>
      <c r="N347" s="50" t="s">
        <v>253</v>
      </c>
      <c r="O347" s="50"/>
      <c r="P347" s="50"/>
      <c r="Q347" s="50" t="s">
        <v>362</v>
      </c>
    </row>
    <row r="348" customFormat="false" ht="15" hidden="false" customHeight="true" outlineLevel="0" collapsed="false">
      <c r="A348" s="51" t="s">
        <v>449</v>
      </c>
      <c r="B348" s="50" t="str">
        <f aca="false">IFERROR(VLOOKUP($A348,Equipos!$C$2:$M$967,2,FALSE()),"")</f>
        <v>Monitor Multiparámetros</v>
      </c>
      <c r="C348" s="50" t="str">
        <f aca="false">IFERROR(VLOOKUP($A348,Equipos!$C$2:$M$967,9,FALSE()),"")</f>
        <v>1037</v>
      </c>
      <c r="D348" s="50" t="str">
        <f aca="false">IFERROR(VLOOKUP($A348,Equipos!$C$2:$M$967,3,FALSE()),"")</f>
        <v>Neonatología</v>
      </c>
      <c r="E348" s="50" t="str">
        <f aca="false">IFERROR(VLOOKUP($A348,Equipos!$C$2:$M$967,7,FALSE()),"")</f>
        <v>Nihon Kohden </v>
      </c>
      <c r="F348" s="50" t="str">
        <f aca="false">IFERROR(VLOOKUP($A348,Equipos!$C$2:$M$967,8,FALSE()),"")</f>
        <v>BSM-6301K</v>
      </c>
      <c r="G348" s="50" t="s">
        <v>515</v>
      </c>
      <c r="H348" s="50" t="s">
        <v>360</v>
      </c>
      <c r="I348" s="50"/>
      <c r="J348" s="50" t="s">
        <v>352</v>
      </c>
      <c r="K348" s="50" t="str">
        <f aca="false">IFERROR(VLOOKUP($J348,Catálogos!$M$4:$N$17,2,FALSE()),"")</f>
        <v>Mantención Preventiva Realizada</v>
      </c>
      <c r="L348" s="52" t="n">
        <v>46068</v>
      </c>
      <c r="M348" s="50" t="s">
        <v>353</v>
      </c>
      <c r="N348" s="50" t="s">
        <v>253</v>
      </c>
      <c r="O348" s="50"/>
      <c r="P348" s="50"/>
      <c r="Q348" s="50" t="s">
        <v>362</v>
      </c>
    </row>
    <row r="349" customFormat="false" ht="15" hidden="false" customHeight="true" outlineLevel="0" collapsed="false">
      <c r="A349" s="51" t="s">
        <v>450</v>
      </c>
      <c r="B349" s="50" t="str">
        <f aca="false">IFERROR(VLOOKUP($A349,Equipos!$C$2:$M$967,2,FALSE()),"")</f>
        <v>Monitor Multiparámetros</v>
      </c>
      <c r="C349" s="50" t="str">
        <f aca="false">IFERROR(VLOOKUP($A349,Equipos!$C$2:$M$967,9,FALSE()),"")</f>
        <v>5514422672</v>
      </c>
      <c r="D349" s="50" t="str">
        <f aca="false">IFERROR(VLOOKUP($A349,Equipos!$C$2:$M$967,3,FALSE()),"")</f>
        <v>Pediatría</v>
      </c>
      <c r="E349" s="50" t="str">
        <f aca="false">IFERROR(VLOOKUP($A349,Equipos!$C$2:$M$967,7,FALSE()),"")</f>
        <v>Drager </v>
      </c>
      <c r="F349" s="50" t="str">
        <f aca="false">IFERROR(VLOOKUP($A349,Equipos!$C$2:$M$967,8,FALSE()),"")</f>
        <v>Infinity Vista </v>
      </c>
      <c r="G349" s="50" t="s">
        <v>515</v>
      </c>
      <c r="H349" s="50" t="s">
        <v>360</v>
      </c>
      <c r="I349" s="50"/>
      <c r="J349" s="50" t="s">
        <v>352</v>
      </c>
      <c r="K349" s="50" t="str">
        <f aca="false">IFERROR(VLOOKUP($J349,Catálogos!$M$4:$N$17,2,FALSE()),"")</f>
        <v>Mantención Preventiva Realizada</v>
      </c>
      <c r="L349" s="52" t="n">
        <v>46068</v>
      </c>
      <c r="M349" s="50" t="s">
        <v>353</v>
      </c>
      <c r="N349" s="50" t="s">
        <v>253</v>
      </c>
      <c r="O349" s="50"/>
      <c r="P349" s="50"/>
      <c r="Q349" s="50" t="s">
        <v>362</v>
      </c>
    </row>
    <row r="350" customFormat="false" ht="15" hidden="false" customHeight="true" outlineLevel="0" collapsed="false">
      <c r="A350" s="51" t="s">
        <v>451</v>
      </c>
      <c r="B350" s="50" t="str">
        <f aca="false">IFERROR(VLOOKUP($A350,Equipos!$C$2:$M$967,2,FALSE()),"")</f>
        <v>Monitor Multiparámetros</v>
      </c>
      <c r="C350" s="50" t="str">
        <f aca="false">IFERROR(VLOOKUP($A350,Equipos!$C$2:$M$967,9,FALSE()),"")</f>
        <v>100657</v>
      </c>
      <c r="D350" s="50" t="str">
        <f aca="false">IFERROR(VLOOKUP($A350,Equipos!$C$2:$M$967,3,FALSE()),"")</f>
        <v>Neonatología</v>
      </c>
      <c r="E350" s="50" t="str">
        <f aca="false">IFERROR(VLOOKUP($A350,Equipos!$C$2:$M$967,7,FALSE()),"")</f>
        <v>Nihon Kohden </v>
      </c>
      <c r="F350" s="50" t="str">
        <f aca="false">IFERROR(VLOOKUP($A350,Equipos!$C$2:$M$967,8,FALSE()),"")</f>
        <v>PVM-2701K</v>
      </c>
      <c r="G350" s="50" t="s">
        <v>515</v>
      </c>
      <c r="H350" s="50" t="s">
        <v>360</v>
      </c>
      <c r="I350" s="50"/>
      <c r="J350" s="50" t="s">
        <v>352</v>
      </c>
      <c r="K350" s="50" t="str">
        <f aca="false">IFERROR(VLOOKUP($J350,Catálogos!$M$4:$N$17,2,FALSE()),"")</f>
        <v>Mantención Preventiva Realizada</v>
      </c>
      <c r="L350" s="52" t="n">
        <v>46068</v>
      </c>
      <c r="M350" s="50" t="s">
        <v>353</v>
      </c>
      <c r="N350" s="50" t="s">
        <v>253</v>
      </c>
      <c r="O350" s="50"/>
      <c r="P350" s="50"/>
      <c r="Q350" s="50" t="s">
        <v>362</v>
      </c>
    </row>
    <row r="351" customFormat="false" ht="15" hidden="false" customHeight="true" outlineLevel="0" collapsed="false">
      <c r="A351" s="51" t="s">
        <v>452</v>
      </c>
      <c r="B351" s="50" t="str">
        <f aca="false">IFERROR(VLOOKUP($A351,Equipos!$C$2:$M$967,2,FALSE()),"")</f>
        <v>Monitor Multiparámetros</v>
      </c>
      <c r="C351" s="50" t="str">
        <f aca="false">IFERROR(VLOOKUP($A351,Equipos!$C$2:$M$967,9,FALSE()),"")</f>
        <v>1051</v>
      </c>
      <c r="D351" s="50" t="str">
        <f aca="false">IFERROR(VLOOKUP($A351,Equipos!$C$2:$M$967,3,FALSE()),"")</f>
        <v>Neonatología</v>
      </c>
      <c r="E351" s="50" t="str">
        <f aca="false">IFERROR(VLOOKUP($A351,Equipos!$C$2:$M$967,7,FALSE()),"")</f>
        <v>Nihon Kohden </v>
      </c>
      <c r="F351" s="50" t="str">
        <f aca="false">IFERROR(VLOOKUP($A351,Equipos!$C$2:$M$967,8,FALSE()),"")</f>
        <v>BSM-6301K</v>
      </c>
      <c r="G351" s="50" t="s">
        <v>515</v>
      </c>
      <c r="H351" s="50" t="s">
        <v>360</v>
      </c>
      <c r="I351" s="50"/>
      <c r="J351" s="50" t="s">
        <v>352</v>
      </c>
      <c r="K351" s="50" t="str">
        <f aca="false">IFERROR(VLOOKUP($J351,Catálogos!$M$4:$N$17,2,FALSE()),"")</f>
        <v>Mantención Preventiva Realizada</v>
      </c>
      <c r="L351" s="52" t="n">
        <v>46068</v>
      </c>
      <c r="M351" s="50" t="s">
        <v>353</v>
      </c>
      <c r="N351" s="50" t="s">
        <v>253</v>
      </c>
      <c r="O351" s="50"/>
      <c r="P351" s="50"/>
      <c r="Q351" s="50" t="s">
        <v>362</v>
      </c>
    </row>
    <row r="352" customFormat="false" ht="15" hidden="false" customHeight="true" outlineLevel="0" collapsed="false">
      <c r="A352" s="51" t="s">
        <v>453</v>
      </c>
      <c r="B352" s="50" t="str">
        <f aca="false">IFERROR(VLOOKUP($A352,Equipos!$C$2:$M$967,2,FALSE()),"")</f>
        <v>Monitor Multiparámetros</v>
      </c>
      <c r="C352" s="50" t="str">
        <f aca="false">IFERROR(VLOOKUP($A352,Equipos!$C$2:$M$967,9,FALSE()),"")</f>
        <v>5516412278</v>
      </c>
      <c r="D352" s="50" t="str">
        <f aca="false">IFERROR(VLOOKUP($A352,Equipos!$C$2:$M$967,3,FALSE()),"")</f>
        <v>Pediatría</v>
      </c>
      <c r="E352" s="50" t="str">
        <f aca="false">IFERROR(VLOOKUP($A352,Equipos!$C$2:$M$967,7,FALSE()),"")</f>
        <v>Drager </v>
      </c>
      <c r="F352" s="50" t="str">
        <f aca="false">IFERROR(VLOOKUP($A352,Equipos!$C$2:$M$967,8,FALSE()),"")</f>
        <v>Infinity Vista </v>
      </c>
      <c r="G352" s="50" t="s">
        <v>515</v>
      </c>
      <c r="H352" s="50" t="s">
        <v>360</v>
      </c>
      <c r="I352" s="50"/>
      <c r="J352" s="50" t="s">
        <v>352</v>
      </c>
      <c r="K352" s="50" t="str">
        <f aca="false">IFERROR(VLOOKUP($J352,Catálogos!$M$4:$N$17,2,FALSE()),"")</f>
        <v>Mantención Preventiva Realizada</v>
      </c>
      <c r="L352" s="52" t="n">
        <v>46068</v>
      </c>
      <c r="M352" s="50" t="s">
        <v>353</v>
      </c>
      <c r="N352" s="50" t="s">
        <v>253</v>
      </c>
      <c r="O352" s="50"/>
      <c r="P352" s="50"/>
      <c r="Q352" s="50" t="s">
        <v>362</v>
      </c>
    </row>
    <row r="353" customFormat="false" ht="15" hidden="false" customHeight="true" outlineLevel="0" collapsed="false">
      <c r="A353" s="51" t="s">
        <v>454</v>
      </c>
      <c r="B353" s="50" t="str">
        <f aca="false">IFERROR(VLOOKUP($A353,Equipos!$C$2:$M$967,2,FALSE()),"")</f>
        <v>Monitor Multiparámetros</v>
      </c>
      <c r="C353" s="50" t="str">
        <f aca="false">IFERROR(VLOOKUP($A353,Equipos!$C$2:$M$967,9,FALSE()),"")</f>
        <v>5516412180</v>
      </c>
      <c r="D353" s="50" t="str">
        <f aca="false">IFERROR(VLOOKUP($A353,Equipos!$C$2:$M$967,3,FALSE()),"")</f>
        <v>UPC Pediátrica</v>
      </c>
      <c r="E353" s="50" t="str">
        <f aca="false">IFERROR(VLOOKUP($A353,Equipos!$C$2:$M$967,7,FALSE()),"")</f>
        <v>Drager </v>
      </c>
      <c r="F353" s="50" t="str">
        <f aca="false">IFERROR(VLOOKUP($A353,Equipos!$C$2:$M$967,8,FALSE()),"")</f>
        <v>Infinity Vista </v>
      </c>
      <c r="G353" s="50" t="s">
        <v>515</v>
      </c>
      <c r="H353" s="50" t="s">
        <v>360</v>
      </c>
      <c r="I353" s="50"/>
      <c r="J353" s="50" t="s">
        <v>352</v>
      </c>
      <c r="K353" s="50" t="str">
        <f aca="false">IFERROR(VLOOKUP($J353,Catálogos!$M$4:$N$17,2,FALSE()),"")</f>
        <v>Mantención Preventiva Realizada</v>
      </c>
      <c r="L353" s="52" t="n">
        <v>46068</v>
      </c>
      <c r="M353" s="50" t="s">
        <v>353</v>
      </c>
      <c r="N353" s="50" t="s">
        <v>253</v>
      </c>
      <c r="O353" s="50"/>
      <c r="P353" s="50"/>
      <c r="Q353" s="50" t="s">
        <v>362</v>
      </c>
    </row>
    <row r="354" customFormat="false" ht="15" hidden="false" customHeight="true" outlineLevel="0" collapsed="false">
      <c r="A354" s="51" t="s">
        <v>455</v>
      </c>
      <c r="B354" s="50" t="str">
        <f aca="false">IFERROR(VLOOKUP($A354,Equipos!$C$2:$M$967,2,FALSE()),"")</f>
        <v>Monitor Multiparámetros</v>
      </c>
      <c r="C354" s="50" t="str">
        <f aca="false">IFERROR(VLOOKUP($A354,Equipos!$C$2:$M$967,9,FALSE()),"")</f>
        <v>1071</v>
      </c>
      <c r="D354" s="50" t="str">
        <f aca="false">IFERROR(VLOOKUP($A354,Equipos!$C$2:$M$967,3,FALSE()),"")</f>
        <v>Neonatología</v>
      </c>
      <c r="E354" s="50" t="str">
        <f aca="false">IFERROR(VLOOKUP($A354,Equipos!$C$2:$M$967,7,FALSE()),"")</f>
        <v>Nihon Kohden </v>
      </c>
      <c r="F354" s="50" t="str">
        <f aca="false">IFERROR(VLOOKUP($A354,Equipos!$C$2:$M$967,8,FALSE()),"")</f>
        <v>BSM-6301K</v>
      </c>
      <c r="G354" s="50" t="s">
        <v>515</v>
      </c>
      <c r="H354" s="50" t="s">
        <v>360</v>
      </c>
      <c r="I354" s="50"/>
      <c r="J354" s="50" t="s">
        <v>352</v>
      </c>
      <c r="K354" s="50" t="str">
        <f aca="false">IFERROR(VLOOKUP($J354,Catálogos!$M$4:$N$17,2,FALSE()),"")</f>
        <v>Mantención Preventiva Realizada</v>
      </c>
      <c r="L354" s="52" t="n">
        <v>46068</v>
      </c>
      <c r="M354" s="50" t="s">
        <v>353</v>
      </c>
      <c r="N354" s="50" t="s">
        <v>253</v>
      </c>
      <c r="O354" s="50"/>
      <c r="P354" s="50"/>
      <c r="Q354" s="50" t="s">
        <v>362</v>
      </c>
    </row>
    <row r="355" customFormat="false" ht="15" hidden="false" customHeight="true" outlineLevel="0" collapsed="false">
      <c r="A355" s="51" t="s">
        <v>456</v>
      </c>
      <c r="B355" s="50" t="str">
        <f aca="false">IFERROR(VLOOKUP($A355,Equipos!$C$2:$M$967,2,FALSE()),"")</f>
        <v>Monitor Multiparámetros</v>
      </c>
      <c r="C355" s="50" t="str">
        <f aca="false">IFERROR(VLOOKUP($A355,Equipos!$C$2:$M$967,9,FALSE()),"")</f>
        <v>1044</v>
      </c>
      <c r="D355" s="50" t="str">
        <f aca="false">IFERROR(VLOOKUP($A355,Equipos!$C$2:$M$967,3,FALSE()),"")</f>
        <v>Neonatología</v>
      </c>
      <c r="E355" s="50" t="str">
        <f aca="false">IFERROR(VLOOKUP($A355,Equipos!$C$2:$M$967,7,FALSE()),"")</f>
        <v>Nihon Kohden </v>
      </c>
      <c r="F355" s="50" t="str">
        <f aca="false">IFERROR(VLOOKUP($A355,Equipos!$C$2:$M$967,8,FALSE()),"")</f>
        <v>BSM-6301K</v>
      </c>
      <c r="G355" s="50" t="s">
        <v>515</v>
      </c>
      <c r="H355" s="50" t="s">
        <v>360</v>
      </c>
      <c r="I355" s="50"/>
      <c r="J355" s="50" t="s">
        <v>352</v>
      </c>
      <c r="K355" s="50" t="str">
        <f aca="false">IFERROR(VLOOKUP($J355,Catálogos!$M$4:$N$17,2,FALSE()),"")</f>
        <v>Mantención Preventiva Realizada</v>
      </c>
      <c r="L355" s="52" t="n">
        <v>46068</v>
      </c>
      <c r="M355" s="50" t="s">
        <v>353</v>
      </c>
      <c r="N355" s="50" t="s">
        <v>253</v>
      </c>
      <c r="O355" s="50"/>
      <c r="P355" s="50"/>
      <c r="Q355" s="50" t="s">
        <v>362</v>
      </c>
    </row>
    <row r="356" customFormat="false" ht="15" hidden="false" customHeight="true" outlineLevel="0" collapsed="false">
      <c r="A356" s="51" t="s">
        <v>457</v>
      </c>
      <c r="B356" s="50" t="str">
        <f aca="false">IFERROR(VLOOKUP($A356,Equipos!$C$2:$M$967,2,FALSE()),"")</f>
        <v>Monitor Multiparámetros</v>
      </c>
      <c r="C356" s="50" t="str">
        <f aca="false">IFERROR(VLOOKUP($A356,Equipos!$C$2:$M$967,9,FALSE()),"")</f>
        <v>1033</v>
      </c>
      <c r="D356" s="50" t="str">
        <f aca="false">IFERROR(VLOOKUP($A356,Equipos!$C$2:$M$967,3,FALSE()),"")</f>
        <v>Neonatología</v>
      </c>
      <c r="E356" s="50" t="str">
        <f aca="false">IFERROR(VLOOKUP($A356,Equipos!$C$2:$M$967,7,FALSE()),"")</f>
        <v>Nihon Kohden </v>
      </c>
      <c r="F356" s="50" t="str">
        <f aca="false">IFERROR(VLOOKUP($A356,Equipos!$C$2:$M$967,8,FALSE()),"")</f>
        <v>BSM-6301K</v>
      </c>
      <c r="G356" s="50" t="s">
        <v>515</v>
      </c>
      <c r="H356" s="50" t="s">
        <v>360</v>
      </c>
      <c r="I356" s="50"/>
      <c r="J356" s="50" t="s">
        <v>352</v>
      </c>
      <c r="K356" s="50" t="str">
        <f aca="false">IFERROR(VLOOKUP($J356,Catálogos!$M$4:$N$17,2,FALSE()),"")</f>
        <v>Mantención Preventiva Realizada</v>
      </c>
      <c r="L356" s="52" t="n">
        <v>46068</v>
      </c>
      <c r="M356" s="50" t="s">
        <v>353</v>
      </c>
      <c r="N356" s="50" t="s">
        <v>253</v>
      </c>
      <c r="O356" s="50"/>
      <c r="P356" s="50"/>
      <c r="Q356" s="50" t="s">
        <v>362</v>
      </c>
    </row>
    <row r="357" customFormat="false" ht="15" hidden="false" customHeight="true" outlineLevel="0" collapsed="false">
      <c r="A357" s="51" t="s">
        <v>459</v>
      </c>
      <c r="B357" s="50" t="str">
        <f aca="false">IFERROR(VLOOKUP($A357,Equipos!$C$2:$M$967,2,FALSE()),"")</f>
        <v>Monitor Multiparámetros</v>
      </c>
      <c r="C357" s="50" t="str">
        <f aca="false">IFERROR(VLOOKUP($A357,Equipos!$C$2:$M$967,9,FALSE()),"")</f>
        <v>100639</v>
      </c>
      <c r="D357" s="50" t="str">
        <f aca="false">IFERROR(VLOOKUP($A357,Equipos!$C$2:$M$967,3,FALSE()),"")</f>
        <v>Neonatología</v>
      </c>
      <c r="E357" s="50" t="str">
        <f aca="false">IFERROR(VLOOKUP($A357,Equipos!$C$2:$M$967,7,FALSE()),"")</f>
        <v>Nihon Kohden </v>
      </c>
      <c r="F357" s="50" t="str">
        <f aca="false">IFERROR(VLOOKUP($A357,Equipos!$C$2:$M$967,8,FALSE()),"")</f>
        <v>PVM-2701K</v>
      </c>
      <c r="G357" s="50" t="s">
        <v>515</v>
      </c>
      <c r="H357" s="50" t="s">
        <v>360</v>
      </c>
      <c r="I357" s="50"/>
      <c r="J357" s="50" t="s">
        <v>352</v>
      </c>
      <c r="K357" s="50" t="str">
        <f aca="false">IFERROR(VLOOKUP($J357,Catálogos!$M$4:$N$17,2,FALSE()),"")</f>
        <v>Mantención Preventiva Realizada</v>
      </c>
      <c r="L357" s="52" t="n">
        <v>46068</v>
      </c>
      <c r="M357" s="50" t="s">
        <v>353</v>
      </c>
      <c r="N357" s="50" t="s">
        <v>253</v>
      </c>
      <c r="O357" s="50"/>
      <c r="P357" s="50"/>
      <c r="Q357" s="50" t="s">
        <v>362</v>
      </c>
    </row>
    <row r="358" customFormat="false" ht="15" hidden="false" customHeight="true" outlineLevel="0" collapsed="false">
      <c r="A358" s="51" t="s">
        <v>622</v>
      </c>
      <c r="B358" s="50" t="str">
        <f aca="false">IFERROR(VLOOKUP($A358,Equipos!$C$2:$M$967,2,FALSE()),"")</f>
        <v>Monitor Multiparámetros</v>
      </c>
      <c r="C358" s="50" t="str">
        <f aca="false">IFERROR(VLOOKUP($A358,Equipos!$C$2:$M$967,9,FALSE()),"")</f>
        <v>VGSML0065</v>
      </c>
      <c r="D358" s="50" t="str">
        <f aca="false">IFERROR(VLOOKUP($A358,Equipos!$C$2:$M$967,3,FALSE()),"")</f>
        <v>Pabellón (Recuperación)</v>
      </c>
      <c r="E358" s="50" t="str">
        <f aca="false">IFERROR(VLOOKUP($A358,Equipos!$C$2:$M$967,7,FALSE()),"")</f>
        <v>Drager</v>
      </c>
      <c r="F358" s="50" t="str">
        <f aca="false">IFERROR(VLOOKUP($A358,Equipos!$C$2:$M$967,8,FALSE()),"")</f>
        <v>Vista 120</v>
      </c>
      <c r="G358" s="50" t="s">
        <v>515</v>
      </c>
      <c r="H358" s="50" t="s">
        <v>360</v>
      </c>
      <c r="I358" s="50"/>
      <c r="J358" s="50" t="s">
        <v>352</v>
      </c>
      <c r="K358" s="50" t="str">
        <f aca="false">IFERROR(VLOOKUP($J358,Catálogos!$M$4:$N$17,2,FALSE()),"")</f>
        <v>Mantención Preventiva Realizada</v>
      </c>
      <c r="L358" s="52" t="n">
        <v>46068</v>
      </c>
      <c r="M358" s="50" t="s">
        <v>353</v>
      </c>
      <c r="N358" s="50" t="s">
        <v>253</v>
      </c>
      <c r="O358" s="50"/>
      <c r="P358" s="50"/>
      <c r="Q358" s="50" t="s">
        <v>362</v>
      </c>
    </row>
    <row r="359" customFormat="false" ht="15" hidden="false" customHeight="true" outlineLevel="0" collapsed="false">
      <c r="A359" s="51" t="s">
        <v>623</v>
      </c>
      <c r="B359" s="50" t="str">
        <f aca="false">IFERROR(VLOOKUP($A359,Equipos!$C$2:$M$967,2,FALSE()),"")</f>
        <v>Monitor Multiparámetros</v>
      </c>
      <c r="C359" s="50" t="str">
        <f aca="false">IFERROR(VLOOKUP($A359,Equipos!$C$2:$M$967,9,FALSE()),"")</f>
        <v>VGSML0062</v>
      </c>
      <c r="D359" s="50" t="str">
        <f aca="false">IFERROR(VLOOKUP($A359,Equipos!$C$2:$M$967,3,FALSE()),"")</f>
        <v>Pabellón (Recuperación)</v>
      </c>
      <c r="E359" s="50" t="str">
        <f aca="false">IFERROR(VLOOKUP($A359,Equipos!$C$2:$M$967,7,FALSE()),"")</f>
        <v>Drager</v>
      </c>
      <c r="F359" s="50" t="str">
        <f aca="false">IFERROR(VLOOKUP($A359,Equipos!$C$2:$M$967,8,FALSE()),"")</f>
        <v>Vista 120</v>
      </c>
      <c r="G359" s="50" t="s">
        <v>515</v>
      </c>
      <c r="H359" s="50" t="s">
        <v>360</v>
      </c>
      <c r="I359" s="50"/>
      <c r="J359" s="50" t="s">
        <v>352</v>
      </c>
      <c r="K359" s="50" t="str">
        <f aca="false">IFERROR(VLOOKUP($J359,Catálogos!$M$4:$N$17,2,FALSE()),"")</f>
        <v>Mantención Preventiva Realizada</v>
      </c>
      <c r="L359" s="52" t="n">
        <v>46068</v>
      </c>
      <c r="M359" s="50" t="s">
        <v>353</v>
      </c>
      <c r="N359" s="50" t="s">
        <v>253</v>
      </c>
      <c r="O359" s="50"/>
      <c r="P359" s="50"/>
      <c r="Q359" s="50" t="s">
        <v>362</v>
      </c>
    </row>
    <row r="360" customFormat="false" ht="15" hidden="false" customHeight="true" outlineLevel="0" collapsed="false">
      <c r="A360" s="51" t="s">
        <v>624</v>
      </c>
      <c r="B360" s="50" t="str">
        <f aca="false">IFERROR(VLOOKUP($A360,Equipos!$C$2:$M$967,2,FALSE()),"")</f>
        <v>Monitor Multiparámetros</v>
      </c>
      <c r="C360" s="50" t="str">
        <f aca="false">IFERROR(VLOOKUP($A360,Equipos!$C$2:$M$967,9,FALSE()),"")</f>
        <v>VGSML0050</v>
      </c>
      <c r="D360" s="50" t="str">
        <f aca="false">IFERROR(VLOOKUP($A360,Equipos!$C$2:$M$967,3,FALSE()),"")</f>
        <v>Pabellón (Recuperación)</v>
      </c>
      <c r="E360" s="50" t="str">
        <f aca="false">IFERROR(VLOOKUP($A360,Equipos!$C$2:$M$967,7,FALSE()),"")</f>
        <v>Drager</v>
      </c>
      <c r="F360" s="50" t="str">
        <f aca="false">IFERROR(VLOOKUP($A360,Equipos!$C$2:$M$967,8,FALSE()),"")</f>
        <v>Vista 120</v>
      </c>
      <c r="G360" s="50" t="s">
        <v>515</v>
      </c>
      <c r="H360" s="50" t="s">
        <v>360</v>
      </c>
      <c r="I360" s="50"/>
      <c r="J360" s="50" t="s">
        <v>352</v>
      </c>
      <c r="K360" s="50" t="str">
        <f aca="false">IFERROR(VLOOKUP($J360,Catálogos!$M$4:$N$17,2,FALSE()),"")</f>
        <v>Mantención Preventiva Realizada</v>
      </c>
      <c r="L360" s="52" t="n">
        <v>46068</v>
      </c>
      <c r="M360" s="50" t="s">
        <v>353</v>
      </c>
      <c r="N360" s="50" t="s">
        <v>253</v>
      </c>
      <c r="O360" s="50"/>
      <c r="P360" s="50"/>
      <c r="Q360" s="50" t="s">
        <v>362</v>
      </c>
    </row>
    <row r="361" customFormat="false" ht="15" hidden="false" customHeight="true" outlineLevel="0" collapsed="false">
      <c r="A361" s="51" t="s">
        <v>625</v>
      </c>
      <c r="B361" s="50" t="str">
        <f aca="false">IFERROR(VLOOKUP($A361,Equipos!$C$2:$M$967,2,FALSE()),"")</f>
        <v>Monitor Multiparámetros</v>
      </c>
      <c r="C361" s="50" t="str">
        <f aca="false">IFERROR(VLOOKUP($A361,Equipos!$C$2:$M$967,9,FALSE()),"")</f>
        <v>VGSML0049</v>
      </c>
      <c r="D361" s="50" t="str">
        <f aca="false">IFERROR(VLOOKUP($A361,Equipos!$C$2:$M$967,3,FALSE()),"")</f>
        <v>Pabellón (Recuperación)</v>
      </c>
      <c r="E361" s="50" t="str">
        <f aca="false">IFERROR(VLOOKUP($A361,Equipos!$C$2:$M$967,7,FALSE()),"")</f>
        <v>Drager</v>
      </c>
      <c r="F361" s="50" t="str">
        <f aca="false">IFERROR(VLOOKUP($A361,Equipos!$C$2:$M$967,8,FALSE()),"")</f>
        <v>Vista 120</v>
      </c>
      <c r="G361" s="50" t="s">
        <v>515</v>
      </c>
      <c r="H361" s="50" t="s">
        <v>360</v>
      </c>
      <c r="I361" s="50"/>
      <c r="J361" s="50" t="s">
        <v>352</v>
      </c>
      <c r="K361" s="50" t="str">
        <f aca="false">IFERROR(VLOOKUP($J361,Catálogos!$M$4:$N$17,2,FALSE()),"")</f>
        <v>Mantención Preventiva Realizada</v>
      </c>
      <c r="L361" s="52" t="n">
        <v>46068</v>
      </c>
      <c r="M361" s="50" t="s">
        <v>353</v>
      </c>
      <c r="N361" s="50" t="s">
        <v>253</v>
      </c>
      <c r="O361" s="50"/>
      <c r="P361" s="50"/>
      <c r="Q361" s="50" t="s">
        <v>362</v>
      </c>
    </row>
    <row r="362" customFormat="false" ht="15" hidden="false" customHeight="true" outlineLevel="0" collapsed="false">
      <c r="A362" s="51" t="s">
        <v>626</v>
      </c>
      <c r="B362" s="50" t="str">
        <f aca="false">IFERROR(VLOOKUP($A362,Equipos!$C$2:$M$967,2,FALSE()),"")</f>
        <v>Monitor Multiparámetros</v>
      </c>
      <c r="C362" s="50" t="str">
        <f aca="false">IFERROR(VLOOKUP($A362,Equipos!$C$2:$M$967,9,FALSE()),"")</f>
        <v>VGSML0047</v>
      </c>
      <c r="D362" s="50" t="str">
        <f aca="false">IFERROR(VLOOKUP($A362,Equipos!$C$2:$M$967,3,FALSE()),"")</f>
        <v>Pabellón (Recuperación) prestado a UPC Adulto</v>
      </c>
      <c r="E362" s="50" t="str">
        <f aca="false">IFERROR(VLOOKUP($A362,Equipos!$C$2:$M$967,7,FALSE()),"")</f>
        <v>Drager</v>
      </c>
      <c r="F362" s="50" t="str">
        <f aca="false">IFERROR(VLOOKUP($A362,Equipos!$C$2:$M$967,8,FALSE()),"")</f>
        <v>Vista 120</v>
      </c>
      <c r="G362" s="50" t="s">
        <v>515</v>
      </c>
      <c r="H362" s="50" t="s">
        <v>360</v>
      </c>
      <c r="I362" s="50"/>
      <c r="J362" s="50" t="s">
        <v>627</v>
      </c>
      <c r="K362" s="50" t="str">
        <f aca="false">IFERROR(VLOOKUP($J362,Catálogos!$M$4:$N$17,2,FALSE()),"")</f>
        <v>Reprogramada · Imposibilidad de desocupar el equipo del paciente por indicación clínica</v>
      </c>
      <c r="L362" s="52" t="n">
        <v>46068</v>
      </c>
      <c r="M362" s="50" t="s">
        <v>353</v>
      </c>
      <c r="N362" s="50" t="s">
        <v>253</v>
      </c>
      <c r="O362" s="50"/>
      <c r="P362" s="50"/>
      <c r="Q362" s="50" t="s">
        <v>362</v>
      </c>
    </row>
    <row r="363" customFormat="false" ht="15" hidden="false" customHeight="true" outlineLevel="0" collapsed="false">
      <c r="A363" s="51" t="s">
        <v>628</v>
      </c>
      <c r="B363" s="50" t="str">
        <f aca="false">IFERROR(VLOOKUP($A363,Equipos!$C$2:$M$967,2,FALSE()),"")</f>
        <v>Monitor Multiparámetros</v>
      </c>
      <c r="C363" s="50" t="str">
        <f aca="false">IFERROR(VLOOKUP($A363,Equipos!$C$2:$M$967,9,FALSE()),"")</f>
        <v>VGSML0044</v>
      </c>
      <c r="D363" s="50" t="str">
        <f aca="false">IFERROR(VLOOKUP($A363,Equipos!$C$2:$M$967,3,FALSE()),"")</f>
        <v>Pabellón (Recuperación)</v>
      </c>
      <c r="E363" s="50" t="str">
        <f aca="false">IFERROR(VLOOKUP($A363,Equipos!$C$2:$M$967,7,FALSE()),"")</f>
        <v>Drager</v>
      </c>
      <c r="F363" s="50" t="str">
        <f aca="false">IFERROR(VLOOKUP($A363,Equipos!$C$2:$M$967,8,FALSE()),"")</f>
        <v>Vista 120</v>
      </c>
      <c r="G363" s="50" t="s">
        <v>515</v>
      </c>
      <c r="H363" s="50" t="s">
        <v>360</v>
      </c>
      <c r="I363" s="50"/>
      <c r="J363" s="50" t="s">
        <v>352</v>
      </c>
      <c r="K363" s="50" t="str">
        <f aca="false">IFERROR(VLOOKUP($J363,Catálogos!$M$4:$N$17,2,FALSE()),"")</f>
        <v>Mantención Preventiva Realizada</v>
      </c>
      <c r="L363" s="52" t="n">
        <v>46068</v>
      </c>
      <c r="M363" s="50" t="s">
        <v>353</v>
      </c>
      <c r="N363" s="50" t="s">
        <v>253</v>
      </c>
      <c r="O363" s="50"/>
      <c r="P363" s="50"/>
      <c r="Q363" s="50" t="s">
        <v>362</v>
      </c>
    </row>
    <row r="364" customFormat="false" ht="15" hidden="false" customHeight="true" outlineLevel="0" collapsed="false">
      <c r="A364" s="51" t="s">
        <v>629</v>
      </c>
      <c r="B364" s="50" t="str">
        <f aca="false">IFERROR(VLOOKUP($A364,Equipos!$C$2:$M$967,2,FALSE()),"")</f>
        <v>Monitor Multiparámetros</v>
      </c>
      <c r="C364" s="50" t="str">
        <f aca="false">IFERROR(VLOOKUP($A364,Equipos!$C$2:$M$967,9,FALSE()),"")</f>
        <v>VGSML0043</v>
      </c>
      <c r="D364" s="50" t="str">
        <f aca="false">IFERROR(VLOOKUP($A364,Equipos!$C$2:$M$967,3,FALSE()),"")</f>
        <v>Pabellón (Recuperación)</v>
      </c>
      <c r="E364" s="50" t="str">
        <f aca="false">IFERROR(VLOOKUP($A364,Equipos!$C$2:$M$967,7,FALSE()),"")</f>
        <v>Drager</v>
      </c>
      <c r="F364" s="50" t="str">
        <f aca="false">IFERROR(VLOOKUP($A364,Equipos!$C$2:$M$967,8,FALSE()),"")</f>
        <v>Vista 120</v>
      </c>
      <c r="G364" s="50" t="s">
        <v>515</v>
      </c>
      <c r="H364" s="50" t="s">
        <v>360</v>
      </c>
      <c r="I364" s="50"/>
      <c r="J364" s="50" t="s">
        <v>352</v>
      </c>
      <c r="K364" s="50" t="str">
        <f aca="false">IFERROR(VLOOKUP($J364,Catálogos!$M$4:$N$17,2,FALSE()),"")</f>
        <v>Mantención Preventiva Realizada</v>
      </c>
      <c r="L364" s="52" t="n">
        <v>46068</v>
      </c>
      <c r="M364" s="50" t="s">
        <v>353</v>
      </c>
      <c r="N364" s="50" t="s">
        <v>253</v>
      </c>
      <c r="O364" s="50"/>
      <c r="P364" s="50"/>
      <c r="Q364" s="50" t="s">
        <v>362</v>
      </c>
    </row>
    <row r="365" customFormat="false" ht="15" hidden="false" customHeight="true" outlineLevel="0" collapsed="false">
      <c r="A365" s="51" t="s">
        <v>630</v>
      </c>
      <c r="B365" s="50" t="str">
        <f aca="false">IFERROR(VLOOKUP($A365,Equipos!$C$2:$M$967,2,FALSE()),"")</f>
        <v>Monitor Multiparámetros</v>
      </c>
      <c r="C365" s="50" t="str">
        <f aca="false">IFERROR(VLOOKUP($A365,Equipos!$C$2:$M$967,9,FALSE()),"")</f>
        <v>VGSML0057</v>
      </c>
      <c r="D365" s="50" t="str">
        <f aca="false">IFERROR(VLOOKUP($A365,Equipos!$C$2:$M$967,3,FALSE()),"")</f>
        <v>Pabellón (Recuperación)</v>
      </c>
      <c r="E365" s="50" t="str">
        <f aca="false">IFERROR(VLOOKUP($A365,Equipos!$C$2:$M$967,7,FALSE()),"")</f>
        <v>Drager</v>
      </c>
      <c r="F365" s="50" t="str">
        <f aca="false">IFERROR(VLOOKUP($A365,Equipos!$C$2:$M$967,8,FALSE()),"")</f>
        <v>Vista 120</v>
      </c>
      <c r="G365" s="50" t="s">
        <v>515</v>
      </c>
      <c r="H365" s="50" t="s">
        <v>360</v>
      </c>
      <c r="I365" s="50"/>
      <c r="J365" s="50" t="s">
        <v>352</v>
      </c>
      <c r="K365" s="50" t="str">
        <f aca="false">IFERROR(VLOOKUP($J365,Catálogos!$M$4:$N$17,2,FALSE()),"")</f>
        <v>Mantención Preventiva Realizada</v>
      </c>
      <c r="L365" s="52" t="n">
        <v>46068</v>
      </c>
      <c r="M365" s="50" t="s">
        <v>353</v>
      </c>
      <c r="N365" s="50" t="s">
        <v>253</v>
      </c>
      <c r="O365" s="50"/>
      <c r="P365" s="50"/>
      <c r="Q365" s="50" t="s">
        <v>362</v>
      </c>
    </row>
    <row r="366" customFormat="false" ht="15" hidden="false" customHeight="true" outlineLevel="0" collapsed="false">
      <c r="A366" s="51" t="s">
        <v>631</v>
      </c>
      <c r="B366" s="50" t="str">
        <f aca="false">IFERROR(VLOOKUP($A366,Equipos!$C$2:$M$967,2,FALSE()),"")</f>
        <v>Monitor Multiparámetros</v>
      </c>
      <c r="C366" s="50" t="str">
        <f aca="false">IFERROR(VLOOKUP($A366,Equipos!$C$2:$M$967,9,FALSE()),"")</f>
        <v>VGSML0046</v>
      </c>
      <c r="D366" s="50" t="str">
        <f aca="false">IFERROR(VLOOKUP($A366,Equipos!$C$2:$M$967,3,FALSE()),"")</f>
        <v>Pabellón (Recuperación)</v>
      </c>
      <c r="E366" s="50" t="str">
        <f aca="false">IFERROR(VLOOKUP($A366,Equipos!$C$2:$M$967,7,FALSE()),"")</f>
        <v>Drager</v>
      </c>
      <c r="F366" s="50" t="str">
        <f aca="false">IFERROR(VLOOKUP($A366,Equipos!$C$2:$M$967,8,FALSE()),"")</f>
        <v>Vista 120</v>
      </c>
      <c r="G366" s="50" t="s">
        <v>515</v>
      </c>
      <c r="H366" s="50" t="s">
        <v>360</v>
      </c>
      <c r="I366" s="50"/>
      <c r="J366" s="50" t="s">
        <v>352</v>
      </c>
      <c r="K366" s="50" t="str">
        <f aca="false">IFERROR(VLOOKUP($J366,Catálogos!$M$4:$N$17,2,FALSE()),"")</f>
        <v>Mantención Preventiva Realizada</v>
      </c>
      <c r="L366" s="52" t="n">
        <v>46068</v>
      </c>
      <c r="M366" s="50" t="s">
        <v>353</v>
      </c>
      <c r="N366" s="50" t="s">
        <v>253</v>
      </c>
      <c r="O366" s="50"/>
      <c r="P366" s="50"/>
      <c r="Q366" s="50" t="s">
        <v>362</v>
      </c>
    </row>
    <row r="367" customFormat="false" ht="15" hidden="false" customHeight="true" outlineLevel="0" collapsed="false">
      <c r="A367" s="51" t="s">
        <v>632</v>
      </c>
      <c r="B367" s="50" t="str">
        <f aca="false">IFERROR(VLOOKUP($A367,Equipos!$C$2:$M$967,2,FALSE()),"")</f>
        <v>Monitor Multiparámetros</v>
      </c>
      <c r="C367" s="50" t="str">
        <f aca="false">IFERROR(VLOOKUP($A367,Equipos!$C$2:$M$967,9,FALSE()),"")</f>
        <v>VSSTE0203</v>
      </c>
      <c r="D367" s="50" t="str">
        <f aca="false">IFERROR(VLOOKUP($A367,Equipos!$C$2:$M$967,3,FALSE()),"")</f>
        <v>Quimioterapia Ambulatoria Adulto</v>
      </c>
      <c r="E367" s="50" t="str">
        <f aca="false">IFERROR(VLOOKUP($A367,Equipos!$C$2:$M$967,7,FALSE()),"")</f>
        <v>Drager</v>
      </c>
      <c r="F367" s="50" t="str">
        <f aca="false">IFERROR(VLOOKUP($A367,Equipos!$C$2:$M$967,8,FALSE()),"")</f>
        <v>Vista 120</v>
      </c>
      <c r="G367" s="50" t="s">
        <v>515</v>
      </c>
      <c r="H367" s="50" t="s">
        <v>360</v>
      </c>
      <c r="I367" s="50"/>
      <c r="J367" s="50" t="s">
        <v>364</v>
      </c>
      <c r="K367" s="50" t="str">
        <f aca="false">IFERROR(VLOOKUP($J367,Catálogos!$M$4:$N$17,2,FALSE()),"")</f>
        <v>Reprogramada · No disponibilidad de horas hombre del funcionario SEC por alta carga laboral</v>
      </c>
      <c r="L367" s="52" t="n">
        <v>46068</v>
      </c>
      <c r="M367" s="50" t="s">
        <v>353</v>
      </c>
      <c r="N367" s="50" t="s">
        <v>253</v>
      </c>
      <c r="O367" s="50"/>
      <c r="P367" s="50"/>
      <c r="Q367" s="50" t="s">
        <v>362</v>
      </c>
    </row>
    <row r="368" customFormat="false" ht="15" hidden="false" customHeight="true" outlineLevel="0" collapsed="false">
      <c r="A368" s="51" t="s">
        <v>460</v>
      </c>
      <c r="B368" s="50" t="str">
        <f aca="false">IFERROR(VLOOKUP($A368,Equipos!$C$2:$M$967,2,FALSE()),"")</f>
        <v>Monitor Multiparámetros</v>
      </c>
      <c r="C368" s="50" t="str">
        <f aca="false">IFERROR(VLOOKUP($A368,Equipos!$C$2:$M$967,9,FALSE()),"")</f>
        <v>DE82025965</v>
      </c>
      <c r="D368" s="50" t="str">
        <f aca="false">IFERROR(VLOOKUP($A368,Equipos!$C$2:$M$967,3,FALSE()),"")</f>
        <v>Neonatología</v>
      </c>
      <c r="E368" s="50" t="str">
        <f aca="false">IFERROR(VLOOKUP($A368,Equipos!$C$2:$M$967,7,FALSE()),"")</f>
        <v>Philips</v>
      </c>
      <c r="F368" s="50" t="str">
        <f aca="false">IFERROR(VLOOKUP($A368,Equipos!$C$2:$M$967,8,FALSE()),"")</f>
        <v>M8003A</v>
      </c>
      <c r="G368" s="50" t="s">
        <v>515</v>
      </c>
      <c r="H368" s="50" t="s">
        <v>360</v>
      </c>
      <c r="I368" s="50"/>
      <c r="J368" s="50" t="s">
        <v>352</v>
      </c>
      <c r="K368" s="50" t="str">
        <f aca="false">IFERROR(VLOOKUP($J368,Catálogos!$M$4:$N$17,2,FALSE()),"")</f>
        <v>Mantención Preventiva Realizada</v>
      </c>
      <c r="L368" s="52" t="n">
        <v>46068</v>
      </c>
      <c r="M368" s="50" t="s">
        <v>353</v>
      </c>
      <c r="N368" s="50" t="s">
        <v>253</v>
      </c>
      <c r="O368" s="50"/>
      <c r="P368" s="50"/>
      <c r="Q368" s="50" t="s">
        <v>362</v>
      </c>
    </row>
    <row r="369" customFormat="false" ht="15" hidden="false" customHeight="true" outlineLevel="0" collapsed="false">
      <c r="A369" s="51" t="s">
        <v>462</v>
      </c>
      <c r="B369" s="50" t="str">
        <f aca="false">IFERROR(VLOOKUP($A369,Equipos!$C$2:$M$967,2,FALSE()),"")</f>
        <v>Monitor Multiparámetros</v>
      </c>
      <c r="C369" s="50" t="str">
        <f aca="false">IFERROR(VLOOKUP($A369,Equipos!$C$2:$M$967,9,FALSE()),"")</f>
        <v>5514429166</v>
      </c>
      <c r="D369" s="50" t="str">
        <f aca="false">IFERROR(VLOOKUP($A369,Equipos!$C$2:$M$967,3,FALSE()),"")</f>
        <v>Pediatría</v>
      </c>
      <c r="E369" s="50" t="str">
        <f aca="false">IFERROR(VLOOKUP($A369,Equipos!$C$2:$M$967,7,FALSE()),"")</f>
        <v>Drager </v>
      </c>
      <c r="F369" s="50" t="str">
        <f aca="false">IFERROR(VLOOKUP($A369,Equipos!$C$2:$M$967,8,FALSE()),"")</f>
        <v>Infinity Vista </v>
      </c>
      <c r="G369" s="50" t="s">
        <v>515</v>
      </c>
      <c r="H369" s="50" t="s">
        <v>360</v>
      </c>
      <c r="I369" s="50"/>
      <c r="J369" s="50" t="s">
        <v>352</v>
      </c>
      <c r="K369" s="50" t="str">
        <f aca="false">IFERROR(VLOOKUP($J369,Catálogos!$M$4:$N$17,2,FALSE()),"")</f>
        <v>Mantención Preventiva Realizada</v>
      </c>
      <c r="L369" s="52" t="n">
        <v>46068</v>
      </c>
      <c r="M369" s="50" t="s">
        <v>353</v>
      </c>
      <c r="N369" s="50" t="s">
        <v>253</v>
      </c>
      <c r="O369" s="50"/>
      <c r="P369" s="50"/>
      <c r="Q369" s="50" t="s">
        <v>362</v>
      </c>
    </row>
    <row r="370" customFormat="false" ht="15" hidden="false" customHeight="true" outlineLevel="0" collapsed="false">
      <c r="A370" s="51" t="s">
        <v>463</v>
      </c>
      <c r="B370" s="50" t="str">
        <f aca="false">IFERROR(VLOOKUP($A370,Equipos!$C$2:$M$967,2,FALSE()),"")</f>
        <v>Monitor Multiparámetros</v>
      </c>
      <c r="C370" s="50" t="str">
        <f aca="false">IFERROR(VLOOKUP($A370,Equipos!$C$2:$M$967,9,FALSE()),"")</f>
        <v>1393-109328</v>
      </c>
      <c r="D370" s="50" t="str">
        <f aca="false">IFERROR(VLOOKUP($A370,Equipos!$C$2:$M$967,3,FALSE()),"")</f>
        <v>UPC Pediátrica</v>
      </c>
      <c r="E370" s="50" t="str">
        <f aca="false">IFERROR(VLOOKUP($A370,Equipos!$C$2:$M$967,7,FALSE()),"")</f>
        <v>SPACELABS HEALTHCARE</v>
      </c>
      <c r="F370" s="50" t="str">
        <f aca="false">IFERROR(VLOOKUP($A370,Equipos!$C$2:$M$967,8,FALSE()),"")</f>
        <v>XPREZZON</v>
      </c>
      <c r="G370" s="50" t="s">
        <v>515</v>
      </c>
      <c r="H370" s="50" t="s">
        <v>360</v>
      </c>
      <c r="I370" s="50"/>
      <c r="J370" s="50" t="s">
        <v>352</v>
      </c>
      <c r="K370" s="50" t="str">
        <f aca="false">IFERROR(VLOOKUP($J370,Catálogos!$M$4:$N$17,2,FALSE()),"")</f>
        <v>Mantención Preventiva Realizada</v>
      </c>
      <c r="L370" s="52" t="n">
        <v>46068</v>
      </c>
      <c r="M370" s="50" t="s">
        <v>353</v>
      </c>
      <c r="N370" s="50" t="s">
        <v>253</v>
      </c>
      <c r="O370" s="50"/>
      <c r="P370" s="50"/>
      <c r="Q370" s="50" t="s">
        <v>362</v>
      </c>
    </row>
    <row r="371" customFormat="false" ht="15" hidden="false" customHeight="true" outlineLevel="0" collapsed="false">
      <c r="A371" s="51" t="s">
        <v>464</v>
      </c>
      <c r="B371" s="50" t="str">
        <f aca="false">IFERROR(VLOOKUP($A371,Equipos!$C$2:$M$967,2,FALSE()),"")</f>
        <v>Monitor Multiparámetros</v>
      </c>
      <c r="C371" s="50" t="str">
        <f aca="false">IFERROR(VLOOKUP($A371,Equipos!$C$2:$M$967,9,FALSE()),"")</f>
        <v>1393-109327</v>
      </c>
      <c r="D371" s="50" t="str">
        <f aca="false">IFERROR(VLOOKUP($A371,Equipos!$C$2:$M$967,3,FALSE()),"")</f>
        <v>UPC Pediátrica</v>
      </c>
      <c r="E371" s="50" t="str">
        <f aca="false">IFERROR(VLOOKUP($A371,Equipos!$C$2:$M$967,7,FALSE()),"")</f>
        <v>SPACELABS HEALTHCARE</v>
      </c>
      <c r="F371" s="50" t="str">
        <f aca="false">IFERROR(VLOOKUP($A371,Equipos!$C$2:$M$967,8,FALSE()),"")</f>
        <v>XPREZZON</v>
      </c>
      <c r="G371" s="50" t="s">
        <v>515</v>
      </c>
      <c r="H371" s="50" t="s">
        <v>360</v>
      </c>
      <c r="I371" s="50"/>
      <c r="J371" s="50" t="s">
        <v>352</v>
      </c>
      <c r="K371" s="50" t="str">
        <f aca="false">IFERROR(VLOOKUP($J371,Catálogos!$M$4:$N$17,2,FALSE()),"")</f>
        <v>Mantención Preventiva Realizada</v>
      </c>
      <c r="L371" s="52" t="n">
        <v>46068</v>
      </c>
      <c r="M371" s="50" t="s">
        <v>353</v>
      </c>
      <c r="N371" s="50" t="s">
        <v>253</v>
      </c>
      <c r="O371" s="50"/>
      <c r="P371" s="50"/>
      <c r="Q371" s="50" t="s">
        <v>362</v>
      </c>
    </row>
    <row r="372" customFormat="false" ht="15" hidden="false" customHeight="true" outlineLevel="0" collapsed="false">
      <c r="A372" s="51" t="s">
        <v>465</v>
      </c>
      <c r="B372" s="50" t="str">
        <f aca="false">IFERROR(VLOOKUP($A372,Equipos!$C$2:$M$967,2,FALSE()),"")</f>
        <v>Monitor Multiparámetros</v>
      </c>
      <c r="C372" s="50" t="str">
        <f aca="false">IFERROR(VLOOKUP($A372,Equipos!$C$2:$M$967,9,FALSE()),"")</f>
        <v>1393-109322</v>
      </c>
      <c r="D372" s="50" t="str">
        <f aca="false">IFERROR(VLOOKUP($A372,Equipos!$C$2:$M$967,3,FALSE()),"")</f>
        <v>UPC Pediátrica</v>
      </c>
      <c r="E372" s="50" t="str">
        <f aca="false">IFERROR(VLOOKUP($A372,Equipos!$C$2:$M$967,7,FALSE()),"")</f>
        <v>SPACELABS HEALTHCARE</v>
      </c>
      <c r="F372" s="50" t="str">
        <f aca="false">IFERROR(VLOOKUP($A372,Equipos!$C$2:$M$967,8,FALSE()),"")</f>
        <v>XPREZZON</v>
      </c>
      <c r="G372" s="50" t="s">
        <v>515</v>
      </c>
      <c r="H372" s="50" t="s">
        <v>360</v>
      </c>
      <c r="I372" s="50"/>
      <c r="J372" s="50" t="s">
        <v>352</v>
      </c>
      <c r="K372" s="50" t="str">
        <f aca="false">IFERROR(VLOOKUP($J372,Catálogos!$M$4:$N$17,2,FALSE()),"")</f>
        <v>Mantención Preventiva Realizada</v>
      </c>
      <c r="L372" s="52" t="n">
        <v>46068</v>
      </c>
      <c r="M372" s="50" t="s">
        <v>353</v>
      </c>
      <c r="N372" s="50" t="s">
        <v>253</v>
      </c>
      <c r="O372" s="50"/>
      <c r="P372" s="50"/>
      <c r="Q372" s="50" t="s">
        <v>362</v>
      </c>
    </row>
    <row r="373" customFormat="false" ht="15" hidden="false" customHeight="true" outlineLevel="0" collapsed="false">
      <c r="A373" s="51" t="s">
        <v>633</v>
      </c>
      <c r="B373" s="50" t="str">
        <f aca="false">IFERROR(VLOOKUP($A373,Equipos!$C$2:$M$967,2,FALSE()),"")</f>
        <v>Monitor Multiparámetros</v>
      </c>
      <c r="C373" s="50" t="str">
        <f aca="false">IFERROR(VLOOKUP($A373,Equipos!$C$2:$M$967,9,FALSE()),"")</f>
        <v>SQE19510002SA</v>
      </c>
      <c r="D373" s="50" t="str">
        <f aca="false">IFERROR(VLOOKUP($A373,Equipos!$C$2:$M$967,3,FALSE()),"")</f>
        <v>Medicina (Prestado a Psiquiatria)</v>
      </c>
      <c r="E373" s="50" t="str">
        <f aca="false">IFERROR(VLOOKUP($A373,Equipos!$C$2:$M$967,7,FALSE()),"")</f>
        <v>General Electric</v>
      </c>
      <c r="F373" s="50" t="str">
        <f aca="false">IFERROR(VLOOKUP($A373,Equipos!$C$2:$M$967,8,FALSE()),"")</f>
        <v>B105</v>
      </c>
      <c r="G373" s="50" t="s">
        <v>515</v>
      </c>
      <c r="H373" s="50" t="s">
        <v>360</v>
      </c>
      <c r="I373" s="50"/>
      <c r="J373" s="50" t="s">
        <v>364</v>
      </c>
      <c r="K373" s="50" t="str">
        <f aca="false">IFERROR(VLOOKUP($J373,Catálogos!$M$4:$N$17,2,FALSE()),"")</f>
        <v>Reprogramada · No disponibilidad de horas hombre del funcionario SEC por alta carga laboral</v>
      </c>
      <c r="L373" s="52" t="n">
        <v>46068</v>
      </c>
      <c r="M373" s="50" t="s">
        <v>353</v>
      </c>
      <c r="N373" s="50" t="s">
        <v>253</v>
      </c>
      <c r="O373" s="50"/>
      <c r="P373" s="50"/>
      <c r="Q373" s="50" t="s">
        <v>362</v>
      </c>
    </row>
    <row r="374" customFormat="false" ht="15" hidden="false" customHeight="true" outlineLevel="0" collapsed="false">
      <c r="A374" s="51" t="s">
        <v>634</v>
      </c>
      <c r="B374" s="50" t="str">
        <f aca="false">IFERROR(VLOOKUP($A374,Equipos!$C$2:$M$967,2,FALSE()),"")</f>
        <v>Monitor Multiparámetros</v>
      </c>
      <c r="C374" s="50" t="str">
        <f aca="false">IFERROR(VLOOKUP($A374,Equipos!$C$2:$M$967,9,FALSE()),"")</f>
        <v>JB01B910013</v>
      </c>
      <c r="D374" s="50" t="str">
        <f aca="false">IFERROR(VLOOKUP($A374,Equipos!$C$2:$M$967,3,FALSE()),"")</f>
        <v>CR ONCOLOGICO AMBULATORIO</v>
      </c>
      <c r="E374" s="50" t="str">
        <f aca="false">IFERROR(VLOOKUP($A374,Equipos!$C$2:$M$967,7,FALSE()),"")</f>
        <v>NORTHERN</v>
      </c>
      <c r="F374" s="50" t="str">
        <f aca="false">IFERROR(VLOOKUP($A374,Equipos!$C$2:$M$967,8,FALSE()),"")</f>
        <v>Aquarius ECG</v>
      </c>
      <c r="G374" s="50" t="s">
        <v>515</v>
      </c>
      <c r="H374" s="50" t="s">
        <v>360</v>
      </c>
      <c r="I374" s="50"/>
      <c r="J374" s="50" t="s">
        <v>364</v>
      </c>
      <c r="K374" s="50" t="str">
        <f aca="false">IFERROR(VLOOKUP($J374,Catálogos!$M$4:$N$17,2,FALSE()),"")</f>
        <v>Reprogramada · No disponibilidad de horas hombre del funcionario SEC por alta carga laboral</v>
      </c>
      <c r="L374" s="52" t="n">
        <v>46068</v>
      </c>
      <c r="M374" s="50" t="s">
        <v>353</v>
      </c>
      <c r="N374" s="50" t="s">
        <v>253</v>
      </c>
      <c r="O374" s="50"/>
      <c r="P374" s="50"/>
      <c r="Q374" s="50" t="s">
        <v>362</v>
      </c>
    </row>
    <row r="375" customFormat="false" ht="15" hidden="false" customHeight="true" outlineLevel="0" collapsed="false">
      <c r="A375" s="51" t="s">
        <v>466</v>
      </c>
      <c r="B375" s="50" t="str">
        <f aca="false">IFERROR(VLOOKUP($A375,Equipos!$C$2:$M$967,2,FALSE()),"")</f>
        <v>Monitor Multiparámetros</v>
      </c>
      <c r="C375" s="50" t="str">
        <f aca="false">IFERROR(VLOOKUP($A375,Equipos!$C$2:$M$967,9,FALSE()),"")</f>
        <v>1393-109320</v>
      </c>
      <c r="D375" s="50" t="str">
        <f aca="false">IFERROR(VLOOKUP($A375,Equipos!$C$2:$M$967,3,FALSE()),"")</f>
        <v>UPC Pediátrica</v>
      </c>
      <c r="E375" s="50" t="str">
        <f aca="false">IFERROR(VLOOKUP($A375,Equipos!$C$2:$M$967,7,FALSE()),"")</f>
        <v>SPACELABS HEALTHCARE</v>
      </c>
      <c r="F375" s="50" t="str">
        <f aca="false">IFERROR(VLOOKUP($A375,Equipos!$C$2:$M$967,8,FALSE()),"")</f>
        <v>XPREZZON</v>
      </c>
      <c r="G375" s="50" t="s">
        <v>515</v>
      </c>
      <c r="H375" s="50" t="s">
        <v>360</v>
      </c>
      <c r="I375" s="50"/>
      <c r="J375" s="50" t="s">
        <v>352</v>
      </c>
      <c r="K375" s="50" t="str">
        <f aca="false">IFERROR(VLOOKUP($J375,Catálogos!$M$4:$N$17,2,FALSE()),"")</f>
        <v>Mantención Preventiva Realizada</v>
      </c>
      <c r="L375" s="52" t="n">
        <v>46068</v>
      </c>
      <c r="M375" s="50" t="s">
        <v>353</v>
      </c>
      <c r="N375" s="50" t="s">
        <v>253</v>
      </c>
      <c r="O375" s="50"/>
      <c r="P375" s="50"/>
      <c r="Q375" s="50" t="s">
        <v>362</v>
      </c>
    </row>
    <row r="376" customFormat="false" ht="15" hidden="false" customHeight="true" outlineLevel="0" collapsed="false">
      <c r="A376" s="51" t="s">
        <v>467</v>
      </c>
      <c r="B376" s="50" t="str">
        <f aca="false">IFERROR(VLOOKUP($A376,Equipos!$C$2:$M$967,2,FALSE()),"")</f>
        <v>Monitor Multiparámetros</v>
      </c>
      <c r="C376" s="50" t="str">
        <f aca="false">IFERROR(VLOOKUP($A376,Equipos!$C$2:$M$967,9,FALSE()),"")</f>
        <v>1393-109304</v>
      </c>
      <c r="D376" s="50" t="str">
        <f aca="false">IFERROR(VLOOKUP($A376,Equipos!$C$2:$M$967,3,FALSE()),"")</f>
        <v>UPC Pediátrica</v>
      </c>
      <c r="E376" s="50" t="str">
        <f aca="false">IFERROR(VLOOKUP($A376,Equipos!$C$2:$M$967,7,FALSE()),"")</f>
        <v>SPACELABS HEALTHCARE</v>
      </c>
      <c r="F376" s="50" t="str">
        <f aca="false">IFERROR(VLOOKUP($A376,Equipos!$C$2:$M$967,8,FALSE()),"")</f>
        <v>XPREZZON</v>
      </c>
      <c r="G376" s="50" t="s">
        <v>515</v>
      </c>
      <c r="H376" s="50" t="s">
        <v>360</v>
      </c>
      <c r="I376" s="50"/>
      <c r="J376" s="50" t="s">
        <v>352</v>
      </c>
      <c r="K376" s="50" t="str">
        <f aca="false">IFERROR(VLOOKUP($J376,Catálogos!$M$4:$N$17,2,FALSE()),"")</f>
        <v>Mantención Preventiva Realizada</v>
      </c>
      <c r="L376" s="52" t="n">
        <v>46068</v>
      </c>
      <c r="M376" s="50" t="s">
        <v>353</v>
      </c>
      <c r="N376" s="50" t="s">
        <v>253</v>
      </c>
      <c r="O376" s="50"/>
      <c r="P376" s="50"/>
      <c r="Q376" s="50" t="s">
        <v>362</v>
      </c>
    </row>
    <row r="377" customFormat="false" ht="15" hidden="false" customHeight="true" outlineLevel="0" collapsed="false">
      <c r="A377" s="51" t="s">
        <v>468</v>
      </c>
      <c r="B377" s="50" t="str">
        <f aca="false">IFERROR(VLOOKUP($A377,Equipos!$C$2:$M$967,2,FALSE()),"")</f>
        <v>Monitor Multiparámetros</v>
      </c>
      <c r="C377" s="50" t="str">
        <f aca="false">IFERROR(VLOOKUP($A377,Equipos!$C$2:$M$967,9,FALSE()),"")</f>
        <v>1393-109319</v>
      </c>
      <c r="D377" s="50" t="str">
        <f aca="false">IFERROR(VLOOKUP($A377,Equipos!$C$2:$M$967,3,FALSE()),"")</f>
        <v>UPC Pediátrica</v>
      </c>
      <c r="E377" s="50" t="str">
        <f aca="false">IFERROR(VLOOKUP($A377,Equipos!$C$2:$M$967,7,FALSE()),"")</f>
        <v>SPACELABS HEALTHCARE</v>
      </c>
      <c r="F377" s="50" t="str">
        <f aca="false">IFERROR(VLOOKUP($A377,Equipos!$C$2:$M$967,8,FALSE()),"")</f>
        <v>XPREZZON</v>
      </c>
      <c r="G377" s="50" t="s">
        <v>515</v>
      </c>
      <c r="H377" s="50" t="s">
        <v>360</v>
      </c>
      <c r="I377" s="50"/>
      <c r="J377" s="50" t="s">
        <v>352</v>
      </c>
      <c r="K377" s="50" t="str">
        <f aca="false">IFERROR(VLOOKUP($J377,Catálogos!$M$4:$N$17,2,FALSE()),"")</f>
        <v>Mantención Preventiva Realizada</v>
      </c>
      <c r="L377" s="52" t="n">
        <v>46068</v>
      </c>
      <c r="M377" s="50" t="s">
        <v>353</v>
      </c>
      <c r="N377" s="50" t="s">
        <v>253</v>
      </c>
      <c r="O377" s="50"/>
      <c r="P377" s="50"/>
      <c r="Q377" s="50" t="s">
        <v>362</v>
      </c>
    </row>
    <row r="378" customFormat="false" ht="15" hidden="false" customHeight="true" outlineLevel="0" collapsed="false">
      <c r="A378" s="51" t="s">
        <v>469</v>
      </c>
      <c r="B378" s="50" t="str">
        <f aca="false">IFERROR(VLOOKUP($A378,Equipos!$C$2:$M$967,2,FALSE()),"")</f>
        <v>Monitor Multiparámetros</v>
      </c>
      <c r="C378" s="50" t="str">
        <f aca="false">IFERROR(VLOOKUP($A378,Equipos!$C$2:$M$967,9,FALSE()),"")</f>
        <v>1393-109311</v>
      </c>
      <c r="D378" s="50" t="str">
        <f aca="false">IFERROR(VLOOKUP($A378,Equipos!$C$2:$M$967,3,FALSE()),"")</f>
        <v>UPC Pediátrica</v>
      </c>
      <c r="E378" s="50" t="str">
        <f aca="false">IFERROR(VLOOKUP($A378,Equipos!$C$2:$M$967,7,FALSE()),"")</f>
        <v>SPACELABS HEALTHCARE</v>
      </c>
      <c r="F378" s="50" t="str">
        <f aca="false">IFERROR(VLOOKUP($A378,Equipos!$C$2:$M$967,8,FALSE()),"")</f>
        <v>XPREZZON</v>
      </c>
      <c r="G378" s="50" t="s">
        <v>515</v>
      </c>
      <c r="H378" s="50" t="s">
        <v>360</v>
      </c>
      <c r="I378" s="50"/>
      <c r="J378" s="50" t="s">
        <v>352</v>
      </c>
      <c r="K378" s="50" t="str">
        <f aca="false">IFERROR(VLOOKUP($J378,Catálogos!$M$4:$N$17,2,FALSE()),"")</f>
        <v>Mantención Preventiva Realizada</v>
      </c>
      <c r="L378" s="52" t="n">
        <v>46068</v>
      </c>
      <c r="M378" s="50" t="s">
        <v>353</v>
      </c>
      <c r="N378" s="50" t="s">
        <v>253</v>
      </c>
      <c r="O378" s="50"/>
      <c r="P378" s="50"/>
      <c r="Q378" s="50" t="s">
        <v>362</v>
      </c>
    </row>
    <row r="379" customFormat="false" ht="15" hidden="false" customHeight="true" outlineLevel="0" collapsed="false">
      <c r="A379" s="51" t="s">
        <v>635</v>
      </c>
      <c r="B379" s="50" t="str">
        <f aca="false">IFERROR(VLOOKUP($A379,Equipos!$C$2:$M$967,2,FALSE()),"")</f>
        <v>Monitor Multiparámetros</v>
      </c>
      <c r="C379" s="50" t="str">
        <f aca="false">IFERROR(VLOOKUP($A379,Equipos!$C$2:$M$967,9,FALSE()),"")</f>
        <v>29761</v>
      </c>
      <c r="D379" s="50" t="str">
        <f aca="false">IFERROR(VLOOKUP($A379,Equipos!$C$2:$M$967,3,FALSE()),"")</f>
        <v>Medicina</v>
      </c>
      <c r="E379" s="50" t="str">
        <f aca="false">IFERROR(VLOOKUP($A379,Equipos!$C$2:$M$967,7,FALSE()),"")</f>
        <v>Nihon Kohden </v>
      </c>
      <c r="F379" s="50" t="str">
        <f aca="false">IFERROR(VLOOKUP($A379,Equipos!$C$2:$M$967,8,FALSE()),"")</f>
        <v>BSM-3562K</v>
      </c>
      <c r="G379" s="50" t="s">
        <v>515</v>
      </c>
      <c r="H379" s="50" t="s">
        <v>360</v>
      </c>
      <c r="I379" s="50"/>
      <c r="J379" s="50" t="s">
        <v>352</v>
      </c>
      <c r="K379" s="50" t="str">
        <f aca="false">IFERROR(VLOOKUP($J379,Catálogos!$M$4:$N$17,2,FALSE()),"")</f>
        <v>Mantención Preventiva Realizada</v>
      </c>
      <c r="L379" s="52" t="n">
        <v>46068</v>
      </c>
      <c r="M379" s="50" t="s">
        <v>353</v>
      </c>
      <c r="N379" s="50" t="s">
        <v>253</v>
      </c>
      <c r="O379" s="50"/>
      <c r="P379" s="50"/>
      <c r="Q379" s="50" t="s">
        <v>362</v>
      </c>
    </row>
    <row r="380" customFormat="false" ht="15" hidden="false" customHeight="true" outlineLevel="0" collapsed="false">
      <c r="A380" s="51" t="s">
        <v>470</v>
      </c>
      <c r="B380" s="50" t="str">
        <f aca="false">IFERROR(VLOOKUP($A380,Equipos!$C$2:$M$967,2,FALSE()),"")</f>
        <v>Monitor Multiparámetros</v>
      </c>
      <c r="C380" s="50" t="str">
        <f aca="false">IFERROR(VLOOKUP($A380,Equipos!$C$2:$M$967,9,FALSE()),"")</f>
        <v>1393-109326</v>
      </c>
      <c r="D380" s="50" t="str">
        <f aca="false">IFERROR(VLOOKUP($A380,Equipos!$C$2:$M$967,3,FALSE()),"")</f>
        <v>UPC Pediátrica</v>
      </c>
      <c r="E380" s="50" t="str">
        <f aca="false">IFERROR(VLOOKUP($A380,Equipos!$C$2:$M$967,7,FALSE()),"")</f>
        <v>SPACELABS HEALTHCARE</v>
      </c>
      <c r="F380" s="50" t="str">
        <f aca="false">IFERROR(VLOOKUP($A380,Equipos!$C$2:$M$967,8,FALSE()),"")</f>
        <v>XPREZZON</v>
      </c>
      <c r="G380" s="50" t="s">
        <v>515</v>
      </c>
      <c r="H380" s="50" t="s">
        <v>360</v>
      </c>
      <c r="I380" s="50"/>
      <c r="J380" s="50" t="s">
        <v>352</v>
      </c>
      <c r="K380" s="50" t="str">
        <f aca="false">IFERROR(VLOOKUP($J380,Catálogos!$M$4:$N$17,2,FALSE()),"")</f>
        <v>Mantención Preventiva Realizada</v>
      </c>
      <c r="L380" s="52" t="n">
        <v>46068</v>
      </c>
      <c r="M380" s="50" t="s">
        <v>353</v>
      </c>
      <c r="N380" s="50" t="s">
        <v>253</v>
      </c>
      <c r="O380" s="50"/>
      <c r="P380" s="50"/>
      <c r="Q380" s="50" t="s">
        <v>362</v>
      </c>
    </row>
    <row r="381" customFormat="false" ht="15" hidden="false" customHeight="true" outlineLevel="0" collapsed="false">
      <c r="A381" s="51" t="s">
        <v>636</v>
      </c>
      <c r="B381" s="50" t="str">
        <f aca="false">IFERROR(VLOOKUP($A381,Equipos!$C$2:$M$967,2,FALSE()),"")</f>
        <v>Monitor Multiparámetros</v>
      </c>
      <c r="C381" s="50" t="str">
        <f aca="false">IFERROR(VLOOKUP($A381,Equipos!$C$2:$M$967,9,FALSE()),"")</f>
        <v>JH01B910030</v>
      </c>
      <c r="D381" s="50" t="str">
        <f aca="false">IFERROR(VLOOKUP($A381,Equipos!$C$2:$M$967,3,FALSE()),"")</f>
        <v>CR ONCOLOGICO AMBULATORIO</v>
      </c>
      <c r="E381" s="50" t="str">
        <f aca="false">IFERROR(VLOOKUP($A381,Equipos!$C$2:$M$967,7,FALSE()),"")</f>
        <v>NORTHERN</v>
      </c>
      <c r="F381" s="50" t="str">
        <f aca="false">IFERROR(VLOOKUP($A381,Equipos!$C$2:$M$967,8,FALSE()),"")</f>
        <v>Aquarius ECG</v>
      </c>
      <c r="G381" s="50" t="s">
        <v>515</v>
      </c>
      <c r="H381" s="50" t="s">
        <v>360</v>
      </c>
      <c r="I381" s="50"/>
      <c r="J381" s="50" t="s">
        <v>364</v>
      </c>
      <c r="K381" s="50" t="str">
        <f aca="false">IFERROR(VLOOKUP($J381,Catálogos!$M$4:$N$17,2,FALSE()),"")</f>
        <v>Reprogramada · No disponibilidad de horas hombre del funcionario SEC por alta carga laboral</v>
      </c>
      <c r="L381" s="52" t="n">
        <v>46068</v>
      </c>
      <c r="M381" s="50" t="s">
        <v>353</v>
      </c>
      <c r="N381" s="50" t="s">
        <v>253</v>
      </c>
      <c r="O381" s="50"/>
      <c r="P381" s="50"/>
      <c r="Q381" s="50" t="s">
        <v>362</v>
      </c>
    </row>
    <row r="382" customFormat="false" ht="15" hidden="false" customHeight="true" outlineLevel="0" collapsed="false">
      <c r="A382" s="51" t="s">
        <v>637</v>
      </c>
      <c r="B382" s="50" t="str">
        <f aca="false">IFERROR(VLOOKUP($A382,Equipos!$C$2:$M$967,2,FALSE()),"")</f>
        <v>Monitor Multiparámetros</v>
      </c>
      <c r="C382" s="50" t="str">
        <f aca="false">IFERROR(VLOOKUP($A382,Equipos!$C$2:$M$967,9,FALSE()),"")</f>
        <v>29751</v>
      </c>
      <c r="D382" s="50" t="str">
        <f aca="false">IFERROR(VLOOKUP($A382,Equipos!$C$2:$M$967,3,FALSE()),"")</f>
        <v>Medicina</v>
      </c>
      <c r="E382" s="50" t="str">
        <f aca="false">IFERROR(VLOOKUP($A382,Equipos!$C$2:$M$967,7,FALSE()),"")</f>
        <v>Nihon Kohden </v>
      </c>
      <c r="F382" s="50" t="str">
        <f aca="false">IFERROR(VLOOKUP($A382,Equipos!$C$2:$M$967,8,FALSE()),"")</f>
        <v>BSM-3562K</v>
      </c>
      <c r="G382" s="50" t="s">
        <v>515</v>
      </c>
      <c r="H382" s="50" t="s">
        <v>360</v>
      </c>
      <c r="I382" s="50"/>
      <c r="J382" s="50" t="s">
        <v>352</v>
      </c>
      <c r="K382" s="50" t="str">
        <f aca="false">IFERROR(VLOOKUP($J382,Catálogos!$M$4:$N$17,2,FALSE()),"")</f>
        <v>Mantención Preventiva Realizada</v>
      </c>
      <c r="L382" s="52" t="n">
        <v>46068</v>
      </c>
      <c r="M382" s="50" t="s">
        <v>353</v>
      </c>
      <c r="N382" s="50" t="s">
        <v>253</v>
      </c>
      <c r="O382" s="50"/>
      <c r="P382" s="50"/>
      <c r="Q382" s="50" t="s">
        <v>362</v>
      </c>
    </row>
    <row r="383" customFormat="false" ht="15" hidden="false" customHeight="true" outlineLevel="0" collapsed="false">
      <c r="A383" s="51" t="s">
        <v>638</v>
      </c>
      <c r="B383" s="50" t="str">
        <f aca="false">IFERROR(VLOOKUP($A383,Equipos!$C$2:$M$967,2,FALSE()),"")</f>
        <v>Monitor Multiparámetros</v>
      </c>
      <c r="C383" s="50" t="str">
        <f aca="false">IFERROR(VLOOKUP($A383,Equipos!$C$2:$M$967,9,FALSE()),"")</f>
        <v>D3DJ7839G</v>
      </c>
      <c r="D383" s="50" t="str">
        <f aca="false">IFERROR(VLOOKUP($A383,Equipos!$C$2:$M$967,3,FALSE()),"")</f>
        <v>Urgencias Gineco-Obstétricas</v>
      </c>
      <c r="E383" s="50" t="str">
        <f aca="false">IFERROR(VLOOKUP($A383,Equipos!$C$2:$M$967,7,FALSE()),"")</f>
        <v>General Electric</v>
      </c>
      <c r="F383" s="50" t="str">
        <f aca="false">IFERROR(VLOOKUP($A383,Equipos!$C$2:$M$967,8,FALSE()),"")</f>
        <v>Dash 4000</v>
      </c>
      <c r="G383" s="50" t="s">
        <v>515</v>
      </c>
      <c r="H383" s="50" t="s">
        <v>360</v>
      </c>
      <c r="I383" s="50"/>
      <c r="J383" s="50" t="s">
        <v>361</v>
      </c>
      <c r="K383" s="50" t="str">
        <f aca="false">IFERROR(VLOOKUP($J383,Catálogos!$M$4:$N$17,2,FALSE()),"")</f>
        <v>Equipo Dado de Baja</v>
      </c>
      <c r="L383" s="52" t="n">
        <v>46068</v>
      </c>
      <c r="M383" s="50" t="s">
        <v>361</v>
      </c>
      <c r="N383" s="50" t="s">
        <v>253</v>
      </c>
      <c r="O383" s="50"/>
      <c r="P383" s="50"/>
      <c r="Q383" s="50" t="s">
        <v>362</v>
      </c>
    </row>
    <row r="384" customFormat="false" ht="15" hidden="false" customHeight="true" outlineLevel="0" collapsed="false">
      <c r="A384" s="51" t="s">
        <v>471</v>
      </c>
      <c r="B384" s="50" t="str">
        <f aca="false">IFERROR(VLOOKUP($A384,Equipos!$C$2:$M$967,2,FALSE()),"")</f>
        <v>Monitor Multiparámetros</v>
      </c>
      <c r="C384" s="50" t="str">
        <f aca="false">IFERROR(VLOOKUP($A384,Equipos!$C$2:$M$967,9,FALSE()),"")</f>
        <v>570</v>
      </c>
      <c r="D384" s="50" t="str">
        <f aca="false">IFERROR(VLOOKUP($A384,Equipos!$C$2:$M$967,3,FALSE()),"")</f>
        <v>Pediatría</v>
      </c>
      <c r="E384" s="50" t="str">
        <f aca="false">IFERROR(VLOOKUP($A384,Equipos!$C$2:$M$967,7,FALSE()),"")</f>
        <v>Nihon Kohden </v>
      </c>
      <c r="F384" s="50" t="str">
        <f aca="false">IFERROR(VLOOKUP($A384,Equipos!$C$2:$M$967,8,FALSE()),"")</f>
        <v>BSM-1763K</v>
      </c>
      <c r="G384" s="50" t="s">
        <v>515</v>
      </c>
      <c r="H384" s="50" t="s">
        <v>360</v>
      </c>
      <c r="I384" s="50"/>
      <c r="J384" s="50" t="s">
        <v>352</v>
      </c>
      <c r="K384" s="50" t="str">
        <f aca="false">IFERROR(VLOOKUP($J384,Catálogos!$M$4:$N$17,2,FALSE()),"")</f>
        <v>Mantención Preventiva Realizada</v>
      </c>
      <c r="L384" s="52" t="n">
        <v>46068</v>
      </c>
      <c r="M384" s="50" t="s">
        <v>353</v>
      </c>
      <c r="N384" s="50" t="s">
        <v>253</v>
      </c>
      <c r="O384" s="50"/>
      <c r="P384" s="50"/>
      <c r="Q384" s="50" t="s">
        <v>362</v>
      </c>
    </row>
    <row r="385" customFormat="false" ht="15" hidden="false" customHeight="true" outlineLevel="0" collapsed="false">
      <c r="A385" s="51" t="s">
        <v>472</v>
      </c>
      <c r="B385" s="50" t="str">
        <f aca="false">IFERROR(VLOOKUP($A385,Equipos!$C$2:$M$967,2,FALSE()),"")</f>
        <v>Monitor Multiparámetros</v>
      </c>
      <c r="C385" s="50" t="str">
        <f aca="false">IFERROR(VLOOKUP($A385,Equipos!$C$2:$M$967,9,FALSE()),"")</f>
        <v>100654</v>
      </c>
      <c r="D385" s="50" t="str">
        <f aca="false">IFERROR(VLOOKUP($A385,Equipos!$C$2:$M$967,3,FALSE()),"")</f>
        <v>Pediatría</v>
      </c>
      <c r="E385" s="50" t="str">
        <f aca="false">IFERROR(VLOOKUP($A385,Equipos!$C$2:$M$967,7,FALSE()),"")</f>
        <v>Nihon Kohden </v>
      </c>
      <c r="F385" s="50" t="str">
        <f aca="false">IFERROR(VLOOKUP($A385,Equipos!$C$2:$M$967,8,FALSE()),"")</f>
        <v>PVM-2701K</v>
      </c>
      <c r="G385" s="50" t="s">
        <v>515</v>
      </c>
      <c r="H385" s="50" t="s">
        <v>360</v>
      </c>
      <c r="I385" s="50"/>
      <c r="J385" s="50" t="s">
        <v>352</v>
      </c>
      <c r="K385" s="50" t="str">
        <f aca="false">IFERROR(VLOOKUP($J385,Catálogos!$M$4:$N$17,2,FALSE()),"")</f>
        <v>Mantención Preventiva Realizada</v>
      </c>
      <c r="L385" s="52" t="n">
        <v>46068</v>
      </c>
      <c r="M385" s="50" t="s">
        <v>353</v>
      </c>
      <c r="N385" s="50" t="s">
        <v>253</v>
      </c>
      <c r="O385" s="50"/>
      <c r="P385" s="50"/>
      <c r="Q385" s="50" t="s">
        <v>362</v>
      </c>
    </row>
    <row r="386" customFormat="false" ht="15" hidden="false" customHeight="true" outlineLevel="0" collapsed="false">
      <c r="A386" s="51" t="s">
        <v>473</v>
      </c>
      <c r="B386" s="50" t="str">
        <f aca="false">IFERROR(VLOOKUP($A386,Equipos!$C$2:$M$967,2,FALSE()),"")</f>
        <v>Monitor Multiparámetros</v>
      </c>
      <c r="C386" s="50" t="str">
        <f aca="false">IFERROR(VLOOKUP($A386,Equipos!$C$2:$M$967,9,FALSE()),"")</f>
        <v>1393-109321</v>
      </c>
      <c r="D386" s="50" t="str">
        <f aca="false">IFERROR(VLOOKUP($A386,Equipos!$C$2:$M$967,3,FALSE()),"")</f>
        <v>UPC Pediátrica</v>
      </c>
      <c r="E386" s="50" t="str">
        <f aca="false">IFERROR(VLOOKUP($A386,Equipos!$C$2:$M$967,7,FALSE()),"")</f>
        <v>SPACELABS HEALTHCARE</v>
      </c>
      <c r="F386" s="50" t="str">
        <f aca="false">IFERROR(VLOOKUP($A386,Equipos!$C$2:$M$967,8,FALSE()),"")</f>
        <v>XPREZZON</v>
      </c>
      <c r="G386" s="50" t="s">
        <v>515</v>
      </c>
      <c r="H386" s="50" t="s">
        <v>360</v>
      </c>
      <c r="I386" s="50"/>
      <c r="J386" s="50" t="s">
        <v>352</v>
      </c>
      <c r="K386" s="50" t="str">
        <f aca="false">IFERROR(VLOOKUP($J386,Catálogos!$M$4:$N$17,2,FALSE()),"")</f>
        <v>Mantención Preventiva Realizada</v>
      </c>
      <c r="L386" s="52" t="n">
        <v>46068</v>
      </c>
      <c r="M386" s="50" t="s">
        <v>353</v>
      </c>
      <c r="N386" s="50" t="s">
        <v>253</v>
      </c>
      <c r="O386" s="50"/>
      <c r="P386" s="50"/>
      <c r="Q386" s="50" t="s">
        <v>362</v>
      </c>
    </row>
    <row r="387" customFormat="false" ht="15" hidden="false" customHeight="true" outlineLevel="0" collapsed="false">
      <c r="A387" s="51" t="s">
        <v>639</v>
      </c>
      <c r="B387" s="50" t="str">
        <f aca="false">IFERROR(VLOOKUP($A387,Equipos!$C$2:$M$967,2,FALSE()),"")</f>
        <v>Monitor Multiparámetros</v>
      </c>
      <c r="C387" s="50" t="str">
        <f aca="false">IFERROR(VLOOKUP($A387,Equipos!$C$2:$M$967,9,FALSE()),"")</f>
        <v>29695</v>
      </c>
      <c r="D387" s="50" t="str">
        <f aca="false">IFERROR(VLOOKUP($A387,Equipos!$C$2:$M$967,3,FALSE()),"")</f>
        <v>Medicina</v>
      </c>
      <c r="E387" s="50" t="str">
        <f aca="false">IFERROR(VLOOKUP($A387,Equipos!$C$2:$M$967,7,FALSE()),"")</f>
        <v>Nihon Kohden </v>
      </c>
      <c r="F387" s="50" t="str">
        <f aca="false">IFERROR(VLOOKUP($A387,Equipos!$C$2:$M$967,8,FALSE()),"")</f>
        <v>BSM-3562K</v>
      </c>
      <c r="G387" s="50" t="s">
        <v>515</v>
      </c>
      <c r="H387" s="50" t="s">
        <v>360</v>
      </c>
      <c r="I387" s="50"/>
      <c r="J387" s="50" t="s">
        <v>352</v>
      </c>
      <c r="K387" s="50" t="str">
        <f aca="false">IFERROR(VLOOKUP($J387,Catálogos!$M$4:$N$17,2,FALSE()),"")</f>
        <v>Mantención Preventiva Realizada</v>
      </c>
      <c r="L387" s="52" t="n">
        <v>46068</v>
      </c>
      <c r="M387" s="50" t="s">
        <v>353</v>
      </c>
      <c r="N387" s="50" t="s">
        <v>253</v>
      </c>
      <c r="O387" s="50"/>
      <c r="P387" s="50"/>
      <c r="Q387" s="50" t="s">
        <v>362</v>
      </c>
    </row>
    <row r="388" customFormat="false" ht="15" hidden="false" customHeight="true" outlineLevel="0" collapsed="false">
      <c r="A388" s="51" t="s">
        <v>640</v>
      </c>
      <c r="B388" s="50" t="str">
        <f aca="false">IFERROR(VLOOKUP($A388,Equipos!$C$2:$M$967,2,FALSE()),"")</f>
        <v>Monitor Multiparámetros</v>
      </c>
      <c r="C388" s="50" t="str">
        <f aca="false">IFERROR(VLOOKUP($A388,Equipos!$C$2:$M$967,9,FALSE()),"")</f>
        <v>29676</v>
      </c>
      <c r="D388" s="50" t="str">
        <f aca="false">IFERROR(VLOOKUP($A388,Equipos!$C$2:$M$967,3,FALSE()),"")</f>
        <v>Medicina</v>
      </c>
      <c r="E388" s="50" t="str">
        <f aca="false">IFERROR(VLOOKUP($A388,Equipos!$C$2:$M$967,7,FALSE()),"")</f>
        <v>Nihon Kohden </v>
      </c>
      <c r="F388" s="50" t="str">
        <f aca="false">IFERROR(VLOOKUP($A388,Equipos!$C$2:$M$967,8,FALSE()),"")</f>
        <v>BSM-3562K</v>
      </c>
      <c r="G388" s="50" t="s">
        <v>515</v>
      </c>
      <c r="H388" s="50" t="s">
        <v>360</v>
      </c>
      <c r="I388" s="50"/>
      <c r="J388" s="50" t="s">
        <v>352</v>
      </c>
      <c r="K388" s="50" t="str">
        <f aca="false">IFERROR(VLOOKUP($J388,Catálogos!$M$4:$N$17,2,FALSE()),"")</f>
        <v>Mantención Preventiva Realizada</v>
      </c>
      <c r="L388" s="52" t="n">
        <v>46068</v>
      </c>
      <c r="M388" s="50" t="s">
        <v>353</v>
      </c>
      <c r="N388" s="50" t="s">
        <v>253</v>
      </c>
      <c r="O388" s="50"/>
      <c r="P388" s="50"/>
      <c r="Q388" s="50" t="s">
        <v>362</v>
      </c>
    </row>
    <row r="389" customFormat="false" ht="15" hidden="false" customHeight="true" outlineLevel="0" collapsed="false">
      <c r="A389" s="51" t="s">
        <v>474</v>
      </c>
      <c r="B389" s="50" t="str">
        <f aca="false">IFERROR(VLOOKUP($A389,Equipos!$C$2:$M$967,2,FALSE()),"")</f>
        <v>Monitor Multiparámetros</v>
      </c>
      <c r="C389" s="50" t="str">
        <f aca="false">IFERROR(VLOOKUP($A389,Equipos!$C$2:$M$967,9,FALSE()),"")</f>
        <v>100655</v>
      </c>
      <c r="D389" s="50" t="str">
        <f aca="false">IFERROR(VLOOKUP($A389,Equipos!$C$2:$M$967,3,FALSE()),"")</f>
        <v>Pediatría</v>
      </c>
      <c r="E389" s="50" t="str">
        <f aca="false">IFERROR(VLOOKUP($A389,Equipos!$C$2:$M$967,7,FALSE()),"")</f>
        <v>Nihon Kohden </v>
      </c>
      <c r="F389" s="50" t="str">
        <f aca="false">IFERROR(VLOOKUP($A389,Equipos!$C$2:$M$967,8,FALSE()),"")</f>
        <v>PVM-2701K</v>
      </c>
      <c r="G389" s="50" t="s">
        <v>515</v>
      </c>
      <c r="H389" s="50" t="s">
        <v>360</v>
      </c>
      <c r="I389" s="50"/>
      <c r="J389" s="50" t="s">
        <v>352</v>
      </c>
      <c r="K389" s="50" t="str">
        <f aca="false">IFERROR(VLOOKUP($J389,Catálogos!$M$4:$N$17,2,FALSE()),"")</f>
        <v>Mantención Preventiva Realizada</v>
      </c>
      <c r="L389" s="52" t="n">
        <v>46068</v>
      </c>
      <c r="M389" s="50" t="s">
        <v>353</v>
      </c>
      <c r="N389" s="50" t="s">
        <v>253</v>
      </c>
      <c r="O389" s="50"/>
      <c r="P389" s="50"/>
      <c r="Q389" s="50" t="s">
        <v>362</v>
      </c>
    </row>
    <row r="390" customFormat="false" ht="15" hidden="false" customHeight="true" outlineLevel="0" collapsed="false">
      <c r="A390" s="51" t="s">
        <v>475</v>
      </c>
      <c r="B390" s="50" t="str">
        <f aca="false">IFERROR(VLOOKUP($A390,Equipos!$C$2:$M$967,2,FALSE()),"")</f>
        <v>Monitor Multiparámetros</v>
      </c>
      <c r="C390" s="50" t="str">
        <f aca="false">IFERROR(VLOOKUP($A390,Equipos!$C$2:$M$967,9,FALSE()),"")</f>
        <v>1393-109302</v>
      </c>
      <c r="D390" s="50" t="str">
        <f aca="false">IFERROR(VLOOKUP($A390,Equipos!$C$2:$M$967,3,FALSE()),"")</f>
        <v>UPC Pediátrica</v>
      </c>
      <c r="E390" s="50" t="str">
        <f aca="false">IFERROR(VLOOKUP($A390,Equipos!$C$2:$M$967,7,FALSE()),"")</f>
        <v>SPACELABS HEALTHCARE</v>
      </c>
      <c r="F390" s="50" t="str">
        <f aca="false">IFERROR(VLOOKUP($A390,Equipos!$C$2:$M$967,8,FALSE()),"")</f>
        <v>XPREZZON</v>
      </c>
      <c r="G390" s="50" t="s">
        <v>515</v>
      </c>
      <c r="H390" s="50" t="s">
        <v>360</v>
      </c>
      <c r="I390" s="50"/>
      <c r="J390" s="50" t="s">
        <v>352</v>
      </c>
      <c r="K390" s="50" t="str">
        <f aca="false">IFERROR(VLOOKUP($J390,Catálogos!$M$4:$N$17,2,FALSE()),"")</f>
        <v>Mantención Preventiva Realizada</v>
      </c>
      <c r="L390" s="52" t="n">
        <v>46068</v>
      </c>
      <c r="M390" s="50" t="s">
        <v>353</v>
      </c>
      <c r="N390" s="50" t="s">
        <v>253</v>
      </c>
      <c r="O390" s="50"/>
      <c r="P390" s="50"/>
      <c r="Q390" s="50" t="s">
        <v>362</v>
      </c>
    </row>
    <row r="391" customFormat="false" ht="15" hidden="false" customHeight="true" outlineLevel="0" collapsed="false">
      <c r="A391" s="51" t="s">
        <v>476</v>
      </c>
      <c r="B391" s="50" t="str">
        <f aca="false">IFERROR(VLOOKUP($A391,Equipos!$C$2:$M$967,2,FALSE()),"")</f>
        <v>Monitor Multiparámetros</v>
      </c>
      <c r="C391" s="50" t="str">
        <f aca="false">IFERROR(VLOOKUP($A391,Equipos!$C$2:$M$967,9,FALSE()),"")</f>
        <v>100648</v>
      </c>
      <c r="D391" s="50" t="str">
        <f aca="false">IFERROR(VLOOKUP($A391,Equipos!$C$2:$M$967,3,FALSE()),"")</f>
        <v>Pediatría</v>
      </c>
      <c r="E391" s="50" t="str">
        <f aca="false">IFERROR(VLOOKUP($A391,Equipos!$C$2:$M$967,7,FALSE()),"")</f>
        <v>Nihon Kohden </v>
      </c>
      <c r="F391" s="50" t="str">
        <f aca="false">IFERROR(VLOOKUP($A391,Equipos!$C$2:$M$967,8,FALSE()),"")</f>
        <v>PVM-2701K</v>
      </c>
      <c r="G391" s="50" t="s">
        <v>515</v>
      </c>
      <c r="H391" s="50" t="s">
        <v>360</v>
      </c>
      <c r="I391" s="50"/>
      <c r="J391" s="50" t="s">
        <v>352</v>
      </c>
      <c r="K391" s="50" t="str">
        <f aca="false">IFERROR(VLOOKUP($J391,Catálogos!$M$4:$N$17,2,FALSE()),"")</f>
        <v>Mantención Preventiva Realizada</v>
      </c>
      <c r="L391" s="52" t="n">
        <v>46068</v>
      </c>
      <c r="M391" s="50" t="s">
        <v>353</v>
      </c>
      <c r="N391" s="50" t="s">
        <v>253</v>
      </c>
      <c r="O391" s="50"/>
      <c r="P391" s="50"/>
      <c r="Q391" s="50" t="s">
        <v>362</v>
      </c>
    </row>
    <row r="392" customFormat="false" ht="15" hidden="false" customHeight="true" outlineLevel="0" collapsed="false">
      <c r="A392" s="51" t="s">
        <v>477</v>
      </c>
      <c r="B392" s="50" t="str">
        <f aca="false">IFERROR(VLOOKUP($A392,Equipos!$C$2:$M$967,2,FALSE()),"")</f>
        <v>Monitor Multiparámetros</v>
      </c>
      <c r="C392" s="50" t="str">
        <f aca="false">IFERROR(VLOOKUP($A392,Equipos!$C$2:$M$967,9,FALSE()),"")</f>
        <v>1060</v>
      </c>
      <c r="D392" s="50" t="str">
        <f aca="false">IFERROR(VLOOKUP($A392,Equipos!$C$2:$M$967,3,FALSE()),"")</f>
        <v>Pediatría</v>
      </c>
      <c r="E392" s="50" t="str">
        <f aca="false">IFERROR(VLOOKUP($A392,Equipos!$C$2:$M$967,7,FALSE()),"")</f>
        <v>Nihon Kohden </v>
      </c>
      <c r="F392" s="50" t="str">
        <f aca="false">IFERROR(VLOOKUP($A392,Equipos!$C$2:$M$967,8,FALSE()),"")</f>
        <v>BSM-6301K</v>
      </c>
      <c r="G392" s="50" t="s">
        <v>515</v>
      </c>
      <c r="H392" s="50" t="s">
        <v>360</v>
      </c>
      <c r="I392" s="50"/>
      <c r="J392" s="50" t="s">
        <v>352</v>
      </c>
      <c r="K392" s="50" t="str">
        <f aca="false">IFERROR(VLOOKUP($J392,Catálogos!$M$4:$N$17,2,FALSE()),"")</f>
        <v>Mantención Preventiva Realizada</v>
      </c>
      <c r="L392" s="52" t="n">
        <v>46068</v>
      </c>
      <c r="M392" s="50" t="s">
        <v>353</v>
      </c>
      <c r="N392" s="50" t="s">
        <v>253</v>
      </c>
      <c r="O392" s="50"/>
      <c r="P392" s="50"/>
      <c r="Q392" s="50" t="s">
        <v>362</v>
      </c>
    </row>
    <row r="393" customFormat="false" ht="15" hidden="false" customHeight="true" outlineLevel="0" collapsed="false">
      <c r="A393" s="51" t="s">
        <v>641</v>
      </c>
      <c r="B393" s="50" t="str">
        <f aca="false">IFERROR(VLOOKUP($A393,Equipos!$C$2:$M$967,2,FALSE()),"")</f>
        <v>Monitor Multiparámetros</v>
      </c>
      <c r="C393" s="50" t="str">
        <f aca="false">IFERROR(VLOOKUP($A393,Equipos!$C$2:$M$967,9,FALSE()),"")</f>
        <v>5514423368</v>
      </c>
      <c r="D393" s="50" t="str">
        <f aca="false">IFERROR(VLOOKUP($A393,Equipos!$C$2:$M$967,3,FALSE()),"")</f>
        <v>Imagenología</v>
      </c>
      <c r="E393" s="50" t="str">
        <f aca="false">IFERROR(VLOOKUP($A393,Equipos!$C$2:$M$967,7,FALSE()),"")</f>
        <v>Drager </v>
      </c>
      <c r="F393" s="50" t="str">
        <f aca="false">IFERROR(VLOOKUP($A393,Equipos!$C$2:$M$967,8,FALSE()),"")</f>
        <v>Infinity Vista</v>
      </c>
      <c r="G393" s="50" t="s">
        <v>515</v>
      </c>
      <c r="H393" s="50" t="s">
        <v>360</v>
      </c>
      <c r="I393" s="50"/>
      <c r="J393" s="50" t="s">
        <v>364</v>
      </c>
      <c r="K393" s="50" t="str">
        <f aca="false">IFERROR(VLOOKUP($J393,Catálogos!$M$4:$N$17,2,FALSE()),"")</f>
        <v>Reprogramada · No disponibilidad de horas hombre del funcionario SEC por alta carga laboral</v>
      </c>
      <c r="L393" s="52" t="n">
        <v>46068</v>
      </c>
      <c r="M393" s="50" t="s">
        <v>353</v>
      </c>
      <c r="N393" s="50" t="s">
        <v>253</v>
      </c>
      <c r="O393" s="50"/>
      <c r="P393" s="50"/>
      <c r="Q393" s="50" t="s">
        <v>362</v>
      </c>
    </row>
    <row r="394" customFormat="false" ht="15" hidden="false" customHeight="true" outlineLevel="0" collapsed="false">
      <c r="A394" s="51" t="s">
        <v>478</v>
      </c>
      <c r="B394" s="50" t="str">
        <f aca="false">IFERROR(VLOOKUP($A394,Equipos!$C$2:$M$967,2,FALSE()),"")</f>
        <v>Monitor Multiparámetros</v>
      </c>
      <c r="C394" s="50" t="str">
        <f aca="false">IFERROR(VLOOKUP($A394,Equipos!$C$2:$M$967,9,FALSE()),"")</f>
        <v>1393-109324</v>
      </c>
      <c r="D394" s="50" t="str">
        <f aca="false">IFERROR(VLOOKUP($A394,Equipos!$C$2:$M$967,3,FALSE()),"")</f>
        <v>UPC Pediátrica</v>
      </c>
      <c r="E394" s="50" t="str">
        <f aca="false">IFERROR(VLOOKUP($A394,Equipos!$C$2:$M$967,7,FALSE()),"")</f>
        <v>SPACELABS HEALTHCARE</v>
      </c>
      <c r="F394" s="50" t="str">
        <f aca="false">IFERROR(VLOOKUP($A394,Equipos!$C$2:$M$967,8,FALSE()),"")</f>
        <v>XPREZZON</v>
      </c>
      <c r="G394" s="50" t="s">
        <v>515</v>
      </c>
      <c r="H394" s="50" t="s">
        <v>360</v>
      </c>
      <c r="I394" s="50"/>
      <c r="J394" s="50" t="s">
        <v>352</v>
      </c>
      <c r="K394" s="50" t="str">
        <f aca="false">IFERROR(VLOOKUP($J394,Catálogos!$M$4:$N$17,2,FALSE()),"")</f>
        <v>Mantención Preventiva Realizada</v>
      </c>
      <c r="L394" s="52" t="n">
        <v>46068</v>
      </c>
      <c r="M394" s="50" t="s">
        <v>353</v>
      </c>
      <c r="N394" s="50" t="s">
        <v>253</v>
      </c>
      <c r="O394" s="50"/>
      <c r="P394" s="50"/>
      <c r="Q394" s="50" t="s">
        <v>362</v>
      </c>
    </row>
    <row r="395" customFormat="false" ht="15" hidden="false" customHeight="true" outlineLevel="0" collapsed="false">
      <c r="A395" s="51" t="s">
        <v>642</v>
      </c>
      <c r="B395" s="50" t="str">
        <f aca="false">IFERROR(VLOOKUP($A395,Equipos!$C$2:$M$967,2,FALSE()),"")</f>
        <v>Monitor Multiparámetros</v>
      </c>
      <c r="C395" s="50" t="str">
        <f aca="false">IFERROR(VLOOKUP($A395,Equipos!$C$2:$M$967,9,FALSE()),"")</f>
        <v>J3300KB00015</v>
      </c>
      <c r="D395" s="50" t="str">
        <f aca="false">IFERROR(VLOOKUP($A395,Equipos!$C$2:$M$967,3,FALSE()),"")</f>
        <v>Imagenología</v>
      </c>
      <c r="E395" s="50" t="str">
        <f aca="false">IFERROR(VLOOKUP($A395,Equipos!$C$2:$M$967,7,FALSE()),"")</f>
        <v>Creative Medical</v>
      </c>
      <c r="F395" s="50" t="str">
        <f aca="false">IFERROR(VLOOKUP($A395,Equipos!$C$2:$M$967,8,FALSE()),"")</f>
        <v>UP-7000</v>
      </c>
      <c r="G395" s="50" t="s">
        <v>515</v>
      </c>
      <c r="H395" s="50" t="s">
        <v>360</v>
      </c>
      <c r="I395" s="50"/>
      <c r="J395" s="50" t="s">
        <v>364</v>
      </c>
      <c r="K395" s="50" t="str">
        <f aca="false">IFERROR(VLOOKUP($J395,Catálogos!$M$4:$N$17,2,FALSE()),"")</f>
        <v>Reprogramada · No disponibilidad de horas hombre del funcionario SEC por alta carga laboral</v>
      </c>
      <c r="L395" s="52" t="n">
        <v>46068</v>
      </c>
      <c r="M395" s="50" t="s">
        <v>353</v>
      </c>
      <c r="N395" s="50" t="s">
        <v>253</v>
      </c>
      <c r="O395" s="50"/>
      <c r="P395" s="50"/>
      <c r="Q395" s="50" t="s">
        <v>362</v>
      </c>
    </row>
    <row r="396" customFormat="false" ht="15" hidden="false" customHeight="true" outlineLevel="0" collapsed="false">
      <c r="A396" s="51" t="s">
        <v>479</v>
      </c>
      <c r="B396" s="50" t="str">
        <f aca="false">IFERROR(VLOOKUP($A396,Equipos!$C$2:$M$967,2,FALSE()),"")</f>
        <v>Monitor Multiparámetros</v>
      </c>
      <c r="C396" s="50" t="str">
        <f aca="false">IFERROR(VLOOKUP($A396,Equipos!$C$2:$M$967,9,FALSE()),"")</f>
        <v>100652</v>
      </c>
      <c r="D396" s="50" t="str">
        <f aca="false">IFERROR(VLOOKUP($A396,Equipos!$C$2:$M$967,3,FALSE()),"")</f>
        <v>Pediatría</v>
      </c>
      <c r="E396" s="50" t="str">
        <f aca="false">IFERROR(VLOOKUP($A396,Equipos!$C$2:$M$967,7,FALSE()),"")</f>
        <v>Nihon Kohden </v>
      </c>
      <c r="F396" s="50" t="str">
        <f aca="false">IFERROR(VLOOKUP($A396,Equipos!$C$2:$M$967,8,FALSE()),"")</f>
        <v>PVM-2701K</v>
      </c>
      <c r="G396" s="50" t="s">
        <v>515</v>
      </c>
      <c r="H396" s="50" t="s">
        <v>360</v>
      </c>
      <c r="I396" s="50"/>
      <c r="J396" s="50" t="s">
        <v>352</v>
      </c>
      <c r="K396" s="50" t="str">
        <f aca="false">IFERROR(VLOOKUP($J396,Catálogos!$M$4:$N$17,2,FALSE()),"")</f>
        <v>Mantención Preventiva Realizada</v>
      </c>
      <c r="L396" s="52" t="n">
        <v>46068</v>
      </c>
      <c r="M396" s="50" t="s">
        <v>353</v>
      </c>
      <c r="N396" s="50" t="s">
        <v>253</v>
      </c>
      <c r="O396" s="50"/>
      <c r="P396" s="50"/>
      <c r="Q396" s="50" t="s">
        <v>362</v>
      </c>
    </row>
    <row r="397" customFormat="false" ht="15" hidden="false" customHeight="true" outlineLevel="0" collapsed="false">
      <c r="A397" s="51" t="s">
        <v>480</v>
      </c>
      <c r="B397" s="50" t="str">
        <f aca="false">IFERROR(VLOOKUP($A397,Equipos!$C$2:$M$967,2,FALSE()),"")</f>
        <v>Monitor Multiparámetros</v>
      </c>
      <c r="C397" s="50" t="str">
        <f aca="false">IFERROR(VLOOKUP($A397,Equipos!$C$2:$M$967,9,FALSE()),"")</f>
        <v>1393-109313</v>
      </c>
      <c r="D397" s="50" t="str">
        <f aca="false">IFERROR(VLOOKUP($A397,Equipos!$C$2:$M$967,3,FALSE()),"")</f>
        <v>UPC Pediátrica</v>
      </c>
      <c r="E397" s="50" t="str">
        <f aca="false">IFERROR(VLOOKUP($A397,Equipos!$C$2:$M$967,7,FALSE()),"")</f>
        <v>SPACELABS HEALTHCARE</v>
      </c>
      <c r="F397" s="50" t="str">
        <f aca="false">IFERROR(VLOOKUP($A397,Equipos!$C$2:$M$967,8,FALSE()),"")</f>
        <v>XPREZZON</v>
      </c>
      <c r="G397" s="50" t="s">
        <v>515</v>
      </c>
      <c r="H397" s="50" t="s">
        <v>360</v>
      </c>
      <c r="I397" s="50"/>
      <c r="J397" s="50" t="s">
        <v>352</v>
      </c>
      <c r="K397" s="50" t="str">
        <f aca="false">IFERROR(VLOOKUP($J397,Catálogos!$M$4:$N$17,2,FALSE()),"")</f>
        <v>Mantención Preventiva Realizada</v>
      </c>
      <c r="L397" s="52" t="n">
        <v>46068</v>
      </c>
      <c r="M397" s="50" t="s">
        <v>353</v>
      </c>
      <c r="N397" s="50" t="s">
        <v>253</v>
      </c>
      <c r="O397" s="50"/>
      <c r="P397" s="50"/>
      <c r="Q397" s="50" t="s">
        <v>362</v>
      </c>
    </row>
    <row r="398" customFormat="false" ht="15" hidden="false" customHeight="true" outlineLevel="0" collapsed="false">
      <c r="A398" s="51" t="s">
        <v>481</v>
      </c>
      <c r="B398" s="50" t="str">
        <f aca="false">IFERROR(VLOOKUP($A398,Equipos!$C$2:$M$967,2,FALSE()),"")</f>
        <v>Monitor Multiparámetros</v>
      </c>
      <c r="C398" s="50" t="str">
        <f aca="false">IFERROR(VLOOKUP($A398,Equipos!$C$2:$M$967,9,FALSE()),"")</f>
        <v>1393-109303</v>
      </c>
      <c r="D398" s="50" t="str">
        <f aca="false">IFERROR(VLOOKUP($A398,Equipos!$C$2:$M$967,3,FALSE()),"")</f>
        <v>UPC Pediátrica</v>
      </c>
      <c r="E398" s="50" t="str">
        <f aca="false">IFERROR(VLOOKUP($A398,Equipos!$C$2:$M$967,7,FALSE()),"")</f>
        <v>SPACELABS HEALTHCARE</v>
      </c>
      <c r="F398" s="50" t="str">
        <f aca="false">IFERROR(VLOOKUP($A398,Equipos!$C$2:$M$967,8,FALSE()),"")</f>
        <v>XPREZZON</v>
      </c>
      <c r="G398" s="50" t="s">
        <v>515</v>
      </c>
      <c r="H398" s="50" t="s">
        <v>360</v>
      </c>
      <c r="I398" s="50"/>
      <c r="J398" s="50" t="s">
        <v>352</v>
      </c>
      <c r="K398" s="50" t="str">
        <f aca="false">IFERROR(VLOOKUP($J398,Catálogos!$M$4:$N$17,2,FALSE()),"")</f>
        <v>Mantención Preventiva Realizada</v>
      </c>
      <c r="L398" s="52" t="n">
        <v>46068</v>
      </c>
      <c r="M398" s="50" t="s">
        <v>353</v>
      </c>
      <c r="N398" s="50" t="s">
        <v>253</v>
      </c>
      <c r="O398" s="50"/>
      <c r="P398" s="50"/>
      <c r="Q398" s="50" t="s">
        <v>362</v>
      </c>
    </row>
    <row r="399" customFormat="false" ht="15" hidden="false" customHeight="true" outlineLevel="0" collapsed="false">
      <c r="A399" s="51" t="s">
        <v>643</v>
      </c>
      <c r="B399" s="50" t="str">
        <f aca="false">IFERROR(VLOOKUP($A399,Equipos!$C$2:$M$967,2,FALSE()),"")</f>
        <v>Monitor Multiparámetros</v>
      </c>
      <c r="C399" s="50" t="str">
        <f aca="false">IFERROR(VLOOKUP($A399,Equipos!$C$2:$M$967,9,FALSE()),"")</f>
        <v>AC5-43007991</v>
      </c>
      <c r="D399" s="50" t="str">
        <f aca="false">IFERROR(VLOOKUP($A399,Equipos!$C$2:$M$967,3,FALSE()),"")</f>
        <v>Pediatría</v>
      </c>
      <c r="E399" s="50" t="str">
        <f aca="false">IFERROR(VLOOKUP($A399,Equipos!$C$2:$M$967,7,FALSE()),"")</f>
        <v>Mindray</v>
      </c>
      <c r="F399" s="50" t="str">
        <f aca="false">IFERROR(VLOOKUP($A399,Equipos!$C$2:$M$967,8,FALSE()),"")</f>
        <v>EPM 15 Compact</v>
      </c>
      <c r="G399" s="50" t="s">
        <v>515</v>
      </c>
      <c r="H399" s="50" t="s">
        <v>360</v>
      </c>
      <c r="I399" s="50"/>
      <c r="J399" s="50" t="s">
        <v>364</v>
      </c>
      <c r="K399" s="50" t="str">
        <f aca="false">IFERROR(VLOOKUP($J399,Catálogos!$M$4:$N$17,2,FALSE()),"")</f>
        <v>Reprogramada · No disponibilidad de horas hombre del funcionario SEC por alta carga laboral</v>
      </c>
      <c r="L399" s="52" t="n">
        <v>46068</v>
      </c>
      <c r="M399" s="50" t="s">
        <v>353</v>
      </c>
      <c r="N399" s="50" t="s">
        <v>253</v>
      </c>
      <c r="O399" s="50"/>
      <c r="P399" s="50"/>
      <c r="Q399" s="50" t="s">
        <v>362</v>
      </c>
    </row>
    <row r="400" customFormat="false" ht="15" hidden="false" customHeight="true" outlineLevel="0" collapsed="false">
      <c r="A400" s="51" t="s">
        <v>644</v>
      </c>
      <c r="B400" s="50" t="str">
        <f aca="false">IFERROR(VLOOKUP($A400,Equipos!$C$2:$M$967,2,FALSE()),"")</f>
        <v>Monitor Multiparámetros</v>
      </c>
      <c r="C400" s="50" t="str">
        <f aca="false">IFERROR(VLOOKUP($A400,Equipos!$C$2:$M$967,9,FALSE()),"")</f>
        <v>SP318494018WA</v>
      </c>
      <c r="D400" s="50" t="str">
        <f aca="false">IFERROR(VLOOKUP($A400,Equipos!$C$2:$M$967,3,FALSE()),"")</f>
        <v>Imagenología</v>
      </c>
      <c r="E400" s="50" t="str">
        <f aca="false">IFERROR(VLOOKUP($A400,Equipos!$C$2:$M$967,7,FALSE()),"")</f>
        <v>General Electric</v>
      </c>
      <c r="F400" s="50" t="str">
        <f aca="false">IFERROR(VLOOKUP($A400,Equipos!$C$2:$M$967,8,FALSE()),"")</f>
        <v>B105</v>
      </c>
      <c r="G400" s="50" t="s">
        <v>515</v>
      </c>
      <c r="H400" s="50" t="s">
        <v>360</v>
      </c>
      <c r="I400" s="50"/>
      <c r="J400" s="50" t="s">
        <v>364</v>
      </c>
      <c r="K400" s="50" t="str">
        <f aca="false">IFERROR(VLOOKUP($J400,Catálogos!$M$4:$N$17,2,FALSE()),"")</f>
        <v>Reprogramada · No disponibilidad de horas hombre del funcionario SEC por alta carga laboral</v>
      </c>
      <c r="L400" s="52" t="n">
        <v>46068</v>
      </c>
      <c r="M400" s="50" t="s">
        <v>353</v>
      </c>
      <c r="N400" s="50" t="s">
        <v>253</v>
      </c>
      <c r="O400" s="50"/>
      <c r="P400" s="50"/>
      <c r="Q400" s="50" t="s">
        <v>362</v>
      </c>
    </row>
    <row r="401" customFormat="false" ht="15" hidden="false" customHeight="true" outlineLevel="0" collapsed="false">
      <c r="A401" s="51" t="s">
        <v>645</v>
      </c>
      <c r="B401" s="50" t="str">
        <f aca="false">IFERROR(VLOOKUP($A401,Equipos!$C$2:$M$967,2,FALSE()),"")</f>
        <v>Monitor Multiparámetros</v>
      </c>
      <c r="C401" s="50" t="str">
        <f aca="false">IFERROR(VLOOKUP($A401,Equipos!$C$2:$M$967,9,FALSE()),"")</f>
        <v>SP318494009WA</v>
      </c>
      <c r="D401" s="50" t="str">
        <f aca="false">IFERROR(VLOOKUP($A401,Equipos!$C$2:$M$967,3,FALSE()),"")</f>
        <v>Imagenología</v>
      </c>
      <c r="E401" s="50" t="str">
        <f aca="false">IFERROR(VLOOKUP($A401,Equipos!$C$2:$M$967,7,FALSE()),"")</f>
        <v>General Electric</v>
      </c>
      <c r="F401" s="50" t="str">
        <f aca="false">IFERROR(VLOOKUP($A401,Equipos!$C$2:$M$967,8,FALSE()),"")</f>
        <v>B105</v>
      </c>
      <c r="G401" s="50" t="s">
        <v>515</v>
      </c>
      <c r="H401" s="50" t="s">
        <v>360</v>
      </c>
      <c r="I401" s="50"/>
      <c r="J401" s="50" t="s">
        <v>364</v>
      </c>
      <c r="K401" s="50" t="str">
        <f aca="false">IFERROR(VLOOKUP($J401,Catálogos!$M$4:$N$17,2,FALSE()),"")</f>
        <v>Reprogramada · No disponibilidad de horas hombre del funcionario SEC por alta carga laboral</v>
      </c>
      <c r="L401" s="52" t="n">
        <v>46068</v>
      </c>
      <c r="M401" s="50" t="s">
        <v>353</v>
      </c>
      <c r="N401" s="50" t="s">
        <v>253</v>
      </c>
      <c r="O401" s="50"/>
      <c r="P401" s="50"/>
      <c r="Q401" s="50" t="s">
        <v>362</v>
      </c>
    </row>
    <row r="402" customFormat="false" ht="15" hidden="false" customHeight="true" outlineLevel="0" collapsed="false">
      <c r="A402" s="51" t="s">
        <v>646</v>
      </c>
      <c r="B402" s="50" t="str">
        <f aca="false">IFERROR(VLOOKUP($A402,Equipos!$C$2:$M$967,2,FALSE()),"")</f>
        <v>Monitor Multiparámetros</v>
      </c>
      <c r="C402" s="50" t="str">
        <f aca="false">IFERROR(VLOOKUP($A402,Equipos!$C$2:$M$967,9,FALSE()),"")</f>
        <v>SP318493999WA</v>
      </c>
      <c r="D402" s="50" t="str">
        <f aca="false">IFERROR(VLOOKUP($A402,Equipos!$C$2:$M$967,3,FALSE()),"")</f>
        <v>Imagenología</v>
      </c>
      <c r="E402" s="50" t="str">
        <f aca="false">IFERROR(VLOOKUP($A402,Equipos!$C$2:$M$967,7,FALSE()),"")</f>
        <v>General Electric</v>
      </c>
      <c r="F402" s="50" t="str">
        <f aca="false">IFERROR(VLOOKUP($A402,Equipos!$C$2:$M$967,8,FALSE()),"")</f>
        <v>B105</v>
      </c>
      <c r="G402" s="50" t="s">
        <v>515</v>
      </c>
      <c r="H402" s="50" t="s">
        <v>360</v>
      </c>
      <c r="I402" s="50"/>
      <c r="J402" s="50" t="s">
        <v>364</v>
      </c>
      <c r="K402" s="50" t="str">
        <f aca="false">IFERROR(VLOOKUP($J402,Catálogos!$M$4:$N$17,2,FALSE()),"")</f>
        <v>Reprogramada · No disponibilidad de horas hombre del funcionario SEC por alta carga laboral</v>
      </c>
      <c r="L402" s="52" t="n">
        <v>46068</v>
      </c>
      <c r="M402" s="50" t="s">
        <v>353</v>
      </c>
      <c r="N402" s="50" t="s">
        <v>253</v>
      </c>
      <c r="O402" s="50"/>
      <c r="P402" s="50"/>
      <c r="Q402" s="50" t="s">
        <v>362</v>
      </c>
    </row>
    <row r="403" customFormat="false" ht="15" hidden="false" customHeight="true" outlineLevel="0" collapsed="false">
      <c r="A403" s="51" t="s">
        <v>647</v>
      </c>
      <c r="B403" s="50" t="str">
        <f aca="false">IFERROR(VLOOKUP($A403,Equipos!$C$2:$M$967,2,FALSE()),"")</f>
        <v>Monitor Multiparámetros</v>
      </c>
      <c r="C403" s="50" t="str">
        <f aca="false">IFERROR(VLOOKUP($A403,Equipos!$C$2:$M$967,9,FALSE()),"")</f>
        <v>SP318493998WA</v>
      </c>
      <c r="D403" s="50" t="str">
        <f aca="false">IFERROR(VLOOKUP($A403,Equipos!$C$2:$M$967,3,FALSE()),"")</f>
        <v>Imagenología</v>
      </c>
      <c r="E403" s="50" t="str">
        <f aca="false">IFERROR(VLOOKUP($A403,Equipos!$C$2:$M$967,7,FALSE()),"")</f>
        <v>General Electric</v>
      </c>
      <c r="F403" s="50" t="str">
        <f aca="false">IFERROR(VLOOKUP($A403,Equipos!$C$2:$M$967,8,FALSE()),"")</f>
        <v>B105</v>
      </c>
      <c r="G403" s="50" t="s">
        <v>515</v>
      </c>
      <c r="H403" s="50" t="s">
        <v>360</v>
      </c>
      <c r="I403" s="50"/>
      <c r="J403" s="50" t="s">
        <v>364</v>
      </c>
      <c r="K403" s="50" t="str">
        <f aca="false">IFERROR(VLOOKUP($J403,Catálogos!$M$4:$N$17,2,FALSE()),"")</f>
        <v>Reprogramada · No disponibilidad de horas hombre del funcionario SEC por alta carga laboral</v>
      </c>
      <c r="L403" s="52" t="n">
        <v>46068</v>
      </c>
      <c r="M403" s="50" t="s">
        <v>353</v>
      </c>
      <c r="N403" s="50" t="s">
        <v>253</v>
      </c>
      <c r="O403" s="50"/>
      <c r="P403" s="50"/>
      <c r="Q403" s="50" t="s">
        <v>362</v>
      </c>
    </row>
    <row r="404" customFormat="false" ht="15" hidden="false" customHeight="true" outlineLevel="0" collapsed="false">
      <c r="A404" s="51" t="s">
        <v>482</v>
      </c>
      <c r="B404" s="50" t="str">
        <f aca="false">IFERROR(VLOOKUP($A404,Equipos!$C$2:$M$967,2,FALSE()),"")</f>
        <v>Monitor Multiparámetros</v>
      </c>
      <c r="C404" s="50" t="str">
        <f aca="false">IFERROR(VLOOKUP($A404,Equipos!$C$2:$M$967,9,FALSE()),"")</f>
        <v>1393-109323</v>
      </c>
      <c r="D404" s="50" t="str">
        <f aca="false">IFERROR(VLOOKUP($A404,Equipos!$C$2:$M$967,3,FALSE()),"")</f>
        <v>UPC Pediátrica</v>
      </c>
      <c r="E404" s="50" t="str">
        <f aca="false">IFERROR(VLOOKUP($A404,Equipos!$C$2:$M$967,7,FALSE()),"")</f>
        <v>SPACELABS HEALTHCARE</v>
      </c>
      <c r="F404" s="50" t="str">
        <f aca="false">IFERROR(VLOOKUP($A404,Equipos!$C$2:$M$967,8,FALSE()),"")</f>
        <v>XPREZZON</v>
      </c>
      <c r="G404" s="50" t="s">
        <v>515</v>
      </c>
      <c r="H404" s="50" t="s">
        <v>360</v>
      </c>
      <c r="I404" s="50"/>
      <c r="J404" s="50" t="s">
        <v>352</v>
      </c>
      <c r="K404" s="50" t="str">
        <f aca="false">IFERROR(VLOOKUP($J404,Catálogos!$M$4:$N$17,2,FALSE()),"")</f>
        <v>Mantención Preventiva Realizada</v>
      </c>
      <c r="L404" s="52" t="n">
        <v>46068</v>
      </c>
      <c r="M404" s="50" t="s">
        <v>353</v>
      </c>
      <c r="N404" s="50" t="s">
        <v>253</v>
      </c>
      <c r="O404" s="50"/>
      <c r="P404" s="50"/>
      <c r="Q404" s="50" t="s">
        <v>362</v>
      </c>
    </row>
    <row r="405" customFormat="false" ht="15" hidden="false" customHeight="true" outlineLevel="0" collapsed="false">
      <c r="A405" s="51" t="s">
        <v>483</v>
      </c>
      <c r="B405" s="50" t="str">
        <f aca="false">IFERROR(VLOOKUP($A405,Equipos!$C$2:$M$967,2,FALSE()),"")</f>
        <v>Monitor Multiparámetros</v>
      </c>
      <c r="C405" s="50" t="str">
        <f aca="false">IFERROR(VLOOKUP($A405,Equipos!$C$2:$M$967,9,FALSE()),"")</f>
        <v>5494305855</v>
      </c>
      <c r="D405" s="50" t="str">
        <f aca="false">IFERROR(VLOOKUP($A405,Equipos!$C$2:$M$967,3,FALSE()),"")</f>
        <v>UPC Cardiovascular</v>
      </c>
      <c r="E405" s="50" t="str">
        <f aca="false">IFERROR(VLOOKUP($A405,Equipos!$C$2:$M$967,7,FALSE()),"")</f>
        <v>Drager </v>
      </c>
      <c r="F405" s="50" t="str">
        <f aca="false">IFERROR(VLOOKUP($A405,Equipos!$C$2:$M$967,8,FALSE()),"")</f>
        <v>Infinity Kappa</v>
      </c>
      <c r="G405" s="50" t="s">
        <v>515</v>
      </c>
      <c r="H405" s="50" t="s">
        <v>360</v>
      </c>
      <c r="I405" s="50"/>
      <c r="J405" s="50" t="s">
        <v>352</v>
      </c>
      <c r="K405" s="50" t="str">
        <f aca="false">IFERROR(VLOOKUP($J405,Catálogos!$M$4:$N$17,2,FALSE()),"")</f>
        <v>Mantención Preventiva Realizada</v>
      </c>
      <c r="L405" s="52" t="n">
        <v>46068</v>
      </c>
      <c r="M405" s="50" t="s">
        <v>353</v>
      </c>
      <c r="N405" s="50" t="s">
        <v>253</v>
      </c>
      <c r="O405" s="50"/>
      <c r="P405" s="50"/>
      <c r="Q405" s="50" t="s">
        <v>362</v>
      </c>
    </row>
    <row r="406" customFormat="false" ht="15" hidden="false" customHeight="true" outlineLevel="0" collapsed="false">
      <c r="A406" s="51" t="s">
        <v>484</v>
      </c>
      <c r="B406" s="50" t="str">
        <f aca="false">IFERROR(VLOOKUP($A406,Equipos!$C$2:$M$967,2,FALSE()),"")</f>
        <v>Monitor Multiparámetros</v>
      </c>
      <c r="C406" s="50" t="str">
        <f aca="false">IFERROR(VLOOKUP($A406,Equipos!$C$2:$M$967,9,FALSE()),"")</f>
        <v>5494279847</v>
      </c>
      <c r="D406" s="50" t="str">
        <f aca="false">IFERROR(VLOOKUP($A406,Equipos!$C$2:$M$967,3,FALSE()),"")</f>
        <v>UPC Cardiovascular</v>
      </c>
      <c r="E406" s="50" t="str">
        <f aca="false">IFERROR(VLOOKUP($A406,Equipos!$C$2:$M$967,7,FALSE()),"")</f>
        <v>Drager </v>
      </c>
      <c r="F406" s="50" t="str">
        <f aca="false">IFERROR(VLOOKUP($A406,Equipos!$C$2:$M$967,8,FALSE()),"")</f>
        <v>Infinity Kappa</v>
      </c>
      <c r="G406" s="50" t="s">
        <v>515</v>
      </c>
      <c r="H406" s="50" t="s">
        <v>360</v>
      </c>
      <c r="I406" s="50"/>
      <c r="J406" s="50" t="s">
        <v>352</v>
      </c>
      <c r="K406" s="50" t="str">
        <f aca="false">IFERROR(VLOOKUP($J406,Catálogos!$M$4:$N$17,2,FALSE()),"")</f>
        <v>Mantención Preventiva Realizada</v>
      </c>
      <c r="L406" s="52" t="n">
        <v>46068</v>
      </c>
      <c r="M406" s="50" t="s">
        <v>353</v>
      </c>
      <c r="N406" s="50" t="s">
        <v>253</v>
      </c>
      <c r="O406" s="50"/>
      <c r="P406" s="50"/>
      <c r="Q406" s="50" t="s">
        <v>362</v>
      </c>
    </row>
    <row r="407" customFormat="false" ht="15" hidden="false" customHeight="true" outlineLevel="0" collapsed="false">
      <c r="A407" s="51" t="s">
        <v>485</v>
      </c>
      <c r="B407" s="50" t="str">
        <f aca="false">IFERROR(VLOOKUP($A407,Equipos!$C$2:$M$967,2,FALSE()),"")</f>
        <v>Monitor Multiparámetros</v>
      </c>
      <c r="C407" s="50" t="str">
        <f aca="false">IFERROR(VLOOKUP($A407,Equipos!$C$2:$M$967,9,FALSE()),"")</f>
        <v>5494306854</v>
      </c>
      <c r="D407" s="50" t="str">
        <f aca="false">IFERROR(VLOOKUP($A407,Equipos!$C$2:$M$967,3,FALSE()),"")</f>
        <v>UPC Cardiovascular</v>
      </c>
      <c r="E407" s="50" t="str">
        <f aca="false">IFERROR(VLOOKUP($A407,Equipos!$C$2:$M$967,7,FALSE()),"")</f>
        <v>Drager </v>
      </c>
      <c r="F407" s="50" t="str">
        <f aca="false">IFERROR(VLOOKUP($A407,Equipos!$C$2:$M$967,8,FALSE()),"")</f>
        <v>Infinity Kappa</v>
      </c>
      <c r="G407" s="50" t="s">
        <v>515</v>
      </c>
      <c r="H407" s="50" t="s">
        <v>360</v>
      </c>
      <c r="I407" s="50"/>
      <c r="J407" s="50" t="s">
        <v>352</v>
      </c>
      <c r="K407" s="50" t="str">
        <f aca="false">IFERROR(VLOOKUP($J407,Catálogos!$M$4:$N$17,2,FALSE()),"")</f>
        <v>Mantención Preventiva Realizada</v>
      </c>
      <c r="L407" s="52" t="n">
        <v>46068</v>
      </c>
      <c r="M407" s="50" t="s">
        <v>353</v>
      </c>
      <c r="N407" s="50" t="s">
        <v>253</v>
      </c>
      <c r="O407" s="50"/>
      <c r="P407" s="50"/>
      <c r="Q407" s="50" t="s">
        <v>362</v>
      </c>
    </row>
    <row r="408" customFormat="false" ht="15" hidden="false" customHeight="true" outlineLevel="0" collapsed="false">
      <c r="A408" s="51" t="s">
        <v>486</v>
      </c>
      <c r="B408" s="50" t="str">
        <f aca="false">IFERROR(VLOOKUP($A408,Equipos!$C$2:$M$967,2,FALSE()),"")</f>
        <v>Monitor Multiparámetros</v>
      </c>
      <c r="C408" s="50" t="str">
        <f aca="false">IFERROR(VLOOKUP($A408,Equipos!$C$2:$M$967,9,FALSE()),"")</f>
        <v>5494307951</v>
      </c>
      <c r="D408" s="50" t="str">
        <f aca="false">IFERROR(VLOOKUP($A408,Equipos!$C$2:$M$967,3,FALSE()),"")</f>
        <v>UPC Cardiovascular</v>
      </c>
      <c r="E408" s="50" t="str">
        <f aca="false">IFERROR(VLOOKUP($A408,Equipos!$C$2:$M$967,7,FALSE()),"")</f>
        <v>Drager </v>
      </c>
      <c r="F408" s="50" t="str">
        <f aca="false">IFERROR(VLOOKUP($A408,Equipos!$C$2:$M$967,8,FALSE()),"")</f>
        <v>Infinity Kappa</v>
      </c>
      <c r="G408" s="50" t="s">
        <v>515</v>
      </c>
      <c r="H408" s="50" t="s">
        <v>360</v>
      </c>
      <c r="I408" s="50"/>
      <c r="J408" s="50" t="s">
        <v>352</v>
      </c>
      <c r="K408" s="50" t="str">
        <f aca="false">IFERROR(VLOOKUP($J408,Catálogos!$M$4:$N$17,2,FALSE()),"")</f>
        <v>Mantención Preventiva Realizada</v>
      </c>
      <c r="L408" s="52" t="n">
        <v>46068</v>
      </c>
      <c r="M408" s="50" t="s">
        <v>353</v>
      </c>
      <c r="N408" s="50" t="s">
        <v>253</v>
      </c>
      <c r="O408" s="50"/>
      <c r="P408" s="50"/>
      <c r="Q408" s="50" t="s">
        <v>362</v>
      </c>
    </row>
    <row r="409" customFormat="false" ht="15" hidden="false" customHeight="true" outlineLevel="0" collapsed="false">
      <c r="A409" s="51" t="s">
        <v>487</v>
      </c>
      <c r="B409" s="50" t="str">
        <f aca="false">IFERROR(VLOOKUP($A409,Equipos!$C$2:$M$967,2,FALSE()),"")</f>
        <v>Monitor Multiparámetros</v>
      </c>
      <c r="C409" s="50" t="str">
        <f aca="false">IFERROR(VLOOKUP($A409,Equipos!$C$2:$M$967,9,FALSE()),"")</f>
        <v>5494305953</v>
      </c>
      <c r="D409" s="50" t="str">
        <f aca="false">IFERROR(VLOOKUP($A409,Equipos!$C$2:$M$967,3,FALSE()),"")</f>
        <v>UPC Cardiovascular</v>
      </c>
      <c r="E409" s="50" t="str">
        <f aca="false">IFERROR(VLOOKUP($A409,Equipos!$C$2:$M$967,7,FALSE()),"")</f>
        <v>Drager </v>
      </c>
      <c r="F409" s="50" t="str">
        <f aca="false">IFERROR(VLOOKUP($A409,Equipos!$C$2:$M$967,8,FALSE()),"")</f>
        <v>Infinity Kappa</v>
      </c>
      <c r="G409" s="50" t="s">
        <v>515</v>
      </c>
      <c r="H409" s="50" t="s">
        <v>360</v>
      </c>
      <c r="I409" s="50"/>
      <c r="J409" s="50" t="s">
        <v>352</v>
      </c>
      <c r="K409" s="50" t="str">
        <f aca="false">IFERROR(VLOOKUP($J409,Catálogos!$M$4:$N$17,2,FALSE()),"")</f>
        <v>Mantención Preventiva Realizada</v>
      </c>
      <c r="L409" s="52" t="n">
        <v>46068</v>
      </c>
      <c r="M409" s="50" t="s">
        <v>353</v>
      </c>
      <c r="N409" s="50" t="s">
        <v>253</v>
      </c>
      <c r="O409" s="50"/>
      <c r="P409" s="50"/>
      <c r="Q409" s="50" t="s">
        <v>362</v>
      </c>
    </row>
    <row r="410" customFormat="false" ht="15" hidden="false" customHeight="true" outlineLevel="0" collapsed="false">
      <c r="A410" s="51" t="s">
        <v>488</v>
      </c>
      <c r="B410" s="50" t="str">
        <f aca="false">IFERROR(VLOOKUP($A410,Equipos!$C$2:$M$967,2,FALSE()),"")</f>
        <v>Monitor Multiparámetros</v>
      </c>
      <c r="C410" s="50" t="str">
        <f aca="false">IFERROR(VLOOKUP($A410,Equipos!$C$2:$M$967,9,FALSE()),"")</f>
        <v>5494308353</v>
      </c>
      <c r="D410" s="50" t="str">
        <f aca="false">IFERROR(VLOOKUP($A410,Equipos!$C$2:$M$967,3,FALSE()),"")</f>
        <v>UPC Cardiovascular</v>
      </c>
      <c r="E410" s="50" t="str">
        <f aca="false">IFERROR(VLOOKUP($A410,Equipos!$C$2:$M$967,7,FALSE()),"")</f>
        <v>Drager </v>
      </c>
      <c r="F410" s="50" t="str">
        <f aca="false">IFERROR(VLOOKUP($A410,Equipos!$C$2:$M$967,8,FALSE()),"")</f>
        <v>Infinity Kappa</v>
      </c>
      <c r="G410" s="50" t="s">
        <v>515</v>
      </c>
      <c r="H410" s="50" t="s">
        <v>360</v>
      </c>
      <c r="I410" s="50"/>
      <c r="J410" s="50" t="s">
        <v>352</v>
      </c>
      <c r="K410" s="50" t="str">
        <f aca="false">IFERROR(VLOOKUP($J410,Catálogos!$M$4:$N$17,2,FALSE()),"")</f>
        <v>Mantención Preventiva Realizada</v>
      </c>
      <c r="L410" s="52" t="n">
        <v>46068</v>
      </c>
      <c r="M410" s="50" t="s">
        <v>353</v>
      </c>
      <c r="N410" s="50" t="s">
        <v>253</v>
      </c>
      <c r="O410" s="50"/>
      <c r="P410" s="50"/>
      <c r="Q410" s="50" t="s">
        <v>362</v>
      </c>
    </row>
    <row r="411" customFormat="false" ht="15" hidden="false" customHeight="true" outlineLevel="0" collapsed="false">
      <c r="A411" s="51" t="s">
        <v>489</v>
      </c>
      <c r="B411" s="50" t="str">
        <f aca="false">IFERROR(VLOOKUP($A411,Equipos!$C$2:$M$967,2,FALSE()),"")</f>
        <v>Monitor Multiparámetros</v>
      </c>
      <c r="C411" s="50" t="str">
        <f aca="false">IFERROR(VLOOKUP($A411,Equipos!$C$2:$M$967,9,FALSE()),"")</f>
        <v>5494306061</v>
      </c>
      <c r="D411" s="50" t="str">
        <f aca="false">IFERROR(VLOOKUP($A411,Equipos!$C$2:$M$967,3,FALSE()),"")</f>
        <v>UPC Cardiovascular</v>
      </c>
      <c r="E411" s="50" t="str">
        <f aca="false">IFERROR(VLOOKUP($A411,Equipos!$C$2:$M$967,7,FALSE()),"")</f>
        <v>Drager </v>
      </c>
      <c r="F411" s="50" t="str">
        <f aca="false">IFERROR(VLOOKUP($A411,Equipos!$C$2:$M$967,8,FALSE()),"")</f>
        <v>Infinity Kappa</v>
      </c>
      <c r="G411" s="50" t="s">
        <v>515</v>
      </c>
      <c r="H411" s="50" t="s">
        <v>360</v>
      </c>
      <c r="I411" s="50"/>
      <c r="J411" s="50" t="s">
        <v>352</v>
      </c>
      <c r="K411" s="50" t="str">
        <f aca="false">IFERROR(VLOOKUP($J411,Catálogos!$M$4:$N$17,2,FALSE()),"")</f>
        <v>Mantención Preventiva Realizada</v>
      </c>
      <c r="L411" s="52" t="n">
        <v>46068</v>
      </c>
      <c r="M411" s="50" t="s">
        <v>353</v>
      </c>
      <c r="N411" s="50" t="s">
        <v>253</v>
      </c>
      <c r="O411" s="50"/>
      <c r="P411" s="50"/>
      <c r="Q411" s="50" t="s">
        <v>362</v>
      </c>
    </row>
    <row r="412" customFormat="false" ht="15" hidden="false" customHeight="true" outlineLevel="0" collapsed="false">
      <c r="A412" s="51" t="s">
        <v>490</v>
      </c>
      <c r="B412" s="50" t="str">
        <f aca="false">IFERROR(VLOOKUP($A412,Equipos!$C$2:$M$967,2,FALSE()),"")</f>
        <v>Monitor Multiparámetros</v>
      </c>
      <c r="C412" s="50" t="str">
        <f aca="false">IFERROR(VLOOKUP($A412,Equipos!$C$2:$M$967,9,FALSE()),"")</f>
        <v>5494294652</v>
      </c>
      <c r="D412" s="50" t="str">
        <f aca="false">IFERROR(VLOOKUP($A412,Equipos!$C$2:$M$967,3,FALSE()),"")</f>
        <v>UPC Cardiovascular</v>
      </c>
      <c r="E412" s="50" t="str">
        <f aca="false">IFERROR(VLOOKUP($A412,Equipos!$C$2:$M$967,7,FALSE()),"")</f>
        <v>Drager </v>
      </c>
      <c r="F412" s="50" t="str">
        <f aca="false">IFERROR(VLOOKUP($A412,Equipos!$C$2:$M$967,8,FALSE()),"")</f>
        <v>infinity kappa</v>
      </c>
      <c r="G412" s="50" t="s">
        <v>515</v>
      </c>
      <c r="H412" s="50" t="s">
        <v>360</v>
      </c>
      <c r="I412" s="50"/>
      <c r="J412" s="50" t="s">
        <v>352</v>
      </c>
      <c r="K412" s="50" t="str">
        <f aca="false">IFERROR(VLOOKUP($J412,Catálogos!$M$4:$N$17,2,FALSE()),"")</f>
        <v>Mantención Preventiva Realizada</v>
      </c>
      <c r="L412" s="52" t="n">
        <v>46068</v>
      </c>
      <c r="M412" s="50" t="s">
        <v>353</v>
      </c>
      <c r="N412" s="50" t="s">
        <v>253</v>
      </c>
      <c r="O412" s="50"/>
      <c r="P412" s="50"/>
      <c r="Q412" s="50" t="s">
        <v>362</v>
      </c>
    </row>
    <row r="413" customFormat="false" ht="15" hidden="false" customHeight="true" outlineLevel="0" collapsed="false">
      <c r="A413" s="51" t="s">
        <v>491</v>
      </c>
      <c r="B413" s="50" t="str">
        <f aca="false">IFERROR(VLOOKUP($A413,Equipos!$C$2:$M$967,2,FALSE()),"")</f>
        <v>Monitor Multiparámetros</v>
      </c>
      <c r="C413" s="50" t="str">
        <f aca="false">IFERROR(VLOOKUP($A413,Equipos!$C$2:$M$967,9,FALSE()),"")</f>
        <v>5494278447</v>
      </c>
      <c r="D413" s="50" t="str">
        <f aca="false">IFERROR(VLOOKUP($A413,Equipos!$C$2:$M$967,3,FALSE()),"")</f>
        <v>UPC Cardiovascular</v>
      </c>
      <c r="E413" s="50" t="str">
        <f aca="false">IFERROR(VLOOKUP($A413,Equipos!$C$2:$M$967,7,FALSE()),"")</f>
        <v>Drager </v>
      </c>
      <c r="F413" s="50" t="str">
        <f aca="false">IFERROR(VLOOKUP($A413,Equipos!$C$2:$M$967,8,FALSE()),"")</f>
        <v>Infinity Kappa</v>
      </c>
      <c r="G413" s="50" t="s">
        <v>515</v>
      </c>
      <c r="H413" s="50" t="s">
        <v>360</v>
      </c>
      <c r="I413" s="50"/>
      <c r="J413" s="50" t="s">
        <v>352</v>
      </c>
      <c r="K413" s="50" t="str">
        <f aca="false">IFERROR(VLOOKUP($J413,Catálogos!$M$4:$N$17,2,FALSE()),"")</f>
        <v>Mantención Preventiva Realizada</v>
      </c>
      <c r="L413" s="52" t="n">
        <v>46068</v>
      </c>
      <c r="M413" s="50" t="s">
        <v>353</v>
      </c>
      <c r="N413" s="50" t="s">
        <v>253</v>
      </c>
      <c r="O413" s="50"/>
      <c r="P413" s="50"/>
      <c r="Q413" s="50" t="s">
        <v>362</v>
      </c>
    </row>
    <row r="414" customFormat="false" ht="15" hidden="false" customHeight="true" outlineLevel="0" collapsed="false">
      <c r="A414" s="51" t="s">
        <v>492</v>
      </c>
      <c r="B414" s="50" t="str">
        <f aca="false">IFERROR(VLOOKUP($A414,Equipos!$C$2:$M$967,2,FALSE()),"")</f>
        <v>Monitor Multiparámetros</v>
      </c>
      <c r="C414" s="50" t="str">
        <f aca="false">IFERROR(VLOOKUP($A414,Equipos!$C$2:$M$967,9,FALSE()),"")</f>
        <v>5494307853</v>
      </c>
      <c r="D414" s="50" t="str">
        <f aca="false">IFERROR(VLOOKUP($A414,Equipos!$C$2:$M$967,3,FALSE()),"")</f>
        <v>UPC Cardiovascular</v>
      </c>
      <c r="E414" s="50" t="str">
        <f aca="false">IFERROR(VLOOKUP($A414,Equipos!$C$2:$M$967,7,FALSE()),"")</f>
        <v>Drager </v>
      </c>
      <c r="F414" s="50" t="str">
        <f aca="false">IFERROR(VLOOKUP($A414,Equipos!$C$2:$M$967,8,FALSE()),"")</f>
        <v>Infinity Kappa</v>
      </c>
      <c r="G414" s="50" t="s">
        <v>515</v>
      </c>
      <c r="H414" s="50" t="s">
        <v>360</v>
      </c>
      <c r="I414" s="50"/>
      <c r="J414" s="50" t="s">
        <v>352</v>
      </c>
      <c r="K414" s="50" t="str">
        <f aca="false">IFERROR(VLOOKUP($J414,Catálogos!$M$4:$N$17,2,FALSE()),"")</f>
        <v>Mantención Preventiva Realizada</v>
      </c>
      <c r="L414" s="52" t="n">
        <v>46068</v>
      </c>
      <c r="M414" s="50" t="s">
        <v>353</v>
      </c>
      <c r="N414" s="50" t="s">
        <v>253</v>
      </c>
      <c r="O414" s="50"/>
      <c r="P414" s="50"/>
      <c r="Q414" s="50" t="s">
        <v>362</v>
      </c>
    </row>
    <row r="415" customFormat="false" ht="15" hidden="false" customHeight="true" outlineLevel="0" collapsed="false">
      <c r="A415" s="51" t="s">
        <v>493</v>
      </c>
      <c r="B415" s="50" t="str">
        <f aca="false">IFERROR(VLOOKUP($A415,Equipos!$C$2:$M$967,2,FALSE()),"")</f>
        <v>Monitor Multiparámetros</v>
      </c>
      <c r="C415" s="50" t="str">
        <f aca="false">IFERROR(VLOOKUP($A415,Equipos!$C$2:$M$967,9,FALSE()),"")</f>
        <v>5494307158</v>
      </c>
      <c r="D415" s="50" t="str">
        <f aca="false">IFERROR(VLOOKUP($A415,Equipos!$C$2:$M$967,3,FALSE()),"")</f>
        <v>UPC Cardiovascular</v>
      </c>
      <c r="E415" s="50" t="str">
        <f aca="false">IFERROR(VLOOKUP($A415,Equipos!$C$2:$M$967,7,FALSE()),"")</f>
        <v>Drager </v>
      </c>
      <c r="F415" s="50" t="str">
        <f aca="false">IFERROR(VLOOKUP($A415,Equipos!$C$2:$M$967,8,FALSE()),"")</f>
        <v>Infinity Kappa</v>
      </c>
      <c r="G415" s="50" t="s">
        <v>515</v>
      </c>
      <c r="H415" s="50" t="s">
        <v>360</v>
      </c>
      <c r="I415" s="50"/>
      <c r="J415" s="50" t="s">
        <v>352</v>
      </c>
      <c r="K415" s="50" t="str">
        <f aca="false">IFERROR(VLOOKUP($J415,Catálogos!$M$4:$N$17,2,FALSE()),"")</f>
        <v>Mantención Preventiva Realizada</v>
      </c>
      <c r="L415" s="52" t="n">
        <v>46068</v>
      </c>
      <c r="M415" s="50" t="s">
        <v>353</v>
      </c>
      <c r="N415" s="50" t="s">
        <v>253</v>
      </c>
      <c r="O415" s="50"/>
      <c r="P415" s="50"/>
      <c r="Q415" s="50" t="s">
        <v>362</v>
      </c>
    </row>
    <row r="416" customFormat="false" ht="15" hidden="false" customHeight="true" outlineLevel="0" collapsed="false">
      <c r="A416" s="51" t="s">
        <v>494</v>
      </c>
      <c r="B416" s="50" t="str">
        <f aca="false">IFERROR(VLOOKUP($A416,Equipos!$C$2:$M$967,2,FALSE()),"")</f>
        <v>Monitor Multiparámetros</v>
      </c>
      <c r="C416" s="50" t="str">
        <f aca="false">IFERROR(VLOOKUP($A416,Equipos!$C$2:$M$967,9,FALSE()),"")</f>
        <v>5494308255</v>
      </c>
      <c r="D416" s="50" t="str">
        <f aca="false">IFERROR(VLOOKUP($A416,Equipos!$C$2:$M$967,3,FALSE()),"")</f>
        <v>UPC Cardiovascular</v>
      </c>
      <c r="E416" s="50" t="str">
        <f aca="false">IFERROR(VLOOKUP($A416,Equipos!$C$2:$M$967,7,FALSE()),"")</f>
        <v>Drager </v>
      </c>
      <c r="F416" s="50" t="str">
        <f aca="false">IFERROR(VLOOKUP($A416,Equipos!$C$2:$M$967,8,FALSE()),"")</f>
        <v>Infinity Kappa</v>
      </c>
      <c r="G416" s="50" t="s">
        <v>515</v>
      </c>
      <c r="H416" s="50" t="s">
        <v>360</v>
      </c>
      <c r="I416" s="50"/>
      <c r="J416" s="50" t="s">
        <v>352</v>
      </c>
      <c r="K416" s="50" t="str">
        <f aca="false">IFERROR(VLOOKUP($J416,Catálogos!$M$4:$N$17,2,FALSE()),"")</f>
        <v>Mantención Preventiva Realizada</v>
      </c>
      <c r="L416" s="52" t="n">
        <v>46068</v>
      </c>
      <c r="M416" s="50" t="s">
        <v>353</v>
      </c>
      <c r="N416" s="50" t="s">
        <v>253</v>
      </c>
      <c r="O416" s="50"/>
      <c r="P416" s="50"/>
      <c r="Q416" s="50" t="s">
        <v>362</v>
      </c>
    </row>
    <row r="417" customFormat="false" ht="15" hidden="false" customHeight="true" outlineLevel="0" collapsed="false">
      <c r="A417" s="51" t="s">
        <v>495</v>
      </c>
      <c r="B417" s="50" t="str">
        <f aca="false">IFERROR(VLOOKUP($A417,Equipos!$C$2:$M$967,2,FALSE()),"")</f>
        <v>Monitor Multiparámetros</v>
      </c>
      <c r="C417" s="50" t="str">
        <f aca="false">IFERROR(VLOOKUP($A417,Equipos!$C$2:$M$967,9,FALSE()),"")</f>
        <v>5494273060</v>
      </c>
      <c r="D417" s="50" t="str">
        <f aca="false">IFERROR(VLOOKUP($A417,Equipos!$C$2:$M$967,3,FALSE()),"")</f>
        <v>UPC Cardiovascular</v>
      </c>
      <c r="E417" s="50" t="str">
        <f aca="false">IFERROR(VLOOKUP($A417,Equipos!$C$2:$M$967,7,FALSE()),"")</f>
        <v>Drager </v>
      </c>
      <c r="F417" s="50" t="str">
        <f aca="false">IFERROR(VLOOKUP($A417,Equipos!$C$2:$M$967,8,FALSE()),"")</f>
        <v>Infinity Kappa</v>
      </c>
      <c r="G417" s="50" t="s">
        <v>515</v>
      </c>
      <c r="H417" s="50" t="s">
        <v>360</v>
      </c>
      <c r="I417" s="50"/>
      <c r="J417" s="50" t="s">
        <v>352</v>
      </c>
      <c r="K417" s="50" t="str">
        <f aca="false">IFERROR(VLOOKUP($J417,Catálogos!$M$4:$N$17,2,FALSE()),"")</f>
        <v>Mantención Preventiva Realizada</v>
      </c>
      <c r="L417" s="52" t="n">
        <v>46068</v>
      </c>
      <c r="M417" s="50" t="s">
        <v>353</v>
      </c>
      <c r="N417" s="50" t="s">
        <v>253</v>
      </c>
      <c r="O417" s="50"/>
      <c r="P417" s="50"/>
      <c r="Q417" s="50" t="s">
        <v>362</v>
      </c>
    </row>
    <row r="418" customFormat="false" ht="15" hidden="false" customHeight="true" outlineLevel="0" collapsed="false">
      <c r="A418" s="51" t="s">
        <v>648</v>
      </c>
      <c r="B418" s="50" t="str">
        <f aca="false">IFERROR(VLOOKUP($A418,Equipos!$C$2:$M$967,2,FALSE()),"")</f>
        <v>Monitor Multiparámetros</v>
      </c>
      <c r="C418" s="50" t="str">
        <f aca="false">IFERROR(VLOOKUP($A418,Equipos!$C$2:$M$967,9,FALSE()),"")</f>
        <v>5514410774</v>
      </c>
      <c r="D418" s="50" t="str">
        <f aca="false">IFERROR(VLOOKUP($A418,Equipos!$C$2:$M$967,3,FALSE()),"")</f>
        <v>UPC Cardiovascular (Prestado a medicina cardiovascular)</v>
      </c>
      <c r="E418" s="50" t="str">
        <f aca="false">IFERROR(VLOOKUP($A418,Equipos!$C$2:$M$967,7,FALSE()),"")</f>
        <v>Drager </v>
      </c>
      <c r="F418" s="50" t="str">
        <f aca="false">IFERROR(VLOOKUP($A418,Equipos!$C$2:$M$967,8,FALSE()),"")</f>
        <v>Infinity Vista </v>
      </c>
      <c r="G418" s="50" t="s">
        <v>515</v>
      </c>
      <c r="H418" s="50" t="s">
        <v>360</v>
      </c>
      <c r="I418" s="50"/>
      <c r="J418" s="50" t="s">
        <v>364</v>
      </c>
      <c r="K418" s="50" t="str">
        <f aca="false">IFERROR(VLOOKUP($J418,Catálogos!$M$4:$N$17,2,FALSE()),"")</f>
        <v>Reprogramada · No disponibilidad de horas hombre del funcionario SEC por alta carga laboral</v>
      </c>
      <c r="L418" s="52" t="n">
        <v>46068</v>
      </c>
      <c r="M418" s="50" t="s">
        <v>353</v>
      </c>
      <c r="N418" s="50" t="s">
        <v>253</v>
      </c>
      <c r="O418" s="50"/>
      <c r="P418" s="50"/>
      <c r="Q418" s="50" t="s">
        <v>362</v>
      </c>
    </row>
    <row r="419" customFormat="false" ht="15" hidden="false" customHeight="true" outlineLevel="0" collapsed="false">
      <c r="A419" s="51" t="s">
        <v>649</v>
      </c>
      <c r="B419" s="50" t="str">
        <f aca="false">IFERROR(VLOOKUP($A419,Equipos!$C$2:$M$967,2,FALSE()),"")</f>
        <v>Monitor Multiparámetros</v>
      </c>
      <c r="C419" s="50" t="str">
        <f aca="false">IFERROR(VLOOKUP($A419,Equipos!$C$2:$M$967,9,FALSE()),"")</f>
        <v>6000543675</v>
      </c>
      <c r="D419" s="50" t="str">
        <f aca="false">IFERROR(VLOOKUP($A419,Equipos!$C$2:$M$967,3,FALSE()),"")</f>
        <v>Urgencia Adulto (Prestado a Pediatría)</v>
      </c>
      <c r="E419" s="50" t="str">
        <f aca="false">IFERROR(VLOOKUP($A419,Equipos!$C$2:$M$967,7,FALSE()),"")</f>
        <v>Drager </v>
      </c>
      <c r="F419" s="50" t="str">
        <f aca="false">IFERROR(VLOOKUP($A419,Equipos!$C$2:$M$967,8,FALSE()),"")</f>
        <v>Infinity Vista XL </v>
      </c>
      <c r="G419" s="50" t="s">
        <v>515</v>
      </c>
      <c r="H419" s="50" t="s">
        <v>360</v>
      </c>
      <c r="I419" s="50"/>
      <c r="J419" s="50" t="s">
        <v>364</v>
      </c>
      <c r="K419" s="50" t="str">
        <f aca="false">IFERROR(VLOOKUP($J419,Catálogos!$M$4:$N$17,2,FALSE()),"")</f>
        <v>Reprogramada · No disponibilidad de horas hombre del funcionario SEC por alta carga laboral</v>
      </c>
      <c r="L419" s="52" t="n">
        <v>46068</v>
      </c>
      <c r="M419" s="50" t="s">
        <v>353</v>
      </c>
      <c r="N419" s="50" t="s">
        <v>253</v>
      </c>
      <c r="O419" s="50"/>
      <c r="P419" s="50"/>
      <c r="Q419" s="50" t="s">
        <v>362</v>
      </c>
    </row>
    <row r="420" customFormat="false" ht="15" hidden="false" customHeight="true" outlineLevel="0" collapsed="false">
      <c r="A420" s="51" t="s">
        <v>650</v>
      </c>
      <c r="B420" s="50" t="str">
        <f aca="false">IFERROR(VLOOKUP($A420,Equipos!$C$2:$M$967,2,FALSE()),"")</f>
        <v>Ventilador Mecánico </v>
      </c>
      <c r="C420" s="50" t="str">
        <f aca="false">IFERROR(VLOOKUP($A420,Equipos!$C$2:$M$967,9,FALSE()),"")</f>
        <v>SRYM-0043</v>
      </c>
      <c r="D420" s="50" t="str">
        <f aca="false">IFERROR(VLOOKUP($A420,Equipos!$C$2:$M$967,3,FALSE()),"")</f>
        <v>UPC Adulto</v>
      </c>
      <c r="E420" s="50" t="str">
        <f aca="false">IFERROR(VLOOKUP($A420,Equipos!$C$2:$M$967,7,FALSE()),"")</f>
        <v>Drager </v>
      </c>
      <c r="F420" s="50" t="str">
        <f aca="false">IFERROR(VLOOKUP($A420,Equipos!$C$2:$M$967,8,FALSE()),"")</f>
        <v>Carina </v>
      </c>
      <c r="G420" s="50" t="s">
        <v>515</v>
      </c>
      <c r="H420" s="50" t="s">
        <v>360</v>
      </c>
      <c r="I420" s="50"/>
      <c r="J420" s="50" t="s">
        <v>361</v>
      </c>
      <c r="K420" s="50" t="str">
        <f aca="false">IFERROR(VLOOKUP($J420,Catálogos!$M$4:$N$17,2,FALSE()),"")</f>
        <v>Equipo Dado de Baja</v>
      </c>
      <c r="L420" s="52" t="n">
        <v>46068</v>
      </c>
      <c r="M420" s="50" t="s">
        <v>361</v>
      </c>
      <c r="N420" s="50" t="s">
        <v>253</v>
      </c>
      <c r="O420" s="50"/>
      <c r="P420" s="50"/>
      <c r="Q420" s="50" t="s">
        <v>362</v>
      </c>
    </row>
    <row r="421" customFormat="false" ht="15" hidden="false" customHeight="true" outlineLevel="0" collapsed="false">
      <c r="A421" s="51" t="s">
        <v>247</v>
      </c>
      <c r="B421" s="50" t="str">
        <f aca="false">IFERROR(VLOOKUP($A421,Equipos!$C$2:$M$967,2,FALSE()),"")</f>
        <v>Ventilador Mecánico </v>
      </c>
      <c r="C421" s="50" t="str">
        <f aca="false">IFERROR(VLOOKUP($A421,Equipos!$C$2:$M$967,9,FALSE()),"")</f>
        <v>ASSM-0041</v>
      </c>
      <c r="D421" s="50" t="str">
        <f aca="false">IFERROR(VLOOKUP($A421,Equipos!$C$2:$M$967,3,FALSE()),"")</f>
        <v>UPC Adulto</v>
      </c>
      <c r="E421" s="50" t="str">
        <f aca="false">IFERROR(VLOOKUP($A421,Equipos!$C$2:$M$967,7,FALSE()),"")</f>
        <v>Drager</v>
      </c>
      <c r="F421" s="50" t="str">
        <f aca="false">IFERROR(VLOOKUP($A421,Equipos!$C$2:$M$967,8,FALSE()),"")</f>
        <v>Savina 300 Classic</v>
      </c>
      <c r="G421" s="50" t="s">
        <v>515</v>
      </c>
      <c r="H421" s="50" t="s">
        <v>360</v>
      </c>
      <c r="I421" s="50"/>
      <c r="J421" s="50" t="s">
        <v>352</v>
      </c>
      <c r="K421" s="50" t="str">
        <f aca="false">IFERROR(VLOOKUP($J421,Catálogos!$M$4:$N$17,2,FALSE()),"")</f>
        <v>Mantención Preventiva Realizada</v>
      </c>
      <c r="L421" s="52" t="n">
        <v>46068</v>
      </c>
      <c r="M421" s="50" t="s">
        <v>353</v>
      </c>
      <c r="N421" s="50" t="s">
        <v>253</v>
      </c>
      <c r="O421" s="50"/>
      <c r="P421" s="50"/>
      <c r="Q421" s="50" t="s">
        <v>362</v>
      </c>
    </row>
    <row r="422" customFormat="false" ht="15" hidden="false" customHeight="true" outlineLevel="0" collapsed="false">
      <c r="A422" s="51" t="s">
        <v>79</v>
      </c>
      <c r="B422" s="50" t="str">
        <f aca="false">IFERROR(VLOOKUP($A422,Equipos!$C$2:$M$967,2,FALSE()),"")</f>
        <v>DEA</v>
      </c>
      <c r="C422" s="50" t="str">
        <f aca="false">IFERROR(VLOOKUP($A422,Equipos!$C$2:$M$967,9,FALSE()),"")</f>
        <v>X21A332744</v>
      </c>
      <c r="D422" s="50" t="str">
        <f aca="false">IFERROR(VLOOKUP($A422,Equipos!$C$2:$M$967,3,FALSE()),"")</f>
        <v>Gestión de Pacientes</v>
      </c>
      <c r="E422" s="50" t="str">
        <f aca="false">IFERROR(VLOOKUP($A422,Equipos!$C$2:$M$967,7,FALSE()),"")</f>
        <v>Zoll</v>
      </c>
      <c r="F422" s="50" t="str">
        <f aca="false">IFERROR(VLOOKUP($A422,Equipos!$C$2:$M$967,8,FALSE()),"")</f>
        <v>AEDPLUS</v>
      </c>
      <c r="G422" s="50" t="s">
        <v>515</v>
      </c>
      <c r="H422" s="50" t="s">
        <v>360</v>
      </c>
      <c r="I422" s="50"/>
      <c r="J422" s="50" t="s">
        <v>352</v>
      </c>
      <c r="K422" s="50" t="str">
        <f aca="false">IFERROR(VLOOKUP($J422,Catálogos!$M$4:$N$17,2,FALSE()),"")</f>
        <v>Mantención Preventiva Realizada</v>
      </c>
      <c r="L422" s="52" t="n">
        <v>46068</v>
      </c>
      <c r="M422" s="50" t="s">
        <v>353</v>
      </c>
      <c r="N422" s="50" t="s">
        <v>253</v>
      </c>
      <c r="O422" s="50"/>
      <c r="P422" s="50"/>
      <c r="Q422" s="50" t="s">
        <v>362</v>
      </c>
    </row>
    <row r="423" customFormat="false" ht="15" hidden="false" customHeight="true" outlineLevel="0" collapsed="false">
      <c r="A423" s="51" t="s">
        <v>651</v>
      </c>
      <c r="B423" s="50" t="str">
        <f aca="false">IFERROR(VLOOKUP($A423,Equipos!$C$2:$M$967,2,FALSE()),"")</f>
        <v>Desfibrilador</v>
      </c>
      <c r="C423" s="50" t="str">
        <f aca="false">IFERROR(VLOOKUP($A423,Equipos!$C$2:$M$967,9,FALSE()),"")</f>
        <v>3939</v>
      </c>
      <c r="D423" s="50" t="str">
        <f aca="false">IFERROR(VLOOKUP($A423,Equipos!$C$2:$M$967,3,FALSE()),"")</f>
        <v>Medicina</v>
      </c>
      <c r="E423" s="50" t="str">
        <f aca="false">IFERROR(VLOOKUP($A423,Equipos!$C$2:$M$967,7,FALSE()),"")</f>
        <v>Nihon Kohden</v>
      </c>
      <c r="F423" s="50" t="str">
        <f aca="false">IFERROR(VLOOKUP($A423,Equipos!$C$2:$M$967,8,FALSE()),"")</f>
        <v>TEC-5631</v>
      </c>
      <c r="G423" s="50" t="s">
        <v>515</v>
      </c>
      <c r="H423" s="50" t="s">
        <v>360</v>
      </c>
      <c r="I423" s="50"/>
      <c r="J423" s="50" t="s">
        <v>352</v>
      </c>
      <c r="K423" s="50" t="str">
        <f aca="false">IFERROR(VLOOKUP($J423,Catálogos!$M$4:$N$17,2,FALSE()),"")</f>
        <v>Mantención Preventiva Realizada</v>
      </c>
      <c r="L423" s="52" t="n">
        <v>46068</v>
      </c>
      <c r="M423" s="50" t="s">
        <v>353</v>
      </c>
      <c r="N423" s="50" t="s">
        <v>253</v>
      </c>
      <c r="O423" s="50"/>
      <c r="P423" s="50"/>
      <c r="Q423" s="50" t="s">
        <v>362</v>
      </c>
    </row>
    <row r="424" customFormat="false" ht="15" hidden="false" customHeight="true" outlineLevel="0" collapsed="false">
      <c r="A424" s="51" t="s">
        <v>652</v>
      </c>
      <c r="B424" s="50" t="str">
        <f aca="false">IFERROR(VLOOKUP($A424,Equipos!$C$2:$M$967,2,FALSE()),"")</f>
        <v>Desfibrilador</v>
      </c>
      <c r="C424" s="50" t="str">
        <f aca="false">IFERROR(VLOOKUP($A424,Equipos!$C$2:$M$967,9,FALSE()),"")</f>
        <v>3938</v>
      </c>
      <c r="D424" s="50" t="str">
        <f aca="false">IFERROR(VLOOKUP($A424,Equipos!$C$2:$M$967,3,FALSE()),"")</f>
        <v>Medicina</v>
      </c>
      <c r="E424" s="50" t="str">
        <f aca="false">IFERROR(VLOOKUP($A424,Equipos!$C$2:$M$967,7,FALSE()),"")</f>
        <v>Nihon Kohden</v>
      </c>
      <c r="F424" s="50" t="str">
        <f aca="false">IFERROR(VLOOKUP($A424,Equipos!$C$2:$M$967,8,FALSE()),"")</f>
        <v>TEC-5631</v>
      </c>
      <c r="G424" s="50" t="s">
        <v>515</v>
      </c>
      <c r="H424" s="50" t="s">
        <v>360</v>
      </c>
      <c r="I424" s="50"/>
      <c r="J424" s="50" t="s">
        <v>352</v>
      </c>
      <c r="K424" s="50" t="str">
        <f aca="false">IFERROR(VLOOKUP($J424,Catálogos!$M$4:$N$17,2,FALSE()),"")</f>
        <v>Mantención Preventiva Realizada</v>
      </c>
      <c r="L424" s="52" t="n">
        <v>46068</v>
      </c>
      <c r="M424" s="50" t="s">
        <v>353</v>
      </c>
      <c r="N424" s="50" t="s">
        <v>253</v>
      </c>
      <c r="O424" s="50"/>
      <c r="P424" s="50"/>
      <c r="Q424" s="50" t="s">
        <v>362</v>
      </c>
    </row>
    <row r="425" customFormat="false" ht="15" hidden="false" customHeight="true" outlineLevel="0" collapsed="false">
      <c r="A425" s="51" t="s">
        <v>76</v>
      </c>
      <c r="B425" s="50" t="str">
        <f aca="false">IFERROR(VLOOKUP($A425,Equipos!$C$2:$M$967,2,FALSE()),"")</f>
        <v>DEA</v>
      </c>
      <c r="C425" s="50" t="str">
        <f aca="false">IFERROR(VLOOKUP($A425,Equipos!$C$2:$M$967,9,FALSE()),"")</f>
        <v>13036</v>
      </c>
      <c r="D425" s="50" t="str">
        <f aca="false">IFERROR(VLOOKUP($A425,Equipos!$C$2:$M$967,3,FALSE()),"")</f>
        <v>SAMU</v>
      </c>
      <c r="E425" s="50" t="str">
        <f aca="false">IFERROR(VLOOKUP($A425,Equipos!$C$2:$M$967,7,FALSE()),"")</f>
        <v>Nihon Kohden</v>
      </c>
      <c r="F425" s="50" t="str">
        <f aca="false">IFERROR(VLOOKUP($A425,Equipos!$C$2:$M$967,8,FALSE()),"")</f>
        <v>AED-3100K</v>
      </c>
      <c r="G425" s="50" t="s">
        <v>515</v>
      </c>
      <c r="H425" s="50" t="s">
        <v>360</v>
      </c>
      <c r="I425" s="50"/>
      <c r="J425" s="50" t="s">
        <v>352</v>
      </c>
      <c r="K425" s="50" t="str">
        <f aca="false">IFERROR(VLOOKUP($J425,Catálogos!$M$4:$N$17,2,FALSE()),"")</f>
        <v>Mantención Preventiva Realizada</v>
      </c>
      <c r="L425" s="52" t="n">
        <v>46068</v>
      </c>
      <c r="M425" s="50" t="s">
        <v>353</v>
      </c>
      <c r="N425" s="50" t="s">
        <v>253</v>
      </c>
      <c r="O425" s="50"/>
      <c r="P425" s="50"/>
      <c r="Q425" s="50" t="s">
        <v>362</v>
      </c>
    </row>
    <row r="426" customFormat="false" ht="15" hidden="false" customHeight="true" outlineLevel="0" collapsed="false">
      <c r="A426" s="51" t="s">
        <v>653</v>
      </c>
      <c r="B426" s="50" t="str">
        <f aca="false">IFERROR(VLOOKUP($A426,Equipos!$C$2:$M$967,2,FALSE()),"")</f>
        <v>Desfibrilador</v>
      </c>
      <c r="C426" s="50" t="str">
        <f aca="false">IFERROR(VLOOKUP($A426,Equipos!$C$2:$M$967,9,FALSE()),"")</f>
        <v>BA19F000013</v>
      </c>
      <c r="D426" s="50" t="str">
        <f aca="false">IFERROR(VLOOKUP($A426,Equipos!$C$2:$M$967,3,FALSE()),"")</f>
        <v>SAMU</v>
      </c>
      <c r="E426" s="50" t="str">
        <f aca="false">IFERROR(VLOOKUP($A426,Equipos!$C$2:$M$967,7,FALSE()),"")</f>
        <v>Zoll</v>
      </c>
      <c r="F426" s="50" t="str">
        <f aca="false">IFERROR(VLOOKUP($A426,Equipos!$C$2:$M$967,8,FALSE()),"")</f>
        <v>M2</v>
      </c>
      <c r="G426" s="50" t="s">
        <v>515</v>
      </c>
      <c r="H426" s="50" t="s">
        <v>360</v>
      </c>
      <c r="I426" s="50"/>
      <c r="J426" s="50" t="s">
        <v>352</v>
      </c>
      <c r="K426" s="50" t="str">
        <f aca="false">IFERROR(VLOOKUP($J426,Catálogos!$M$4:$N$17,2,FALSE()),"")</f>
        <v>Mantención Preventiva Realizada</v>
      </c>
      <c r="L426" s="52" t="n">
        <v>46068</v>
      </c>
      <c r="M426" s="50" t="s">
        <v>353</v>
      </c>
      <c r="N426" s="50" t="s">
        <v>253</v>
      </c>
      <c r="O426" s="50"/>
      <c r="P426" s="50"/>
      <c r="Q426" s="50" t="s">
        <v>362</v>
      </c>
    </row>
    <row r="427" customFormat="false" ht="15" hidden="false" customHeight="true" outlineLevel="0" collapsed="false">
      <c r="A427" s="51" t="s">
        <v>654</v>
      </c>
      <c r="B427" s="50" t="str">
        <f aca="false">IFERROR(VLOOKUP($A427,Equipos!$C$2:$M$967,2,FALSE()),"")</f>
        <v>Desfibrilador</v>
      </c>
      <c r="C427" s="50" t="str">
        <f aca="false">IFERROR(VLOOKUP($A427,Equipos!$C$2:$M$967,9,FALSE()),"")</f>
        <v>DG4C012437</v>
      </c>
      <c r="D427" s="50" t="str">
        <f aca="false">IFERROR(VLOOKUP($A427,Equipos!$C$2:$M$967,3,FALSE()),"")</f>
        <v>UPC Adulto</v>
      </c>
      <c r="E427" s="50" t="str">
        <f aca="false">IFERROR(VLOOKUP($A427,Equipos!$C$2:$M$967,7,FALSE()),"")</f>
        <v>Mindray</v>
      </c>
      <c r="F427" s="50" t="str">
        <f aca="false">IFERROR(VLOOKUP($A427,Equipos!$C$2:$M$967,8,FALSE()),"")</f>
        <v>BeneHeart D6</v>
      </c>
      <c r="G427" s="50" t="s">
        <v>515</v>
      </c>
      <c r="H427" s="50" t="s">
        <v>360</v>
      </c>
      <c r="I427" s="50"/>
      <c r="J427" s="50" t="s">
        <v>352</v>
      </c>
      <c r="K427" s="50" t="str">
        <f aca="false">IFERROR(VLOOKUP($J427,Catálogos!$M$4:$N$17,2,FALSE()),"")</f>
        <v>Mantención Preventiva Realizada</v>
      </c>
      <c r="L427" s="52" t="n">
        <v>46068</v>
      </c>
      <c r="M427" s="50" t="s">
        <v>353</v>
      </c>
      <c r="N427" s="50" t="s">
        <v>253</v>
      </c>
      <c r="O427" s="50"/>
      <c r="P427" s="50"/>
      <c r="Q427" s="50" t="s">
        <v>362</v>
      </c>
    </row>
    <row r="428" customFormat="false" ht="15" hidden="false" customHeight="true" outlineLevel="0" collapsed="false">
      <c r="A428" s="51" t="s">
        <v>655</v>
      </c>
      <c r="B428" s="50" t="str">
        <f aca="false">IFERROR(VLOOKUP($A428,Equipos!$C$2:$M$967,2,FALSE()),"")</f>
        <v>Desfibrilador</v>
      </c>
      <c r="C428" s="50" t="str">
        <f aca="false">IFERROR(VLOOKUP($A428,Equipos!$C$2:$M$967,9,FALSE()),"")</f>
        <v>DG4C012439</v>
      </c>
      <c r="D428" s="50" t="str">
        <f aca="false">IFERROR(VLOOKUP($A428,Equipos!$C$2:$M$967,3,FALSE()),"")</f>
        <v>UPC Adulto (Prestado a Cirugía Adulto)</v>
      </c>
      <c r="E428" s="50" t="str">
        <f aca="false">IFERROR(VLOOKUP($A428,Equipos!$C$2:$M$967,7,FALSE()),"")</f>
        <v>Mindray</v>
      </c>
      <c r="F428" s="50" t="str">
        <f aca="false">IFERROR(VLOOKUP($A428,Equipos!$C$2:$M$967,8,FALSE()),"")</f>
        <v>BeneHeart D6</v>
      </c>
      <c r="G428" s="50" t="s">
        <v>515</v>
      </c>
      <c r="H428" s="50" t="s">
        <v>360</v>
      </c>
      <c r="I428" s="50"/>
      <c r="J428" s="50" t="s">
        <v>352</v>
      </c>
      <c r="K428" s="50" t="str">
        <f aca="false">IFERROR(VLOOKUP($J428,Catálogos!$M$4:$N$17,2,FALSE()),"")</f>
        <v>Mantención Preventiva Realizada</v>
      </c>
      <c r="L428" s="52" t="n">
        <v>46068</v>
      </c>
      <c r="M428" s="50" t="s">
        <v>353</v>
      </c>
      <c r="N428" s="50" t="s">
        <v>253</v>
      </c>
      <c r="O428" s="50"/>
      <c r="P428" s="50"/>
      <c r="Q428" s="50" t="s">
        <v>362</v>
      </c>
    </row>
    <row r="429" customFormat="false" ht="15" hidden="false" customHeight="true" outlineLevel="0" collapsed="false">
      <c r="A429" s="51" t="s">
        <v>656</v>
      </c>
      <c r="B429" s="50" t="str">
        <f aca="false">IFERROR(VLOOKUP($A429,Equipos!$C$2:$M$967,2,FALSE()),"")</f>
        <v>Desfibrilador</v>
      </c>
      <c r="C429" s="50" t="str">
        <f aca="false">IFERROR(VLOOKUP($A429,Equipos!$C$2:$M$967,9,FALSE()),"")</f>
        <v>DG4C012440</v>
      </c>
      <c r="D429" s="50" t="str">
        <f aca="false">IFERROR(VLOOKUP($A429,Equipos!$C$2:$M$967,3,FALSE()),"")</f>
        <v>UPC Adulto</v>
      </c>
      <c r="E429" s="50" t="str">
        <f aca="false">IFERROR(VLOOKUP($A429,Equipos!$C$2:$M$967,7,FALSE()),"")</f>
        <v>Mindray</v>
      </c>
      <c r="F429" s="50" t="str">
        <f aca="false">IFERROR(VLOOKUP($A429,Equipos!$C$2:$M$967,8,FALSE()),"")</f>
        <v>BeneHeart D6</v>
      </c>
      <c r="G429" s="50" t="s">
        <v>515</v>
      </c>
      <c r="H429" s="50" t="s">
        <v>360</v>
      </c>
      <c r="I429" s="50"/>
      <c r="J429" s="50" t="s">
        <v>352</v>
      </c>
      <c r="K429" s="50" t="str">
        <f aca="false">IFERROR(VLOOKUP($J429,Catálogos!$M$4:$N$17,2,FALSE()),"")</f>
        <v>Mantención Preventiva Realizada</v>
      </c>
      <c r="L429" s="52" t="n">
        <v>46068</v>
      </c>
      <c r="M429" s="50" t="s">
        <v>353</v>
      </c>
      <c r="N429" s="50" t="s">
        <v>253</v>
      </c>
      <c r="O429" s="50"/>
      <c r="P429" s="50"/>
      <c r="Q429" s="50" t="s">
        <v>362</v>
      </c>
    </row>
    <row r="430" customFormat="false" ht="15" hidden="false" customHeight="true" outlineLevel="0" collapsed="false">
      <c r="A430" s="51" t="s">
        <v>657</v>
      </c>
      <c r="B430" s="50" t="str">
        <f aca="false">IFERROR(VLOOKUP($A430,Equipos!$C$2:$M$967,2,FALSE()),"")</f>
        <v>Desfibrilador</v>
      </c>
      <c r="C430" s="50" t="str">
        <f aca="false">IFERROR(VLOOKUP($A430,Equipos!$C$2:$M$967,9,FALSE()),"")</f>
        <v>DG4C012445</v>
      </c>
      <c r="D430" s="50" t="str">
        <f aca="false">IFERROR(VLOOKUP($A430,Equipos!$C$2:$M$967,3,FALSE()),"")</f>
        <v>UPC Adulto</v>
      </c>
      <c r="E430" s="50" t="str">
        <f aca="false">IFERROR(VLOOKUP($A430,Equipos!$C$2:$M$967,7,FALSE()),"")</f>
        <v>Mindray</v>
      </c>
      <c r="F430" s="50" t="str">
        <f aca="false">IFERROR(VLOOKUP($A430,Equipos!$C$2:$M$967,8,FALSE()),"")</f>
        <v>BeneHeart D6</v>
      </c>
      <c r="G430" s="50" t="s">
        <v>515</v>
      </c>
      <c r="H430" s="50" t="s">
        <v>360</v>
      </c>
      <c r="I430" s="50"/>
      <c r="J430" s="50" t="s">
        <v>352</v>
      </c>
      <c r="K430" s="50" t="str">
        <f aca="false">IFERROR(VLOOKUP($J430,Catálogos!$M$4:$N$17,2,FALSE()),"")</f>
        <v>Mantención Preventiva Realizada</v>
      </c>
      <c r="L430" s="52" t="n">
        <v>46068</v>
      </c>
      <c r="M430" s="50" t="s">
        <v>353</v>
      </c>
      <c r="N430" s="50" t="s">
        <v>253</v>
      </c>
      <c r="O430" s="50"/>
      <c r="P430" s="50"/>
      <c r="Q430" s="50" t="s">
        <v>362</v>
      </c>
    </row>
    <row r="431" customFormat="false" ht="15" hidden="false" customHeight="true" outlineLevel="0" collapsed="false">
      <c r="A431" s="51" t="s">
        <v>658</v>
      </c>
      <c r="B431" s="50" t="str">
        <f aca="false">IFERROR(VLOOKUP($A431,Equipos!$C$2:$M$967,2,FALSE()),"")</f>
        <v>Desfibrilador</v>
      </c>
      <c r="C431" s="50" t="str">
        <f aca="false">IFERROR(VLOOKUP($A431,Equipos!$C$2:$M$967,9,FALSE()),"")</f>
        <v>DG4C012442</v>
      </c>
      <c r="D431" s="50" t="str">
        <f aca="false">IFERROR(VLOOKUP($A431,Equipos!$C$2:$M$967,3,FALSE()),"")</f>
        <v>UPC Adulto</v>
      </c>
      <c r="E431" s="50" t="str">
        <f aca="false">IFERROR(VLOOKUP($A431,Equipos!$C$2:$M$967,7,FALSE()),"")</f>
        <v>Mindray</v>
      </c>
      <c r="F431" s="50" t="str">
        <f aca="false">IFERROR(VLOOKUP($A431,Equipos!$C$2:$M$967,8,FALSE()),"")</f>
        <v>BeneHeart D6</v>
      </c>
      <c r="G431" s="50" t="s">
        <v>515</v>
      </c>
      <c r="H431" s="50" t="s">
        <v>360</v>
      </c>
      <c r="I431" s="50"/>
      <c r="J431" s="50" t="s">
        <v>352</v>
      </c>
      <c r="K431" s="50" t="str">
        <f aca="false">IFERROR(VLOOKUP($J431,Catálogos!$M$4:$N$17,2,FALSE()),"")</f>
        <v>Mantención Preventiva Realizada</v>
      </c>
      <c r="L431" s="52" t="n">
        <v>46068</v>
      </c>
      <c r="M431" s="50" t="s">
        <v>353</v>
      </c>
      <c r="N431" s="50" t="s">
        <v>253</v>
      </c>
      <c r="O431" s="50"/>
      <c r="P431" s="50"/>
      <c r="Q431" s="50" t="s">
        <v>362</v>
      </c>
    </row>
    <row r="432" customFormat="false" ht="15" hidden="false" customHeight="true" outlineLevel="0" collapsed="false">
      <c r="A432" s="51" t="s">
        <v>71</v>
      </c>
      <c r="B432" s="50" t="str">
        <f aca="false">IFERROR(VLOOKUP($A432,Equipos!$C$2:$M$967,2,FALSE()),"")</f>
        <v>DEA</v>
      </c>
      <c r="C432" s="50" t="str">
        <f aca="false">IFERROR(VLOOKUP($A432,Equipos!$C$2:$M$967,9,FALSE()),"")</f>
        <v>40361</v>
      </c>
      <c r="D432" s="50" t="str">
        <f aca="false">IFERROR(VLOOKUP($A432,Equipos!$C$2:$M$967,3,FALSE()),"")</f>
        <v>CDT</v>
      </c>
      <c r="E432" s="50" t="str">
        <f aca="false">IFERROR(VLOOKUP($A432,Equipos!$C$2:$M$967,7,FALSE()),"")</f>
        <v>Nihon Kohden</v>
      </c>
      <c r="F432" s="50" t="str">
        <f aca="false">IFERROR(VLOOKUP($A432,Equipos!$C$2:$M$967,8,FALSE()),"")</f>
        <v>AED-3100K</v>
      </c>
      <c r="G432" s="50" t="s">
        <v>515</v>
      </c>
      <c r="H432" s="50" t="s">
        <v>360</v>
      </c>
      <c r="I432" s="50"/>
      <c r="J432" s="50" t="s">
        <v>352</v>
      </c>
      <c r="K432" s="50" t="str">
        <f aca="false">IFERROR(VLOOKUP($J432,Catálogos!$M$4:$N$17,2,FALSE()),"")</f>
        <v>Mantención Preventiva Realizada</v>
      </c>
      <c r="L432" s="52" t="n">
        <v>46068</v>
      </c>
      <c r="M432" s="50" t="s">
        <v>353</v>
      </c>
      <c r="N432" s="50" t="s">
        <v>253</v>
      </c>
      <c r="O432" s="50"/>
      <c r="P432" s="50"/>
      <c r="Q432" s="50" t="s">
        <v>362</v>
      </c>
    </row>
    <row r="433" customFormat="false" ht="15" hidden="false" customHeight="true" outlineLevel="0" collapsed="false">
      <c r="A433" s="51" t="s">
        <v>68</v>
      </c>
      <c r="B433" s="50" t="str">
        <f aca="false">IFERROR(VLOOKUP($A433,Equipos!$C$2:$M$967,2,FALSE()),"")</f>
        <v>DEA</v>
      </c>
      <c r="C433" s="50" t="str">
        <f aca="false">IFERROR(VLOOKUP($A433,Equipos!$C$2:$M$967,9,FALSE()),"")</f>
        <v>122002985</v>
      </c>
      <c r="D433" s="50" t="str">
        <f aca="false">IFERROR(VLOOKUP($A433,Equipos!$C$2:$M$967,3,FALSE()),"")</f>
        <v>Prevención de Riesgos</v>
      </c>
      <c r="E433" s="50" t="str">
        <f aca="false">IFERROR(VLOOKUP($A433,Equipos!$C$2:$M$967,7,FALSE()),"")</f>
        <v>DEFIBTECH</v>
      </c>
      <c r="F433" s="50" t="str">
        <f aca="false">IFERROR(VLOOKUP($A433,Equipos!$C$2:$M$967,8,FALSE()),"")</f>
        <v>LIFE LINE </v>
      </c>
      <c r="G433" s="50" t="s">
        <v>515</v>
      </c>
      <c r="H433" s="50" t="s">
        <v>360</v>
      </c>
      <c r="I433" s="50"/>
      <c r="J433" s="50" t="s">
        <v>352</v>
      </c>
      <c r="K433" s="50" t="str">
        <f aca="false">IFERROR(VLOOKUP($J433,Catálogos!$M$4:$N$17,2,FALSE()),"")</f>
        <v>Mantención Preventiva Realizada</v>
      </c>
      <c r="L433" s="52" t="n">
        <v>46068</v>
      </c>
      <c r="M433" s="50" t="s">
        <v>353</v>
      </c>
      <c r="N433" s="50" t="s">
        <v>253</v>
      </c>
      <c r="O433" s="50"/>
      <c r="P433" s="50"/>
      <c r="Q433" s="50" t="s">
        <v>362</v>
      </c>
    </row>
    <row r="434" customFormat="false" ht="15" hidden="false" customHeight="true" outlineLevel="0" collapsed="false">
      <c r="A434" s="51" t="s">
        <v>105</v>
      </c>
      <c r="B434" s="50" t="str">
        <f aca="false">IFERROR(VLOOKUP($A434,Equipos!$C$2:$M$967,2,FALSE()),"")</f>
        <v>DEA</v>
      </c>
      <c r="C434" s="50" t="str">
        <f aca="false">IFERROR(VLOOKUP($A434,Equipos!$C$2:$M$967,9,FALSE()),"")</f>
        <v>122002988</v>
      </c>
      <c r="D434" s="50" t="str">
        <f aca="false">IFERROR(VLOOKUP($A434,Equipos!$C$2:$M$967,3,FALSE()),"")</f>
        <v>Prevención de Riesgos</v>
      </c>
      <c r="E434" s="50" t="str">
        <f aca="false">IFERROR(VLOOKUP($A434,Equipos!$C$2:$M$967,7,FALSE()),"")</f>
        <v>DEFIBTECH</v>
      </c>
      <c r="F434" s="50" t="str">
        <f aca="false">IFERROR(VLOOKUP($A434,Equipos!$C$2:$M$967,8,FALSE()),"")</f>
        <v>LIFE LINE </v>
      </c>
      <c r="G434" s="50" t="s">
        <v>515</v>
      </c>
      <c r="H434" s="50" t="s">
        <v>360</v>
      </c>
      <c r="I434" s="50"/>
      <c r="J434" s="50" t="s">
        <v>352</v>
      </c>
      <c r="K434" s="50" t="str">
        <f aca="false">IFERROR(VLOOKUP($J434,Catálogos!$M$4:$N$17,2,FALSE()),"")</f>
        <v>Mantención Preventiva Realizada</v>
      </c>
      <c r="L434" s="52" t="n">
        <v>46068</v>
      </c>
      <c r="M434" s="50" t="s">
        <v>353</v>
      </c>
      <c r="N434" s="50" t="s">
        <v>253</v>
      </c>
      <c r="O434" s="50"/>
      <c r="P434" s="50"/>
      <c r="Q434" s="50" t="s">
        <v>362</v>
      </c>
    </row>
    <row r="435" customFormat="false" ht="15" hidden="false" customHeight="true" outlineLevel="0" collapsed="false">
      <c r="A435" s="51" t="s">
        <v>207</v>
      </c>
      <c r="B435" s="50" t="str">
        <f aca="false">IFERROR(VLOOKUP($A435,Equipos!$C$2:$M$967,2,FALSE()),"")</f>
        <v>DEA</v>
      </c>
      <c r="C435" s="50" t="str">
        <f aca="false">IFERROR(VLOOKUP($A435,Equipos!$C$2:$M$967,9,FALSE()),"")</f>
        <v>122002983</v>
      </c>
      <c r="D435" s="50" t="str">
        <f aca="false">IFERROR(VLOOKUP($A435,Equipos!$C$2:$M$967,3,FALSE()),"")</f>
        <v>Prevención de Riesgos</v>
      </c>
      <c r="E435" s="50" t="str">
        <f aca="false">IFERROR(VLOOKUP($A435,Equipos!$C$2:$M$967,7,FALSE()),"")</f>
        <v>DEFIBTECH</v>
      </c>
      <c r="F435" s="50" t="str">
        <f aca="false">IFERROR(VLOOKUP($A435,Equipos!$C$2:$M$967,8,FALSE()),"")</f>
        <v>LIFE LINE </v>
      </c>
      <c r="G435" s="50" t="s">
        <v>515</v>
      </c>
      <c r="H435" s="50" t="s">
        <v>360</v>
      </c>
      <c r="I435" s="50"/>
      <c r="J435" s="50" t="s">
        <v>352</v>
      </c>
      <c r="K435" s="50" t="str">
        <f aca="false">IFERROR(VLOOKUP($J435,Catálogos!$M$4:$N$17,2,FALSE()),"")</f>
        <v>Mantención Preventiva Realizada</v>
      </c>
      <c r="L435" s="52" t="n">
        <v>46068</v>
      </c>
      <c r="M435" s="50" t="s">
        <v>353</v>
      </c>
      <c r="N435" s="50" t="s">
        <v>253</v>
      </c>
      <c r="O435" s="50"/>
      <c r="P435" s="50"/>
      <c r="Q435" s="50" t="s">
        <v>362</v>
      </c>
    </row>
    <row r="436" customFormat="false" ht="15" hidden="false" customHeight="true" outlineLevel="0" collapsed="false">
      <c r="A436" s="51" t="s">
        <v>102</v>
      </c>
      <c r="B436" s="50" t="str">
        <f aca="false">IFERROR(VLOOKUP($A436,Equipos!$C$2:$M$967,2,FALSE()),"")</f>
        <v>DEA</v>
      </c>
      <c r="C436" s="50" t="str">
        <f aca="false">IFERROR(VLOOKUP($A436,Equipos!$C$2:$M$967,9,FALSE()),"")</f>
        <v>122002981</v>
      </c>
      <c r="D436" s="50" t="str">
        <f aca="false">IFERROR(VLOOKUP($A436,Equipos!$C$2:$M$967,3,FALSE()),"")</f>
        <v>Prevención de Riesgos</v>
      </c>
      <c r="E436" s="50" t="str">
        <f aca="false">IFERROR(VLOOKUP($A436,Equipos!$C$2:$M$967,7,FALSE()),"")</f>
        <v>DEFIBTECH</v>
      </c>
      <c r="F436" s="50" t="str">
        <f aca="false">IFERROR(VLOOKUP($A436,Equipos!$C$2:$M$967,8,FALSE()),"")</f>
        <v>LIFE LINE </v>
      </c>
      <c r="G436" s="50" t="s">
        <v>515</v>
      </c>
      <c r="H436" s="50" t="s">
        <v>360</v>
      </c>
      <c r="I436" s="50"/>
      <c r="J436" s="50" t="s">
        <v>352</v>
      </c>
      <c r="K436" s="50" t="str">
        <f aca="false">IFERROR(VLOOKUP($J436,Catálogos!$M$4:$N$17,2,FALSE()),"")</f>
        <v>Mantención Preventiva Realizada</v>
      </c>
      <c r="L436" s="52" t="n">
        <v>46068</v>
      </c>
      <c r="M436" s="50" t="s">
        <v>353</v>
      </c>
      <c r="N436" s="50" t="s">
        <v>253</v>
      </c>
      <c r="O436" s="50"/>
      <c r="P436" s="50"/>
      <c r="Q436" s="50" t="s">
        <v>362</v>
      </c>
    </row>
    <row r="437" customFormat="false" ht="15" hidden="false" customHeight="true" outlineLevel="0" collapsed="false">
      <c r="A437" s="51" t="s">
        <v>99</v>
      </c>
      <c r="B437" s="50" t="str">
        <f aca="false">IFERROR(VLOOKUP($A437,Equipos!$C$2:$M$967,2,FALSE()),"")</f>
        <v>DEA</v>
      </c>
      <c r="C437" s="50" t="str">
        <f aca="false">IFERROR(VLOOKUP($A437,Equipos!$C$2:$M$967,9,FALSE()),"")</f>
        <v>122003000</v>
      </c>
      <c r="D437" s="50" t="str">
        <f aca="false">IFERROR(VLOOKUP($A437,Equipos!$C$2:$M$967,3,FALSE()),"")</f>
        <v>Prevención de Riesgos (Urgencia Adulto)</v>
      </c>
      <c r="E437" s="50" t="str">
        <f aca="false">IFERROR(VLOOKUP($A437,Equipos!$C$2:$M$967,7,FALSE()),"")</f>
        <v>DEFIBTECH</v>
      </c>
      <c r="F437" s="50" t="str">
        <f aca="false">IFERROR(VLOOKUP($A437,Equipos!$C$2:$M$967,8,FALSE()),"")</f>
        <v>LIFE LINE </v>
      </c>
      <c r="G437" s="50" t="s">
        <v>515</v>
      </c>
      <c r="H437" s="50" t="s">
        <v>360</v>
      </c>
      <c r="I437" s="50"/>
      <c r="J437" s="50" t="s">
        <v>352</v>
      </c>
      <c r="K437" s="50" t="str">
        <f aca="false">IFERROR(VLOOKUP($J437,Catálogos!$M$4:$N$17,2,FALSE()),"")</f>
        <v>Mantención Preventiva Realizada</v>
      </c>
      <c r="L437" s="52" t="n">
        <v>46068</v>
      </c>
      <c r="M437" s="50" t="s">
        <v>353</v>
      </c>
      <c r="N437" s="50" t="s">
        <v>253</v>
      </c>
      <c r="O437" s="50"/>
      <c r="P437" s="50"/>
      <c r="Q437" s="50" t="s">
        <v>362</v>
      </c>
    </row>
    <row r="438" customFormat="false" ht="15" hidden="false" customHeight="true" outlineLevel="0" collapsed="false">
      <c r="A438" s="51" t="s">
        <v>95</v>
      </c>
      <c r="B438" s="50" t="str">
        <f aca="false">IFERROR(VLOOKUP($A438,Equipos!$C$2:$M$967,2,FALSE()),"")</f>
        <v>DEA</v>
      </c>
      <c r="C438" s="50" t="str">
        <f aca="false">IFERROR(VLOOKUP($A438,Equipos!$C$2:$M$967,9,FALSE()),"")</f>
        <v>122002995</v>
      </c>
      <c r="D438" s="50" t="str">
        <f aca="false">IFERROR(VLOOKUP($A438,Equipos!$C$2:$M$967,3,FALSE()),"")</f>
        <v>Prevención de Riesgos</v>
      </c>
      <c r="E438" s="50" t="str">
        <f aca="false">IFERROR(VLOOKUP($A438,Equipos!$C$2:$M$967,7,FALSE()),"")</f>
        <v>DEFIBTECH</v>
      </c>
      <c r="F438" s="50" t="str">
        <f aca="false">IFERROR(VLOOKUP($A438,Equipos!$C$2:$M$967,8,FALSE()),"")</f>
        <v>LIFE LINE </v>
      </c>
      <c r="G438" s="50" t="s">
        <v>515</v>
      </c>
      <c r="H438" s="50" t="s">
        <v>360</v>
      </c>
      <c r="I438" s="50"/>
      <c r="J438" s="50" t="s">
        <v>352</v>
      </c>
      <c r="K438" s="50" t="str">
        <f aca="false">IFERROR(VLOOKUP($J438,Catálogos!$M$4:$N$17,2,FALSE()),"")</f>
        <v>Mantención Preventiva Realizada</v>
      </c>
      <c r="L438" s="52" t="n">
        <v>46068</v>
      </c>
      <c r="M438" s="50" t="s">
        <v>353</v>
      </c>
      <c r="N438" s="50" t="s">
        <v>253</v>
      </c>
      <c r="O438" s="50"/>
      <c r="P438" s="50"/>
      <c r="Q438" s="50" t="s">
        <v>362</v>
      </c>
    </row>
    <row r="439" customFormat="false" ht="15" hidden="false" customHeight="true" outlineLevel="0" collapsed="false">
      <c r="A439" s="51" t="s">
        <v>92</v>
      </c>
      <c r="B439" s="50" t="str">
        <f aca="false">IFERROR(VLOOKUP($A439,Equipos!$C$2:$M$967,2,FALSE()),"")</f>
        <v>DEA</v>
      </c>
      <c r="C439" s="50" t="str">
        <f aca="false">IFERROR(VLOOKUP($A439,Equipos!$C$2:$M$967,9,FALSE()),"")</f>
        <v>122003001</v>
      </c>
      <c r="D439" s="50" t="str">
        <f aca="false">IFERROR(VLOOKUP($A439,Equipos!$C$2:$M$967,3,FALSE()),"")</f>
        <v>Prevención de Riesgos</v>
      </c>
      <c r="E439" s="50" t="str">
        <f aca="false">IFERROR(VLOOKUP($A439,Equipos!$C$2:$M$967,7,FALSE()),"")</f>
        <v>DEFIBTECH</v>
      </c>
      <c r="F439" s="50" t="str">
        <f aca="false">IFERROR(VLOOKUP($A439,Equipos!$C$2:$M$967,8,FALSE()),"")</f>
        <v>LIFE LINE </v>
      </c>
      <c r="G439" s="50" t="s">
        <v>515</v>
      </c>
      <c r="H439" s="50" t="s">
        <v>360</v>
      </c>
      <c r="I439" s="50"/>
      <c r="J439" s="50" t="s">
        <v>352</v>
      </c>
      <c r="K439" s="50" t="str">
        <f aca="false">IFERROR(VLOOKUP($J439,Catálogos!$M$4:$N$17,2,FALSE()),"")</f>
        <v>Mantención Preventiva Realizada</v>
      </c>
      <c r="L439" s="52" t="n">
        <v>46068</v>
      </c>
      <c r="M439" s="50" t="s">
        <v>353</v>
      </c>
      <c r="N439" s="50" t="s">
        <v>253</v>
      </c>
      <c r="O439" s="50"/>
      <c r="P439" s="50"/>
      <c r="Q439" s="50" t="s">
        <v>362</v>
      </c>
    </row>
    <row r="440" customFormat="false" ht="15" hidden="false" customHeight="true" outlineLevel="0" collapsed="false">
      <c r="A440" s="51" t="s">
        <v>83</v>
      </c>
      <c r="B440" s="50" t="str">
        <f aca="false">IFERROR(VLOOKUP($A440,Equipos!$C$2:$M$967,2,FALSE()),"")</f>
        <v>DEA</v>
      </c>
      <c r="C440" s="50" t="str">
        <f aca="false">IFERROR(VLOOKUP($A440,Equipos!$C$2:$M$967,9,FALSE()),"")</f>
        <v>122002994</v>
      </c>
      <c r="D440" s="50" t="str">
        <f aca="false">IFERROR(VLOOKUP($A440,Equipos!$C$2:$M$967,3,FALSE()),"")</f>
        <v>Prevención de Riesgos</v>
      </c>
      <c r="E440" s="50" t="str">
        <f aca="false">IFERROR(VLOOKUP($A440,Equipos!$C$2:$M$967,7,FALSE()),"")</f>
        <v>DEFIBTECH</v>
      </c>
      <c r="F440" s="50" t="str">
        <f aca="false">IFERROR(VLOOKUP($A440,Equipos!$C$2:$M$967,8,FALSE()),"")</f>
        <v>LIFE LINE </v>
      </c>
      <c r="G440" s="50" t="s">
        <v>515</v>
      </c>
      <c r="H440" s="50" t="s">
        <v>360</v>
      </c>
      <c r="I440" s="50"/>
      <c r="J440" s="50" t="s">
        <v>352</v>
      </c>
      <c r="K440" s="50" t="str">
        <f aca="false">IFERROR(VLOOKUP($J440,Catálogos!$M$4:$N$17,2,FALSE()),"")</f>
        <v>Mantención Preventiva Realizada</v>
      </c>
      <c r="L440" s="52" t="n">
        <v>46068</v>
      </c>
      <c r="M440" s="50" t="s">
        <v>353</v>
      </c>
      <c r="N440" s="50" t="s">
        <v>253</v>
      </c>
      <c r="O440" s="50"/>
      <c r="P440" s="50"/>
      <c r="Q440" s="50" t="s">
        <v>362</v>
      </c>
    </row>
    <row r="441" customFormat="false" ht="15" hidden="false" customHeight="true" outlineLevel="0" collapsed="false">
      <c r="A441" s="51" t="s">
        <v>89</v>
      </c>
      <c r="B441" s="50" t="str">
        <f aca="false">IFERROR(VLOOKUP($A441,Equipos!$C$2:$M$967,2,FALSE()),"")</f>
        <v>DEA</v>
      </c>
      <c r="C441" s="50" t="str">
        <f aca="false">IFERROR(VLOOKUP($A441,Equipos!$C$2:$M$967,9,FALSE()),"")</f>
        <v>40422</v>
      </c>
      <c r="D441" s="50" t="str">
        <f aca="false">IFERROR(VLOOKUP($A441,Equipos!$C$2:$M$967,3,FALSE()),"")</f>
        <v>CDT</v>
      </c>
      <c r="E441" s="50" t="str">
        <f aca="false">IFERROR(VLOOKUP($A441,Equipos!$C$2:$M$967,7,FALSE()),"")</f>
        <v>Nihon Kohden</v>
      </c>
      <c r="F441" s="50" t="str">
        <f aca="false">IFERROR(VLOOKUP($A441,Equipos!$C$2:$M$967,8,FALSE()),"")</f>
        <v>AED-3100K</v>
      </c>
      <c r="G441" s="50" t="s">
        <v>515</v>
      </c>
      <c r="H441" s="50" t="s">
        <v>360</v>
      </c>
      <c r="I441" s="50"/>
      <c r="J441" s="50" t="s">
        <v>352</v>
      </c>
      <c r="K441" s="50" t="str">
        <f aca="false">IFERROR(VLOOKUP($J441,Catálogos!$M$4:$N$17,2,FALSE()),"")</f>
        <v>Mantención Preventiva Realizada</v>
      </c>
      <c r="L441" s="52" t="n">
        <v>46068</v>
      </c>
      <c r="M441" s="50" t="s">
        <v>353</v>
      </c>
      <c r="N441" s="50" t="s">
        <v>253</v>
      </c>
      <c r="O441" s="50"/>
      <c r="P441" s="50"/>
      <c r="Q441" s="50" t="s">
        <v>362</v>
      </c>
    </row>
    <row r="442" customFormat="false" ht="15" hidden="false" customHeight="true" outlineLevel="0" collapsed="false">
      <c r="A442" s="51" t="s">
        <v>86</v>
      </c>
      <c r="B442" s="50" t="str">
        <f aca="false">IFERROR(VLOOKUP($A442,Equipos!$C$2:$M$967,2,FALSE()),"")</f>
        <v>DEA</v>
      </c>
      <c r="C442" s="50" t="str">
        <f aca="false">IFERROR(VLOOKUP($A442,Equipos!$C$2:$M$967,9,FALSE()),"")</f>
        <v>AE7-24048210</v>
      </c>
      <c r="D442" s="50" t="str">
        <f aca="false">IFERROR(VLOOKUP($A442,Equipos!$C$2:$M$967,3,FALSE()),"")</f>
        <v>Gestión de Pacientes</v>
      </c>
      <c r="E442" s="50" t="str">
        <f aca="false">IFERROR(VLOOKUP($A442,Equipos!$C$2:$M$967,7,FALSE()),"")</f>
        <v>Mindray</v>
      </c>
      <c r="F442" s="50" t="str">
        <f aca="false">IFERROR(VLOOKUP($A442,Equipos!$C$2:$M$967,8,FALSE()),"")</f>
        <v>BeneHeart C2</v>
      </c>
      <c r="G442" s="50" t="s">
        <v>515</v>
      </c>
      <c r="H442" s="50" t="s">
        <v>360</v>
      </c>
      <c r="I442" s="50"/>
      <c r="J442" s="50" t="s">
        <v>352</v>
      </c>
      <c r="K442" s="50" t="str">
        <f aca="false">IFERROR(VLOOKUP($J442,Catálogos!$M$4:$N$17,2,FALSE()),"")</f>
        <v>Mantención Preventiva Realizada</v>
      </c>
      <c r="L442" s="52" t="n">
        <v>46068</v>
      </c>
      <c r="M442" s="50" t="s">
        <v>353</v>
      </c>
      <c r="N442" s="50" t="s">
        <v>253</v>
      </c>
      <c r="O442" s="50"/>
      <c r="P442" s="50"/>
      <c r="Q442" s="50" t="s">
        <v>362</v>
      </c>
    </row>
    <row r="443" customFormat="false" ht="15" hidden="false" customHeight="true" outlineLevel="0" collapsed="false">
      <c r="A443" s="51" t="s">
        <v>58</v>
      </c>
      <c r="B443" s="50" t="str">
        <f aca="false">IFERROR(VLOOKUP($A443,Equipos!$C$2:$M$967,2,FALSE()),"")</f>
        <v>DEA</v>
      </c>
      <c r="C443" s="50" t="str">
        <f aca="false">IFERROR(VLOOKUP($A443,Equipos!$C$2:$M$967,9,FALSE()),"")</f>
        <v>X21J421750</v>
      </c>
      <c r="D443" s="50" t="str">
        <f aca="false">IFERROR(VLOOKUP($A443,Equipos!$C$2:$M$967,3,FALSE()),"")</f>
        <v>SAMU</v>
      </c>
      <c r="E443" s="50" t="str">
        <f aca="false">IFERROR(VLOOKUP($A443,Equipos!$C$2:$M$967,7,FALSE()),"")</f>
        <v>Zoll</v>
      </c>
      <c r="F443" s="50" t="str">
        <f aca="false">IFERROR(VLOOKUP($A443,Equipos!$C$2:$M$967,8,FALSE()),"")</f>
        <v>AEDPLUS</v>
      </c>
      <c r="G443" s="50" t="s">
        <v>515</v>
      </c>
      <c r="H443" s="50" t="s">
        <v>360</v>
      </c>
      <c r="I443" s="50"/>
      <c r="J443" s="50" t="s">
        <v>352</v>
      </c>
      <c r="K443" s="50" t="str">
        <f aca="false">IFERROR(VLOOKUP($J443,Catálogos!$M$4:$N$17,2,FALSE()),"")</f>
        <v>Mantención Preventiva Realizada</v>
      </c>
      <c r="L443" s="52" t="n">
        <v>46068</v>
      </c>
      <c r="M443" s="50" t="s">
        <v>353</v>
      </c>
      <c r="N443" s="50" t="s">
        <v>253</v>
      </c>
      <c r="O443" s="50"/>
      <c r="P443" s="50"/>
      <c r="Q443" s="50" t="s">
        <v>362</v>
      </c>
    </row>
    <row r="444" customFormat="false" ht="15" hidden="false" customHeight="true" outlineLevel="0" collapsed="false">
      <c r="A444" s="51" t="s">
        <v>659</v>
      </c>
      <c r="B444" s="50" t="str">
        <f aca="false">IFERROR(VLOOKUP($A444,Equipos!$C$2:$M$967,2,FALSE()),"")</f>
        <v>Desfibrilador</v>
      </c>
      <c r="C444" s="50" t="str">
        <f aca="false">IFERROR(VLOOKUP($A444,Equipos!$C$2:$M$967,9,FALSE()),"")</f>
        <v>342</v>
      </c>
      <c r="D444" s="50" t="str">
        <f aca="false">IFERROR(VLOOKUP($A444,Equipos!$C$2:$M$967,3,FALSE()),"")</f>
        <v>Medicina</v>
      </c>
      <c r="E444" s="50" t="str">
        <f aca="false">IFERROR(VLOOKUP($A444,Equipos!$C$2:$M$967,7,FALSE()),"")</f>
        <v>Nihon Kohden</v>
      </c>
      <c r="F444" s="50" t="str">
        <f aca="false">IFERROR(VLOOKUP($A444,Equipos!$C$2:$M$967,8,FALSE()),"")</f>
        <v>TEC 5521E</v>
      </c>
      <c r="G444" s="50" t="s">
        <v>515</v>
      </c>
      <c r="H444" s="50" t="s">
        <v>360</v>
      </c>
      <c r="I444" s="50"/>
      <c r="J444" s="50" t="s">
        <v>352</v>
      </c>
      <c r="K444" s="50" t="str">
        <f aca="false">IFERROR(VLOOKUP($J444,Catálogos!$M$4:$N$17,2,FALSE()),"")</f>
        <v>Mantención Preventiva Realizada</v>
      </c>
      <c r="L444" s="52" t="n">
        <v>46068</v>
      </c>
      <c r="M444" s="50" t="s">
        <v>353</v>
      </c>
      <c r="N444" s="50" t="s">
        <v>253</v>
      </c>
      <c r="O444" s="50"/>
      <c r="P444" s="50"/>
      <c r="Q444" s="50" t="s">
        <v>362</v>
      </c>
    </row>
    <row r="445" customFormat="false" ht="15" hidden="false" customHeight="true" outlineLevel="0" collapsed="false">
      <c r="A445" s="51" t="s">
        <v>660</v>
      </c>
      <c r="B445" s="50" t="str">
        <f aca="false">IFERROR(VLOOKUP($A445,Equipos!$C$2:$M$967,2,FALSE()),"")</f>
        <v>Desfibrilador</v>
      </c>
      <c r="C445" s="50" t="str">
        <f aca="false">IFERROR(VLOOKUP($A445,Equipos!$C$2:$M$967,9,FALSE()),"")</f>
        <v>1812</v>
      </c>
      <c r="D445" s="50" t="str">
        <f aca="false">IFERROR(VLOOKUP($A445,Equipos!$C$2:$M$967,3,FALSE()),"")</f>
        <v>Medicina</v>
      </c>
      <c r="E445" s="50" t="str">
        <f aca="false">IFERROR(VLOOKUP($A445,Equipos!$C$2:$M$967,7,FALSE()),"")</f>
        <v>Nihon Kohden</v>
      </c>
      <c r="F445" s="50" t="str">
        <f aca="false">IFERROR(VLOOKUP($A445,Equipos!$C$2:$M$967,8,FALSE()),"")</f>
        <v>TEC 5531E</v>
      </c>
      <c r="G445" s="50" t="s">
        <v>515</v>
      </c>
      <c r="H445" s="50" t="s">
        <v>360</v>
      </c>
      <c r="I445" s="50"/>
      <c r="J445" s="50" t="s">
        <v>352</v>
      </c>
      <c r="K445" s="50" t="str">
        <f aca="false">IFERROR(VLOOKUP($J445,Catálogos!$M$4:$N$17,2,FALSE()),"")</f>
        <v>Mantención Preventiva Realizada</v>
      </c>
      <c r="L445" s="52" t="n">
        <v>46068</v>
      </c>
      <c r="M445" s="50" t="s">
        <v>353</v>
      </c>
      <c r="N445" s="50" t="s">
        <v>253</v>
      </c>
      <c r="O445" s="50"/>
      <c r="P445" s="50"/>
      <c r="Q445" s="50" t="s">
        <v>362</v>
      </c>
    </row>
    <row r="446" customFormat="false" ht="15" hidden="false" customHeight="true" outlineLevel="0" collapsed="false">
      <c r="A446" s="51" t="s">
        <v>661</v>
      </c>
      <c r="B446" s="50" t="str">
        <f aca="false">IFERROR(VLOOKUP($A446,Equipos!$C$2:$M$967,2,FALSE()),"")</f>
        <v>Desfibrilador</v>
      </c>
      <c r="C446" s="50" t="str">
        <f aca="false">IFERROR(VLOOKUP($A446,Equipos!$C$2:$M$967,9,FALSE()),"")</f>
        <v>(21)BA19F000019</v>
      </c>
      <c r="D446" s="50" t="str">
        <f aca="false">IFERROR(VLOOKUP($A446,Equipos!$C$2:$M$967,3,FALSE()),"")</f>
        <v>UPC Adulto</v>
      </c>
      <c r="E446" s="50" t="str">
        <f aca="false">IFERROR(VLOOKUP($A446,Equipos!$C$2:$M$967,7,FALSE()),"")</f>
        <v>Zoll</v>
      </c>
      <c r="F446" s="50" t="str">
        <f aca="false">IFERROR(VLOOKUP($A446,Equipos!$C$2:$M$967,8,FALSE()),"")</f>
        <v>M2</v>
      </c>
      <c r="G446" s="50" t="s">
        <v>515</v>
      </c>
      <c r="H446" s="50" t="s">
        <v>360</v>
      </c>
      <c r="I446" s="50"/>
      <c r="J446" s="50" t="s">
        <v>352</v>
      </c>
      <c r="K446" s="50" t="str">
        <f aca="false">IFERROR(VLOOKUP($J446,Catálogos!$M$4:$N$17,2,FALSE()),"")</f>
        <v>Mantención Preventiva Realizada</v>
      </c>
      <c r="L446" s="52" t="n">
        <v>46068</v>
      </c>
      <c r="M446" s="50" t="s">
        <v>353</v>
      </c>
      <c r="N446" s="50" t="s">
        <v>253</v>
      </c>
      <c r="O446" s="50"/>
      <c r="P446" s="50"/>
      <c r="Q446" s="50" t="s">
        <v>362</v>
      </c>
    </row>
    <row r="447" customFormat="false" ht="15" hidden="false" customHeight="true" outlineLevel="0" collapsed="false">
      <c r="A447" s="51" t="s">
        <v>662</v>
      </c>
      <c r="B447" s="50" t="str">
        <f aca="false">IFERROR(VLOOKUP($A447,Equipos!$C$2:$M$967,2,FALSE()),"")</f>
        <v>Desfibrilador</v>
      </c>
      <c r="C447" s="50" t="str">
        <f aca="false">IFERROR(VLOOKUP($A447,Equipos!$C$2:$M$967,9,FALSE()),"")</f>
        <v>889</v>
      </c>
      <c r="D447" s="50" t="str">
        <f aca="false">IFERROR(VLOOKUP($A447,Equipos!$C$2:$M$967,3,FALSE()),"")</f>
        <v>UPC Adulto</v>
      </c>
      <c r="E447" s="50" t="str">
        <f aca="false">IFERROR(VLOOKUP($A447,Equipos!$C$2:$M$967,7,FALSE()),"")</f>
        <v>Nihon Kohden</v>
      </c>
      <c r="F447" s="50" t="str">
        <f aca="false">IFERROR(VLOOKUP($A447,Equipos!$C$2:$M$967,8,FALSE()),"")</f>
        <v>TEC 5531E</v>
      </c>
      <c r="G447" s="50" t="s">
        <v>515</v>
      </c>
      <c r="H447" s="50" t="s">
        <v>360</v>
      </c>
      <c r="I447" s="50"/>
      <c r="J447" s="50" t="s">
        <v>331</v>
      </c>
      <c r="K447" s="50" t="str">
        <f aca="false">IFERROR(VLOOKUP($J447,Catálogos!$M$4:$N$17,2,FALSE()),"")</f>
        <v>Reprogramada · Equipo no operativo, a la espera de repuestos o accesorios</v>
      </c>
      <c r="L447" s="52" t="n">
        <v>46068</v>
      </c>
      <c r="M447" s="50" t="s">
        <v>355</v>
      </c>
      <c r="N447" s="50" t="s">
        <v>253</v>
      </c>
      <c r="O447" s="50"/>
      <c r="P447" s="50"/>
      <c r="Q447" s="50" t="s">
        <v>362</v>
      </c>
    </row>
    <row r="448" customFormat="false" ht="15" hidden="false" customHeight="true" outlineLevel="0" collapsed="false">
      <c r="A448" s="51" t="s">
        <v>117</v>
      </c>
      <c r="B448" s="50" t="str">
        <f aca="false">IFERROR(VLOOKUP($A448,Equipos!$C$2:$M$967,2,FALSE()),"")</f>
        <v>DEA</v>
      </c>
      <c r="C448" s="50" t="str">
        <f aca="false">IFERROR(VLOOKUP($A448,Equipos!$C$2:$M$967,9,FALSE()),"")</f>
        <v>AF1-48110851</v>
      </c>
      <c r="D448" s="50" t="str">
        <f aca="false">IFERROR(VLOOKUP($A448,Equipos!$C$2:$M$967,3,FALSE()),"")</f>
        <v>SAMU</v>
      </c>
      <c r="E448" s="50" t="str">
        <f aca="false">IFERROR(VLOOKUP($A448,Equipos!$C$2:$M$967,7,FALSE()),"")</f>
        <v>Mindray</v>
      </c>
      <c r="F448" s="50" t="str">
        <f aca="false">IFERROR(VLOOKUP($A448,Equipos!$C$2:$M$967,8,FALSE()),"")</f>
        <v>BeneHeart C1A</v>
      </c>
      <c r="G448" s="50" t="s">
        <v>515</v>
      </c>
      <c r="H448" s="50" t="s">
        <v>360</v>
      </c>
      <c r="I448" s="50"/>
      <c r="J448" s="50" t="s">
        <v>352</v>
      </c>
      <c r="K448" s="50" t="str">
        <f aca="false">IFERROR(VLOOKUP($J448,Catálogos!$M$4:$N$17,2,FALSE()),"")</f>
        <v>Mantención Preventiva Realizada</v>
      </c>
      <c r="L448" s="52" t="n">
        <v>46068</v>
      </c>
      <c r="M448" s="50" t="s">
        <v>353</v>
      </c>
      <c r="N448" s="50" t="s">
        <v>253</v>
      </c>
      <c r="O448" s="50"/>
      <c r="P448" s="50"/>
      <c r="Q448" s="50" t="s">
        <v>362</v>
      </c>
    </row>
    <row r="449" customFormat="false" ht="15" hidden="false" customHeight="true" outlineLevel="0" collapsed="false">
      <c r="A449" s="51" t="s">
        <v>512</v>
      </c>
      <c r="B449" s="50" t="str">
        <f aca="false">IFERROR(VLOOKUP($A449,Equipos!$C$2:$M$967,2,FALSE()),"")</f>
        <v>DEA</v>
      </c>
      <c r="C449" s="50" t="str">
        <f aca="false">IFERROR(VLOOKUP($A449,Equipos!$C$2:$M$967,9,FALSE()),"")</f>
        <v>13042</v>
      </c>
      <c r="D449" s="50" t="str">
        <f aca="false">IFERROR(VLOOKUP($A449,Equipos!$C$2:$M$967,3,FALSE()),"")</f>
        <v>Unidad Evaluación Paciente Imputado</v>
      </c>
      <c r="E449" s="50" t="str">
        <f aca="false">IFERROR(VLOOKUP($A449,Equipos!$C$2:$M$967,7,FALSE()),"")</f>
        <v>Nihon Kohden</v>
      </c>
      <c r="F449" s="50" t="str">
        <f aca="false">IFERROR(VLOOKUP($A449,Equipos!$C$2:$M$967,8,FALSE()),"")</f>
        <v>AED-3100</v>
      </c>
      <c r="G449" s="50" t="s">
        <v>515</v>
      </c>
      <c r="H449" s="50" t="s">
        <v>360</v>
      </c>
      <c r="I449" s="50"/>
      <c r="J449" s="50" t="s">
        <v>352</v>
      </c>
      <c r="K449" s="50" t="str">
        <f aca="false">IFERROR(VLOOKUP($J449,Catálogos!$M$4:$N$17,2,FALSE()),"")</f>
        <v>Mantención Preventiva Realizada</v>
      </c>
      <c r="L449" s="52" t="n">
        <v>46068</v>
      </c>
      <c r="M449" s="50" t="s">
        <v>353</v>
      </c>
      <c r="N449" s="50" t="s">
        <v>253</v>
      </c>
      <c r="O449" s="50"/>
      <c r="P449" s="50"/>
      <c r="Q449" s="50" t="s">
        <v>362</v>
      </c>
    </row>
    <row r="450" customFormat="false" ht="15" hidden="false" customHeight="true" outlineLevel="0" collapsed="false">
      <c r="A450" s="51" t="s">
        <v>120</v>
      </c>
      <c r="B450" s="50" t="str">
        <f aca="false">IFERROR(VLOOKUP($A450,Equipos!$C$2:$M$967,2,FALSE()),"")</f>
        <v>DEA</v>
      </c>
      <c r="C450" s="50" t="str">
        <f aca="false">IFERROR(VLOOKUP($A450,Equipos!$C$2:$M$967,9,FALSE()),"")</f>
        <v>X18E028657</v>
      </c>
      <c r="D450" s="50" t="str">
        <f aca="false">IFERROR(VLOOKUP($A450,Equipos!$C$2:$M$967,3,FALSE()),"")</f>
        <v>Gestión de Pacientes</v>
      </c>
      <c r="E450" s="50" t="str">
        <f aca="false">IFERROR(VLOOKUP($A450,Equipos!$C$2:$M$967,7,FALSE()),"")</f>
        <v>Zoll</v>
      </c>
      <c r="F450" s="50" t="str">
        <f aca="false">IFERROR(VLOOKUP($A450,Equipos!$C$2:$M$967,8,FALSE()),"")</f>
        <v>AEDPLUS</v>
      </c>
      <c r="G450" s="50" t="s">
        <v>515</v>
      </c>
      <c r="H450" s="50" t="s">
        <v>360</v>
      </c>
      <c r="I450" s="50"/>
      <c r="J450" s="50" t="s">
        <v>352</v>
      </c>
      <c r="K450" s="50" t="str">
        <f aca="false">IFERROR(VLOOKUP($J450,Catálogos!$M$4:$N$17,2,FALSE()),"")</f>
        <v>Mantención Preventiva Realizada</v>
      </c>
      <c r="L450" s="52" t="n">
        <v>46068</v>
      </c>
      <c r="M450" s="50" t="s">
        <v>353</v>
      </c>
      <c r="N450" s="50" t="s">
        <v>253</v>
      </c>
      <c r="O450" s="50"/>
      <c r="P450" s="50"/>
      <c r="Q450" s="50" t="s">
        <v>362</v>
      </c>
    </row>
    <row r="451" customFormat="false" ht="15" hidden="false" customHeight="true" outlineLevel="0" collapsed="false">
      <c r="A451" s="51" t="s">
        <v>663</v>
      </c>
      <c r="B451" s="50" t="str">
        <f aca="false">IFERROR(VLOOKUP($A451,Equipos!$C$2:$M$967,2,FALSE()),"")</f>
        <v>Desfibrilador</v>
      </c>
      <c r="C451" s="50" t="str">
        <f aca="false">IFERROR(VLOOKUP($A451,Equipos!$C$2:$M$967,9,FALSE()),"")</f>
        <v>AF10H011856</v>
      </c>
      <c r="D451" s="50" t="str">
        <f aca="false">IFERROR(VLOOKUP($A451,Equipos!$C$2:$M$967,3,FALSE()),"")</f>
        <v>UPC Adulto (Prestado a Urgencia Adulto)</v>
      </c>
      <c r="E451" s="50" t="str">
        <f aca="false">IFERROR(VLOOKUP($A451,Equipos!$C$2:$M$967,7,FALSE()),"")</f>
        <v>Zoll </v>
      </c>
      <c r="F451" s="50" t="str">
        <f aca="false">IFERROR(VLOOKUP($A451,Equipos!$C$2:$M$967,8,FALSE()),"")</f>
        <v>R SERIES ALS</v>
      </c>
      <c r="G451" s="50" t="s">
        <v>515</v>
      </c>
      <c r="H451" s="50" t="s">
        <v>360</v>
      </c>
      <c r="I451" s="50"/>
      <c r="J451" s="50" t="s">
        <v>352</v>
      </c>
      <c r="K451" s="50" t="str">
        <f aca="false">IFERROR(VLOOKUP($J451,Catálogos!$M$4:$N$17,2,FALSE()),"")</f>
        <v>Mantención Preventiva Realizada</v>
      </c>
      <c r="L451" s="52" t="n">
        <v>46068</v>
      </c>
      <c r="M451" s="50" t="s">
        <v>353</v>
      </c>
      <c r="N451" s="50" t="s">
        <v>253</v>
      </c>
      <c r="O451" s="50"/>
      <c r="P451" s="50"/>
      <c r="Q451" s="50" t="s">
        <v>362</v>
      </c>
    </row>
    <row r="452" customFormat="false" ht="15" hidden="false" customHeight="true" outlineLevel="0" collapsed="false">
      <c r="A452" s="51" t="s">
        <v>664</v>
      </c>
      <c r="B452" s="50" t="str">
        <f aca="false">IFERROR(VLOOKUP($A452,Equipos!$C$2:$M$967,2,FALSE()),"")</f>
        <v>Incubadora</v>
      </c>
      <c r="C452" s="50" t="str">
        <f aca="false">IFERROR(VLOOKUP($A452,Equipos!$C$2:$M$967,9,FALSE()),"")</f>
        <v>ASJL-0013</v>
      </c>
      <c r="D452" s="50" t="str">
        <f aca="false">IFERROR(VLOOKUP($A452,Equipos!$C$2:$M$967,3,FALSE()),"")</f>
        <v>Neonatología</v>
      </c>
      <c r="E452" s="50" t="str">
        <f aca="false">IFERROR(VLOOKUP($A452,Equipos!$C$2:$M$967,7,FALSE()),"")</f>
        <v>DRAGER</v>
      </c>
      <c r="F452" s="50" t="str">
        <f aca="false">IFERROR(VLOOKUP($A452,Equipos!$C$2:$M$967,8,FALSE()),"")</f>
        <v>CALEO</v>
      </c>
      <c r="G452" s="50" t="s">
        <v>515</v>
      </c>
      <c r="H452" s="50" t="s">
        <v>360</v>
      </c>
      <c r="I452" s="50"/>
      <c r="J452" s="50" t="s">
        <v>352</v>
      </c>
      <c r="K452" s="50" t="str">
        <f aca="false">IFERROR(VLOOKUP($J452,Catálogos!$M$4:$N$17,2,FALSE()),"")</f>
        <v>Mantención Preventiva Realizada</v>
      </c>
      <c r="L452" s="52" t="n">
        <v>46068</v>
      </c>
      <c r="M452" s="50" t="s">
        <v>353</v>
      </c>
      <c r="N452" s="50" t="s">
        <v>253</v>
      </c>
      <c r="O452" s="50"/>
      <c r="P452" s="50"/>
      <c r="Q452" s="50" t="s">
        <v>362</v>
      </c>
    </row>
    <row r="453" customFormat="false" ht="15" hidden="false" customHeight="true" outlineLevel="0" collapsed="false">
      <c r="A453" s="51" t="s">
        <v>665</v>
      </c>
      <c r="B453" s="50" t="str">
        <f aca="false">IFERROR(VLOOKUP($A453,Equipos!$C$2:$M$967,2,FALSE()),"")</f>
        <v>Incubadora</v>
      </c>
      <c r="C453" s="50" t="str">
        <f aca="false">IFERROR(VLOOKUP($A453,Equipos!$C$2:$M$967,9,FALSE()),"")</f>
        <v>ASJL-0006</v>
      </c>
      <c r="D453" s="50" t="str">
        <f aca="false">IFERROR(VLOOKUP($A453,Equipos!$C$2:$M$967,3,FALSE()),"")</f>
        <v>Neonatología</v>
      </c>
      <c r="E453" s="50" t="str">
        <f aca="false">IFERROR(VLOOKUP($A453,Equipos!$C$2:$M$967,7,FALSE()),"")</f>
        <v>DRAGER</v>
      </c>
      <c r="F453" s="50" t="str">
        <f aca="false">IFERROR(VLOOKUP($A453,Equipos!$C$2:$M$967,8,FALSE()),"")</f>
        <v>CALEO</v>
      </c>
      <c r="G453" s="50" t="s">
        <v>515</v>
      </c>
      <c r="H453" s="50" t="s">
        <v>360</v>
      </c>
      <c r="I453" s="50"/>
      <c r="J453" s="50" t="s">
        <v>374</v>
      </c>
      <c r="K453" s="50" t="str">
        <f aca="false">IFERROR(VLOOKUP($J453,Catálogos!$M$4:$N$17,2,FALSE()),"")</f>
        <v>Reprogramada · Ausencia justificada del funcionario SEC superior a 15 días</v>
      </c>
      <c r="L453" s="52" t="n">
        <v>46068</v>
      </c>
      <c r="M453" s="50" t="s">
        <v>353</v>
      </c>
      <c r="N453" s="50" t="s">
        <v>253</v>
      </c>
      <c r="O453" s="50"/>
      <c r="P453" s="50"/>
      <c r="Q453" s="50" t="s">
        <v>362</v>
      </c>
    </row>
    <row r="454" customFormat="false" ht="15" hidden="false" customHeight="true" outlineLevel="0" collapsed="false">
      <c r="A454" s="51" t="s">
        <v>666</v>
      </c>
      <c r="B454" s="50" t="str">
        <f aca="false">IFERROR(VLOOKUP($A454,Equipos!$C$2:$M$967,2,FALSE()),"")</f>
        <v>Incubadora</v>
      </c>
      <c r="C454" s="50" t="str">
        <f aca="false">IFERROR(VLOOKUP($A454,Equipos!$C$2:$M$967,9,FALSE()),"")</f>
        <v>ASJL-0007</v>
      </c>
      <c r="D454" s="50" t="str">
        <f aca="false">IFERROR(VLOOKUP($A454,Equipos!$C$2:$M$967,3,FALSE()),"")</f>
        <v>Neonatología</v>
      </c>
      <c r="E454" s="50" t="str">
        <f aca="false">IFERROR(VLOOKUP($A454,Equipos!$C$2:$M$967,7,FALSE()),"")</f>
        <v>DRAGER</v>
      </c>
      <c r="F454" s="50" t="str">
        <f aca="false">IFERROR(VLOOKUP($A454,Equipos!$C$2:$M$967,8,FALSE()),"")</f>
        <v>CALEO</v>
      </c>
      <c r="G454" s="50" t="s">
        <v>515</v>
      </c>
      <c r="H454" s="50" t="s">
        <v>360</v>
      </c>
      <c r="I454" s="50"/>
      <c r="J454" s="50" t="s">
        <v>352</v>
      </c>
      <c r="K454" s="50" t="str">
        <f aca="false">IFERROR(VLOOKUP($J454,Catálogos!$M$4:$N$17,2,FALSE()),"")</f>
        <v>Mantención Preventiva Realizada</v>
      </c>
      <c r="L454" s="52" t="n">
        <v>46068</v>
      </c>
      <c r="M454" s="50" t="s">
        <v>353</v>
      </c>
      <c r="N454" s="50" t="s">
        <v>253</v>
      </c>
      <c r="O454" s="50"/>
      <c r="P454" s="50"/>
      <c r="Q454" s="50" t="s">
        <v>362</v>
      </c>
    </row>
    <row r="455" customFormat="false" ht="15" hidden="false" customHeight="true" outlineLevel="0" collapsed="false">
      <c r="A455" s="51" t="s">
        <v>667</v>
      </c>
      <c r="B455" s="50" t="str">
        <f aca="false">IFERROR(VLOOKUP($A455,Equipos!$C$2:$M$967,2,FALSE()),"")</f>
        <v>Incubadora</v>
      </c>
      <c r="C455" s="50" t="str">
        <f aca="false">IFERROR(VLOOKUP($A455,Equipos!$C$2:$M$967,9,FALSE()),"")</f>
        <v>ASJL-0015</v>
      </c>
      <c r="D455" s="50" t="str">
        <f aca="false">IFERROR(VLOOKUP($A455,Equipos!$C$2:$M$967,3,FALSE()),"")</f>
        <v>Neonatología</v>
      </c>
      <c r="E455" s="50" t="str">
        <f aca="false">IFERROR(VLOOKUP($A455,Equipos!$C$2:$M$967,7,FALSE()),"")</f>
        <v>DRAGER</v>
      </c>
      <c r="F455" s="50" t="str">
        <f aca="false">IFERROR(VLOOKUP($A455,Equipos!$C$2:$M$967,8,FALSE()),"")</f>
        <v>CALEO</v>
      </c>
      <c r="G455" s="50" t="s">
        <v>515</v>
      </c>
      <c r="H455" s="50" t="s">
        <v>360</v>
      </c>
      <c r="I455" s="50"/>
      <c r="J455" s="50" t="s">
        <v>352</v>
      </c>
      <c r="K455" s="50" t="str">
        <f aca="false">IFERROR(VLOOKUP($J455,Catálogos!$M$4:$N$17,2,FALSE()),"")</f>
        <v>Mantención Preventiva Realizada</v>
      </c>
      <c r="L455" s="52" t="n">
        <v>46068</v>
      </c>
      <c r="M455" s="50" t="s">
        <v>353</v>
      </c>
      <c r="N455" s="50" t="s">
        <v>253</v>
      </c>
      <c r="O455" s="50"/>
      <c r="P455" s="50"/>
      <c r="Q455" s="50" t="s">
        <v>362</v>
      </c>
    </row>
    <row r="456" customFormat="false" ht="15" hidden="false" customHeight="true" outlineLevel="0" collapsed="false">
      <c r="A456" s="51" t="s">
        <v>668</v>
      </c>
      <c r="B456" s="50" t="str">
        <f aca="false">IFERROR(VLOOKUP($A456,Equipos!$C$2:$M$967,2,FALSE()),"")</f>
        <v>Incubadora</v>
      </c>
      <c r="C456" s="50" t="str">
        <f aca="false">IFERROR(VLOOKUP($A456,Equipos!$C$2:$M$967,9,FALSE()),"")</f>
        <v>ASJL-0039</v>
      </c>
      <c r="D456" s="50" t="str">
        <f aca="false">IFERROR(VLOOKUP($A456,Equipos!$C$2:$M$967,3,FALSE()),"")</f>
        <v>Neonatología</v>
      </c>
      <c r="E456" s="50" t="str">
        <f aca="false">IFERROR(VLOOKUP($A456,Equipos!$C$2:$M$967,7,FALSE()),"")</f>
        <v>DRAGER</v>
      </c>
      <c r="F456" s="50" t="str">
        <f aca="false">IFERROR(VLOOKUP($A456,Equipos!$C$2:$M$967,8,FALSE()),"")</f>
        <v>CALEO</v>
      </c>
      <c r="G456" s="50" t="s">
        <v>515</v>
      </c>
      <c r="H456" s="50" t="s">
        <v>360</v>
      </c>
      <c r="I456" s="50"/>
      <c r="J456" s="50" t="s">
        <v>374</v>
      </c>
      <c r="K456" s="50" t="str">
        <f aca="false">IFERROR(VLOOKUP($J456,Catálogos!$M$4:$N$17,2,FALSE()),"")</f>
        <v>Reprogramada · Ausencia justificada del funcionario SEC superior a 15 días</v>
      </c>
      <c r="L456" s="52" t="n">
        <v>46068</v>
      </c>
      <c r="M456" s="50" t="s">
        <v>353</v>
      </c>
      <c r="N456" s="50" t="s">
        <v>253</v>
      </c>
      <c r="O456" s="50"/>
      <c r="P456" s="50"/>
      <c r="Q456" s="50" t="s">
        <v>362</v>
      </c>
    </row>
    <row r="457" customFormat="false" ht="15" hidden="false" customHeight="true" outlineLevel="0" collapsed="false">
      <c r="A457" s="51" t="s">
        <v>669</v>
      </c>
      <c r="B457" s="50" t="str">
        <f aca="false">IFERROR(VLOOKUP($A457,Equipos!$C$2:$M$967,2,FALSE()),"")</f>
        <v>Incubadora</v>
      </c>
      <c r="C457" s="50" t="str">
        <f aca="false">IFERROR(VLOOKUP($A457,Equipos!$C$2:$M$967,9,FALSE()),"")</f>
        <v>ASLB-0015</v>
      </c>
      <c r="D457" s="50" t="str">
        <f aca="false">IFERROR(VLOOKUP($A457,Equipos!$C$2:$M$967,3,FALSE()),"")</f>
        <v>Neonatología</v>
      </c>
      <c r="E457" s="50" t="str">
        <f aca="false">IFERROR(VLOOKUP($A457,Equipos!$C$2:$M$967,7,FALSE()),"")</f>
        <v>DRAGER</v>
      </c>
      <c r="F457" s="50" t="str">
        <f aca="false">IFERROR(VLOOKUP($A457,Equipos!$C$2:$M$967,8,FALSE()),"")</f>
        <v>CALEO</v>
      </c>
      <c r="G457" s="50" t="s">
        <v>515</v>
      </c>
      <c r="H457" s="50" t="s">
        <v>360</v>
      </c>
      <c r="I457" s="50"/>
      <c r="J457" s="50" t="s">
        <v>352</v>
      </c>
      <c r="K457" s="50" t="str">
        <f aca="false">IFERROR(VLOOKUP($J457,Catálogos!$M$4:$N$17,2,FALSE()),"")</f>
        <v>Mantención Preventiva Realizada</v>
      </c>
      <c r="L457" s="52" t="n">
        <v>46068</v>
      </c>
      <c r="M457" s="50" t="s">
        <v>353</v>
      </c>
      <c r="N457" s="50" t="s">
        <v>253</v>
      </c>
      <c r="O457" s="50"/>
      <c r="P457" s="50"/>
      <c r="Q457" s="50" t="s">
        <v>362</v>
      </c>
    </row>
    <row r="458" customFormat="false" ht="15" hidden="false" customHeight="true" outlineLevel="0" collapsed="false">
      <c r="A458" s="51" t="s">
        <v>670</v>
      </c>
      <c r="B458" s="50" t="str">
        <f aca="false">IFERROR(VLOOKUP($A458,Equipos!$C$2:$M$967,2,FALSE()),"")</f>
        <v>Incubadora</v>
      </c>
      <c r="C458" s="50" t="str">
        <f aca="false">IFERROR(VLOOKUP($A458,Equipos!$C$2:$M$967,9,FALSE()),"")</f>
        <v>ASLB-0014</v>
      </c>
      <c r="D458" s="50" t="str">
        <f aca="false">IFERROR(VLOOKUP($A458,Equipos!$C$2:$M$967,3,FALSE()),"")</f>
        <v>Neonatología</v>
      </c>
      <c r="E458" s="50" t="str">
        <f aca="false">IFERROR(VLOOKUP($A458,Equipos!$C$2:$M$967,7,FALSE()),"")</f>
        <v>DRAGER</v>
      </c>
      <c r="F458" s="50" t="str">
        <f aca="false">IFERROR(VLOOKUP($A458,Equipos!$C$2:$M$967,8,FALSE()),"")</f>
        <v>CALEO</v>
      </c>
      <c r="G458" s="50" t="s">
        <v>515</v>
      </c>
      <c r="H458" s="50" t="s">
        <v>360</v>
      </c>
      <c r="I458" s="50"/>
      <c r="J458" s="50" t="s">
        <v>352</v>
      </c>
      <c r="K458" s="50" t="str">
        <f aca="false">IFERROR(VLOOKUP($J458,Catálogos!$M$4:$N$17,2,FALSE()),"")</f>
        <v>Mantención Preventiva Realizada</v>
      </c>
      <c r="L458" s="52" t="n">
        <v>46068</v>
      </c>
      <c r="M458" s="50" t="s">
        <v>353</v>
      </c>
      <c r="N458" s="50" t="s">
        <v>253</v>
      </c>
      <c r="O458" s="50"/>
      <c r="P458" s="50"/>
      <c r="Q458" s="50" t="s">
        <v>362</v>
      </c>
    </row>
    <row r="459" customFormat="false" ht="15" hidden="false" customHeight="true" outlineLevel="0" collapsed="false">
      <c r="A459" s="51" t="s">
        <v>671</v>
      </c>
      <c r="B459" s="50" t="str">
        <f aca="false">IFERROR(VLOOKUP($A459,Equipos!$C$2:$M$967,2,FALSE()),"")</f>
        <v>Incubadora</v>
      </c>
      <c r="C459" s="50" t="str">
        <f aca="false">IFERROR(VLOOKUP($A459,Equipos!$C$2:$M$967,9,FALSE()),"")</f>
        <v>ASLB-0013</v>
      </c>
      <c r="D459" s="50" t="str">
        <f aca="false">IFERROR(VLOOKUP($A459,Equipos!$C$2:$M$967,3,FALSE()),"")</f>
        <v>Neonatología</v>
      </c>
      <c r="E459" s="50" t="str">
        <f aca="false">IFERROR(VLOOKUP($A459,Equipos!$C$2:$M$967,7,FALSE()),"")</f>
        <v>DRAGER</v>
      </c>
      <c r="F459" s="50" t="str">
        <f aca="false">IFERROR(VLOOKUP($A459,Equipos!$C$2:$M$967,8,FALSE()),"")</f>
        <v>CALEO</v>
      </c>
      <c r="G459" s="50" t="s">
        <v>515</v>
      </c>
      <c r="H459" s="50" t="s">
        <v>360</v>
      </c>
      <c r="I459" s="50"/>
      <c r="J459" s="50" t="s">
        <v>352</v>
      </c>
      <c r="K459" s="50" t="str">
        <f aca="false">IFERROR(VLOOKUP($J459,Catálogos!$M$4:$N$17,2,FALSE()),"")</f>
        <v>Mantención Preventiva Realizada</v>
      </c>
      <c r="L459" s="52" t="n">
        <v>46068</v>
      </c>
      <c r="M459" s="50" t="s">
        <v>353</v>
      </c>
      <c r="N459" s="50" t="s">
        <v>253</v>
      </c>
      <c r="O459" s="50"/>
      <c r="P459" s="50"/>
      <c r="Q459" s="50" t="s">
        <v>362</v>
      </c>
    </row>
    <row r="460" customFormat="false" ht="15" hidden="false" customHeight="true" outlineLevel="0" collapsed="false">
      <c r="A460" s="51" t="s">
        <v>672</v>
      </c>
      <c r="B460" s="50" t="str">
        <f aca="false">IFERROR(VLOOKUP($A460,Equipos!$C$2:$M$967,2,FALSE()),"")</f>
        <v>Incubadora</v>
      </c>
      <c r="C460" s="50" t="str">
        <f aca="false">IFERROR(VLOOKUP($A460,Equipos!$C$2:$M$967,9,FALSE()),"")</f>
        <v>ASLB-0012</v>
      </c>
      <c r="D460" s="50" t="str">
        <f aca="false">IFERROR(VLOOKUP($A460,Equipos!$C$2:$M$967,3,FALSE()),"")</f>
        <v>Neonatología</v>
      </c>
      <c r="E460" s="50" t="str">
        <f aca="false">IFERROR(VLOOKUP($A460,Equipos!$C$2:$M$967,7,FALSE()),"")</f>
        <v>DRAGER</v>
      </c>
      <c r="F460" s="50" t="str">
        <f aca="false">IFERROR(VLOOKUP($A460,Equipos!$C$2:$M$967,8,FALSE()),"")</f>
        <v>CALEO</v>
      </c>
      <c r="G460" s="50" t="s">
        <v>515</v>
      </c>
      <c r="H460" s="50" t="s">
        <v>360</v>
      </c>
      <c r="I460" s="50"/>
      <c r="J460" s="50" t="s">
        <v>352</v>
      </c>
      <c r="K460" s="50" t="str">
        <f aca="false">IFERROR(VLOOKUP($J460,Catálogos!$M$4:$N$17,2,FALSE()),"")</f>
        <v>Mantención Preventiva Realizada</v>
      </c>
      <c r="L460" s="52" t="n">
        <v>46068</v>
      </c>
      <c r="M460" s="50" t="s">
        <v>353</v>
      </c>
      <c r="N460" s="50" t="s">
        <v>253</v>
      </c>
      <c r="O460" s="50"/>
      <c r="P460" s="50"/>
      <c r="Q460" s="50" t="s">
        <v>362</v>
      </c>
    </row>
    <row r="461" customFormat="false" ht="15" hidden="false" customHeight="true" outlineLevel="0" collapsed="false">
      <c r="A461" s="51" t="s">
        <v>673</v>
      </c>
      <c r="B461" s="50" t="str">
        <f aca="false">IFERROR(VLOOKUP($A461,Equipos!$C$2:$M$967,2,FALSE()),"")</f>
        <v>Incubadora</v>
      </c>
      <c r="C461" s="50" t="str">
        <f aca="false">IFERROR(VLOOKUP($A461,Equipos!$C$2:$M$967,9,FALSE()),"")</f>
        <v>ASLB-0011</v>
      </c>
      <c r="D461" s="50" t="str">
        <f aca="false">IFERROR(VLOOKUP($A461,Equipos!$C$2:$M$967,3,FALSE()),"")</f>
        <v>Neonatología</v>
      </c>
      <c r="E461" s="50" t="str">
        <f aca="false">IFERROR(VLOOKUP($A461,Equipos!$C$2:$M$967,7,FALSE()),"")</f>
        <v>DRAGER</v>
      </c>
      <c r="F461" s="50" t="str">
        <f aca="false">IFERROR(VLOOKUP($A461,Equipos!$C$2:$M$967,8,FALSE()),"")</f>
        <v>CALEO</v>
      </c>
      <c r="G461" s="50" t="s">
        <v>515</v>
      </c>
      <c r="H461" s="50" t="s">
        <v>360</v>
      </c>
      <c r="I461" s="50"/>
      <c r="J461" s="50" t="s">
        <v>352</v>
      </c>
      <c r="K461" s="50" t="str">
        <f aca="false">IFERROR(VLOOKUP($J461,Catálogos!$M$4:$N$17,2,FALSE()),"")</f>
        <v>Mantención Preventiva Realizada</v>
      </c>
      <c r="L461" s="52" t="n">
        <v>46068</v>
      </c>
      <c r="M461" s="50" t="s">
        <v>353</v>
      </c>
      <c r="N461" s="50" t="s">
        <v>253</v>
      </c>
      <c r="O461" s="50"/>
      <c r="P461" s="50"/>
      <c r="Q461" s="50" t="s">
        <v>362</v>
      </c>
    </row>
    <row r="462" customFormat="false" ht="15" hidden="false" customHeight="true" outlineLevel="0" collapsed="false">
      <c r="A462" s="51" t="s">
        <v>674</v>
      </c>
      <c r="B462" s="50" t="str">
        <f aca="false">IFERROR(VLOOKUP($A462,Equipos!$C$2:$M$967,2,FALSE()),"")</f>
        <v>Incubadora</v>
      </c>
      <c r="C462" s="50" t="str">
        <f aca="false">IFERROR(VLOOKUP($A462,Equipos!$C$2:$M$967,9,FALSE()),"")</f>
        <v>KM10530</v>
      </c>
      <c r="D462" s="50" t="str">
        <f aca="false">IFERROR(VLOOKUP($A462,Equipos!$C$2:$M$967,3,FALSE()),"")</f>
        <v>Neonatología</v>
      </c>
      <c r="E462" s="50" t="str">
        <f aca="false">IFERROR(VLOOKUP($A462,Equipos!$C$2:$M$967,7,FALSE()),"")</f>
        <v>DRAGER</v>
      </c>
      <c r="F462" s="50" t="str">
        <f aca="false">IFERROR(VLOOKUP($A462,Equipos!$C$2:$M$967,8,FALSE()),"")</f>
        <v>TI500</v>
      </c>
      <c r="G462" s="50" t="s">
        <v>515</v>
      </c>
      <c r="H462" s="50" t="s">
        <v>360</v>
      </c>
      <c r="I462" s="50"/>
      <c r="J462" s="50" t="s">
        <v>352</v>
      </c>
      <c r="K462" s="50" t="str">
        <f aca="false">IFERROR(VLOOKUP($J462,Catálogos!$M$4:$N$17,2,FALSE()),"")</f>
        <v>Mantención Preventiva Realizada</v>
      </c>
      <c r="L462" s="52" t="n">
        <v>46068</v>
      </c>
      <c r="M462" s="50" t="s">
        <v>353</v>
      </c>
      <c r="N462" s="50" t="s">
        <v>253</v>
      </c>
      <c r="O462" s="50"/>
      <c r="P462" s="50"/>
      <c r="Q462" s="50" t="s">
        <v>362</v>
      </c>
    </row>
    <row r="463" customFormat="false" ht="15" hidden="false" customHeight="true" outlineLevel="0" collapsed="false">
      <c r="A463" s="51" t="s">
        <v>675</v>
      </c>
      <c r="B463" s="50" t="str">
        <f aca="false">IFERROR(VLOOKUP($A463,Equipos!$C$2:$M$967,2,FALSE()),"")</f>
        <v>Incubadora</v>
      </c>
      <c r="C463" s="50" t="str">
        <f aca="false">IFERROR(VLOOKUP($A463,Equipos!$C$2:$M$967,9,FALSE()),"")</f>
        <v>ASLB-0010</v>
      </c>
      <c r="D463" s="50" t="str">
        <f aca="false">IFERROR(VLOOKUP($A463,Equipos!$C$2:$M$967,3,FALSE()),"")</f>
        <v>Neonatología</v>
      </c>
      <c r="E463" s="50" t="str">
        <f aca="false">IFERROR(VLOOKUP($A463,Equipos!$C$2:$M$967,7,FALSE()),"")</f>
        <v>DRAGER</v>
      </c>
      <c r="F463" s="50" t="str">
        <f aca="false">IFERROR(VLOOKUP($A463,Equipos!$C$2:$M$967,8,FALSE()),"")</f>
        <v>CALEO</v>
      </c>
      <c r="G463" s="50" t="s">
        <v>515</v>
      </c>
      <c r="H463" s="50" t="s">
        <v>360</v>
      </c>
      <c r="I463" s="50"/>
      <c r="J463" s="50" t="s">
        <v>374</v>
      </c>
      <c r="K463" s="50" t="str">
        <f aca="false">IFERROR(VLOOKUP($J463,Catálogos!$M$4:$N$17,2,FALSE()),"")</f>
        <v>Reprogramada · Ausencia justificada del funcionario SEC superior a 15 días</v>
      </c>
      <c r="L463" s="52" t="n">
        <v>46068</v>
      </c>
      <c r="M463" s="50" t="s">
        <v>353</v>
      </c>
      <c r="N463" s="50" t="s">
        <v>253</v>
      </c>
      <c r="O463" s="50"/>
      <c r="P463" s="50"/>
      <c r="Q463" s="50" t="s">
        <v>362</v>
      </c>
    </row>
    <row r="464" customFormat="false" ht="15" hidden="false" customHeight="true" outlineLevel="0" collapsed="false">
      <c r="A464" s="51" t="s">
        <v>676</v>
      </c>
      <c r="B464" s="50" t="str">
        <f aca="false">IFERROR(VLOOKUP($A464,Equipos!$C$2:$M$967,2,FALSE()),"")</f>
        <v>Incubadora</v>
      </c>
      <c r="C464" s="50" t="str">
        <f aca="false">IFERROR(VLOOKUP($A464,Equipos!$C$2:$M$967,9,FALSE()),"")</f>
        <v>ASDA-0011</v>
      </c>
      <c r="D464" s="50" t="str">
        <f aca="false">IFERROR(VLOOKUP($A464,Equipos!$C$2:$M$967,3,FALSE()),"")</f>
        <v>Neonatología</v>
      </c>
      <c r="E464" s="50" t="str">
        <f aca="false">IFERROR(VLOOKUP($A464,Equipos!$C$2:$M$967,7,FALSE()),"")</f>
        <v>DRAGER</v>
      </c>
      <c r="F464" s="50" t="str">
        <f aca="false">IFERROR(VLOOKUP($A464,Equipos!$C$2:$M$967,8,FALSE()),"")</f>
        <v>CALEO</v>
      </c>
      <c r="G464" s="50" t="s">
        <v>515</v>
      </c>
      <c r="H464" s="50" t="s">
        <v>360</v>
      </c>
      <c r="I464" s="50"/>
      <c r="J464" s="50" t="s">
        <v>352</v>
      </c>
      <c r="K464" s="50" t="str">
        <f aca="false">IFERROR(VLOOKUP($J464,Catálogos!$M$4:$N$17,2,FALSE()),"")</f>
        <v>Mantención Preventiva Realizada</v>
      </c>
      <c r="L464" s="52" t="n">
        <v>46068</v>
      </c>
      <c r="M464" s="50" t="s">
        <v>353</v>
      </c>
      <c r="N464" s="50" t="s">
        <v>253</v>
      </c>
      <c r="O464" s="50"/>
      <c r="P464" s="50"/>
      <c r="Q464" s="50" t="s">
        <v>362</v>
      </c>
    </row>
    <row r="465" customFormat="false" ht="15" hidden="false" customHeight="true" outlineLevel="0" collapsed="false">
      <c r="A465" s="51" t="s">
        <v>677</v>
      </c>
      <c r="B465" s="50" t="str">
        <f aca="false">IFERROR(VLOOKUP($A465,Equipos!$C$2:$M$967,2,FALSE()),"")</f>
        <v>Incubadora</v>
      </c>
      <c r="C465" s="50" t="str">
        <f aca="false">IFERROR(VLOOKUP($A465,Equipos!$C$2:$M$967,9,FALSE()),"")</f>
        <v>ASDA-0010</v>
      </c>
      <c r="D465" s="50" t="str">
        <f aca="false">IFERROR(VLOOKUP($A465,Equipos!$C$2:$M$967,3,FALSE()),"")</f>
        <v>Neonatología</v>
      </c>
      <c r="E465" s="50" t="str">
        <f aca="false">IFERROR(VLOOKUP($A465,Equipos!$C$2:$M$967,7,FALSE()),"")</f>
        <v>DRAGER</v>
      </c>
      <c r="F465" s="50" t="str">
        <f aca="false">IFERROR(VLOOKUP($A465,Equipos!$C$2:$M$967,8,FALSE()),"")</f>
        <v>CALEO</v>
      </c>
      <c r="G465" s="50" t="s">
        <v>515</v>
      </c>
      <c r="H465" s="50" t="s">
        <v>360</v>
      </c>
      <c r="I465" s="50"/>
      <c r="J465" s="50" t="s">
        <v>352</v>
      </c>
      <c r="K465" s="50" t="str">
        <f aca="false">IFERROR(VLOOKUP($J465,Catálogos!$M$4:$N$17,2,FALSE()),"")</f>
        <v>Mantención Preventiva Realizada</v>
      </c>
      <c r="L465" s="52" t="n">
        <v>46068</v>
      </c>
      <c r="M465" s="50" t="s">
        <v>353</v>
      </c>
      <c r="N465" s="50" t="s">
        <v>253</v>
      </c>
      <c r="O465" s="50"/>
      <c r="P465" s="50"/>
      <c r="Q465" s="50" t="s">
        <v>362</v>
      </c>
    </row>
    <row r="466" customFormat="false" ht="15" hidden="false" customHeight="true" outlineLevel="0" collapsed="false">
      <c r="A466" s="51" t="s">
        <v>678</v>
      </c>
      <c r="B466" s="50" t="str">
        <f aca="false">IFERROR(VLOOKUP($A466,Equipos!$C$2:$M$967,2,FALSE()),"")</f>
        <v>Incubadora</v>
      </c>
      <c r="C466" s="50" t="str">
        <f aca="false">IFERROR(VLOOKUP($A466,Equipos!$C$2:$M$967,9,FALSE()),"")</f>
        <v>ASDA-0009</v>
      </c>
      <c r="D466" s="50" t="str">
        <f aca="false">IFERROR(VLOOKUP($A466,Equipos!$C$2:$M$967,3,FALSE()),"")</f>
        <v>Neonatología</v>
      </c>
      <c r="E466" s="50" t="str">
        <f aca="false">IFERROR(VLOOKUP($A466,Equipos!$C$2:$M$967,7,FALSE()),"")</f>
        <v>DRAGER</v>
      </c>
      <c r="F466" s="50" t="str">
        <f aca="false">IFERROR(VLOOKUP($A466,Equipos!$C$2:$M$967,8,FALSE()),"")</f>
        <v>CALEO</v>
      </c>
      <c r="G466" s="50" t="s">
        <v>515</v>
      </c>
      <c r="H466" s="50" t="s">
        <v>360</v>
      </c>
      <c r="I466" s="50"/>
      <c r="J466" s="50" t="s">
        <v>352</v>
      </c>
      <c r="K466" s="50" t="str">
        <f aca="false">IFERROR(VLOOKUP($J466,Catálogos!$M$4:$N$17,2,FALSE()),"")</f>
        <v>Mantención Preventiva Realizada</v>
      </c>
      <c r="L466" s="52" t="n">
        <v>46068</v>
      </c>
      <c r="M466" s="50" t="s">
        <v>353</v>
      </c>
      <c r="N466" s="50" t="s">
        <v>253</v>
      </c>
      <c r="O466" s="50"/>
      <c r="P466" s="50"/>
      <c r="Q466" s="50" t="s">
        <v>362</v>
      </c>
    </row>
    <row r="467" customFormat="false" ht="15" hidden="false" customHeight="true" outlineLevel="0" collapsed="false">
      <c r="A467" s="51" t="s">
        <v>679</v>
      </c>
      <c r="B467" s="50" t="str">
        <f aca="false">IFERROR(VLOOKUP($A467,Equipos!$C$2:$M$967,2,FALSE()),"")</f>
        <v>Incubadora</v>
      </c>
      <c r="C467" s="50" t="str">
        <f aca="false">IFERROR(VLOOKUP($A467,Equipos!$C$2:$M$967,9,FALSE()),"")</f>
        <v>ASDA-0012</v>
      </c>
      <c r="D467" s="50" t="str">
        <f aca="false">IFERROR(VLOOKUP($A467,Equipos!$C$2:$M$967,3,FALSE()),"")</f>
        <v>Neonatología</v>
      </c>
      <c r="E467" s="50" t="str">
        <f aca="false">IFERROR(VLOOKUP($A467,Equipos!$C$2:$M$967,7,FALSE()),"")</f>
        <v>DRAGER</v>
      </c>
      <c r="F467" s="50" t="str">
        <f aca="false">IFERROR(VLOOKUP($A467,Equipos!$C$2:$M$967,8,FALSE()),"")</f>
        <v>CALEO</v>
      </c>
      <c r="G467" s="50" t="s">
        <v>515</v>
      </c>
      <c r="H467" s="50" t="s">
        <v>360</v>
      </c>
      <c r="I467" s="50"/>
      <c r="J467" s="50" t="s">
        <v>352</v>
      </c>
      <c r="K467" s="50" t="str">
        <f aca="false">IFERROR(VLOOKUP($J467,Catálogos!$M$4:$N$17,2,FALSE()),"")</f>
        <v>Mantención Preventiva Realizada</v>
      </c>
      <c r="L467" s="52" t="n">
        <v>46068</v>
      </c>
      <c r="M467" s="50" t="s">
        <v>353</v>
      </c>
      <c r="N467" s="50" t="s">
        <v>253</v>
      </c>
      <c r="O467" s="50"/>
      <c r="P467" s="50"/>
      <c r="Q467" s="50" t="s">
        <v>362</v>
      </c>
    </row>
    <row r="468" customFormat="false" ht="15" hidden="false" customHeight="true" outlineLevel="0" collapsed="false">
      <c r="A468" s="51" t="s">
        <v>680</v>
      </c>
      <c r="B468" s="50" t="str">
        <f aca="false">IFERROR(VLOOKUP($A468,Equipos!$C$2:$M$967,2,FALSE()),"")</f>
        <v>Incubadora</v>
      </c>
      <c r="C468" s="50" t="str">
        <f aca="false">IFERROR(VLOOKUP($A468,Equipos!$C$2:$M$967,9,FALSE()),"")</f>
        <v>ASLB-0009</v>
      </c>
      <c r="D468" s="50" t="str">
        <f aca="false">IFERROR(VLOOKUP($A468,Equipos!$C$2:$M$967,3,FALSE()),"")</f>
        <v>Neonatología</v>
      </c>
      <c r="E468" s="50" t="str">
        <f aca="false">IFERROR(VLOOKUP($A468,Equipos!$C$2:$M$967,7,FALSE()),"")</f>
        <v>DRAGER</v>
      </c>
      <c r="F468" s="50" t="str">
        <f aca="false">IFERROR(VLOOKUP($A468,Equipos!$C$2:$M$967,8,FALSE()),"")</f>
        <v>CALEO</v>
      </c>
      <c r="G468" s="50" t="s">
        <v>515</v>
      </c>
      <c r="H468" s="50" t="s">
        <v>360</v>
      </c>
      <c r="I468" s="50"/>
      <c r="J468" s="50" t="s">
        <v>352</v>
      </c>
      <c r="K468" s="50" t="str">
        <f aca="false">IFERROR(VLOOKUP($J468,Catálogos!$M$4:$N$17,2,FALSE()),"")</f>
        <v>Mantención Preventiva Realizada</v>
      </c>
      <c r="L468" s="52" t="n">
        <v>46068</v>
      </c>
      <c r="M468" s="50" t="s">
        <v>353</v>
      </c>
      <c r="N468" s="50" t="s">
        <v>253</v>
      </c>
      <c r="O468" s="50"/>
      <c r="P468" s="50"/>
      <c r="Q468" s="50" t="s">
        <v>362</v>
      </c>
    </row>
    <row r="469" customFormat="false" ht="15" hidden="false" customHeight="true" outlineLevel="0" collapsed="false">
      <c r="A469" s="51" t="s">
        <v>681</v>
      </c>
      <c r="B469" s="50" t="str">
        <f aca="false">IFERROR(VLOOKUP($A469,Equipos!$C$2:$M$967,2,FALSE()),"")</f>
        <v>Incubadora</v>
      </c>
      <c r="C469" s="50" t="str">
        <f aca="false">IFERROR(VLOOKUP($A469,Equipos!$C$2:$M$967,9,FALSE()),"")</f>
        <v>621012300012</v>
      </c>
      <c r="D469" s="50" t="str">
        <f aca="false">IFERROR(VLOOKUP($A469,Equipos!$C$2:$M$967,3,FALSE()),"")</f>
        <v>SAMU</v>
      </c>
      <c r="E469" s="50" t="str">
        <f aca="false">IFERROR(VLOOKUP($A469,Equipos!$C$2:$M$967,7,FALSE()),"")</f>
        <v>ATOM</v>
      </c>
      <c r="F469" s="50" t="str">
        <f aca="false">IFERROR(VLOOKUP($A469,Equipos!$C$2:$M$967,8,FALSE()),"")</f>
        <v>INCU ARCH</v>
      </c>
      <c r="G469" s="50" t="s">
        <v>515</v>
      </c>
      <c r="H469" s="50" t="s">
        <v>360</v>
      </c>
      <c r="I469" s="50"/>
      <c r="J469" s="50" t="s">
        <v>352</v>
      </c>
      <c r="K469" s="50" t="str">
        <f aca="false">IFERROR(VLOOKUP($J469,Catálogos!$M$4:$N$17,2,FALSE()),"")</f>
        <v>Mantención Preventiva Realizada</v>
      </c>
      <c r="L469" s="52" t="n">
        <v>46068</v>
      </c>
      <c r="M469" s="50" t="s">
        <v>353</v>
      </c>
      <c r="N469" s="50" t="s">
        <v>253</v>
      </c>
      <c r="O469" s="50"/>
      <c r="P469" s="50"/>
      <c r="Q469" s="50" t="s">
        <v>362</v>
      </c>
    </row>
    <row r="470" customFormat="false" ht="15" hidden="false" customHeight="true" outlineLevel="0" collapsed="false">
      <c r="A470" s="51" t="s">
        <v>682</v>
      </c>
      <c r="B470" s="50" t="str">
        <f aca="false">IFERROR(VLOOKUP($A470,Equipos!$C$2:$M$967,2,FALSE()),"")</f>
        <v>Incubadora</v>
      </c>
      <c r="C470" s="50" t="str">
        <f aca="false">IFERROR(VLOOKUP($A470,Equipos!$C$2:$M$967,9,FALSE()),"")</f>
        <v>TABX62310</v>
      </c>
      <c r="D470" s="50" t="str">
        <f aca="false">IFERROR(VLOOKUP($A470,Equipos!$C$2:$M$967,3,FALSE()),"")</f>
        <v>Neonatología</v>
      </c>
      <c r="E470" s="50" t="str">
        <f aca="false">IFERROR(VLOOKUP($A470,Equipos!$C$2:$M$967,7,FALSE()),"")</f>
        <v>GENERAL ELECTRIC</v>
      </c>
      <c r="F470" s="50" t="str">
        <f aca="false">IFERROR(VLOOKUP($A470,Equipos!$C$2:$M$967,8,FALSE()),"")</f>
        <v>GIRAFFE OMNIBED CARESTATION</v>
      </c>
      <c r="G470" s="50" t="s">
        <v>515</v>
      </c>
      <c r="H470" s="50" t="s">
        <v>360</v>
      </c>
      <c r="I470" s="50"/>
      <c r="J470" s="50" t="s">
        <v>352</v>
      </c>
      <c r="K470" s="50" t="str">
        <f aca="false">IFERROR(VLOOKUP($J470,Catálogos!$M$4:$N$17,2,FALSE()),"")</f>
        <v>Mantención Preventiva Realizada</v>
      </c>
      <c r="L470" s="52" t="n">
        <v>46068</v>
      </c>
      <c r="M470" s="50" t="s">
        <v>353</v>
      </c>
      <c r="N470" s="50" t="s">
        <v>253</v>
      </c>
      <c r="O470" s="50"/>
      <c r="P470" s="50"/>
      <c r="Q470" s="50" t="s">
        <v>362</v>
      </c>
    </row>
    <row r="471" customFormat="false" ht="15" hidden="false" customHeight="true" outlineLevel="0" collapsed="false">
      <c r="A471" s="51" t="s">
        <v>683</v>
      </c>
      <c r="B471" s="50" t="str">
        <f aca="false">IFERROR(VLOOKUP($A471,Equipos!$C$2:$M$967,2,FALSE()),"")</f>
        <v>Incubadora</v>
      </c>
      <c r="C471" s="50" t="str">
        <f aca="false">IFERROR(VLOOKUP($A471,Equipos!$C$2:$M$967,9,FALSE()),"")</f>
        <v>ASLB-0016</v>
      </c>
      <c r="D471" s="50" t="str">
        <f aca="false">IFERROR(VLOOKUP($A471,Equipos!$C$2:$M$967,3,FALSE()),"")</f>
        <v>Neonatología</v>
      </c>
      <c r="E471" s="50" t="str">
        <f aca="false">IFERROR(VLOOKUP($A471,Equipos!$C$2:$M$967,7,FALSE()),"")</f>
        <v>DRAGER</v>
      </c>
      <c r="F471" s="50" t="str">
        <f aca="false">IFERROR(VLOOKUP($A471,Equipos!$C$2:$M$967,8,FALSE()),"")</f>
        <v>CALEO</v>
      </c>
      <c r="G471" s="50" t="s">
        <v>515</v>
      </c>
      <c r="H471" s="50" t="s">
        <v>360</v>
      </c>
      <c r="I471" s="50"/>
      <c r="J471" s="50" t="s">
        <v>352</v>
      </c>
      <c r="K471" s="50" t="str">
        <f aca="false">IFERROR(VLOOKUP($J471,Catálogos!$M$4:$N$17,2,FALSE()),"")</f>
        <v>Mantención Preventiva Realizada</v>
      </c>
      <c r="L471" s="52" t="n">
        <v>46068</v>
      </c>
      <c r="M471" s="50" t="s">
        <v>353</v>
      </c>
      <c r="N471" s="50" t="s">
        <v>253</v>
      </c>
      <c r="O471" s="50"/>
      <c r="P471" s="50"/>
      <c r="Q471" s="50" t="s">
        <v>362</v>
      </c>
    </row>
    <row r="472" customFormat="false" ht="15" hidden="false" customHeight="true" outlineLevel="0" collapsed="false">
      <c r="A472" s="51" t="s">
        <v>684</v>
      </c>
      <c r="B472" s="50" t="str">
        <f aca="false">IFERROR(VLOOKUP($A472,Equipos!$C$2:$M$967,2,FALSE()),"")</f>
        <v>Incubadora</v>
      </c>
      <c r="C472" s="50" t="str">
        <f aca="false">IFERROR(VLOOKUP($A472,Equipos!$C$2:$M$967,9,FALSE()),"")</f>
        <v>VD03887</v>
      </c>
      <c r="D472" s="50" t="str">
        <f aca="false">IFERROR(VLOOKUP($A472,Equipos!$C$2:$M$967,3,FALSE()),"")</f>
        <v>Neonatología</v>
      </c>
      <c r="E472" s="50" t="str">
        <f aca="false">IFERROR(VLOOKUP($A472,Equipos!$C$2:$M$967,7,FALSE()),"")</f>
        <v>HILL-ROM</v>
      </c>
      <c r="F472" s="50" t="str">
        <f aca="false">IFERROR(VLOOKUP($A472,Equipos!$C$2:$M$967,8,FALSE()),"")</f>
        <v>TI500</v>
      </c>
      <c r="G472" s="50" t="s">
        <v>515</v>
      </c>
      <c r="H472" s="50" t="s">
        <v>360</v>
      </c>
      <c r="I472" s="50"/>
      <c r="J472" s="50" t="s">
        <v>352</v>
      </c>
      <c r="K472" s="50" t="str">
        <f aca="false">IFERROR(VLOOKUP($J472,Catálogos!$M$4:$N$17,2,FALSE()),"")</f>
        <v>Mantención Preventiva Realizada</v>
      </c>
      <c r="L472" s="52" t="n">
        <v>46068</v>
      </c>
      <c r="M472" s="50" t="s">
        <v>353</v>
      </c>
      <c r="N472" s="50" t="s">
        <v>253</v>
      </c>
      <c r="O472" s="50"/>
      <c r="P472" s="50"/>
      <c r="Q472" s="50" t="s">
        <v>362</v>
      </c>
    </row>
    <row r="473" customFormat="false" ht="15" hidden="false" customHeight="true" outlineLevel="0" collapsed="false">
      <c r="A473" s="51" t="s">
        <v>685</v>
      </c>
      <c r="B473" s="50" t="str">
        <f aca="false">IFERROR(VLOOKUP($A473,Equipos!$C$2:$M$967,2,FALSE()),"")</f>
        <v>Incubadora</v>
      </c>
      <c r="C473" s="50" t="str">
        <f aca="false">IFERROR(VLOOKUP($A473,Equipos!$C$2:$M$967,9,FALSE()),"")</f>
        <v>TABX62309</v>
      </c>
      <c r="D473" s="50" t="str">
        <f aca="false">IFERROR(VLOOKUP($A473,Equipos!$C$2:$M$967,3,FALSE()),"")</f>
        <v>Neonatología</v>
      </c>
      <c r="E473" s="50" t="str">
        <f aca="false">IFERROR(VLOOKUP($A473,Equipos!$C$2:$M$967,7,FALSE()),"")</f>
        <v>GENERAL ELECTRIC</v>
      </c>
      <c r="F473" s="50" t="str">
        <f aca="false">IFERROR(VLOOKUP($A473,Equipos!$C$2:$M$967,8,FALSE()),"")</f>
        <v>GIRAFFE OMNIBED CARESTATION</v>
      </c>
      <c r="G473" s="50" t="s">
        <v>515</v>
      </c>
      <c r="H473" s="50" t="s">
        <v>360</v>
      </c>
      <c r="I473" s="50"/>
      <c r="J473" s="50" t="s">
        <v>352</v>
      </c>
      <c r="K473" s="50" t="str">
        <f aca="false">IFERROR(VLOOKUP($J473,Catálogos!$M$4:$N$17,2,FALSE()),"")</f>
        <v>Mantención Preventiva Realizada</v>
      </c>
      <c r="L473" s="52" t="n">
        <v>46068</v>
      </c>
      <c r="M473" s="50" t="s">
        <v>353</v>
      </c>
      <c r="N473" s="50" t="s">
        <v>253</v>
      </c>
      <c r="O473" s="50"/>
      <c r="P473" s="50"/>
      <c r="Q473" s="50" t="s">
        <v>362</v>
      </c>
    </row>
    <row r="474" customFormat="false" ht="15" hidden="false" customHeight="true" outlineLevel="0" collapsed="false">
      <c r="A474" s="51" t="s">
        <v>686</v>
      </c>
      <c r="B474" s="50" t="str">
        <f aca="false">IFERROR(VLOOKUP($A474,Equipos!$C$2:$M$967,2,FALSE()),"")</f>
        <v>Incubadora</v>
      </c>
      <c r="C474" s="50" t="str">
        <f aca="false">IFERROR(VLOOKUP($A474,Equipos!$C$2:$M$967,9,FALSE()),"")</f>
        <v>ASHM-0118</v>
      </c>
      <c r="D474" s="50" t="str">
        <f aca="false">IFERROR(VLOOKUP($A474,Equipos!$C$2:$M$967,3,FALSE()),"")</f>
        <v>Neonatología</v>
      </c>
      <c r="E474" s="50" t="str">
        <f aca="false">IFERROR(VLOOKUP($A474,Equipos!$C$2:$M$967,7,FALSE()),"")</f>
        <v>DRAGER</v>
      </c>
      <c r="F474" s="50" t="str">
        <f aca="false">IFERROR(VLOOKUP($A474,Equipos!$C$2:$M$967,8,FALSE()),"")</f>
        <v>CALEO</v>
      </c>
      <c r="G474" s="50" t="s">
        <v>515</v>
      </c>
      <c r="H474" s="50" t="s">
        <v>360</v>
      </c>
      <c r="I474" s="50"/>
      <c r="J474" s="50" t="s">
        <v>352</v>
      </c>
      <c r="K474" s="50" t="str">
        <f aca="false">IFERROR(VLOOKUP($J474,Catálogos!$M$4:$N$17,2,FALSE()),"")</f>
        <v>Mantención Preventiva Realizada</v>
      </c>
      <c r="L474" s="52" t="n">
        <v>46068</v>
      </c>
      <c r="M474" s="50" t="s">
        <v>353</v>
      </c>
      <c r="N474" s="50" t="s">
        <v>253</v>
      </c>
      <c r="O474" s="50"/>
      <c r="P474" s="50"/>
      <c r="Q474" s="50" t="s">
        <v>362</v>
      </c>
    </row>
    <row r="475" customFormat="false" ht="15" hidden="false" customHeight="true" outlineLevel="0" collapsed="false">
      <c r="A475" s="51" t="s">
        <v>687</v>
      </c>
      <c r="B475" s="50" t="str">
        <f aca="false">IFERROR(VLOOKUP($A475,Equipos!$C$2:$M$967,2,FALSE()),"")</f>
        <v>Incubadora</v>
      </c>
      <c r="C475" s="50" t="str">
        <f aca="false">IFERROR(VLOOKUP($A475,Equipos!$C$2:$M$967,9,FALSE()),"")</f>
        <v>TABX62308</v>
      </c>
      <c r="D475" s="50" t="str">
        <f aca="false">IFERROR(VLOOKUP($A475,Equipos!$C$2:$M$967,3,FALSE()),"")</f>
        <v>Neonatología</v>
      </c>
      <c r="E475" s="50" t="str">
        <f aca="false">IFERROR(VLOOKUP($A475,Equipos!$C$2:$M$967,7,FALSE()),"")</f>
        <v>GENERAL ELECTRIC</v>
      </c>
      <c r="F475" s="50" t="str">
        <f aca="false">IFERROR(VLOOKUP($A475,Equipos!$C$2:$M$967,8,FALSE()),"")</f>
        <v>GIRAFFE OMNIBED CARESTATION</v>
      </c>
      <c r="G475" s="50" t="s">
        <v>515</v>
      </c>
      <c r="H475" s="50" t="s">
        <v>360</v>
      </c>
      <c r="I475" s="50"/>
      <c r="J475" s="50" t="s">
        <v>352</v>
      </c>
      <c r="K475" s="50" t="str">
        <f aca="false">IFERROR(VLOOKUP($J475,Catálogos!$M$4:$N$17,2,FALSE()),"")</f>
        <v>Mantención Preventiva Realizada</v>
      </c>
      <c r="L475" s="52" t="n">
        <v>46068</v>
      </c>
      <c r="M475" s="50" t="s">
        <v>353</v>
      </c>
      <c r="N475" s="50" t="s">
        <v>253</v>
      </c>
      <c r="O475" s="50"/>
      <c r="P475" s="50"/>
      <c r="Q475" s="50" t="s">
        <v>362</v>
      </c>
    </row>
    <row r="476" customFormat="false" ht="15" hidden="false" customHeight="true" outlineLevel="0" collapsed="false">
      <c r="A476" s="51" t="s">
        <v>688</v>
      </c>
      <c r="B476" s="50" t="str">
        <f aca="false">IFERROR(VLOOKUP($A476,Equipos!$C$2:$M$967,2,FALSE()),"")</f>
        <v>Incubadora</v>
      </c>
      <c r="C476" s="50" t="str">
        <f aca="false">IFERROR(VLOOKUP($A476,Equipos!$C$2:$M$967,9,FALSE()),"")</f>
        <v>TABX62307</v>
      </c>
      <c r="D476" s="50" t="str">
        <f aca="false">IFERROR(VLOOKUP($A476,Equipos!$C$2:$M$967,3,FALSE()),"")</f>
        <v>Neonatología</v>
      </c>
      <c r="E476" s="50" t="str">
        <f aca="false">IFERROR(VLOOKUP($A476,Equipos!$C$2:$M$967,7,FALSE()),"")</f>
        <v>GENERAL ELECTRIC</v>
      </c>
      <c r="F476" s="50" t="str">
        <f aca="false">IFERROR(VLOOKUP($A476,Equipos!$C$2:$M$967,8,FALSE()),"")</f>
        <v>GIRAFFE OMNIBED CARESTATION</v>
      </c>
      <c r="G476" s="50" t="s">
        <v>515</v>
      </c>
      <c r="H476" s="50" t="s">
        <v>360</v>
      </c>
      <c r="I476" s="50"/>
      <c r="J476" s="50" t="s">
        <v>352</v>
      </c>
      <c r="K476" s="50" t="str">
        <f aca="false">IFERROR(VLOOKUP($J476,Catálogos!$M$4:$N$17,2,FALSE()),"")</f>
        <v>Mantención Preventiva Realizada</v>
      </c>
      <c r="L476" s="52" t="n">
        <v>46068</v>
      </c>
      <c r="M476" s="50" t="s">
        <v>353</v>
      </c>
      <c r="N476" s="50" t="s">
        <v>253</v>
      </c>
      <c r="O476" s="50"/>
      <c r="P476" s="50"/>
      <c r="Q476" s="50" t="s">
        <v>362</v>
      </c>
    </row>
    <row r="477" customFormat="false" ht="15" hidden="false" customHeight="true" outlineLevel="0" collapsed="false">
      <c r="A477" s="51" t="s">
        <v>689</v>
      </c>
      <c r="B477" s="50" t="str">
        <f aca="false">IFERROR(VLOOKUP($A477,Equipos!$C$2:$M$967,2,FALSE()),"")</f>
        <v>Incubadora</v>
      </c>
      <c r="C477" s="50" t="str">
        <f aca="false">IFERROR(VLOOKUP($A477,Equipos!$C$2:$M$967,9,FALSE()),"")</f>
        <v>ASJL-0008</v>
      </c>
      <c r="D477" s="50" t="str">
        <f aca="false">IFERROR(VLOOKUP($A477,Equipos!$C$2:$M$967,3,FALSE()),"")</f>
        <v>Neonatología</v>
      </c>
      <c r="E477" s="50" t="str">
        <f aca="false">IFERROR(VLOOKUP($A477,Equipos!$C$2:$M$967,7,FALSE()),"")</f>
        <v>DRAGER</v>
      </c>
      <c r="F477" s="50" t="str">
        <f aca="false">IFERROR(VLOOKUP($A477,Equipos!$C$2:$M$967,8,FALSE()),"")</f>
        <v>CALEO</v>
      </c>
      <c r="G477" s="50" t="s">
        <v>515</v>
      </c>
      <c r="H477" s="50" t="s">
        <v>360</v>
      </c>
      <c r="I477" s="50"/>
      <c r="J477" s="50" t="s">
        <v>352</v>
      </c>
      <c r="K477" s="50" t="str">
        <f aca="false">IFERROR(VLOOKUP($J477,Catálogos!$M$4:$N$17,2,FALSE()),"")</f>
        <v>Mantención Preventiva Realizada</v>
      </c>
      <c r="L477" s="52" t="n">
        <v>46068</v>
      </c>
      <c r="M477" s="50" t="s">
        <v>353</v>
      </c>
      <c r="N477" s="50" t="s">
        <v>253</v>
      </c>
      <c r="O477" s="50"/>
      <c r="P477" s="50"/>
      <c r="Q477" s="50" t="s">
        <v>362</v>
      </c>
    </row>
    <row r="478" customFormat="false" ht="15" hidden="false" customHeight="true" outlineLevel="0" collapsed="false">
      <c r="A478" s="51" t="s">
        <v>690</v>
      </c>
      <c r="B478" s="50" t="str">
        <f aca="false">IFERROR(VLOOKUP($A478,Equipos!$C$2:$M$967,2,FALSE()),"")</f>
        <v>Monitor Multiparámetros</v>
      </c>
      <c r="C478" s="50" t="str">
        <f aca="false">IFERROR(VLOOKUP($A478,Equipos!$C$2:$M$967,9,FALSE()),"")</f>
        <v>US74915951</v>
      </c>
      <c r="D478" s="50" t="str">
        <f aca="false">IFERROR(VLOOKUP($A478,Equipos!$C$2:$M$967,3,FALSE()),"")</f>
        <v>Psiquiatría</v>
      </c>
      <c r="E478" s="50" t="str">
        <f aca="false">IFERROR(VLOOKUP($A478,Equipos!$C$2:$M$967,7,FALSE()),"")</f>
        <v>Philips</v>
      </c>
      <c r="F478" s="50" t="str">
        <f aca="false">IFERROR(VLOOKUP($A478,Equipos!$C$2:$M$967,8,FALSE()),"")</f>
        <v>VM6</v>
      </c>
      <c r="G478" s="50" t="s">
        <v>691</v>
      </c>
      <c r="H478" s="50" t="s">
        <v>351</v>
      </c>
      <c r="I478" s="50"/>
      <c r="J478" s="50" t="s">
        <v>361</v>
      </c>
      <c r="K478" s="50" t="str">
        <f aca="false">IFERROR(VLOOKUP($J478,Catálogos!$M$4:$N$17,2,FALSE()),"")</f>
        <v>Equipo Dado de Baja</v>
      </c>
      <c r="L478" s="52" t="n">
        <v>46096</v>
      </c>
      <c r="M478" s="50" t="s">
        <v>361</v>
      </c>
      <c r="N478" s="50" t="s">
        <v>162</v>
      </c>
      <c r="O478" s="50"/>
      <c r="P478" s="50"/>
      <c r="Q478" s="50" t="s">
        <v>358</v>
      </c>
    </row>
    <row r="479" customFormat="false" ht="15" hidden="false" customHeight="true" outlineLevel="0" collapsed="false">
      <c r="A479" s="51" t="s">
        <v>692</v>
      </c>
      <c r="B479" s="50" t="str">
        <f aca="false">IFERROR(VLOOKUP($A479,Equipos!$C$2:$M$967,2,FALSE()),"")</f>
        <v>Monitor Multiparámetros</v>
      </c>
      <c r="C479" s="50" t="str">
        <f aca="false">IFERROR(VLOOKUP($A479,Equipos!$C$2:$M$967,9,FALSE()),"")</f>
        <v>VGSRC0538</v>
      </c>
      <c r="D479" s="50" t="str">
        <f aca="false">IFERROR(VLOOKUP($A479,Equipos!$C$2:$M$967,3,FALSE()),"")</f>
        <v>Urgencia Adulto</v>
      </c>
      <c r="E479" s="50" t="str">
        <f aca="false">IFERROR(VLOOKUP($A479,Equipos!$C$2:$M$967,7,FALSE()),"")</f>
        <v>Drager</v>
      </c>
      <c r="F479" s="50" t="str">
        <f aca="false">IFERROR(VLOOKUP($A479,Equipos!$C$2:$M$967,8,FALSE()),"")</f>
        <v>Vista 120</v>
      </c>
      <c r="G479" s="50" t="s">
        <v>691</v>
      </c>
      <c r="H479" s="50" t="s">
        <v>360</v>
      </c>
      <c r="I479" s="50"/>
      <c r="J479" s="50" t="s">
        <v>352</v>
      </c>
      <c r="K479" s="50" t="str">
        <f aca="false">IFERROR(VLOOKUP($J479,Catálogos!$M$4:$N$17,2,FALSE()),"")</f>
        <v>Mantención Preventiva Realizada</v>
      </c>
      <c r="L479" s="52" t="n">
        <v>46096</v>
      </c>
      <c r="M479" s="50" t="s">
        <v>353</v>
      </c>
      <c r="N479" s="50" t="s">
        <v>253</v>
      </c>
      <c r="O479" s="50"/>
      <c r="P479" s="50"/>
      <c r="Q479" s="50" t="s">
        <v>362</v>
      </c>
    </row>
    <row r="480" customFormat="false" ht="15" hidden="false" customHeight="true" outlineLevel="0" collapsed="false">
      <c r="A480" s="51" t="s">
        <v>693</v>
      </c>
      <c r="B480" s="50" t="str">
        <f aca="false">IFERROR(VLOOKUP($A480,Equipos!$C$2:$M$967,2,FALSE()),"")</f>
        <v>Monitor Multiparámetros</v>
      </c>
      <c r="C480" s="50" t="str">
        <f aca="false">IFERROR(VLOOKUP($A480,Equipos!$C$2:$M$967,9,FALSE()),"")</f>
        <v>VGSRC0543</v>
      </c>
      <c r="D480" s="50" t="str">
        <f aca="false">IFERROR(VLOOKUP($A480,Equipos!$C$2:$M$967,3,FALSE()),"")</f>
        <v>Urgencia Adulto</v>
      </c>
      <c r="E480" s="50" t="str">
        <f aca="false">IFERROR(VLOOKUP($A480,Equipos!$C$2:$M$967,7,FALSE()),"")</f>
        <v>Drager</v>
      </c>
      <c r="F480" s="50" t="str">
        <f aca="false">IFERROR(VLOOKUP($A480,Equipos!$C$2:$M$967,8,FALSE()),"")</f>
        <v>Vista 120</v>
      </c>
      <c r="G480" s="50" t="s">
        <v>691</v>
      </c>
      <c r="H480" s="50" t="s">
        <v>360</v>
      </c>
      <c r="I480" s="50"/>
      <c r="J480" s="50" t="s">
        <v>352</v>
      </c>
      <c r="K480" s="50" t="str">
        <f aca="false">IFERROR(VLOOKUP($J480,Catálogos!$M$4:$N$17,2,FALSE()),"")</f>
        <v>Mantención Preventiva Realizada</v>
      </c>
      <c r="L480" s="52" t="n">
        <v>46096</v>
      </c>
      <c r="M480" s="50" t="s">
        <v>353</v>
      </c>
      <c r="N480" s="50" t="s">
        <v>253</v>
      </c>
      <c r="O480" s="50"/>
      <c r="P480" s="50"/>
      <c r="Q480" s="50" t="s">
        <v>362</v>
      </c>
    </row>
    <row r="481" customFormat="false" ht="15" hidden="false" customHeight="true" outlineLevel="0" collapsed="false">
      <c r="A481" s="51" t="s">
        <v>694</v>
      </c>
      <c r="B481" s="50" t="str">
        <f aca="false">IFERROR(VLOOKUP($A481,Equipos!$C$2:$M$967,2,FALSE()),"")</f>
        <v>Monitor Multiparámetros</v>
      </c>
      <c r="C481" s="50" t="str">
        <f aca="false">IFERROR(VLOOKUP($A481,Equipos!$C$2:$M$967,9,FALSE()),"")</f>
        <v>VGSRC0521</v>
      </c>
      <c r="D481" s="50" t="str">
        <f aca="false">IFERROR(VLOOKUP($A481,Equipos!$C$2:$M$967,3,FALSE()),"")</f>
        <v>Urgencia Adulto</v>
      </c>
      <c r="E481" s="50" t="str">
        <f aca="false">IFERROR(VLOOKUP($A481,Equipos!$C$2:$M$967,7,FALSE()),"")</f>
        <v>Drager</v>
      </c>
      <c r="F481" s="50" t="str">
        <f aca="false">IFERROR(VLOOKUP($A481,Equipos!$C$2:$M$967,8,FALSE()),"")</f>
        <v>Vista 120</v>
      </c>
      <c r="G481" s="50" t="s">
        <v>691</v>
      </c>
      <c r="H481" s="50" t="s">
        <v>360</v>
      </c>
      <c r="I481" s="50"/>
      <c r="J481" s="50" t="s">
        <v>352</v>
      </c>
      <c r="K481" s="50" t="str">
        <f aca="false">IFERROR(VLOOKUP($J481,Catálogos!$M$4:$N$17,2,FALSE()),"")</f>
        <v>Mantención Preventiva Realizada</v>
      </c>
      <c r="L481" s="52" t="n">
        <v>46096</v>
      </c>
      <c r="M481" s="50" t="s">
        <v>353</v>
      </c>
      <c r="N481" s="50" t="s">
        <v>253</v>
      </c>
      <c r="O481" s="50"/>
      <c r="P481" s="50"/>
      <c r="Q481" s="50" t="s">
        <v>362</v>
      </c>
    </row>
    <row r="482" customFormat="false" ht="15" hidden="false" customHeight="true" outlineLevel="0" collapsed="false">
      <c r="A482" s="51" t="s">
        <v>695</v>
      </c>
      <c r="B482" s="50" t="str">
        <f aca="false">IFERROR(VLOOKUP($A482,Equipos!$C$2:$M$967,2,FALSE()),"")</f>
        <v>Monitor Multiparámetros</v>
      </c>
      <c r="C482" s="50" t="str">
        <f aca="false">IFERROR(VLOOKUP($A482,Equipos!$C$2:$M$967,9,FALSE()),"")</f>
        <v>VGSRC0495</v>
      </c>
      <c r="D482" s="50" t="str">
        <f aca="false">IFERROR(VLOOKUP($A482,Equipos!$C$2:$M$967,3,FALSE()),"")</f>
        <v>Urgencia Adulto</v>
      </c>
      <c r="E482" s="50" t="str">
        <f aca="false">IFERROR(VLOOKUP($A482,Equipos!$C$2:$M$967,7,FALSE()),"")</f>
        <v>Drager</v>
      </c>
      <c r="F482" s="50" t="str">
        <f aca="false">IFERROR(VLOOKUP($A482,Equipos!$C$2:$M$967,8,FALSE()),"")</f>
        <v>Vista 120</v>
      </c>
      <c r="G482" s="50" t="s">
        <v>691</v>
      </c>
      <c r="H482" s="50" t="s">
        <v>360</v>
      </c>
      <c r="I482" s="50"/>
      <c r="J482" s="50" t="s">
        <v>352</v>
      </c>
      <c r="K482" s="50" t="str">
        <f aca="false">IFERROR(VLOOKUP($J482,Catálogos!$M$4:$N$17,2,FALSE()),"")</f>
        <v>Mantención Preventiva Realizada</v>
      </c>
      <c r="L482" s="52" t="n">
        <v>46096</v>
      </c>
      <c r="M482" s="50" t="s">
        <v>353</v>
      </c>
      <c r="N482" s="50" t="s">
        <v>253</v>
      </c>
      <c r="O482" s="50"/>
      <c r="P482" s="50"/>
      <c r="Q482" s="50" t="s">
        <v>362</v>
      </c>
    </row>
    <row r="483" customFormat="false" ht="15" hidden="false" customHeight="true" outlineLevel="0" collapsed="false">
      <c r="A483" s="51" t="s">
        <v>696</v>
      </c>
      <c r="B483" s="50" t="str">
        <f aca="false">IFERROR(VLOOKUP($A483,Equipos!$C$2:$M$967,2,FALSE()),"")</f>
        <v>Monitor Multiparámetros</v>
      </c>
      <c r="C483" s="50" t="str">
        <f aca="false">IFERROR(VLOOKUP($A483,Equipos!$C$2:$M$967,9,FALSE()),"")</f>
        <v>VGSRC0490</v>
      </c>
      <c r="D483" s="50" t="str">
        <f aca="false">IFERROR(VLOOKUP($A483,Equipos!$C$2:$M$967,3,FALSE()),"")</f>
        <v>Urgencia Adulto</v>
      </c>
      <c r="E483" s="50" t="str">
        <f aca="false">IFERROR(VLOOKUP($A483,Equipos!$C$2:$M$967,7,FALSE()),"")</f>
        <v>Drager</v>
      </c>
      <c r="F483" s="50" t="str">
        <f aca="false">IFERROR(VLOOKUP($A483,Equipos!$C$2:$M$967,8,FALSE()),"")</f>
        <v>Vista 120</v>
      </c>
      <c r="G483" s="50" t="s">
        <v>691</v>
      </c>
      <c r="H483" s="50" t="s">
        <v>360</v>
      </c>
      <c r="I483" s="50"/>
      <c r="J483" s="50" t="s">
        <v>352</v>
      </c>
      <c r="K483" s="50" t="str">
        <f aca="false">IFERROR(VLOOKUP($J483,Catálogos!$M$4:$N$17,2,FALSE()),"")</f>
        <v>Mantención Preventiva Realizada</v>
      </c>
      <c r="L483" s="52" t="n">
        <v>46096</v>
      </c>
      <c r="M483" s="50" t="s">
        <v>353</v>
      </c>
      <c r="N483" s="50" t="s">
        <v>253</v>
      </c>
      <c r="O483" s="50"/>
      <c r="P483" s="50"/>
      <c r="Q483" s="50" t="s">
        <v>362</v>
      </c>
    </row>
    <row r="484" customFormat="false" ht="15" hidden="false" customHeight="true" outlineLevel="0" collapsed="false">
      <c r="A484" s="51" t="s">
        <v>697</v>
      </c>
      <c r="B484" s="50" t="str">
        <f aca="false">IFERROR(VLOOKUP($A484,Equipos!$C$2:$M$967,2,FALSE()),"")</f>
        <v>Monitor Multiparámetros</v>
      </c>
      <c r="C484" s="50" t="str">
        <f aca="false">IFERROR(VLOOKUP($A484,Equipos!$C$2:$M$967,9,FALSE()),"")</f>
        <v>VGSRC0472</v>
      </c>
      <c r="D484" s="50" t="str">
        <f aca="false">IFERROR(VLOOKUP($A484,Equipos!$C$2:$M$967,3,FALSE()),"")</f>
        <v>Urgencia Adulto</v>
      </c>
      <c r="E484" s="50" t="str">
        <f aca="false">IFERROR(VLOOKUP($A484,Equipos!$C$2:$M$967,7,FALSE()),"")</f>
        <v>Drager</v>
      </c>
      <c r="F484" s="50" t="str">
        <f aca="false">IFERROR(VLOOKUP($A484,Equipos!$C$2:$M$967,8,FALSE()),"")</f>
        <v>Vista 120</v>
      </c>
      <c r="G484" s="50" t="s">
        <v>691</v>
      </c>
      <c r="H484" s="50" t="s">
        <v>360</v>
      </c>
      <c r="I484" s="50"/>
      <c r="J484" s="50" t="s">
        <v>352</v>
      </c>
      <c r="K484" s="50" t="str">
        <f aca="false">IFERROR(VLOOKUP($J484,Catálogos!$M$4:$N$17,2,FALSE()),"")</f>
        <v>Mantención Preventiva Realizada</v>
      </c>
      <c r="L484" s="52" t="n">
        <v>46096</v>
      </c>
      <c r="M484" s="50" t="s">
        <v>353</v>
      </c>
      <c r="N484" s="50" t="s">
        <v>253</v>
      </c>
      <c r="O484" s="50"/>
      <c r="P484" s="50"/>
      <c r="Q484" s="50" t="s">
        <v>362</v>
      </c>
    </row>
    <row r="485" customFormat="false" ht="15" hidden="false" customHeight="true" outlineLevel="0" collapsed="false">
      <c r="A485" s="51" t="s">
        <v>698</v>
      </c>
      <c r="B485" s="50" t="str">
        <f aca="false">IFERROR(VLOOKUP($A485,Equipos!$C$2:$M$967,2,FALSE()),"")</f>
        <v>Monitor Multiparámetros</v>
      </c>
      <c r="C485" s="50" t="str">
        <f aca="false">IFERROR(VLOOKUP($A485,Equipos!$C$2:$M$967,9,FALSE()),"")</f>
        <v>VGSRC0512</v>
      </c>
      <c r="D485" s="50" t="str">
        <f aca="false">IFERROR(VLOOKUP($A485,Equipos!$C$2:$M$967,3,FALSE()),"")</f>
        <v>Urgencia Adulto</v>
      </c>
      <c r="E485" s="50" t="str">
        <f aca="false">IFERROR(VLOOKUP($A485,Equipos!$C$2:$M$967,7,FALSE()),"")</f>
        <v>Drager</v>
      </c>
      <c r="F485" s="50" t="str">
        <f aca="false">IFERROR(VLOOKUP($A485,Equipos!$C$2:$M$967,8,FALSE()),"")</f>
        <v>Vista 120</v>
      </c>
      <c r="G485" s="50" t="s">
        <v>691</v>
      </c>
      <c r="H485" s="50" t="s">
        <v>360</v>
      </c>
      <c r="I485" s="50"/>
      <c r="J485" s="50" t="s">
        <v>352</v>
      </c>
      <c r="K485" s="50" t="str">
        <f aca="false">IFERROR(VLOOKUP($J485,Catálogos!$M$4:$N$17,2,FALSE()),"")</f>
        <v>Mantención Preventiva Realizada</v>
      </c>
      <c r="L485" s="52" t="n">
        <v>46096</v>
      </c>
      <c r="M485" s="50" t="s">
        <v>353</v>
      </c>
      <c r="N485" s="50" t="s">
        <v>253</v>
      </c>
      <c r="O485" s="50"/>
      <c r="P485" s="50"/>
      <c r="Q485" s="50" t="s">
        <v>362</v>
      </c>
    </row>
    <row r="486" customFormat="false" ht="15" hidden="false" customHeight="true" outlineLevel="0" collapsed="false">
      <c r="A486" s="51" t="s">
        <v>699</v>
      </c>
      <c r="B486" s="50" t="str">
        <f aca="false">IFERROR(VLOOKUP($A486,Equipos!$C$2:$M$967,2,FALSE()),"")</f>
        <v>Monitor Multiparámetros</v>
      </c>
      <c r="C486" s="50" t="str">
        <f aca="false">IFERROR(VLOOKUP($A486,Equipos!$C$2:$M$967,9,FALSE()),"")</f>
        <v>VGSRC0467</v>
      </c>
      <c r="D486" s="50" t="str">
        <f aca="false">IFERROR(VLOOKUP($A486,Equipos!$C$2:$M$967,3,FALSE()),"")</f>
        <v>Urgencia Adulto</v>
      </c>
      <c r="E486" s="50" t="str">
        <f aca="false">IFERROR(VLOOKUP($A486,Equipos!$C$2:$M$967,7,FALSE()),"")</f>
        <v>Drager</v>
      </c>
      <c r="F486" s="50" t="str">
        <f aca="false">IFERROR(VLOOKUP($A486,Equipos!$C$2:$M$967,8,FALSE()),"")</f>
        <v>Vista 120</v>
      </c>
      <c r="G486" s="50" t="s">
        <v>691</v>
      </c>
      <c r="H486" s="50" t="s">
        <v>360</v>
      </c>
      <c r="I486" s="50"/>
      <c r="J486" s="50" t="s">
        <v>352</v>
      </c>
      <c r="K486" s="50" t="str">
        <f aca="false">IFERROR(VLOOKUP($J486,Catálogos!$M$4:$N$17,2,FALSE()),"")</f>
        <v>Mantención Preventiva Realizada</v>
      </c>
      <c r="L486" s="52" t="n">
        <v>46096</v>
      </c>
      <c r="M486" s="50" t="s">
        <v>353</v>
      </c>
      <c r="N486" s="50" t="s">
        <v>253</v>
      </c>
      <c r="O486" s="50"/>
      <c r="P486" s="50"/>
      <c r="Q486" s="50" t="s">
        <v>362</v>
      </c>
    </row>
    <row r="487" customFormat="false" ht="15" hidden="false" customHeight="true" outlineLevel="0" collapsed="false">
      <c r="A487" s="51" t="s">
        <v>700</v>
      </c>
      <c r="B487" s="50" t="str">
        <f aca="false">IFERROR(VLOOKUP($A487,Equipos!$C$2:$M$967,2,FALSE()),"")</f>
        <v>Monitor Multiparámetros</v>
      </c>
      <c r="C487" s="50" t="str">
        <f aca="false">IFERROR(VLOOKUP($A487,Equipos!$C$2:$M$967,9,FALSE()),"")</f>
        <v>VGSRC0520</v>
      </c>
      <c r="D487" s="50" t="str">
        <f aca="false">IFERROR(VLOOKUP($A487,Equipos!$C$2:$M$967,3,FALSE()),"")</f>
        <v>Urgencia Adulto</v>
      </c>
      <c r="E487" s="50" t="str">
        <f aca="false">IFERROR(VLOOKUP($A487,Equipos!$C$2:$M$967,7,FALSE()),"")</f>
        <v>Drager</v>
      </c>
      <c r="F487" s="50" t="str">
        <f aca="false">IFERROR(VLOOKUP($A487,Equipos!$C$2:$M$967,8,FALSE()),"")</f>
        <v>Vista 120</v>
      </c>
      <c r="G487" s="50" t="s">
        <v>691</v>
      </c>
      <c r="H487" s="50" t="s">
        <v>360</v>
      </c>
      <c r="I487" s="50"/>
      <c r="J487" s="50" t="s">
        <v>352</v>
      </c>
      <c r="K487" s="50" t="str">
        <f aca="false">IFERROR(VLOOKUP($J487,Catálogos!$M$4:$N$17,2,FALSE()),"")</f>
        <v>Mantención Preventiva Realizada</v>
      </c>
      <c r="L487" s="52" t="n">
        <v>46096</v>
      </c>
      <c r="M487" s="50" t="s">
        <v>353</v>
      </c>
      <c r="N487" s="50" t="s">
        <v>253</v>
      </c>
      <c r="O487" s="50"/>
      <c r="P487" s="50"/>
      <c r="Q487" s="50" t="s">
        <v>362</v>
      </c>
    </row>
    <row r="488" customFormat="false" ht="15" hidden="false" customHeight="true" outlineLevel="0" collapsed="false">
      <c r="A488" s="51" t="s">
        <v>701</v>
      </c>
      <c r="B488" s="50" t="str">
        <f aca="false">IFERROR(VLOOKUP($A488,Equipos!$C$2:$M$967,2,FALSE()),"")</f>
        <v>Monitor Multiparámetros</v>
      </c>
      <c r="C488" s="50" t="str">
        <f aca="false">IFERROR(VLOOKUP($A488,Equipos!$C$2:$M$967,9,FALSE()),"")</f>
        <v>S2SNE1555</v>
      </c>
      <c r="D488" s="50" t="str">
        <f aca="false">IFERROR(VLOOKUP($A488,Equipos!$C$2:$M$967,3,FALSE()),"")</f>
        <v>Urgencia Adulto</v>
      </c>
      <c r="E488" s="50" t="str">
        <f aca="false">IFERROR(VLOOKUP($A488,Equipos!$C$2:$M$967,7,FALSE()),"")</f>
        <v>Drager</v>
      </c>
      <c r="F488" s="50" t="str">
        <f aca="false">IFERROR(VLOOKUP($A488,Equipos!$C$2:$M$967,8,FALSE()),"")</f>
        <v>Vista 120 S</v>
      </c>
      <c r="G488" s="50" t="s">
        <v>691</v>
      </c>
      <c r="H488" s="50" t="s">
        <v>360</v>
      </c>
      <c r="I488" s="50"/>
      <c r="J488" s="50" t="s">
        <v>352</v>
      </c>
      <c r="K488" s="50" t="str">
        <f aca="false">IFERROR(VLOOKUP($J488,Catálogos!$M$4:$N$17,2,FALSE()),"")</f>
        <v>Mantención Preventiva Realizada</v>
      </c>
      <c r="L488" s="52" t="n">
        <v>46096</v>
      </c>
      <c r="M488" s="50" t="s">
        <v>353</v>
      </c>
      <c r="N488" s="50" t="s">
        <v>253</v>
      </c>
      <c r="O488" s="50"/>
      <c r="P488" s="50"/>
      <c r="Q488" s="50" t="s">
        <v>362</v>
      </c>
    </row>
    <row r="489" customFormat="false" ht="15" hidden="false" customHeight="true" outlineLevel="0" collapsed="false">
      <c r="A489" s="51" t="s">
        <v>702</v>
      </c>
      <c r="B489" s="50" t="str">
        <f aca="false">IFERROR(VLOOKUP($A489,Equipos!$C$2:$M$967,2,FALSE()),"")</f>
        <v>Monitor Multiparámetros</v>
      </c>
      <c r="C489" s="50" t="str">
        <f aca="false">IFERROR(VLOOKUP($A489,Equipos!$C$2:$M$967,9,FALSE()),"")</f>
        <v>S2SRC0509</v>
      </c>
      <c r="D489" s="50" t="str">
        <f aca="false">IFERROR(VLOOKUP($A489,Equipos!$C$2:$M$967,3,FALSE()),"")</f>
        <v>Urgencia Adulto</v>
      </c>
      <c r="E489" s="50" t="str">
        <f aca="false">IFERROR(VLOOKUP($A489,Equipos!$C$2:$M$967,7,FALSE()),"")</f>
        <v>Drager</v>
      </c>
      <c r="F489" s="50" t="str">
        <f aca="false">IFERROR(VLOOKUP($A489,Equipos!$C$2:$M$967,8,FALSE()),"")</f>
        <v>Vista 120 S</v>
      </c>
      <c r="G489" s="50" t="s">
        <v>691</v>
      </c>
      <c r="H489" s="50" t="s">
        <v>360</v>
      </c>
      <c r="I489" s="50"/>
      <c r="J489" s="50" t="s">
        <v>352</v>
      </c>
      <c r="K489" s="50" t="str">
        <f aca="false">IFERROR(VLOOKUP($J489,Catálogos!$M$4:$N$17,2,FALSE()),"")</f>
        <v>Mantención Preventiva Realizada</v>
      </c>
      <c r="L489" s="52" t="n">
        <v>46096</v>
      </c>
      <c r="M489" s="50" t="s">
        <v>353</v>
      </c>
      <c r="N489" s="50" t="s">
        <v>253</v>
      </c>
      <c r="O489" s="50"/>
      <c r="P489" s="50"/>
      <c r="Q489" s="50" t="s">
        <v>362</v>
      </c>
    </row>
    <row r="490" customFormat="false" ht="15" hidden="false" customHeight="true" outlineLevel="0" collapsed="false">
      <c r="A490" s="51" t="s">
        <v>703</v>
      </c>
      <c r="B490" s="50" t="str">
        <f aca="false">IFERROR(VLOOKUP($A490,Equipos!$C$2:$M$967,2,FALSE()),"")</f>
        <v>Monitor Multiparámetros</v>
      </c>
      <c r="C490" s="50" t="str">
        <f aca="false">IFERROR(VLOOKUP($A490,Equipos!$C$2:$M$967,9,FALSE()),"")</f>
        <v>08813.</v>
      </c>
      <c r="D490" s="50" t="str">
        <f aca="false">IFERROR(VLOOKUP($A490,Equipos!$C$2:$M$967,3,FALSE()),"")</f>
        <v>Urgencia Infantil</v>
      </c>
      <c r="E490" s="50" t="str">
        <f aca="false">IFERROR(VLOOKUP($A490,Equipos!$C$2:$M$967,7,FALSE()),"")</f>
        <v>Nihon Kohden </v>
      </c>
      <c r="F490" s="50" t="str">
        <f aca="false">IFERROR(VLOOKUP($A490,Equipos!$C$2:$M$967,8,FALSE()),"")</f>
        <v>BSM-1763</v>
      </c>
      <c r="G490" s="50" t="s">
        <v>691</v>
      </c>
      <c r="H490" s="50" t="s">
        <v>360</v>
      </c>
      <c r="I490" s="50"/>
      <c r="J490" s="50" t="s">
        <v>352</v>
      </c>
      <c r="K490" s="50" t="str">
        <f aca="false">IFERROR(VLOOKUP($J490,Catálogos!$M$4:$N$17,2,FALSE()),"")</f>
        <v>Mantención Preventiva Realizada</v>
      </c>
      <c r="L490" s="52" t="n">
        <v>46096</v>
      </c>
      <c r="M490" s="50" t="s">
        <v>353</v>
      </c>
      <c r="N490" s="50" t="s">
        <v>253</v>
      </c>
      <c r="O490" s="50"/>
      <c r="P490" s="50"/>
      <c r="Q490" s="50" t="s">
        <v>362</v>
      </c>
    </row>
    <row r="491" customFormat="false" ht="15" hidden="false" customHeight="true" outlineLevel="0" collapsed="false">
      <c r="A491" s="51" t="s">
        <v>704</v>
      </c>
      <c r="B491" s="50" t="str">
        <f aca="false">IFERROR(VLOOKUP($A491,Equipos!$C$2:$M$967,2,FALSE()),"")</f>
        <v>Monitor Multiparámetros</v>
      </c>
      <c r="C491" s="50" t="str">
        <f aca="false">IFERROR(VLOOKUP($A491,Equipos!$C$2:$M$967,9,FALSE()),"")</f>
        <v>19109.</v>
      </c>
      <c r="D491" s="50" t="str">
        <f aca="false">IFERROR(VLOOKUP($A491,Equipos!$C$2:$M$967,3,FALSE()),"")</f>
        <v>Urgencia Infantil</v>
      </c>
      <c r="E491" s="50" t="str">
        <f aca="false">IFERROR(VLOOKUP($A491,Equipos!$C$2:$M$967,7,FALSE()),"")</f>
        <v>Nihon Kohden </v>
      </c>
      <c r="F491" s="50" t="str">
        <f aca="false">IFERROR(VLOOKUP($A491,Equipos!$C$2:$M$967,8,FALSE()),"")</f>
        <v>BSM-3763</v>
      </c>
      <c r="G491" s="50" t="s">
        <v>691</v>
      </c>
      <c r="H491" s="50" t="s">
        <v>360</v>
      </c>
      <c r="I491" s="50"/>
      <c r="J491" s="50" t="s">
        <v>352</v>
      </c>
      <c r="K491" s="50" t="str">
        <f aca="false">IFERROR(VLOOKUP($J491,Catálogos!$M$4:$N$17,2,FALSE()),"")</f>
        <v>Mantención Preventiva Realizada</v>
      </c>
      <c r="L491" s="52" t="n">
        <v>46096</v>
      </c>
      <c r="M491" s="50" t="s">
        <v>353</v>
      </c>
      <c r="N491" s="50" t="s">
        <v>253</v>
      </c>
      <c r="O491" s="50"/>
      <c r="P491" s="50"/>
      <c r="Q491" s="50" t="s">
        <v>362</v>
      </c>
    </row>
    <row r="492" customFormat="false" ht="15" hidden="false" customHeight="true" outlineLevel="0" collapsed="false">
      <c r="A492" s="51" t="s">
        <v>705</v>
      </c>
      <c r="B492" s="50" t="str">
        <f aca="false">IFERROR(VLOOKUP($A492,Equipos!$C$2:$M$967,2,FALSE()),"")</f>
        <v>Monitor Multiparámetros</v>
      </c>
      <c r="C492" s="50" t="str">
        <f aca="false">IFERROR(VLOOKUP($A492,Equipos!$C$2:$M$967,9,FALSE()),"")</f>
        <v>0132834.</v>
      </c>
      <c r="D492" s="50" t="str">
        <f aca="false">IFERROR(VLOOKUP($A492,Equipos!$C$2:$M$967,3,FALSE()),"")</f>
        <v>Urgencia Infantil</v>
      </c>
      <c r="E492" s="50" t="str">
        <f aca="false">IFERROR(VLOOKUP($A492,Equipos!$C$2:$M$967,7,FALSE()),"")</f>
        <v>Nihon Kohden </v>
      </c>
      <c r="F492" s="50" t="str">
        <f aca="false">IFERROR(VLOOKUP($A492,Equipos!$C$2:$M$967,8,FALSE()),"")</f>
        <v>PVM-2701</v>
      </c>
      <c r="G492" s="50" t="s">
        <v>691</v>
      </c>
      <c r="H492" s="50" t="s">
        <v>360</v>
      </c>
      <c r="I492" s="50"/>
      <c r="J492" s="50" t="s">
        <v>352</v>
      </c>
      <c r="K492" s="50" t="str">
        <f aca="false">IFERROR(VLOOKUP($J492,Catálogos!$M$4:$N$17,2,FALSE()),"")</f>
        <v>Mantención Preventiva Realizada</v>
      </c>
      <c r="L492" s="52" t="n">
        <v>46096</v>
      </c>
      <c r="M492" s="50" t="s">
        <v>353</v>
      </c>
      <c r="N492" s="50" t="s">
        <v>253</v>
      </c>
      <c r="O492" s="50"/>
      <c r="P492" s="50"/>
      <c r="Q492" s="50" t="s">
        <v>362</v>
      </c>
    </row>
    <row r="493" customFormat="false" ht="15" hidden="false" customHeight="true" outlineLevel="0" collapsed="false">
      <c r="A493" s="51" t="s">
        <v>706</v>
      </c>
      <c r="B493" s="50" t="str">
        <f aca="false">IFERROR(VLOOKUP($A493,Equipos!$C$2:$M$967,2,FALSE()),"")</f>
        <v>Monitor Multiparámetros</v>
      </c>
      <c r="C493" s="50" t="str">
        <f aca="false">IFERROR(VLOOKUP($A493,Equipos!$C$2:$M$967,9,FALSE()),"")</f>
        <v>0132829.</v>
      </c>
      <c r="D493" s="50" t="str">
        <f aca="false">IFERROR(VLOOKUP($A493,Equipos!$C$2:$M$967,3,FALSE()),"")</f>
        <v>Urgencia Infantil</v>
      </c>
      <c r="E493" s="50" t="str">
        <f aca="false">IFERROR(VLOOKUP($A493,Equipos!$C$2:$M$967,7,FALSE()),"")</f>
        <v>Nihon Kohden </v>
      </c>
      <c r="F493" s="50" t="str">
        <f aca="false">IFERROR(VLOOKUP($A493,Equipos!$C$2:$M$967,8,FALSE()),"")</f>
        <v>PVM-2701</v>
      </c>
      <c r="G493" s="50" t="s">
        <v>691</v>
      </c>
      <c r="H493" s="50" t="s">
        <v>360</v>
      </c>
      <c r="I493" s="50"/>
      <c r="J493" s="50" t="s">
        <v>352</v>
      </c>
      <c r="K493" s="50" t="str">
        <f aca="false">IFERROR(VLOOKUP($J493,Catálogos!$M$4:$N$17,2,FALSE()),"")</f>
        <v>Mantención Preventiva Realizada</v>
      </c>
      <c r="L493" s="52" t="n">
        <v>46096</v>
      </c>
      <c r="M493" s="50" t="s">
        <v>353</v>
      </c>
      <c r="N493" s="50" t="s">
        <v>253</v>
      </c>
      <c r="O493" s="50"/>
      <c r="P493" s="50"/>
      <c r="Q493" s="50" t="s">
        <v>362</v>
      </c>
    </row>
    <row r="494" customFormat="false" ht="15" hidden="false" customHeight="true" outlineLevel="0" collapsed="false">
      <c r="A494" s="51" t="s">
        <v>707</v>
      </c>
      <c r="B494" s="50" t="str">
        <f aca="false">IFERROR(VLOOKUP($A494,Equipos!$C$2:$M$967,2,FALSE()),"")</f>
        <v>Monitor Multiparámetros</v>
      </c>
      <c r="C494" s="50" t="str">
        <f aca="false">IFERROR(VLOOKUP($A494,Equipos!$C$2:$M$967,9,FALSE()),"")</f>
        <v>0132826.</v>
      </c>
      <c r="D494" s="50" t="str">
        <f aca="false">IFERROR(VLOOKUP($A494,Equipos!$C$2:$M$967,3,FALSE()),"")</f>
        <v>Urgencia Infantil</v>
      </c>
      <c r="E494" s="50" t="str">
        <f aca="false">IFERROR(VLOOKUP($A494,Equipos!$C$2:$M$967,7,FALSE()),"")</f>
        <v>Nihon Kohden </v>
      </c>
      <c r="F494" s="50" t="str">
        <f aca="false">IFERROR(VLOOKUP($A494,Equipos!$C$2:$M$967,8,FALSE()),"")</f>
        <v>PVM-2701</v>
      </c>
      <c r="G494" s="50" t="s">
        <v>691</v>
      </c>
      <c r="H494" s="50" t="s">
        <v>360</v>
      </c>
      <c r="I494" s="50"/>
      <c r="J494" s="50" t="s">
        <v>352</v>
      </c>
      <c r="K494" s="50" t="str">
        <f aca="false">IFERROR(VLOOKUP($J494,Catálogos!$M$4:$N$17,2,FALSE()),"")</f>
        <v>Mantención Preventiva Realizada</v>
      </c>
      <c r="L494" s="52" t="n">
        <v>46096</v>
      </c>
      <c r="M494" s="50" t="s">
        <v>353</v>
      </c>
      <c r="N494" s="50" t="s">
        <v>253</v>
      </c>
      <c r="O494" s="50"/>
      <c r="P494" s="50"/>
      <c r="Q494" s="50" t="s">
        <v>362</v>
      </c>
    </row>
    <row r="495" customFormat="false" ht="15" hidden="false" customHeight="true" outlineLevel="0" collapsed="false">
      <c r="A495" s="51" t="s">
        <v>708</v>
      </c>
      <c r="B495" s="50" t="str">
        <f aca="false">IFERROR(VLOOKUP($A495,Equipos!$C$2:$M$967,2,FALSE()),"")</f>
        <v>Monitor Multiparámetros</v>
      </c>
      <c r="C495" s="50" t="str">
        <f aca="false">IFERROR(VLOOKUP($A495,Equipos!$C$2:$M$967,9,FALSE()),"")</f>
        <v>0132825.</v>
      </c>
      <c r="D495" s="50" t="str">
        <f aca="false">IFERROR(VLOOKUP($A495,Equipos!$C$2:$M$967,3,FALSE()),"")</f>
        <v>Urgencia Infantil</v>
      </c>
      <c r="E495" s="50" t="str">
        <f aca="false">IFERROR(VLOOKUP($A495,Equipos!$C$2:$M$967,7,FALSE()),"")</f>
        <v>Nihon Kohden </v>
      </c>
      <c r="F495" s="50" t="str">
        <f aca="false">IFERROR(VLOOKUP($A495,Equipos!$C$2:$M$967,8,FALSE()),"")</f>
        <v>PVM-2701</v>
      </c>
      <c r="G495" s="50" t="s">
        <v>691</v>
      </c>
      <c r="H495" s="50" t="s">
        <v>360</v>
      </c>
      <c r="I495" s="50"/>
      <c r="J495" s="50" t="s">
        <v>352</v>
      </c>
      <c r="K495" s="50" t="str">
        <f aca="false">IFERROR(VLOOKUP($J495,Catálogos!$M$4:$N$17,2,FALSE()),"")</f>
        <v>Mantención Preventiva Realizada</v>
      </c>
      <c r="L495" s="52" t="n">
        <v>46096</v>
      </c>
      <c r="M495" s="50" t="s">
        <v>353</v>
      </c>
      <c r="N495" s="50" t="s">
        <v>253</v>
      </c>
      <c r="O495" s="50"/>
      <c r="P495" s="50"/>
      <c r="Q495" s="50" t="s">
        <v>362</v>
      </c>
    </row>
    <row r="496" customFormat="false" ht="15" hidden="false" customHeight="true" outlineLevel="0" collapsed="false">
      <c r="A496" s="51" t="s">
        <v>709</v>
      </c>
      <c r="B496" s="50" t="str">
        <f aca="false">IFERROR(VLOOKUP($A496,Equipos!$C$2:$M$967,2,FALSE()),"")</f>
        <v>Monitor Multiparámetros</v>
      </c>
      <c r="C496" s="50" t="str">
        <f aca="false">IFERROR(VLOOKUP($A496,Equipos!$C$2:$M$967,9,FALSE()),"")</f>
        <v>0132824.</v>
      </c>
      <c r="D496" s="50" t="str">
        <f aca="false">IFERROR(VLOOKUP($A496,Equipos!$C$2:$M$967,3,FALSE()),"")</f>
        <v>Urgencia Infantil</v>
      </c>
      <c r="E496" s="50" t="str">
        <f aca="false">IFERROR(VLOOKUP($A496,Equipos!$C$2:$M$967,7,FALSE()),"")</f>
        <v>Nihon Kohden </v>
      </c>
      <c r="F496" s="50" t="str">
        <f aca="false">IFERROR(VLOOKUP($A496,Equipos!$C$2:$M$967,8,FALSE()),"")</f>
        <v>PVM-2701</v>
      </c>
      <c r="G496" s="50" t="s">
        <v>691</v>
      </c>
      <c r="H496" s="50" t="s">
        <v>360</v>
      </c>
      <c r="I496" s="50"/>
      <c r="J496" s="50" t="s">
        <v>352</v>
      </c>
      <c r="K496" s="50" t="str">
        <f aca="false">IFERROR(VLOOKUP($J496,Catálogos!$M$4:$N$17,2,FALSE()),"")</f>
        <v>Mantención Preventiva Realizada</v>
      </c>
      <c r="L496" s="52" t="n">
        <v>46096</v>
      </c>
      <c r="M496" s="50" t="s">
        <v>353</v>
      </c>
      <c r="N496" s="50" t="s">
        <v>253</v>
      </c>
      <c r="O496" s="50"/>
      <c r="P496" s="50"/>
      <c r="Q496" s="50" t="s">
        <v>362</v>
      </c>
    </row>
    <row r="497" customFormat="false" ht="15" hidden="false" customHeight="true" outlineLevel="0" collapsed="false">
      <c r="A497" s="51" t="s">
        <v>710</v>
      </c>
      <c r="B497" s="50" t="str">
        <f aca="false">IFERROR(VLOOKUP($A497,Equipos!$C$2:$M$967,2,FALSE()),"")</f>
        <v>Monitor Multiparámetros</v>
      </c>
      <c r="C497" s="50" t="str">
        <f aca="false">IFERROR(VLOOKUP($A497,Equipos!$C$2:$M$967,9,FALSE()),"")</f>
        <v>0132823.</v>
      </c>
      <c r="D497" s="50" t="str">
        <f aca="false">IFERROR(VLOOKUP($A497,Equipos!$C$2:$M$967,3,FALSE()),"")</f>
        <v>Urgencia Infantil</v>
      </c>
      <c r="E497" s="50" t="str">
        <f aca="false">IFERROR(VLOOKUP($A497,Equipos!$C$2:$M$967,7,FALSE()),"")</f>
        <v>Nihon Kohden </v>
      </c>
      <c r="F497" s="50" t="str">
        <f aca="false">IFERROR(VLOOKUP($A497,Equipos!$C$2:$M$967,8,FALSE()),"")</f>
        <v>PVM-2701</v>
      </c>
      <c r="G497" s="50" t="s">
        <v>691</v>
      </c>
      <c r="H497" s="50" t="s">
        <v>360</v>
      </c>
      <c r="I497" s="50"/>
      <c r="J497" s="50" t="s">
        <v>352</v>
      </c>
      <c r="K497" s="50" t="str">
        <f aca="false">IFERROR(VLOOKUP($J497,Catálogos!$M$4:$N$17,2,FALSE()),"")</f>
        <v>Mantención Preventiva Realizada</v>
      </c>
      <c r="L497" s="52" t="n">
        <v>46096</v>
      </c>
      <c r="M497" s="50" t="s">
        <v>353</v>
      </c>
      <c r="N497" s="50" t="s">
        <v>253</v>
      </c>
      <c r="O497" s="50"/>
      <c r="P497" s="50"/>
      <c r="Q497" s="50" t="s">
        <v>362</v>
      </c>
    </row>
    <row r="498" customFormat="false" ht="15" hidden="false" customHeight="true" outlineLevel="0" collapsed="false">
      <c r="A498" s="51" t="s">
        <v>711</v>
      </c>
      <c r="B498" s="50" t="str">
        <f aca="false">IFERROR(VLOOKUP($A498,Equipos!$C$2:$M$967,2,FALSE()),"")</f>
        <v>Monitor Multiparámetros</v>
      </c>
      <c r="C498" s="50" t="str">
        <f aca="false">IFERROR(VLOOKUP($A498,Equipos!$C$2:$M$967,9,FALSE()),"")</f>
        <v>0132822.</v>
      </c>
      <c r="D498" s="50" t="str">
        <f aca="false">IFERROR(VLOOKUP($A498,Equipos!$C$2:$M$967,3,FALSE()),"")</f>
        <v>Urgencia Infantil</v>
      </c>
      <c r="E498" s="50" t="str">
        <f aca="false">IFERROR(VLOOKUP($A498,Equipos!$C$2:$M$967,7,FALSE()),"")</f>
        <v>Nihon Kohden </v>
      </c>
      <c r="F498" s="50" t="str">
        <f aca="false">IFERROR(VLOOKUP($A498,Equipos!$C$2:$M$967,8,FALSE()),"")</f>
        <v>PVM-2701</v>
      </c>
      <c r="G498" s="50" t="s">
        <v>691</v>
      </c>
      <c r="H498" s="50" t="s">
        <v>360</v>
      </c>
      <c r="I498" s="50"/>
      <c r="J498" s="50" t="s">
        <v>352</v>
      </c>
      <c r="K498" s="50" t="str">
        <f aca="false">IFERROR(VLOOKUP($J498,Catálogos!$M$4:$N$17,2,FALSE()),"")</f>
        <v>Mantención Preventiva Realizada</v>
      </c>
      <c r="L498" s="52" t="n">
        <v>46096</v>
      </c>
      <c r="M498" s="50" t="s">
        <v>353</v>
      </c>
      <c r="N498" s="50" t="s">
        <v>253</v>
      </c>
      <c r="O498" s="50"/>
      <c r="P498" s="50"/>
      <c r="Q498" s="50" t="s">
        <v>362</v>
      </c>
    </row>
    <row r="499" customFormat="false" ht="15" hidden="false" customHeight="true" outlineLevel="0" collapsed="false">
      <c r="A499" s="51" t="s">
        <v>712</v>
      </c>
      <c r="B499" s="50" t="str">
        <f aca="false">IFERROR(VLOOKUP($A499,Equipos!$C$2:$M$967,2,FALSE()),"")</f>
        <v>Monitor Multiparámetros</v>
      </c>
      <c r="C499" s="50" t="str">
        <f aca="false">IFERROR(VLOOKUP($A499,Equipos!$C$2:$M$967,9,FALSE()),"")</f>
        <v>0132821.</v>
      </c>
      <c r="D499" s="50" t="str">
        <f aca="false">IFERROR(VLOOKUP($A499,Equipos!$C$2:$M$967,3,FALSE()),"")</f>
        <v>Urgencia Infantil</v>
      </c>
      <c r="E499" s="50" t="str">
        <f aca="false">IFERROR(VLOOKUP($A499,Equipos!$C$2:$M$967,7,FALSE()),"")</f>
        <v>Nihon Kohden </v>
      </c>
      <c r="F499" s="50" t="str">
        <f aca="false">IFERROR(VLOOKUP($A499,Equipos!$C$2:$M$967,8,FALSE()),"")</f>
        <v>PVM-2701</v>
      </c>
      <c r="G499" s="50" t="s">
        <v>691</v>
      </c>
      <c r="H499" s="50" t="s">
        <v>360</v>
      </c>
      <c r="I499" s="50"/>
      <c r="J499" s="50" t="s">
        <v>352</v>
      </c>
      <c r="K499" s="50" t="str">
        <f aca="false">IFERROR(VLOOKUP($J499,Catálogos!$M$4:$N$17,2,FALSE()),"")</f>
        <v>Mantención Preventiva Realizada</v>
      </c>
      <c r="L499" s="52" t="n">
        <v>46096</v>
      </c>
      <c r="M499" s="50" t="s">
        <v>353</v>
      </c>
      <c r="N499" s="50" t="s">
        <v>253</v>
      </c>
      <c r="O499" s="50"/>
      <c r="P499" s="50"/>
      <c r="Q499" s="50" t="s">
        <v>362</v>
      </c>
    </row>
    <row r="500" customFormat="false" ht="15" hidden="false" customHeight="true" outlineLevel="0" collapsed="false">
      <c r="A500" s="51" t="s">
        <v>713</v>
      </c>
      <c r="B500" s="50" t="str">
        <f aca="false">IFERROR(VLOOKUP($A500,Equipos!$C$2:$M$967,2,FALSE()),"")</f>
        <v>Monitor Multiparámetros</v>
      </c>
      <c r="C500" s="50" t="str">
        <f aca="false">IFERROR(VLOOKUP($A500,Equipos!$C$2:$M$967,9,FALSE()),"")</f>
        <v>CN92395203</v>
      </c>
      <c r="D500" s="50" t="str">
        <f aca="false">IFERROR(VLOOKUP($A500,Equipos!$C$2:$M$967,3,FALSE()),"")</f>
        <v>Endoscopía</v>
      </c>
      <c r="E500" s="50" t="str">
        <f aca="false">IFERROR(VLOOKUP($A500,Equipos!$C$2:$M$967,7,FALSE()),"")</f>
        <v>Philips</v>
      </c>
      <c r="F500" s="50" t="str">
        <f aca="false">IFERROR(VLOOKUP($A500,Equipos!$C$2:$M$967,8,FALSE()),"")</f>
        <v>CM120</v>
      </c>
      <c r="G500" s="50" t="s">
        <v>691</v>
      </c>
      <c r="H500" s="50" t="s">
        <v>360</v>
      </c>
      <c r="I500" s="50"/>
      <c r="J500" s="50" t="s">
        <v>364</v>
      </c>
      <c r="K500" s="50" t="str">
        <f aca="false">IFERROR(VLOOKUP($J500,Catálogos!$M$4:$N$17,2,FALSE()),"")</f>
        <v>Reprogramada · No disponibilidad de horas hombre del funcionario SEC por alta carga laboral</v>
      </c>
      <c r="L500" s="52" t="n">
        <v>46096</v>
      </c>
      <c r="M500" s="50" t="s">
        <v>353</v>
      </c>
      <c r="N500" s="50" t="s">
        <v>253</v>
      </c>
      <c r="O500" s="50"/>
      <c r="P500" s="50"/>
      <c r="Q500" s="50" t="s">
        <v>362</v>
      </c>
    </row>
    <row r="501" customFormat="false" ht="15" hidden="false" customHeight="true" outlineLevel="0" collapsed="false">
      <c r="A501" s="51" t="s">
        <v>714</v>
      </c>
      <c r="B501" s="50" t="str">
        <f aca="false">IFERROR(VLOOKUP($A501,Equipos!$C$2:$M$967,2,FALSE()),"")</f>
        <v>Monitor Multiparámetros</v>
      </c>
      <c r="C501" s="50" t="str">
        <f aca="false">IFERROR(VLOOKUP($A501,Equipos!$C$2:$M$967,9,FALSE()),"")</f>
        <v>CN92395201</v>
      </c>
      <c r="D501" s="50" t="str">
        <f aca="false">IFERROR(VLOOKUP($A501,Equipos!$C$2:$M$967,3,FALSE()),"")</f>
        <v>Endoscopía</v>
      </c>
      <c r="E501" s="50" t="str">
        <f aca="false">IFERROR(VLOOKUP($A501,Equipos!$C$2:$M$967,7,FALSE()),"")</f>
        <v>Philips</v>
      </c>
      <c r="F501" s="50" t="str">
        <f aca="false">IFERROR(VLOOKUP($A501,Equipos!$C$2:$M$967,8,FALSE()),"")</f>
        <v>CM120</v>
      </c>
      <c r="G501" s="50" t="s">
        <v>691</v>
      </c>
      <c r="H501" s="50" t="s">
        <v>360</v>
      </c>
      <c r="I501" s="50"/>
      <c r="J501" s="50" t="s">
        <v>364</v>
      </c>
      <c r="K501" s="50" t="str">
        <f aca="false">IFERROR(VLOOKUP($J501,Catálogos!$M$4:$N$17,2,FALSE()),"")</f>
        <v>Reprogramada · No disponibilidad de horas hombre del funcionario SEC por alta carga laboral</v>
      </c>
      <c r="L501" s="52" t="n">
        <v>46096</v>
      </c>
      <c r="M501" s="50" t="s">
        <v>353</v>
      </c>
      <c r="N501" s="50" t="s">
        <v>253</v>
      </c>
      <c r="O501" s="50"/>
      <c r="P501" s="50"/>
      <c r="Q501" s="50" t="s">
        <v>362</v>
      </c>
    </row>
    <row r="502" customFormat="false" ht="15" hidden="false" customHeight="true" outlineLevel="0" collapsed="false">
      <c r="A502" s="51" t="s">
        <v>715</v>
      </c>
      <c r="B502" s="50" t="str">
        <f aca="false">IFERROR(VLOOKUP($A502,Equipos!$C$2:$M$967,2,FALSE()),"")</f>
        <v>Monitor Multiparámetros</v>
      </c>
      <c r="C502" s="50" t="str">
        <f aca="false">IFERROR(VLOOKUP($A502,Equipos!$C$2:$M$967,9,FALSE()),"")</f>
        <v>CN92392264</v>
      </c>
      <c r="D502" s="50" t="str">
        <f aca="false">IFERROR(VLOOKUP($A502,Equipos!$C$2:$M$967,3,FALSE()),"")</f>
        <v>Quimioterapia Ambulatoria Adulto</v>
      </c>
      <c r="E502" s="50" t="str">
        <f aca="false">IFERROR(VLOOKUP($A502,Equipos!$C$2:$M$967,7,FALSE()),"")</f>
        <v>Philips</v>
      </c>
      <c r="F502" s="50" t="str">
        <f aca="false">IFERROR(VLOOKUP($A502,Equipos!$C$2:$M$967,8,FALSE()),"")</f>
        <v>CM100</v>
      </c>
      <c r="G502" s="50" t="s">
        <v>691</v>
      </c>
      <c r="H502" s="50" t="s">
        <v>360</v>
      </c>
      <c r="I502" s="50"/>
      <c r="J502" s="50" t="s">
        <v>364</v>
      </c>
      <c r="K502" s="50" t="str">
        <f aca="false">IFERROR(VLOOKUP($J502,Catálogos!$M$4:$N$17,2,FALSE()),"")</f>
        <v>Reprogramada · No disponibilidad de horas hombre del funcionario SEC por alta carga laboral</v>
      </c>
      <c r="L502" s="52" t="n">
        <v>46096</v>
      </c>
      <c r="M502" s="50" t="s">
        <v>353</v>
      </c>
      <c r="N502" s="50" t="s">
        <v>253</v>
      </c>
      <c r="O502" s="50"/>
      <c r="P502" s="50"/>
      <c r="Q502" s="50" t="s">
        <v>362</v>
      </c>
    </row>
    <row r="503" customFormat="false" ht="15" hidden="false" customHeight="true" outlineLevel="0" collapsed="false">
      <c r="A503" s="51" t="s">
        <v>716</v>
      </c>
      <c r="B503" s="50" t="str">
        <f aca="false">IFERROR(VLOOKUP($A503,Equipos!$C$2:$M$967,2,FALSE()),"")</f>
        <v>Monitor Multiparámetros</v>
      </c>
      <c r="C503" s="50" t="str">
        <f aca="false">IFERROR(VLOOKUP($A503,Equipos!$C$2:$M$967,9,FALSE()),"")</f>
        <v>CN92392230</v>
      </c>
      <c r="D503" s="50" t="str">
        <f aca="false">IFERROR(VLOOKUP($A503,Equipos!$C$2:$M$967,3,FALSE()),"")</f>
        <v>Quimioterapia Ambulatoria Adulto</v>
      </c>
      <c r="E503" s="50" t="str">
        <f aca="false">IFERROR(VLOOKUP($A503,Equipos!$C$2:$M$967,7,FALSE()),"")</f>
        <v>Philips</v>
      </c>
      <c r="F503" s="50" t="str">
        <f aca="false">IFERROR(VLOOKUP($A503,Equipos!$C$2:$M$967,8,FALSE()),"")</f>
        <v>CM100</v>
      </c>
      <c r="G503" s="50" t="s">
        <v>691</v>
      </c>
      <c r="H503" s="50" t="s">
        <v>360</v>
      </c>
      <c r="I503" s="50"/>
      <c r="J503" s="50" t="s">
        <v>364</v>
      </c>
      <c r="K503" s="50" t="str">
        <f aca="false">IFERROR(VLOOKUP($J503,Catálogos!$M$4:$N$17,2,FALSE()),"")</f>
        <v>Reprogramada · No disponibilidad de horas hombre del funcionario SEC por alta carga laboral</v>
      </c>
      <c r="L503" s="52" t="n">
        <v>46096</v>
      </c>
      <c r="M503" s="50" t="s">
        <v>353</v>
      </c>
      <c r="N503" s="50" t="s">
        <v>253</v>
      </c>
      <c r="O503" s="50"/>
      <c r="P503" s="50"/>
      <c r="Q503" s="50" t="s">
        <v>362</v>
      </c>
    </row>
    <row r="504" customFormat="false" ht="15" hidden="false" customHeight="true" outlineLevel="0" collapsed="false">
      <c r="A504" s="51" t="s">
        <v>717</v>
      </c>
      <c r="B504" s="50" t="str">
        <f aca="false">IFERROR(VLOOKUP($A504,Equipos!$C$2:$M$967,2,FALSE()),"")</f>
        <v>Monitor Multiparámetros</v>
      </c>
      <c r="C504" s="50" t="str">
        <f aca="false">IFERROR(VLOOKUP($A504,Equipos!$C$2:$M$967,9,FALSE()),"")</f>
        <v>CN92392229</v>
      </c>
      <c r="D504" s="50" t="str">
        <f aca="false">IFERROR(VLOOKUP($A504,Equipos!$C$2:$M$967,3,FALSE()),"")</f>
        <v>Quimioterapia Ambulatoria Adulto</v>
      </c>
      <c r="E504" s="50" t="str">
        <f aca="false">IFERROR(VLOOKUP($A504,Equipos!$C$2:$M$967,7,FALSE()),"")</f>
        <v>Philips</v>
      </c>
      <c r="F504" s="50" t="str">
        <f aca="false">IFERROR(VLOOKUP($A504,Equipos!$C$2:$M$967,8,FALSE()),"")</f>
        <v>CM100</v>
      </c>
      <c r="G504" s="50" t="s">
        <v>691</v>
      </c>
      <c r="H504" s="50" t="s">
        <v>360</v>
      </c>
      <c r="I504" s="50"/>
      <c r="J504" s="50" t="s">
        <v>364</v>
      </c>
      <c r="K504" s="50" t="str">
        <f aca="false">IFERROR(VLOOKUP($J504,Catálogos!$M$4:$N$17,2,FALSE()),"")</f>
        <v>Reprogramada · No disponibilidad de horas hombre del funcionario SEC por alta carga laboral</v>
      </c>
      <c r="L504" s="52" t="n">
        <v>46096</v>
      </c>
      <c r="M504" s="50" t="s">
        <v>353</v>
      </c>
      <c r="N504" s="50" t="s">
        <v>253</v>
      </c>
      <c r="O504" s="50"/>
      <c r="P504" s="50"/>
      <c r="Q504" s="50" t="s">
        <v>362</v>
      </c>
    </row>
    <row r="505" customFormat="false" ht="15" hidden="false" customHeight="true" outlineLevel="0" collapsed="false">
      <c r="A505" s="51" t="s">
        <v>718</v>
      </c>
      <c r="B505" s="50" t="str">
        <f aca="false">IFERROR(VLOOKUP($A505,Equipos!$C$2:$M$967,2,FALSE()),"")</f>
        <v>Monitor Multiparámetros</v>
      </c>
      <c r="C505" s="50" t="str">
        <f aca="false">IFERROR(VLOOKUP($A505,Equipos!$C$2:$M$967,9,FALSE()),"")</f>
        <v>CN92392228</v>
      </c>
      <c r="D505" s="50" t="str">
        <f aca="false">IFERROR(VLOOKUP($A505,Equipos!$C$2:$M$967,3,FALSE()),"")</f>
        <v>Quimioterapia Ambulatoria Adulto</v>
      </c>
      <c r="E505" s="50" t="str">
        <f aca="false">IFERROR(VLOOKUP($A505,Equipos!$C$2:$M$967,7,FALSE()),"")</f>
        <v>Philips</v>
      </c>
      <c r="F505" s="50" t="str">
        <f aca="false">IFERROR(VLOOKUP($A505,Equipos!$C$2:$M$967,8,FALSE()),"")</f>
        <v>CM100</v>
      </c>
      <c r="G505" s="50" t="s">
        <v>691</v>
      </c>
      <c r="H505" s="50" t="s">
        <v>360</v>
      </c>
      <c r="I505" s="50"/>
      <c r="J505" s="50" t="s">
        <v>364</v>
      </c>
      <c r="K505" s="50" t="str">
        <f aca="false">IFERROR(VLOOKUP($J505,Catálogos!$M$4:$N$17,2,FALSE()),"")</f>
        <v>Reprogramada · No disponibilidad de horas hombre del funcionario SEC por alta carga laboral</v>
      </c>
      <c r="L505" s="52" t="n">
        <v>46096</v>
      </c>
      <c r="M505" s="50" t="s">
        <v>353</v>
      </c>
      <c r="N505" s="50" t="s">
        <v>253</v>
      </c>
      <c r="O505" s="50"/>
      <c r="P505" s="50"/>
      <c r="Q505" s="50" t="s">
        <v>362</v>
      </c>
    </row>
    <row r="506" customFormat="false" ht="15" hidden="false" customHeight="true" outlineLevel="0" collapsed="false">
      <c r="A506" s="51" t="s">
        <v>719</v>
      </c>
      <c r="B506" s="50" t="str">
        <f aca="false">IFERROR(VLOOKUP($A506,Equipos!$C$2:$M$967,2,FALSE()),"")</f>
        <v>Monitor Multiparámetros</v>
      </c>
      <c r="C506" s="50" t="str">
        <f aca="false">IFERROR(VLOOKUP($A506,Equipos!$C$2:$M$967,9,FALSE()),"")</f>
        <v>CN92373992</v>
      </c>
      <c r="D506" s="50" t="str">
        <f aca="false">IFERROR(VLOOKUP($A506,Equipos!$C$2:$M$967,3,FALSE()),"")</f>
        <v>Quimioterapia Ambulatoria Adulto</v>
      </c>
      <c r="E506" s="50" t="str">
        <f aca="false">IFERROR(VLOOKUP($A506,Equipos!$C$2:$M$967,7,FALSE()),"")</f>
        <v>Philips</v>
      </c>
      <c r="F506" s="50" t="str">
        <f aca="false">IFERROR(VLOOKUP($A506,Equipos!$C$2:$M$967,8,FALSE()),"")</f>
        <v>CM100</v>
      </c>
      <c r="G506" s="50" t="s">
        <v>691</v>
      </c>
      <c r="H506" s="50" t="s">
        <v>360</v>
      </c>
      <c r="I506" s="50"/>
      <c r="J506" s="50" t="s">
        <v>364</v>
      </c>
      <c r="K506" s="50" t="str">
        <f aca="false">IFERROR(VLOOKUP($J506,Catálogos!$M$4:$N$17,2,FALSE()),"")</f>
        <v>Reprogramada · No disponibilidad de horas hombre del funcionario SEC por alta carga laboral</v>
      </c>
      <c r="L506" s="52" t="n">
        <v>46096</v>
      </c>
      <c r="M506" s="50" t="s">
        <v>353</v>
      </c>
      <c r="N506" s="50" t="s">
        <v>253</v>
      </c>
      <c r="O506" s="50"/>
      <c r="P506" s="50"/>
      <c r="Q506" s="50" t="s">
        <v>362</v>
      </c>
    </row>
    <row r="507" customFormat="false" ht="15" hidden="false" customHeight="true" outlineLevel="0" collapsed="false">
      <c r="A507" s="51" t="s">
        <v>720</v>
      </c>
      <c r="B507" s="50" t="str">
        <f aca="false">IFERROR(VLOOKUP($A507,Equipos!$C$2:$M$967,2,FALSE()),"")</f>
        <v>Monitor Multiparámetros</v>
      </c>
      <c r="C507" s="50" t="str">
        <f aca="false">IFERROR(VLOOKUP($A507,Equipos!$C$2:$M$967,9,FALSE()),"")</f>
        <v>02922.</v>
      </c>
      <c r="D507" s="50" t="str">
        <f aca="false">IFERROR(VLOOKUP($A507,Equipos!$C$2:$M$967,3,FALSE()),"")</f>
        <v>Hemato Oncología Adulto</v>
      </c>
      <c r="E507" s="50" t="str">
        <f aca="false">IFERROR(VLOOKUP($A507,Equipos!$C$2:$M$967,7,FALSE()),"")</f>
        <v>Nihon Kohden </v>
      </c>
      <c r="F507" s="50" t="str">
        <f aca="false">IFERROR(VLOOKUP($A507,Equipos!$C$2:$M$967,8,FALSE()),"")</f>
        <v>PVM-4763K</v>
      </c>
      <c r="G507" s="50" t="s">
        <v>691</v>
      </c>
      <c r="H507" s="50" t="s">
        <v>360</v>
      </c>
      <c r="I507" s="50"/>
      <c r="J507" s="50" t="s">
        <v>364</v>
      </c>
      <c r="K507" s="50" t="str">
        <f aca="false">IFERROR(VLOOKUP($J507,Catálogos!$M$4:$N$17,2,FALSE()),"")</f>
        <v>Reprogramada · No disponibilidad de horas hombre del funcionario SEC por alta carga laboral</v>
      </c>
      <c r="L507" s="52" t="n">
        <v>46096</v>
      </c>
      <c r="M507" s="50" t="s">
        <v>353</v>
      </c>
      <c r="N507" s="50" t="s">
        <v>253</v>
      </c>
      <c r="O507" s="50"/>
      <c r="P507" s="50"/>
      <c r="Q507" s="50" t="s">
        <v>362</v>
      </c>
    </row>
    <row r="508" customFormat="false" ht="15" hidden="false" customHeight="true" outlineLevel="0" collapsed="false">
      <c r="A508" s="51" t="s">
        <v>721</v>
      </c>
      <c r="B508" s="50" t="str">
        <f aca="false">IFERROR(VLOOKUP($A508,Equipos!$C$2:$M$967,2,FALSE()),"")</f>
        <v>Monitor Multiparámetros</v>
      </c>
      <c r="C508" s="50" t="str">
        <f aca="false">IFERROR(VLOOKUP($A508,Equipos!$C$2:$M$967,9,FALSE()),"")</f>
        <v>2915</v>
      </c>
      <c r="D508" s="50" t="str">
        <f aca="false">IFERROR(VLOOKUP($A508,Equipos!$C$2:$M$967,3,FALSE()),"")</f>
        <v>Hemato Oncología Adulto</v>
      </c>
      <c r="E508" s="50" t="str">
        <f aca="false">IFERROR(VLOOKUP($A508,Equipos!$C$2:$M$967,7,FALSE()),"")</f>
        <v>Nihon Kohden </v>
      </c>
      <c r="F508" s="50" t="str">
        <f aca="false">IFERROR(VLOOKUP($A508,Equipos!$C$2:$M$967,8,FALSE()),"")</f>
        <v>PVM-4763K</v>
      </c>
      <c r="G508" s="50" t="s">
        <v>691</v>
      </c>
      <c r="H508" s="50" t="s">
        <v>360</v>
      </c>
      <c r="I508" s="50"/>
      <c r="J508" s="50" t="s">
        <v>332</v>
      </c>
      <c r="K508" s="50" t="str">
        <f aca="false">IFERROR(VLOOKUP($J508,Catálogos!$M$4:$N$17,2,FALSE()),"")</f>
        <v>Reprogramada · Equipo en servicio técnico</v>
      </c>
      <c r="L508" s="52" t="n">
        <v>46096</v>
      </c>
      <c r="M508" s="50" t="s">
        <v>6</v>
      </c>
      <c r="N508" s="50" t="s">
        <v>253</v>
      </c>
      <c r="O508" s="50"/>
      <c r="P508" s="50"/>
      <c r="Q508" s="50" t="s">
        <v>362</v>
      </c>
    </row>
    <row r="509" customFormat="false" ht="15" hidden="false" customHeight="true" outlineLevel="0" collapsed="false">
      <c r="A509" s="51" t="s">
        <v>516</v>
      </c>
      <c r="B509" s="50" t="str">
        <f aca="false">IFERROR(VLOOKUP($A509,Equipos!$C$2:$M$967,2,FALSE()),"")</f>
        <v>Monitor Multiparámetros</v>
      </c>
      <c r="C509" s="50" t="str">
        <f aca="false">IFERROR(VLOOKUP($A509,Equipos!$C$2:$M$967,9,FALSE()),"")</f>
        <v>2731</v>
      </c>
      <c r="D509" s="50" t="str">
        <f aca="false">IFERROR(VLOOKUP($A509,Equipos!$C$2:$M$967,3,FALSE()),"")</f>
        <v>Hemato Oncología Adulto</v>
      </c>
      <c r="E509" s="50" t="str">
        <f aca="false">IFERROR(VLOOKUP($A509,Equipos!$C$2:$M$967,7,FALSE()),"")</f>
        <v>Nihon Kohden </v>
      </c>
      <c r="F509" s="50" t="str">
        <f aca="false">IFERROR(VLOOKUP($A509,Equipos!$C$2:$M$967,8,FALSE()),"")</f>
        <v>PVM-4763K</v>
      </c>
      <c r="G509" s="50" t="s">
        <v>691</v>
      </c>
      <c r="H509" s="50" t="s">
        <v>360</v>
      </c>
      <c r="I509" s="50"/>
      <c r="J509" s="50" t="s">
        <v>332</v>
      </c>
      <c r="K509" s="50" t="str">
        <f aca="false">IFERROR(VLOOKUP($J509,Catálogos!$M$4:$N$17,2,FALSE()),"")</f>
        <v>Reprogramada · Equipo en servicio técnico</v>
      </c>
      <c r="L509" s="52" t="n">
        <v>46096</v>
      </c>
      <c r="M509" s="50" t="s">
        <v>6</v>
      </c>
      <c r="N509" s="50" t="s">
        <v>253</v>
      </c>
      <c r="O509" s="50"/>
      <c r="P509" s="50"/>
      <c r="Q509" s="50" t="s">
        <v>362</v>
      </c>
    </row>
    <row r="510" customFormat="false" ht="15" hidden="false" customHeight="true" outlineLevel="0" collapsed="false">
      <c r="A510" s="51" t="s">
        <v>722</v>
      </c>
      <c r="B510" s="50" t="str">
        <f aca="false">IFERROR(VLOOKUP($A510,Equipos!$C$2:$M$967,2,FALSE()),"")</f>
        <v>Monitor Multiparámetros</v>
      </c>
      <c r="C510" s="50" t="str">
        <f aca="false">IFERROR(VLOOKUP($A510,Equipos!$C$2:$M$967,9,FALSE()),"")</f>
        <v>2943</v>
      </c>
      <c r="D510" s="50" t="str">
        <f aca="false">IFERROR(VLOOKUP($A510,Equipos!$C$2:$M$967,3,FALSE()),"")</f>
        <v>Hemato Oncología Adulto</v>
      </c>
      <c r="E510" s="50" t="str">
        <f aca="false">IFERROR(VLOOKUP($A510,Equipos!$C$2:$M$967,7,FALSE()),"")</f>
        <v>Nihon Kohden </v>
      </c>
      <c r="F510" s="50" t="str">
        <f aca="false">IFERROR(VLOOKUP($A510,Equipos!$C$2:$M$967,8,FALSE()),"")</f>
        <v>PVM-4763K</v>
      </c>
      <c r="G510" s="50" t="s">
        <v>691</v>
      </c>
      <c r="H510" s="50" t="s">
        <v>360</v>
      </c>
      <c r="I510" s="50"/>
      <c r="J510" s="50" t="s">
        <v>364</v>
      </c>
      <c r="K510" s="50" t="str">
        <f aca="false">IFERROR(VLOOKUP($J510,Catálogos!$M$4:$N$17,2,FALSE()),"")</f>
        <v>Reprogramada · No disponibilidad de horas hombre del funcionario SEC por alta carga laboral</v>
      </c>
      <c r="L510" s="52" t="n">
        <v>46096</v>
      </c>
      <c r="M510" s="50" t="s">
        <v>353</v>
      </c>
      <c r="N510" s="50" t="s">
        <v>253</v>
      </c>
      <c r="O510" s="50"/>
      <c r="P510" s="50"/>
      <c r="Q510" s="50" t="s">
        <v>362</v>
      </c>
    </row>
    <row r="511" customFormat="false" ht="15" hidden="false" customHeight="true" outlineLevel="0" collapsed="false">
      <c r="A511" s="51" t="s">
        <v>518</v>
      </c>
      <c r="B511" s="50" t="str">
        <f aca="false">IFERROR(VLOOKUP($A511,Equipos!$C$2:$M$967,2,FALSE()),"")</f>
        <v>Monitor Multiparámetros</v>
      </c>
      <c r="C511" s="50" t="str">
        <f aca="false">IFERROR(VLOOKUP($A511,Equipos!$C$2:$M$967,9,FALSE()),"")</f>
        <v>DGM40023</v>
      </c>
      <c r="D511" s="50" t="str">
        <f aca="false">IFERROR(VLOOKUP($A511,Equipos!$C$2:$M$967,3,FALSE()),"")</f>
        <v>Medicina (Prestado a medicina cardiovascular)</v>
      </c>
      <c r="E511" s="50" t="str">
        <f aca="false">IFERROR(VLOOKUP($A511,Equipos!$C$2:$M$967,7,FALSE()),"")</f>
        <v>Bistos</v>
      </c>
      <c r="F511" s="50" t="str">
        <f aca="false">IFERROR(VLOOKUP($A511,Equipos!$C$2:$M$967,8,FALSE()),"")</f>
        <v>BT-770</v>
      </c>
      <c r="G511" s="50" t="s">
        <v>691</v>
      </c>
      <c r="H511" s="50" t="s">
        <v>360</v>
      </c>
      <c r="I511" s="50"/>
      <c r="J511" s="50" t="s">
        <v>352</v>
      </c>
      <c r="K511" s="50" t="str">
        <f aca="false">IFERROR(VLOOKUP($J511,Catálogos!$M$4:$N$17,2,FALSE()),"")</f>
        <v>Mantención Preventiva Realizada</v>
      </c>
      <c r="L511" s="52" t="n">
        <v>46096</v>
      </c>
      <c r="M511" s="50" t="s">
        <v>353</v>
      </c>
      <c r="N511" s="50" t="s">
        <v>253</v>
      </c>
      <c r="O511" s="50"/>
      <c r="P511" s="50"/>
      <c r="Q511" s="50" t="s">
        <v>362</v>
      </c>
    </row>
    <row r="512" customFormat="false" ht="15" hidden="false" customHeight="true" outlineLevel="0" collapsed="false">
      <c r="A512" s="51" t="s">
        <v>519</v>
      </c>
      <c r="B512" s="50" t="str">
        <f aca="false">IFERROR(VLOOKUP($A512,Equipos!$C$2:$M$967,2,FALSE()),"")</f>
        <v>Monitor Multiparámetros</v>
      </c>
      <c r="C512" s="50" t="str">
        <f aca="false">IFERROR(VLOOKUP($A512,Equipos!$C$2:$M$967,9,FALSE()),"")</f>
        <v>DGM40042</v>
      </c>
      <c r="D512" s="50" t="str">
        <f aca="false">IFERROR(VLOOKUP($A512,Equipos!$C$2:$M$967,3,FALSE()),"")</f>
        <v>Medicina (Prestado a medicina cardiovascular)</v>
      </c>
      <c r="E512" s="50" t="str">
        <f aca="false">IFERROR(VLOOKUP($A512,Equipos!$C$2:$M$967,7,FALSE()),"")</f>
        <v>Bistos</v>
      </c>
      <c r="F512" s="50" t="str">
        <f aca="false">IFERROR(VLOOKUP($A512,Equipos!$C$2:$M$967,8,FALSE()),"")</f>
        <v>BT-770</v>
      </c>
      <c r="G512" s="50" t="s">
        <v>691</v>
      </c>
      <c r="H512" s="50" t="s">
        <v>360</v>
      </c>
      <c r="I512" s="50"/>
      <c r="J512" s="50" t="s">
        <v>352</v>
      </c>
      <c r="K512" s="50" t="str">
        <f aca="false">IFERROR(VLOOKUP($J512,Catálogos!$M$4:$N$17,2,FALSE()),"")</f>
        <v>Mantención Preventiva Realizada</v>
      </c>
      <c r="L512" s="52" t="n">
        <v>46096</v>
      </c>
      <c r="M512" s="50" t="s">
        <v>353</v>
      </c>
      <c r="N512" s="50" t="s">
        <v>253</v>
      </c>
      <c r="O512" s="50"/>
      <c r="P512" s="50"/>
      <c r="Q512" s="50" t="s">
        <v>362</v>
      </c>
    </row>
    <row r="513" customFormat="false" ht="15" hidden="false" customHeight="true" outlineLevel="0" collapsed="false">
      <c r="A513" s="51" t="s">
        <v>723</v>
      </c>
      <c r="B513" s="50" t="str">
        <f aca="false">IFERROR(VLOOKUP($A513,Equipos!$C$2:$M$967,2,FALSE()),"")</f>
        <v>Monitor Multiparámetros</v>
      </c>
      <c r="C513" s="50" t="str">
        <f aca="false">IFERROR(VLOOKUP($A513,Equipos!$C$2:$M$967,9,FALSE()),"")</f>
        <v>DGM40018</v>
      </c>
      <c r="D513" s="50" t="str">
        <f aca="false">IFERROR(VLOOKUP($A513,Equipos!$C$2:$M$967,3,FALSE()),"")</f>
        <v>Endoscopía</v>
      </c>
      <c r="E513" s="50" t="str">
        <f aca="false">IFERROR(VLOOKUP($A513,Equipos!$C$2:$M$967,7,FALSE()),"")</f>
        <v>Bistos</v>
      </c>
      <c r="F513" s="50" t="str">
        <f aca="false">IFERROR(VLOOKUP($A513,Equipos!$C$2:$M$967,8,FALSE()),"")</f>
        <v>BT-770</v>
      </c>
      <c r="G513" s="50" t="s">
        <v>691</v>
      </c>
      <c r="H513" s="50" t="s">
        <v>360</v>
      </c>
      <c r="I513" s="50"/>
      <c r="J513" s="50" t="s">
        <v>364</v>
      </c>
      <c r="K513" s="50" t="str">
        <f aca="false">IFERROR(VLOOKUP($J513,Catálogos!$M$4:$N$17,2,FALSE()),"")</f>
        <v>Reprogramada · No disponibilidad de horas hombre del funcionario SEC por alta carga laboral</v>
      </c>
      <c r="L513" s="52" t="n">
        <v>46096</v>
      </c>
      <c r="M513" s="50" t="s">
        <v>353</v>
      </c>
      <c r="N513" s="50" t="s">
        <v>253</v>
      </c>
      <c r="O513" s="50"/>
      <c r="P513" s="50"/>
      <c r="Q513" s="50" t="s">
        <v>362</v>
      </c>
    </row>
    <row r="514" customFormat="false" ht="15" hidden="false" customHeight="true" outlineLevel="0" collapsed="false">
      <c r="A514" s="51" t="s">
        <v>724</v>
      </c>
      <c r="B514" s="50" t="str">
        <f aca="false">IFERROR(VLOOKUP($A514,Equipos!$C$2:$M$967,2,FALSE()),"")</f>
        <v>Monitor Multiparámetros</v>
      </c>
      <c r="C514" s="50" t="str">
        <f aca="false">IFERROR(VLOOKUP($A514,Equipos!$C$2:$M$967,9,FALSE()),"")</f>
        <v>DGM40020</v>
      </c>
      <c r="D514" s="50" t="str">
        <f aca="false">IFERROR(VLOOKUP($A514,Equipos!$C$2:$M$967,3,FALSE()),"")</f>
        <v>Endoscopía</v>
      </c>
      <c r="E514" s="50" t="str">
        <f aca="false">IFERROR(VLOOKUP($A514,Equipos!$C$2:$M$967,7,FALSE()),"")</f>
        <v>Bistos</v>
      </c>
      <c r="F514" s="50" t="str">
        <f aca="false">IFERROR(VLOOKUP($A514,Equipos!$C$2:$M$967,8,FALSE()),"")</f>
        <v>BT-770</v>
      </c>
      <c r="G514" s="50" t="s">
        <v>691</v>
      </c>
      <c r="H514" s="50" t="s">
        <v>360</v>
      </c>
      <c r="I514" s="50"/>
      <c r="J514" s="50" t="s">
        <v>364</v>
      </c>
      <c r="K514" s="50" t="str">
        <f aca="false">IFERROR(VLOOKUP($J514,Catálogos!$M$4:$N$17,2,FALSE()),"")</f>
        <v>Reprogramada · No disponibilidad de horas hombre del funcionario SEC por alta carga laboral</v>
      </c>
      <c r="L514" s="52" t="n">
        <v>46096</v>
      </c>
      <c r="M514" s="50" t="s">
        <v>353</v>
      </c>
      <c r="N514" s="50" t="s">
        <v>253</v>
      </c>
      <c r="O514" s="50"/>
      <c r="P514" s="50"/>
      <c r="Q514" s="50" t="s">
        <v>362</v>
      </c>
    </row>
    <row r="515" customFormat="false" ht="15" hidden="false" customHeight="true" outlineLevel="0" collapsed="false">
      <c r="A515" s="51" t="s">
        <v>537</v>
      </c>
      <c r="B515" s="50" t="str">
        <f aca="false">IFERROR(VLOOKUP($A515,Equipos!$C$2:$M$967,2,FALSE()),"")</f>
        <v>Monitor Multiparámetros</v>
      </c>
      <c r="C515" s="50" t="str">
        <f aca="false">IFERROR(VLOOKUP($A515,Equipos!$C$2:$M$967,9,FALSE()),"")</f>
        <v>DGL70652</v>
      </c>
      <c r="D515" s="50" t="str">
        <f aca="false">IFERROR(VLOOKUP($A515,Equipos!$C$2:$M$967,3,FALSE()),"")</f>
        <v>Hospitalización Domiciliaria</v>
      </c>
      <c r="E515" s="50" t="str">
        <f aca="false">IFERROR(VLOOKUP($A515,Equipos!$C$2:$M$967,7,FALSE()),"")</f>
        <v>Bistos</v>
      </c>
      <c r="F515" s="50" t="str">
        <f aca="false">IFERROR(VLOOKUP($A515,Equipos!$C$2:$M$967,8,FALSE()),"")</f>
        <v>BT-770</v>
      </c>
      <c r="G515" s="50" t="s">
        <v>691</v>
      </c>
      <c r="H515" s="50" t="s">
        <v>360</v>
      </c>
      <c r="I515" s="50"/>
      <c r="J515" s="50" t="s">
        <v>352</v>
      </c>
      <c r="K515" s="50" t="str">
        <f aca="false">IFERROR(VLOOKUP($J515,Catálogos!$M$4:$N$17,2,FALSE()),"")</f>
        <v>Mantención Preventiva Realizada</v>
      </c>
      <c r="L515" s="52" t="n">
        <v>46096</v>
      </c>
      <c r="M515" s="50" t="s">
        <v>353</v>
      </c>
      <c r="N515" s="50" t="s">
        <v>253</v>
      </c>
      <c r="O515" s="50"/>
      <c r="P515" s="50"/>
      <c r="Q515" s="50" t="s">
        <v>362</v>
      </c>
    </row>
    <row r="516" customFormat="false" ht="15" hidden="false" customHeight="true" outlineLevel="0" collapsed="false">
      <c r="A516" s="51" t="s">
        <v>539</v>
      </c>
      <c r="B516" s="50" t="str">
        <f aca="false">IFERROR(VLOOKUP($A516,Equipos!$C$2:$M$967,2,FALSE()),"")</f>
        <v>Monitor Multiparámetros</v>
      </c>
      <c r="C516" s="50" t="str">
        <f aca="false">IFERROR(VLOOKUP($A516,Equipos!$C$2:$M$967,9,FALSE()),"")</f>
        <v>DGL70650</v>
      </c>
      <c r="D516" s="50" t="str">
        <f aca="false">IFERROR(VLOOKUP($A516,Equipos!$C$2:$M$967,3,FALSE()),"")</f>
        <v>Medicina (Prestado a medicina cardiovascular)</v>
      </c>
      <c r="E516" s="50" t="str">
        <f aca="false">IFERROR(VLOOKUP($A516,Equipos!$C$2:$M$967,7,FALSE()),"")</f>
        <v>Bistos</v>
      </c>
      <c r="F516" s="50" t="str">
        <f aca="false">IFERROR(VLOOKUP($A516,Equipos!$C$2:$M$967,8,FALSE()),"")</f>
        <v>BT-770</v>
      </c>
      <c r="G516" s="50" t="s">
        <v>691</v>
      </c>
      <c r="H516" s="50" t="s">
        <v>360</v>
      </c>
      <c r="I516" s="50"/>
      <c r="J516" s="50" t="s">
        <v>352</v>
      </c>
      <c r="K516" s="50" t="str">
        <f aca="false">IFERROR(VLOOKUP($J516,Catálogos!$M$4:$N$17,2,FALSE()),"")</f>
        <v>Mantención Preventiva Realizada</v>
      </c>
      <c r="L516" s="52" t="n">
        <v>46096</v>
      </c>
      <c r="M516" s="50" t="s">
        <v>353</v>
      </c>
      <c r="N516" s="50" t="s">
        <v>253</v>
      </c>
      <c r="O516" s="50"/>
      <c r="P516" s="50"/>
      <c r="Q516" s="50" t="s">
        <v>362</v>
      </c>
    </row>
    <row r="517" customFormat="false" ht="15" hidden="false" customHeight="true" outlineLevel="0" collapsed="false">
      <c r="A517" s="51" t="s">
        <v>545</v>
      </c>
      <c r="B517" s="50" t="str">
        <f aca="false">IFERROR(VLOOKUP($A517,Equipos!$C$2:$M$967,2,FALSE()),"")</f>
        <v>Monitor Multiparámetros</v>
      </c>
      <c r="C517" s="50" t="str">
        <f aca="false">IFERROR(VLOOKUP($A517,Equipos!$C$2:$M$967,9,FALSE()),"")</f>
        <v>DGL70658</v>
      </c>
      <c r="D517" s="50" t="str">
        <f aca="false">IFERROR(VLOOKUP($A517,Equipos!$C$2:$M$967,3,FALSE()),"")</f>
        <v>Medicina (Prestado a medicina cardiovascular)</v>
      </c>
      <c r="E517" s="50" t="str">
        <f aca="false">IFERROR(VLOOKUP($A517,Equipos!$C$2:$M$967,7,FALSE()),"")</f>
        <v>Bistos</v>
      </c>
      <c r="F517" s="50" t="str">
        <f aca="false">IFERROR(VLOOKUP($A517,Equipos!$C$2:$M$967,8,FALSE()),"")</f>
        <v>BT-770</v>
      </c>
      <c r="G517" s="50" t="s">
        <v>691</v>
      </c>
      <c r="H517" s="50" t="s">
        <v>360</v>
      </c>
      <c r="I517" s="50"/>
      <c r="J517" s="50" t="s">
        <v>352</v>
      </c>
      <c r="K517" s="50" t="str">
        <f aca="false">IFERROR(VLOOKUP($J517,Catálogos!$M$4:$N$17,2,FALSE()),"")</f>
        <v>Mantención Preventiva Realizada</v>
      </c>
      <c r="L517" s="52" t="n">
        <v>46096</v>
      </c>
      <c r="M517" s="50" t="s">
        <v>353</v>
      </c>
      <c r="N517" s="50" t="s">
        <v>253</v>
      </c>
      <c r="O517" s="50"/>
      <c r="P517" s="50"/>
      <c r="Q517" s="50" t="s">
        <v>362</v>
      </c>
    </row>
    <row r="518" customFormat="false" ht="15" hidden="false" customHeight="true" outlineLevel="0" collapsed="false">
      <c r="A518" s="51" t="s">
        <v>553</v>
      </c>
      <c r="B518" s="50" t="str">
        <f aca="false">IFERROR(VLOOKUP($A518,Equipos!$C$2:$M$967,2,FALSE()),"")</f>
        <v>Monitor Multiparámetros</v>
      </c>
      <c r="C518" s="50" t="str">
        <f aca="false">IFERROR(VLOOKUP($A518,Equipos!$C$2:$M$967,9,FALSE()),"")</f>
        <v>DGLC0118</v>
      </c>
      <c r="D518" s="50" t="str">
        <f aca="false">IFERROR(VLOOKUP($A518,Equipos!$C$2:$M$967,3,FALSE()),"")</f>
        <v>Medicina (Prestado a medicina cardiovascular)</v>
      </c>
      <c r="E518" s="50" t="str">
        <f aca="false">IFERROR(VLOOKUP($A518,Equipos!$C$2:$M$967,7,FALSE()),"")</f>
        <v>Bistos</v>
      </c>
      <c r="F518" s="50" t="str">
        <f aca="false">IFERROR(VLOOKUP($A518,Equipos!$C$2:$M$967,8,FALSE()),"")</f>
        <v>BT-770</v>
      </c>
      <c r="G518" s="50" t="s">
        <v>691</v>
      </c>
      <c r="H518" s="50" t="s">
        <v>360</v>
      </c>
      <c r="I518" s="50"/>
      <c r="J518" s="50" t="s">
        <v>352</v>
      </c>
      <c r="K518" s="50" t="str">
        <f aca="false">IFERROR(VLOOKUP($J518,Catálogos!$M$4:$N$17,2,FALSE()),"")</f>
        <v>Mantención Preventiva Realizada</v>
      </c>
      <c r="L518" s="52" t="n">
        <v>46096</v>
      </c>
      <c r="M518" s="50" t="s">
        <v>353</v>
      </c>
      <c r="N518" s="50" t="s">
        <v>253</v>
      </c>
      <c r="O518" s="50"/>
      <c r="P518" s="50"/>
      <c r="Q518" s="50" t="s">
        <v>362</v>
      </c>
    </row>
    <row r="519" customFormat="false" ht="15" hidden="false" customHeight="true" outlineLevel="0" collapsed="false">
      <c r="A519" s="51" t="s">
        <v>554</v>
      </c>
      <c r="B519" s="50" t="str">
        <f aca="false">IFERROR(VLOOKUP($A519,Equipos!$C$2:$M$967,2,FALSE()),"")</f>
        <v>Monitor Multiparámetros</v>
      </c>
      <c r="C519" s="50" t="str">
        <f aca="false">IFERROR(VLOOKUP($A519,Equipos!$C$2:$M$967,9,FALSE()),"")</f>
        <v>DGLC0121</v>
      </c>
      <c r="D519" s="50" t="str">
        <f aca="false">IFERROR(VLOOKUP($A519,Equipos!$C$2:$M$967,3,FALSE()),"")</f>
        <v>Medicina (Prestado a medicina cardiovascular)</v>
      </c>
      <c r="E519" s="50" t="str">
        <f aca="false">IFERROR(VLOOKUP($A519,Equipos!$C$2:$M$967,7,FALSE()),"")</f>
        <v>Bistos</v>
      </c>
      <c r="F519" s="50" t="str">
        <f aca="false">IFERROR(VLOOKUP($A519,Equipos!$C$2:$M$967,8,FALSE()),"")</f>
        <v>BT-770</v>
      </c>
      <c r="G519" s="50" t="s">
        <v>691</v>
      </c>
      <c r="H519" s="50" t="s">
        <v>360</v>
      </c>
      <c r="I519" s="50"/>
      <c r="J519" s="50" t="s">
        <v>352</v>
      </c>
      <c r="K519" s="50" t="str">
        <f aca="false">IFERROR(VLOOKUP($J519,Catálogos!$M$4:$N$17,2,FALSE()),"")</f>
        <v>Mantención Preventiva Realizada</v>
      </c>
      <c r="L519" s="52" t="n">
        <v>46096</v>
      </c>
      <c r="M519" s="50" t="s">
        <v>353</v>
      </c>
      <c r="N519" s="50" t="s">
        <v>253</v>
      </c>
      <c r="O519" s="50"/>
      <c r="P519" s="50"/>
      <c r="Q519" s="50" t="s">
        <v>362</v>
      </c>
    </row>
    <row r="520" customFormat="false" ht="15" hidden="false" customHeight="true" outlineLevel="0" collapsed="false">
      <c r="A520" s="51" t="s">
        <v>558</v>
      </c>
      <c r="B520" s="50" t="str">
        <f aca="false">IFERROR(VLOOKUP($A520,Equipos!$C$2:$M$967,2,FALSE()),"")</f>
        <v>Monitor Multiparámetros</v>
      </c>
      <c r="C520" s="50" t="str">
        <f aca="false">IFERROR(VLOOKUP($A520,Equipos!$C$2:$M$967,9,FALSE()),"")</f>
        <v>261594-M21407240024</v>
      </c>
      <c r="D520" s="50" t="str">
        <f aca="false">IFERROR(VLOOKUP($A520,Equipos!$C$2:$M$967,3,FALSE()),"")</f>
        <v>Medicina (Prestado a medicina cardiovascular)</v>
      </c>
      <c r="E520" s="50" t="str">
        <f aca="false">IFERROR(VLOOKUP($A520,Equipos!$C$2:$M$967,7,FALSE()),"")</f>
        <v>EDAN</v>
      </c>
      <c r="F520" s="50" t="str">
        <f aca="false">IFERROR(VLOOKUP($A520,Equipos!$C$2:$M$967,8,FALSE()),"")</f>
        <v>X12</v>
      </c>
      <c r="G520" s="50" t="s">
        <v>691</v>
      </c>
      <c r="H520" s="50" t="s">
        <v>360</v>
      </c>
      <c r="I520" s="50"/>
      <c r="J520" s="50" t="s">
        <v>352</v>
      </c>
      <c r="K520" s="50" t="str">
        <f aca="false">IFERROR(VLOOKUP($J520,Catálogos!$M$4:$N$17,2,FALSE()),"")</f>
        <v>Mantención Preventiva Realizada</v>
      </c>
      <c r="L520" s="52" t="n">
        <v>46096</v>
      </c>
      <c r="M520" s="50" t="s">
        <v>353</v>
      </c>
      <c r="N520" s="50" t="s">
        <v>253</v>
      </c>
      <c r="O520" s="50"/>
      <c r="P520" s="50"/>
      <c r="Q520" s="50" t="s">
        <v>362</v>
      </c>
    </row>
    <row r="521" customFormat="false" ht="15" hidden="false" customHeight="true" outlineLevel="0" collapsed="false">
      <c r="A521" s="51" t="s">
        <v>563</v>
      </c>
      <c r="B521" s="50" t="str">
        <f aca="false">IFERROR(VLOOKUP($A521,Equipos!$C$2:$M$967,2,FALSE()),"")</f>
        <v>Monitor Multiparámetros</v>
      </c>
      <c r="C521" s="50" t="str">
        <f aca="false">IFERROR(VLOOKUP($A521,Equipos!$C$2:$M$967,9,FALSE()),"")</f>
        <v>261594-M21406070014</v>
      </c>
      <c r="D521" s="50" t="str">
        <f aca="false">IFERROR(VLOOKUP($A521,Equipos!$C$2:$M$967,3,FALSE()),"")</f>
        <v>Medicina</v>
      </c>
      <c r="E521" s="50" t="str">
        <f aca="false">IFERROR(VLOOKUP($A521,Equipos!$C$2:$M$967,7,FALSE()),"")</f>
        <v>EDAN</v>
      </c>
      <c r="F521" s="50" t="str">
        <f aca="false">IFERROR(VLOOKUP($A521,Equipos!$C$2:$M$967,8,FALSE()),"")</f>
        <v>X12</v>
      </c>
      <c r="G521" s="50" t="s">
        <v>691</v>
      </c>
      <c r="H521" s="50" t="s">
        <v>360</v>
      </c>
      <c r="I521" s="50"/>
      <c r="J521" s="50" t="s">
        <v>352</v>
      </c>
      <c r="K521" s="50" t="str">
        <f aca="false">IFERROR(VLOOKUP($J521,Catálogos!$M$4:$N$17,2,FALSE()),"")</f>
        <v>Mantención Preventiva Realizada</v>
      </c>
      <c r="L521" s="52" t="n">
        <v>46096</v>
      </c>
      <c r="M521" s="50" t="s">
        <v>353</v>
      </c>
      <c r="N521" s="50" t="s">
        <v>253</v>
      </c>
      <c r="O521" s="50"/>
      <c r="P521" s="50"/>
      <c r="Q521" s="50" t="s">
        <v>362</v>
      </c>
    </row>
    <row r="522" customFormat="false" ht="15" hidden="false" customHeight="true" outlineLevel="0" collapsed="false">
      <c r="A522" s="51" t="s">
        <v>725</v>
      </c>
      <c r="B522" s="50" t="str">
        <f aca="false">IFERROR(VLOOKUP($A522,Equipos!$C$2:$M$967,2,FALSE()),"")</f>
        <v>Monitor Multiparámetros</v>
      </c>
      <c r="C522" s="50" t="str">
        <f aca="false">IFERROR(VLOOKUP($A522,Equipos!$C$2:$M$967,9,FALSE()),"")</f>
        <v>3318</v>
      </c>
      <c r="D522" s="50" t="str">
        <f aca="false">IFERROR(VLOOKUP($A522,Equipos!$C$2:$M$967,3,FALSE()),"")</f>
        <v>Urgencia Adulto</v>
      </c>
      <c r="E522" s="50" t="str">
        <f aca="false">IFERROR(VLOOKUP($A522,Equipos!$C$2:$M$967,7,FALSE()),"")</f>
        <v>Nihon Kohden </v>
      </c>
      <c r="F522" s="50" t="str">
        <f aca="false">IFERROR(VLOOKUP($A522,Equipos!$C$2:$M$967,8,FALSE()),"")</f>
        <v>PVM-4763</v>
      </c>
      <c r="G522" s="50" t="s">
        <v>691</v>
      </c>
      <c r="H522" s="50" t="s">
        <v>360</v>
      </c>
      <c r="I522" s="50"/>
      <c r="J522" s="50" t="s">
        <v>352</v>
      </c>
      <c r="K522" s="50" t="str">
        <f aca="false">IFERROR(VLOOKUP($J522,Catálogos!$M$4:$N$17,2,FALSE()),"")</f>
        <v>Mantención Preventiva Realizada</v>
      </c>
      <c r="L522" s="52" t="n">
        <v>46096</v>
      </c>
      <c r="M522" s="50" t="s">
        <v>353</v>
      </c>
      <c r="N522" s="50" t="s">
        <v>253</v>
      </c>
      <c r="O522" s="50"/>
      <c r="P522" s="50"/>
      <c r="Q522" s="50" t="s">
        <v>362</v>
      </c>
    </row>
    <row r="523" customFormat="false" ht="15" hidden="false" customHeight="true" outlineLevel="0" collapsed="false">
      <c r="A523" s="51" t="s">
        <v>726</v>
      </c>
      <c r="B523" s="50" t="str">
        <f aca="false">IFERROR(VLOOKUP($A523,Equipos!$C$2:$M$967,2,FALSE()),"")</f>
        <v>Monitor Multiparámetros</v>
      </c>
      <c r="C523" s="50" t="str">
        <f aca="false">IFERROR(VLOOKUP($A523,Equipos!$C$2:$M$967,9,FALSE()),"")</f>
        <v>3326</v>
      </c>
      <c r="D523" s="50" t="str">
        <f aca="false">IFERROR(VLOOKUP($A523,Equipos!$C$2:$M$967,3,FALSE()),"")</f>
        <v>Urgencia Adulto</v>
      </c>
      <c r="E523" s="50" t="str">
        <f aca="false">IFERROR(VLOOKUP($A523,Equipos!$C$2:$M$967,7,FALSE()),"")</f>
        <v>Nihon Kohden </v>
      </c>
      <c r="F523" s="50" t="str">
        <f aca="false">IFERROR(VLOOKUP($A523,Equipos!$C$2:$M$967,8,FALSE()),"")</f>
        <v>PVM-4763</v>
      </c>
      <c r="G523" s="50" t="s">
        <v>691</v>
      </c>
      <c r="H523" s="50" t="s">
        <v>360</v>
      </c>
      <c r="I523" s="50"/>
      <c r="J523" s="50" t="s">
        <v>352</v>
      </c>
      <c r="K523" s="50" t="str">
        <f aca="false">IFERROR(VLOOKUP($J523,Catálogos!$M$4:$N$17,2,FALSE()),"")</f>
        <v>Mantención Preventiva Realizada</v>
      </c>
      <c r="L523" s="52" t="n">
        <v>46096</v>
      </c>
      <c r="M523" s="50" t="s">
        <v>353</v>
      </c>
      <c r="N523" s="50" t="s">
        <v>253</v>
      </c>
      <c r="O523" s="50"/>
      <c r="P523" s="50"/>
      <c r="Q523" s="50" t="s">
        <v>362</v>
      </c>
    </row>
    <row r="524" customFormat="false" ht="15" hidden="false" customHeight="true" outlineLevel="0" collapsed="false">
      <c r="A524" s="51" t="s">
        <v>727</v>
      </c>
      <c r="B524" s="50" t="str">
        <f aca="false">IFERROR(VLOOKUP($A524,Equipos!$C$2:$M$967,2,FALSE()),"")</f>
        <v>Monitor Multiparámetros</v>
      </c>
      <c r="C524" s="50" t="str">
        <f aca="false">IFERROR(VLOOKUP($A524,Equipos!$C$2:$M$967,9,FALSE()),"")</f>
        <v>3319</v>
      </c>
      <c r="D524" s="50" t="str">
        <f aca="false">IFERROR(VLOOKUP($A524,Equipos!$C$2:$M$967,3,FALSE()),"")</f>
        <v>Urgencia Adulto</v>
      </c>
      <c r="E524" s="50" t="str">
        <f aca="false">IFERROR(VLOOKUP($A524,Equipos!$C$2:$M$967,7,FALSE()),"")</f>
        <v>Nihon Kohden </v>
      </c>
      <c r="F524" s="50" t="str">
        <f aca="false">IFERROR(VLOOKUP($A524,Equipos!$C$2:$M$967,8,FALSE()),"")</f>
        <v>PVM-4763</v>
      </c>
      <c r="G524" s="50" t="s">
        <v>691</v>
      </c>
      <c r="H524" s="50" t="s">
        <v>360</v>
      </c>
      <c r="I524" s="50"/>
      <c r="J524" s="50" t="s">
        <v>352</v>
      </c>
      <c r="K524" s="50" t="str">
        <f aca="false">IFERROR(VLOOKUP($J524,Catálogos!$M$4:$N$17,2,FALSE()),"")</f>
        <v>Mantención Preventiva Realizada</v>
      </c>
      <c r="L524" s="52" t="n">
        <v>46096</v>
      </c>
      <c r="M524" s="50" t="s">
        <v>353</v>
      </c>
      <c r="N524" s="50" t="s">
        <v>253</v>
      </c>
      <c r="O524" s="50"/>
      <c r="P524" s="50"/>
      <c r="Q524" s="50" t="s">
        <v>362</v>
      </c>
    </row>
    <row r="525" customFormat="false" ht="15" hidden="false" customHeight="true" outlineLevel="0" collapsed="false">
      <c r="A525" s="51" t="s">
        <v>728</v>
      </c>
      <c r="B525" s="50" t="str">
        <f aca="false">IFERROR(VLOOKUP($A525,Equipos!$C$2:$M$967,2,FALSE()),"")</f>
        <v>Monitor Multiparámetros</v>
      </c>
      <c r="C525" s="50" t="str">
        <f aca="false">IFERROR(VLOOKUP($A525,Equipos!$C$2:$M$967,9,FALSE()),"")</f>
        <v>VGSNE3830</v>
      </c>
      <c r="D525" s="50" t="str">
        <f aca="false">IFERROR(VLOOKUP($A525,Equipos!$C$2:$M$967,3,FALSE()),"")</f>
        <v>Urgencia Adulto</v>
      </c>
      <c r="E525" s="50" t="str">
        <f aca="false">IFERROR(VLOOKUP($A525,Equipos!$C$2:$M$967,7,FALSE()),"")</f>
        <v>Drager</v>
      </c>
      <c r="F525" s="50" t="str">
        <f aca="false">IFERROR(VLOOKUP($A525,Equipos!$C$2:$M$967,8,FALSE()),"")</f>
        <v>Vista 120</v>
      </c>
      <c r="G525" s="50" t="s">
        <v>691</v>
      </c>
      <c r="H525" s="50" t="s">
        <v>360</v>
      </c>
      <c r="I525" s="50"/>
      <c r="J525" s="50" t="s">
        <v>352</v>
      </c>
      <c r="K525" s="50" t="str">
        <f aca="false">IFERROR(VLOOKUP($J525,Catálogos!$M$4:$N$17,2,FALSE()),"")</f>
        <v>Mantención Preventiva Realizada</v>
      </c>
      <c r="L525" s="52" t="n">
        <v>46096</v>
      </c>
      <c r="M525" s="50" t="s">
        <v>353</v>
      </c>
      <c r="N525" s="50" t="s">
        <v>253</v>
      </c>
      <c r="O525" s="50"/>
      <c r="P525" s="50"/>
      <c r="Q525" s="50" t="s">
        <v>362</v>
      </c>
    </row>
    <row r="526" customFormat="false" ht="15" hidden="false" customHeight="true" outlineLevel="0" collapsed="false">
      <c r="A526" s="51" t="s">
        <v>729</v>
      </c>
      <c r="B526" s="50" t="str">
        <f aca="false">IFERROR(VLOOKUP($A526,Equipos!$C$2:$M$967,2,FALSE()),"")</f>
        <v>Monitor Multiparámetros</v>
      </c>
      <c r="C526" s="50" t="str">
        <f aca="false">IFERROR(VLOOKUP($A526,Equipos!$C$2:$M$967,9,FALSE()),"")</f>
        <v>VGSNE3864</v>
      </c>
      <c r="D526" s="50" t="str">
        <f aca="false">IFERROR(VLOOKUP($A526,Equipos!$C$2:$M$967,3,FALSE()),"")</f>
        <v>Urgencia Adulto</v>
      </c>
      <c r="E526" s="50" t="str">
        <f aca="false">IFERROR(VLOOKUP($A526,Equipos!$C$2:$M$967,7,FALSE()),"")</f>
        <v>Drager</v>
      </c>
      <c r="F526" s="50" t="str">
        <f aca="false">IFERROR(VLOOKUP($A526,Equipos!$C$2:$M$967,8,FALSE()),"")</f>
        <v>Vista 120</v>
      </c>
      <c r="G526" s="50" t="s">
        <v>691</v>
      </c>
      <c r="H526" s="50" t="s">
        <v>360</v>
      </c>
      <c r="I526" s="50"/>
      <c r="J526" s="50" t="s">
        <v>352</v>
      </c>
      <c r="K526" s="50" t="str">
        <f aca="false">IFERROR(VLOOKUP($J526,Catálogos!$M$4:$N$17,2,FALSE()),"")</f>
        <v>Mantención Preventiva Realizada</v>
      </c>
      <c r="L526" s="52" t="n">
        <v>46096</v>
      </c>
      <c r="M526" s="50" t="s">
        <v>353</v>
      </c>
      <c r="N526" s="50" t="s">
        <v>253</v>
      </c>
      <c r="O526" s="50"/>
      <c r="P526" s="50"/>
      <c r="Q526" s="50" t="s">
        <v>362</v>
      </c>
    </row>
    <row r="527" customFormat="false" ht="15" hidden="false" customHeight="true" outlineLevel="0" collapsed="false">
      <c r="A527" s="51" t="s">
        <v>730</v>
      </c>
      <c r="B527" s="50" t="str">
        <f aca="false">IFERROR(VLOOKUP($A527,Equipos!$C$2:$M$967,2,FALSE()),"")</f>
        <v>Monitor Multiparámetros</v>
      </c>
      <c r="C527" s="50" t="str">
        <f aca="false">IFERROR(VLOOKUP($A527,Equipos!$C$2:$M$967,9,FALSE()),"")</f>
        <v>VGSNE3877</v>
      </c>
      <c r="D527" s="50" t="str">
        <f aca="false">IFERROR(VLOOKUP($A527,Equipos!$C$2:$M$967,3,FALSE()),"")</f>
        <v>Urgencia Adulto</v>
      </c>
      <c r="E527" s="50" t="str">
        <f aca="false">IFERROR(VLOOKUP($A527,Equipos!$C$2:$M$967,7,FALSE()),"")</f>
        <v>Drager</v>
      </c>
      <c r="F527" s="50" t="str">
        <f aca="false">IFERROR(VLOOKUP($A527,Equipos!$C$2:$M$967,8,FALSE()),"")</f>
        <v>Vista 120</v>
      </c>
      <c r="G527" s="50" t="s">
        <v>691</v>
      </c>
      <c r="H527" s="50" t="s">
        <v>360</v>
      </c>
      <c r="I527" s="50"/>
      <c r="J527" s="50" t="s">
        <v>332</v>
      </c>
      <c r="K527" s="50" t="str">
        <f aca="false">IFERROR(VLOOKUP($J527,Catálogos!$M$4:$N$17,2,FALSE()),"")</f>
        <v>Reprogramada · Equipo en servicio técnico</v>
      </c>
      <c r="L527" s="52" t="n">
        <v>46096</v>
      </c>
      <c r="M527" s="50" t="s">
        <v>6</v>
      </c>
      <c r="N527" s="50" t="s">
        <v>253</v>
      </c>
      <c r="O527" s="50"/>
      <c r="P527" s="50"/>
      <c r="Q527" s="50" t="s">
        <v>362</v>
      </c>
    </row>
    <row r="528" customFormat="false" ht="15" hidden="false" customHeight="true" outlineLevel="0" collapsed="false">
      <c r="A528" s="51" t="s">
        <v>731</v>
      </c>
      <c r="B528" s="50" t="str">
        <f aca="false">IFERROR(VLOOKUP($A528,Equipos!$C$2:$M$967,2,FALSE()),"")</f>
        <v>Monitor Multiparámetros</v>
      </c>
      <c r="C528" s="50" t="str">
        <f aca="false">IFERROR(VLOOKUP($A528,Equipos!$C$2:$M$967,9,FALSE()),"")</f>
        <v>VGSNE3867</v>
      </c>
      <c r="D528" s="50" t="str">
        <f aca="false">IFERROR(VLOOKUP($A528,Equipos!$C$2:$M$967,3,FALSE()),"")</f>
        <v>Urgencia Adulto</v>
      </c>
      <c r="E528" s="50" t="str">
        <f aca="false">IFERROR(VLOOKUP($A528,Equipos!$C$2:$M$967,7,FALSE()),"")</f>
        <v>Drager</v>
      </c>
      <c r="F528" s="50" t="str">
        <f aca="false">IFERROR(VLOOKUP($A528,Equipos!$C$2:$M$967,8,FALSE()),"")</f>
        <v>Vista 120</v>
      </c>
      <c r="G528" s="50" t="s">
        <v>691</v>
      </c>
      <c r="H528" s="50" t="s">
        <v>360</v>
      </c>
      <c r="I528" s="50"/>
      <c r="J528" s="50" t="s">
        <v>352</v>
      </c>
      <c r="K528" s="50" t="str">
        <f aca="false">IFERROR(VLOOKUP($J528,Catálogos!$M$4:$N$17,2,FALSE()),"")</f>
        <v>Mantención Preventiva Realizada</v>
      </c>
      <c r="L528" s="52" t="n">
        <v>46096</v>
      </c>
      <c r="M528" s="50" t="s">
        <v>353</v>
      </c>
      <c r="N528" s="50" t="s">
        <v>253</v>
      </c>
      <c r="O528" s="50"/>
      <c r="P528" s="50"/>
      <c r="Q528" s="50" t="s">
        <v>362</v>
      </c>
    </row>
    <row r="529" customFormat="false" ht="15" hidden="false" customHeight="true" outlineLevel="0" collapsed="false">
      <c r="A529" s="51" t="s">
        <v>732</v>
      </c>
      <c r="B529" s="50" t="str">
        <f aca="false">IFERROR(VLOOKUP($A529,Equipos!$C$2:$M$967,2,FALSE()),"")</f>
        <v>Monitor Multiparámetros</v>
      </c>
      <c r="C529" s="50" t="str">
        <f aca="false">IFERROR(VLOOKUP($A529,Equipos!$C$2:$M$967,9,FALSE()),"")</f>
        <v>F2-04008141</v>
      </c>
      <c r="D529" s="50" t="str">
        <f aca="false">IFERROR(VLOOKUP($A529,Equipos!$C$2:$M$967,3,FALSE()),"")</f>
        <v>Urgencia Adulto</v>
      </c>
      <c r="E529" s="50" t="str">
        <f aca="false">IFERROR(VLOOKUP($A529,Equipos!$C$2:$M$967,7,FALSE()),"")</f>
        <v>Mindray</v>
      </c>
      <c r="F529" s="50" t="str">
        <f aca="false">IFERROR(VLOOKUP($A529,Equipos!$C$2:$M$967,8,FALSE()),"")</f>
        <v>BeneVision N17</v>
      </c>
      <c r="G529" s="50" t="s">
        <v>691</v>
      </c>
      <c r="H529" s="50" t="s">
        <v>360</v>
      </c>
      <c r="I529" s="50"/>
      <c r="J529" s="50" t="s">
        <v>352</v>
      </c>
      <c r="K529" s="50" t="str">
        <f aca="false">IFERROR(VLOOKUP($J529,Catálogos!$M$4:$N$17,2,FALSE()),"")</f>
        <v>Mantención Preventiva Realizada</v>
      </c>
      <c r="L529" s="52" t="n">
        <v>46096</v>
      </c>
      <c r="M529" s="50" t="s">
        <v>353</v>
      </c>
      <c r="N529" s="50" t="s">
        <v>253</v>
      </c>
      <c r="O529" s="50"/>
      <c r="P529" s="50"/>
      <c r="Q529" s="50" t="s">
        <v>362</v>
      </c>
    </row>
    <row r="530" customFormat="false" ht="15" hidden="false" customHeight="true" outlineLevel="0" collapsed="false">
      <c r="A530" s="51" t="s">
        <v>733</v>
      </c>
      <c r="B530" s="50" t="str">
        <f aca="false">IFERROR(VLOOKUP($A530,Equipos!$C$2:$M$967,2,FALSE()),"")</f>
        <v>Monitor Multiparámetros</v>
      </c>
      <c r="C530" s="50" t="str">
        <f aca="false">IFERROR(VLOOKUP($A530,Equipos!$C$2:$M$967,9,FALSE()),"")</f>
        <v>F2-04008289</v>
      </c>
      <c r="D530" s="50" t="str">
        <f aca="false">IFERROR(VLOOKUP($A530,Equipos!$C$2:$M$967,3,FALSE()),"")</f>
        <v>Urgencia Adulto</v>
      </c>
      <c r="E530" s="50" t="str">
        <f aca="false">IFERROR(VLOOKUP($A530,Equipos!$C$2:$M$967,7,FALSE()),"")</f>
        <v>Mindray</v>
      </c>
      <c r="F530" s="50" t="str">
        <f aca="false">IFERROR(VLOOKUP($A530,Equipos!$C$2:$M$967,8,FALSE()),"")</f>
        <v>BeneVision N17</v>
      </c>
      <c r="G530" s="50" t="s">
        <v>691</v>
      </c>
      <c r="H530" s="50" t="s">
        <v>360</v>
      </c>
      <c r="I530" s="50"/>
      <c r="J530" s="50" t="s">
        <v>352</v>
      </c>
      <c r="K530" s="50" t="str">
        <f aca="false">IFERROR(VLOOKUP($J530,Catálogos!$M$4:$N$17,2,FALSE()),"")</f>
        <v>Mantención Preventiva Realizada</v>
      </c>
      <c r="L530" s="52" t="n">
        <v>46096</v>
      </c>
      <c r="M530" s="50" t="s">
        <v>353</v>
      </c>
      <c r="N530" s="50" t="s">
        <v>253</v>
      </c>
      <c r="O530" s="50"/>
      <c r="P530" s="50"/>
      <c r="Q530" s="50" t="s">
        <v>362</v>
      </c>
    </row>
    <row r="531" customFormat="false" ht="15" hidden="false" customHeight="true" outlineLevel="0" collapsed="false">
      <c r="A531" s="51" t="s">
        <v>734</v>
      </c>
      <c r="B531" s="50" t="str">
        <f aca="false">IFERROR(VLOOKUP($A531,Equipos!$C$2:$M$967,2,FALSE()),"")</f>
        <v>Monitor Multiparámetros</v>
      </c>
      <c r="C531" s="50" t="str">
        <f aca="false">IFERROR(VLOOKUP($A531,Equipos!$C$2:$M$967,9,FALSE()),"")</f>
        <v>F2-04008204</v>
      </c>
      <c r="D531" s="50" t="str">
        <f aca="false">IFERROR(VLOOKUP($A531,Equipos!$C$2:$M$967,3,FALSE()),"")</f>
        <v>Urgencia Adulto</v>
      </c>
      <c r="E531" s="50" t="str">
        <f aca="false">IFERROR(VLOOKUP($A531,Equipos!$C$2:$M$967,7,FALSE()),"")</f>
        <v>Mindray</v>
      </c>
      <c r="F531" s="50" t="str">
        <f aca="false">IFERROR(VLOOKUP($A531,Equipos!$C$2:$M$967,8,FALSE()),"")</f>
        <v>BeneVision N17</v>
      </c>
      <c r="G531" s="50" t="s">
        <v>691</v>
      </c>
      <c r="H531" s="50" t="s">
        <v>360</v>
      </c>
      <c r="I531" s="50"/>
      <c r="J531" s="50" t="s">
        <v>627</v>
      </c>
      <c r="K531" s="50" t="str">
        <f aca="false">IFERROR(VLOOKUP($J531,Catálogos!$M$4:$N$17,2,FALSE()),"")</f>
        <v>Reprogramada · Imposibilidad de desocupar el equipo del paciente por indicación clínica</v>
      </c>
      <c r="L531" s="52" t="n">
        <v>46096</v>
      </c>
      <c r="M531" s="50" t="s">
        <v>353</v>
      </c>
      <c r="N531" s="50" t="s">
        <v>253</v>
      </c>
      <c r="O531" s="50"/>
      <c r="P531" s="50"/>
      <c r="Q531" s="50" t="s">
        <v>362</v>
      </c>
    </row>
    <row r="532" customFormat="false" ht="15" hidden="false" customHeight="true" outlineLevel="0" collapsed="false">
      <c r="A532" s="51" t="s">
        <v>735</v>
      </c>
      <c r="B532" s="50" t="str">
        <f aca="false">IFERROR(VLOOKUP($A532,Equipos!$C$2:$M$967,2,FALSE()),"")</f>
        <v>Monitor Multiparámetros</v>
      </c>
      <c r="C532" s="50" t="str">
        <f aca="false">IFERROR(VLOOKUP($A532,Equipos!$C$2:$M$967,9,FALSE()),"")</f>
        <v>F2-04008218</v>
      </c>
      <c r="D532" s="50" t="str">
        <f aca="false">IFERROR(VLOOKUP($A532,Equipos!$C$2:$M$967,3,FALSE()),"")</f>
        <v>Urgencia Adulto</v>
      </c>
      <c r="E532" s="50" t="str">
        <f aca="false">IFERROR(VLOOKUP($A532,Equipos!$C$2:$M$967,7,FALSE()),"")</f>
        <v>Mindray</v>
      </c>
      <c r="F532" s="50" t="str">
        <f aca="false">IFERROR(VLOOKUP($A532,Equipos!$C$2:$M$967,8,FALSE()),"")</f>
        <v>BeneVision N17</v>
      </c>
      <c r="G532" s="50" t="s">
        <v>691</v>
      </c>
      <c r="H532" s="50" t="s">
        <v>360</v>
      </c>
      <c r="I532" s="50"/>
      <c r="J532" s="50" t="s">
        <v>352</v>
      </c>
      <c r="K532" s="50" t="str">
        <f aca="false">IFERROR(VLOOKUP($J532,Catálogos!$M$4:$N$17,2,FALSE()),"")</f>
        <v>Mantención Preventiva Realizada</v>
      </c>
      <c r="L532" s="52" t="n">
        <v>46096</v>
      </c>
      <c r="M532" s="50" t="s">
        <v>353</v>
      </c>
      <c r="N532" s="50" t="s">
        <v>253</v>
      </c>
      <c r="O532" s="50"/>
      <c r="P532" s="50"/>
      <c r="Q532" s="50" t="s">
        <v>362</v>
      </c>
    </row>
    <row r="533" customFormat="false" ht="15" hidden="false" customHeight="true" outlineLevel="0" collapsed="false">
      <c r="A533" s="51" t="s">
        <v>575</v>
      </c>
      <c r="B533" s="50" t="str">
        <f aca="false">IFERROR(VLOOKUP($A533,Equipos!$C$2:$M$967,2,FALSE()),"")</f>
        <v>Monitor Multiparámetros</v>
      </c>
      <c r="C533" s="50" t="str">
        <f aca="false">IFERROR(VLOOKUP($A533,Equipos!$C$2:$M$967,9,FALSE()),"")</f>
        <v>94999001058</v>
      </c>
      <c r="D533" s="50" t="str">
        <f aca="false">IFERROR(VLOOKUP($A533,Equipos!$C$2:$M$967,3,FALSE()),"")</f>
        <v>Imagenología</v>
      </c>
      <c r="E533" s="50" t="str">
        <f aca="false">IFERROR(VLOOKUP($A533,Equipos!$C$2:$M$967,7,FALSE()),"")</f>
        <v>SCHILLER</v>
      </c>
      <c r="F533" s="50" t="str">
        <f aca="false">IFERROR(VLOOKUP($A533,Equipos!$C$2:$M$967,8,FALSE()),"")</f>
        <v>MAGELIFE Serenity</v>
      </c>
      <c r="G533" s="50" t="s">
        <v>691</v>
      </c>
      <c r="H533" s="50" t="s">
        <v>360</v>
      </c>
      <c r="I533" s="50"/>
      <c r="J533" s="50" t="s">
        <v>352</v>
      </c>
      <c r="K533" s="50" t="str">
        <f aca="false">IFERROR(VLOOKUP($J533,Catálogos!$M$4:$N$17,2,FALSE()),"")</f>
        <v>Mantención Preventiva Realizada</v>
      </c>
      <c r="L533" s="52" t="n">
        <v>46096</v>
      </c>
      <c r="M533" s="50" t="s">
        <v>353</v>
      </c>
      <c r="N533" s="50" t="s">
        <v>253</v>
      </c>
      <c r="O533" s="50"/>
      <c r="P533" s="50"/>
      <c r="Q533" s="50" t="s">
        <v>362</v>
      </c>
    </row>
    <row r="534" customFormat="false" ht="15" hidden="false" customHeight="true" outlineLevel="0" collapsed="false">
      <c r="A534" s="51" t="s">
        <v>736</v>
      </c>
      <c r="B534" s="50" t="str">
        <f aca="false">IFERROR(VLOOKUP($A534,Equipos!$C$2:$M$967,2,FALSE()),"")</f>
        <v>Monitor Multiparámetros</v>
      </c>
      <c r="C534" s="50" t="str">
        <f aca="false">IFERROR(VLOOKUP($A534,Equipos!$C$2:$M$967,9,FALSE()),"")</f>
        <v>117954</v>
      </c>
      <c r="D534" s="50" t="str">
        <f aca="false">IFERROR(VLOOKUP($A534,Equipos!$C$2:$M$967,3,FALSE()),"")</f>
        <v>Urgencia Adulto</v>
      </c>
      <c r="E534" s="50" t="str">
        <f aca="false">IFERROR(VLOOKUP($A534,Equipos!$C$2:$M$967,7,FALSE()),"")</f>
        <v>Nihon Kohden </v>
      </c>
      <c r="F534" s="50" t="str">
        <f aca="false">IFERROR(VLOOKUP($A534,Equipos!$C$2:$M$967,8,FALSE()),"")</f>
        <v>PVM-2703</v>
      </c>
      <c r="G534" s="50" t="s">
        <v>691</v>
      </c>
      <c r="H534" s="50" t="s">
        <v>360</v>
      </c>
      <c r="I534" s="50"/>
      <c r="J534" s="50" t="s">
        <v>352</v>
      </c>
      <c r="K534" s="50" t="str">
        <f aca="false">IFERROR(VLOOKUP($J534,Catálogos!$M$4:$N$17,2,FALSE()),"")</f>
        <v>Mantención Preventiva Realizada</v>
      </c>
      <c r="L534" s="52" t="n">
        <v>46096</v>
      </c>
      <c r="M534" s="50" t="s">
        <v>353</v>
      </c>
      <c r="N534" s="50" t="s">
        <v>253</v>
      </c>
      <c r="O534" s="50"/>
      <c r="P534" s="50"/>
      <c r="Q534" s="50" t="s">
        <v>362</v>
      </c>
    </row>
    <row r="535" customFormat="false" ht="15" hidden="false" customHeight="true" outlineLevel="0" collapsed="false">
      <c r="A535" s="51" t="s">
        <v>737</v>
      </c>
      <c r="B535" s="50" t="str">
        <f aca="false">IFERROR(VLOOKUP($A535,Equipos!$C$2:$M$967,2,FALSE()),"")</f>
        <v>Monitor Multiparámetros</v>
      </c>
      <c r="C535" s="50" t="str">
        <f aca="false">IFERROR(VLOOKUP($A535,Equipos!$C$2:$M$967,9,FALSE()),"")</f>
        <v>0117936.</v>
      </c>
      <c r="D535" s="50" t="str">
        <f aca="false">IFERROR(VLOOKUP($A535,Equipos!$C$2:$M$967,3,FALSE()),"")</f>
        <v>Urgencia infantil</v>
      </c>
      <c r="E535" s="50" t="str">
        <f aca="false">IFERROR(VLOOKUP($A535,Equipos!$C$2:$M$967,7,FALSE()),"")</f>
        <v>Nihon Kohden </v>
      </c>
      <c r="F535" s="50" t="str">
        <f aca="false">IFERROR(VLOOKUP($A535,Equipos!$C$2:$M$967,8,FALSE()),"")</f>
        <v>PVM-2703</v>
      </c>
      <c r="G535" s="50" t="s">
        <v>691</v>
      </c>
      <c r="H535" s="50" t="s">
        <v>360</v>
      </c>
      <c r="I535" s="50"/>
      <c r="J535" s="50" t="s">
        <v>352</v>
      </c>
      <c r="K535" s="50" t="str">
        <f aca="false">IFERROR(VLOOKUP($J535,Catálogos!$M$4:$N$17,2,FALSE()),"")</f>
        <v>Mantención Preventiva Realizada</v>
      </c>
      <c r="L535" s="52" t="n">
        <v>46096</v>
      </c>
      <c r="M535" s="50" t="s">
        <v>353</v>
      </c>
      <c r="N535" s="50" t="s">
        <v>253</v>
      </c>
      <c r="O535" s="50"/>
      <c r="P535" s="50"/>
      <c r="Q535" s="50" t="s">
        <v>362</v>
      </c>
    </row>
    <row r="536" customFormat="false" ht="15" hidden="false" customHeight="true" outlineLevel="0" collapsed="false">
      <c r="A536" s="51" t="s">
        <v>738</v>
      </c>
      <c r="B536" s="50" t="str">
        <f aca="false">IFERROR(VLOOKUP($A536,Equipos!$C$2:$M$967,2,FALSE()),"")</f>
        <v>Monitor Multiparámetros</v>
      </c>
      <c r="C536" s="50" t="str">
        <f aca="false">IFERROR(VLOOKUP($A536,Equipos!$C$2:$M$967,9,FALSE()),"")</f>
        <v>0117925.</v>
      </c>
      <c r="D536" s="50" t="str">
        <f aca="false">IFERROR(VLOOKUP($A536,Equipos!$C$2:$M$967,3,FALSE()),"")</f>
        <v>Urgencia Adulto</v>
      </c>
      <c r="E536" s="50" t="str">
        <f aca="false">IFERROR(VLOOKUP($A536,Equipos!$C$2:$M$967,7,FALSE()),"")</f>
        <v>Nihon Kohden </v>
      </c>
      <c r="F536" s="50" t="str">
        <f aca="false">IFERROR(VLOOKUP($A536,Equipos!$C$2:$M$967,8,FALSE()),"")</f>
        <v>PVM-2703</v>
      </c>
      <c r="G536" s="50" t="s">
        <v>691</v>
      </c>
      <c r="H536" s="50" t="s">
        <v>360</v>
      </c>
      <c r="I536" s="50"/>
      <c r="J536" s="50" t="s">
        <v>352</v>
      </c>
      <c r="K536" s="50" t="str">
        <f aca="false">IFERROR(VLOOKUP($J536,Catálogos!$M$4:$N$17,2,FALSE()),"")</f>
        <v>Mantención Preventiva Realizada</v>
      </c>
      <c r="L536" s="52" t="n">
        <v>46096</v>
      </c>
      <c r="M536" s="50" t="s">
        <v>353</v>
      </c>
      <c r="N536" s="50" t="s">
        <v>253</v>
      </c>
      <c r="O536" s="50"/>
      <c r="P536" s="50"/>
      <c r="Q536" s="50" t="s">
        <v>362</v>
      </c>
    </row>
    <row r="537" customFormat="false" ht="15" hidden="false" customHeight="true" outlineLevel="0" collapsed="false">
      <c r="A537" s="51" t="s">
        <v>739</v>
      </c>
      <c r="B537" s="50" t="str">
        <f aca="false">IFERROR(VLOOKUP($A537,Equipos!$C$2:$M$967,2,FALSE()),"")</f>
        <v>Monitor Multiparámetros</v>
      </c>
      <c r="C537" s="50" t="str">
        <f aca="false">IFERROR(VLOOKUP($A537,Equipos!$C$2:$M$967,9,FALSE()),"")</f>
        <v>0117934.</v>
      </c>
      <c r="D537" s="50" t="str">
        <f aca="false">IFERROR(VLOOKUP($A537,Equipos!$C$2:$M$967,3,FALSE()),"")</f>
        <v>Urgencia infantil</v>
      </c>
      <c r="E537" s="50" t="str">
        <f aca="false">IFERROR(VLOOKUP($A537,Equipos!$C$2:$M$967,7,FALSE()),"")</f>
        <v>Nihon Kohden </v>
      </c>
      <c r="F537" s="50" t="str">
        <f aca="false">IFERROR(VLOOKUP($A537,Equipos!$C$2:$M$967,8,FALSE()),"")</f>
        <v>PVM-2703</v>
      </c>
      <c r="G537" s="50" t="s">
        <v>691</v>
      </c>
      <c r="H537" s="50" t="s">
        <v>360</v>
      </c>
      <c r="I537" s="50"/>
      <c r="J537" s="50" t="s">
        <v>352</v>
      </c>
      <c r="K537" s="50" t="str">
        <f aca="false">IFERROR(VLOOKUP($J537,Catálogos!$M$4:$N$17,2,FALSE()),"")</f>
        <v>Mantención Preventiva Realizada</v>
      </c>
      <c r="L537" s="52" t="n">
        <v>46096</v>
      </c>
      <c r="M537" s="50" t="s">
        <v>353</v>
      </c>
      <c r="N537" s="50" t="s">
        <v>253</v>
      </c>
      <c r="O537" s="50"/>
      <c r="P537" s="50"/>
      <c r="Q537" s="50" t="s">
        <v>362</v>
      </c>
    </row>
    <row r="538" customFormat="false" ht="15" hidden="false" customHeight="true" outlineLevel="0" collapsed="false">
      <c r="A538" s="51" t="s">
        <v>740</v>
      </c>
      <c r="B538" s="50" t="str">
        <f aca="false">IFERROR(VLOOKUP($A538,Equipos!$C$2:$M$967,2,FALSE()),"")</f>
        <v>Monitor Multiparámetros</v>
      </c>
      <c r="C538" s="50" t="str">
        <f aca="false">IFERROR(VLOOKUP($A538,Equipos!$C$2:$M$967,9,FALSE()),"")</f>
        <v>0117960.</v>
      </c>
      <c r="D538" s="50" t="str">
        <f aca="false">IFERROR(VLOOKUP($A538,Equipos!$C$2:$M$967,3,FALSE()),"")</f>
        <v>Urgencia infantil</v>
      </c>
      <c r="E538" s="50" t="str">
        <f aca="false">IFERROR(VLOOKUP($A538,Equipos!$C$2:$M$967,7,FALSE()),"")</f>
        <v>Nihon Kohden </v>
      </c>
      <c r="F538" s="50" t="str">
        <f aca="false">IFERROR(VLOOKUP($A538,Equipos!$C$2:$M$967,8,FALSE()),"")</f>
        <v>PVM-2703</v>
      </c>
      <c r="G538" s="50" t="s">
        <v>691</v>
      </c>
      <c r="H538" s="50" t="s">
        <v>360</v>
      </c>
      <c r="I538" s="50"/>
      <c r="J538" s="50" t="s">
        <v>352</v>
      </c>
      <c r="K538" s="50" t="str">
        <f aca="false">IFERROR(VLOOKUP($J538,Catálogos!$M$4:$N$17,2,FALSE()),"")</f>
        <v>Mantención Preventiva Realizada</v>
      </c>
      <c r="L538" s="52" t="n">
        <v>46096</v>
      </c>
      <c r="M538" s="50" t="s">
        <v>353</v>
      </c>
      <c r="N538" s="50" t="s">
        <v>253</v>
      </c>
      <c r="O538" s="50"/>
      <c r="P538" s="50"/>
      <c r="Q538" s="50" t="s">
        <v>362</v>
      </c>
    </row>
    <row r="539" customFormat="false" ht="15" hidden="false" customHeight="true" outlineLevel="0" collapsed="false">
      <c r="A539" s="51" t="s">
        <v>578</v>
      </c>
      <c r="B539" s="50" t="str">
        <f aca="false">IFERROR(VLOOKUP($A539,Equipos!$C$2:$M$967,2,FALSE()),"")</f>
        <v>Monitor Multiparámetros</v>
      </c>
      <c r="C539" s="50" t="str">
        <f aca="false">IFERROR(VLOOKUP($A539,Equipos!$C$2:$M$967,9,FALSE()),"")</f>
        <v>0117935.</v>
      </c>
      <c r="D539" s="50" t="str">
        <f aca="false">IFERROR(VLOOKUP($A539,Equipos!$C$2:$M$967,3,FALSE()),"")</f>
        <v>Medicina</v>
      </c>
      <c r="E539" s="50" t="str">
        <f aca="false">IFERROR(VLOOKUP($A539,Equipos!$C$2:$M$967,7,FALSE()),"")</f>
        <v>Nihon Kohden </v>
      </c>
      <c r="F539" s="50" t="str">
        <f aca="false">IFERROR(VLOOKUP($A539,Equipos!$C$2:$M$967,8,FALSE()),"")</f>
        <v>PVM-2703</v>
      </c>
      <c r="G539" s="50" t="s">
        <v>691</v>
      </c>
      <c r="H539" s="50" t="s">
        <v>360</v>
      </c>
      <c r="I539" s="50"/>
      <c r="J539" s="50" t="s">
        <v>352</v>
      </c>
      <c r="K539" s="50" t="str">
        <f aca="false">IFERROR(VLOOKUP($J539,Catálogos!$M$4:$N$17,2,FALSE()),"")</f>
        <v>Mantención Preventiva Realizada</v>
      </c>
      <c r="L539" s="52" t="n">
        <v>46096</v>
      </c>
      <c r="M539" s="50" t="s">
        <v>353</v>
      </c>
      <c r="N539" s="50" t="s">
        <v>253</v>
      </c>
      <c r="O539" s="50"/>
      <c r="P539" s="50"/>
      <c r="Q539" s="50" t="s">
        <v>362</v>
      </c>
    </row>
    <row r="540" customFormat="false" ht="15" hidden="false" customHeight="true" outlineLevel="0" collapsed="false">
      <c r="A540" s="51" t="s">
        <v>580</v>
      </c>
      <c r="B540" s="50" t="str">
        <f aca="false">IFERROR(VLOOKUP($A540,Equipos!$C$2:$M$967,2,FALSE()),"")</f>
        <v>Monitor Multiparámetros</v>
      </c>
      <c r="C540" s="50" t="str">
        <f aca="false">IFERROR(VLOOKUP($A540,Equipos!$C$2:$M$967,9,FALSE()),"")</f>
        <v>0118020.</v>
      </c>
      <c r="D540" s="50" t="str">
        <f aca="false">IFERROR(VLOOKUP($A540,Equipos!$C$2:$M$967,3,FALSE()),"")</f>
        <v>Medicina (Prestado a medicina cardiovascular)</v>
      </c>
      <c r="E540" s="50" t="str">
        <f aca="false">IFERROR(VLOOKUP($A540,Equipos!$C$2:$M$967,7,FALSE()),"")</f>
        <v>Nihon Kohden </v>
      </c>
      <c r="F540" s="50" t="str">
        <f aca="false">IFERROR(VLOOKUP($A540,Equipos!$C$2:$M$967,8,FALSE()),"")</f>
        <v>PVM-2703</v>
      </c>
      <c r="G540" s="50" t="s">
        <v>691</v>
      </c>
      <c r="H540" s="50" t="s">
        <v>360</v>
      </c>
      <c r="I540" s="50"/>
      <c r="J540" s="50" t="s">
        <v>352</v>
      </c>
      <c r="K540" s="50" t="str">
        <f aca="false">IFERROR(VLOOKUP($J540,Catálogos!$M$4:$N$17,2,FALSE()),"")</f>
        <v>Mantención Preventiva Realizada</v>
      </c>
      <c r="L540" s="52" t="n">
        <v>46096</v>
      </c>
      <c r="M540" s="50" t="s">
        <v>353</v>
      </c>
      <c r="N540" s="50" t="s">
        <v>253</v>
      </c>
      <c r="O540" s="50"/>
      <c r="P540" s="50"/>
      <c r="Q540" s="50" t="s">
        <v>362</v>
      </c>
    </row>
    <row r="541" customFormat="false" ht="15" hidden="false" customHeight="true" outlineLevel="0" collapsed="false">
      <c r="A541" s="51" t="s">
        <v>581</v>
      </c>
      <c r="B541" s="50" t="str">
        <f aca="false">IFERROR(VLOOKUP($A541,Equipos!$C$2:$M$967,2,FALSE()),"")</f>
        <v>Monitor Multiparámetros</v>
      </c>
      <c r="C541" s="50" t="str">
        <f aca="false">IFERROR(VLOOKUP($A541,Equipos!$C$2:$M$967,9,FALSE()),"")</f>
        <v>SQE19510031SA</v>
      </c>
      <c r="D541" s="50" t="str">
        <f aca="false">IFERROR(VLOOKUP($A541,Equipos!$C$2:$M$967,3,FALSE()),"")</f>
        <v>Medicina</v>
      </c>
      <c r="E541" s="50" t="str">
        <f aca="false">IFERROR(VLOOKUP($A541,Equipos!$C$2:$M$967,7,FALSE()),"")</f>
        <v>General Electric</v>
      </c>
      <c r="F541" s="50" t="str">
        <f aca="false">IFERROR(VLOOKUP($A541,Equipos!$C$2:$M$967,8,FALSE()),"")</f>
        <v>B105</v>
      </c>
      <c r="G541" s="50" t="s">
        <v>691</v>
      </c>
      <c r="H541" s="50" t="s">
        <v>360</v>
      </c>
      <c r="I541" s="50"/>
      <c r="J541" s="50" t="s">
        <v>352</v>
      </c>
      <c r="K541" s="50" t="str">
        <f aca="false">IFERROR(VLOOKUP($J541,Catálogos!$M$4:$N$17,2,FALSE()),"")</f>
        <v>Mantención Preventiva Realizada</v>
      </c>
      <c r="L541" s="52" t="n">
        <v>46096</v>
      </c>
      <c r="M541" s="50" t="s">
        <v>353</v>
      </c>
      <c r="N541" s="50" t="s">
        <v>253</v>
      </c>
      <c r="O541" s="50"/>
      <c r="P541" s="50"/>
      <c r="Q541" s="50" t="s">
        <v>362</v>
      </c>
    </row>
    <row r="542" customFormat="false" ht="15" hidden="false" customHeight="true" outlineLevel="0" collapsed="false">
      <c r="A542" s="51" t="s">
        <v>582</v>
      </c>
      <c r="B542" s="50" t="str">
        <f aca="false">IFERROR(VLOOKUP($A542,Equipos!$C$2:$M$967,2,FALSE()),"")</f>
        <v>Monitor Multiparámetros</v>
      </c>
      <c r="C542" s="50" t="str">
        <f aca="false">IFERROR(VLOOKUP($A542,Equipos!$C$2:$M$967,9,FALSE()),"")</f>
        <v>SQE19510030SA</v>
      </c>
      <c r="D542" s="50" t="str">
        <f aca="false">IFERROR(VLOOKUP($A542,Equipos!$C$2:$M$967,3,FALSE()),"")</f>
        <v>Medicina (Prestado a medicina cardiovascular)</v>
      </c>
      <c r="E542" s="50" t="str">
        <f aca="false">IFERROR(VLOOKUP($A542,Equipos!$C$2:$M$967,7,FALSE()),"")</f>
        <v>General Electric</v>
      </c>
      <c r="F542" s="50" t="str">
        <f aca="false">IFERROR(VLOOKUP($A542,Equipos!$C$2:$M$967,8,FALSE()),"")</f>
        <v>B105</v>
      </c>
      <c r="G542" s="50" t="s">
        <v>691</v>
      </c>
      <c r="H542" s="50" t="s">
        <v>360</v>
      </c>
      <c r="I542" s="50"/>
      <c r="J542" s="50" t="s">
        <v>352</v>
      </c>
      <c r="K542" s="50" t="str">
        <f aca="false">IFERROR(VLOOKUP($J542,Catálogos!$M$4:$N$17,2,FALSE()),"")</f>
        <v>Mantención Preventiva Realizada</v>
      </c>
      <c r="L542" s="52" t="n">
        <v>46096</v>
      </c>
      <c r="M542" s="50" t="s">
        <v>353</v>
      </c>
      <c r="N542" s="50" t="s">
        <v>253</v>
      </c>
      <c r="O542" s="50"/>
      <c r="P542" s="50"/>
      <c r="Q542" s="50" t="s">
        <v>362</v>
      </c>
    </row>
    <row r="543" customFormat="false" ht="15" hidden="false" customHeight="true" outlineLevel="0" collapsed="false">
      <c r="A543" s="51" t="s">
        <v>583</v>
      </c>
      <c r="B543" s="50" t="str">
        <f aca="false">IFERROR(VLOOKUP($A543,Equipos!$C$2:$M$967,2,FALSE()),"")</f>
        <v>Monitor Multiparámetros</v>
      </c>
      <c r="C543" s="50" t="str">
        <f aca="false">IFERROR(VLOOKUP($A543,Equipos!$C$2:$M$967,9,FALSE()),"")</f>
        <v>SQE19510029SA</v>
      </c>
      <c r="D543" s="50" t="str">
        <f aca="false">IFERROR(VLOOKUP($A543,Equipos!$C$2:$M$967,3,FALSE()),"")</f>
        <v>Medicina</v>
      </c>
      <c r="E543" s="50" t="str">
        <f aca="false">IFERROR(VLOOKUP($A543,Equipos!$C$2:$M$967,7,FALSE()),"")</f>
        <v>General Electric</v>
      </c>
      <c r="F543" s="50" t="str">
        <f aca="false">IFERROR(VLOOKUP($A543,Equipos!$C$2:$M$967,8,FALSE()),"")</f>
        <v>B105</v>
      </c>
      <c r="G543" s="50" t="s">
        <v>691</v>
      </c>
      <c r="H543" s="50" t="s">
        <v>360</v>
      </c>
      <c r="I543" s="50"/>
      <c r="J543" s="50" t="s">
        <v>352</v>
      </c>
      <c r="K543" s="50" t="str">
        <f aca="false">IFERROR(VLOOKUP($J543,Catálogos!$M$4:$N$17,2,FALSE()),"")</f>
        <v>Mantención Preventiva Realizada</v>
      </c>
      <c r="L543" s="52" t="n">
        <v>46096</v>
      </c>
      <c r="M543" s="50" t="s">
        <v>353</v>
      </c>
      <c r="N543" s="50" t="s">
        <v>253</v>
      </c>
      <c r="O543" s="50"/>
      <c r="P543" s="50"/>
      <c r="Q543" s="50" t="s">
        <v>362</v>
      </c>
    </row>
    <row r="544" customFormat="false" ht="15" hidden="false" customHeight="true" outlineLevel="0" collapsed="false">
      <c r="A544" s="51" t="s">
        <v>741</v>
      </c>
      <c r="B544" s="50" t="str">
        <f aca="false">IFERROR(VLOOKUP($A544,Equipos!$C$2:$M$967,2,FALSE()),"")</f>
        <v>Monitor Multiparámetros</v>
      </c>
      <c r="C544" s="50" t="str">
        <f aca="false">IFERROR(VLOOKUP($A544,Equipos!$C$2:$M$967,9,FALSE()),"")</f>
        <v>SQE19510024SA</v>
      </c>
      <c r="D544" s="50" t="str">
        <f aca="false">IFERROR(VLOOKUP($A544,Equipos!$C$2:$M$967,3,FALSE()),"")</f>
        <v>Electrofisiología</v>
      </c>
      <c r="E544" s="50" t="str">
        <f aca="false">IFERROR(VLOOKUP($A544,Equipos!$C$2:$M$967,7,FALSE()),"")</f>
        <v>General Electric</v>
      </c>
      <c r="F544" s="50" t="str">
        <f aca="false">IFERROR(VLOOKUP($A544,Equipos!$C$2:$M$967,8,FALSE()),"")</f>
        <v>B105</v>
      </c>
      <c r="G544" s="50" t="s">
        <v>691</v>
      </c>
      <c r="H544" s="50" t="s">
        <v>360</v>
      </c>
      <c r="I544" s="50"/>
      <c r="J544" s="50" t="s">
        <v>364</v>
      </c>
      <c r="K544" s="50" t="str">
        <f aca="false">IFERROR(VLOOKUP($J544,Catálogos!$M$4:$N$17,2,FALSE()),"")</f>
        <v>Reprogramada · No disponibilidad de horas hombre del funcionario SEC por alta carga laboral</v>
      </c>
      <c r="L544" s="52" t="n">
        <v>46096</v>
      </c>
      <c r="M544" s="50" t="s">
        <v>353</v>
      </c>
      <c r="N544" s="50" t="s">
        <v>253</v>
      </c>
      <c r="O544" s="50"/>
      <c r="P544" s="50"/>
      <c r="Q544" s="50" t="s">
        <v>362</v>
      </c>
    </row>
    <row r="545" customFormat="false" ht="15" hidden="false" customHeight="true" outlineLevel="0" collapsed="false">
      <c r="A545" s="51" t="s">
        <v>742</v>
      </c>
      <c r="B545" s="50" t="str">
        <f aca="false">IFERROR(VLOOKUP($A545,Equipos!$C$2:$M$967,2,FALSE()),"")</f>
        <v>Monitor Multiparámetros</v>
      </c>
      <c r="C545" s="50" t="str">
        <f aca="false">IFERROR(VLOOKUP($A545,Equipos!$C$2:$M$967,9,FALSE()),"")</f>
        <v>VGSLN0079</v>
      </c>
      <c r="D545" s="50" t="str">
        <f aca="false">IFERROR(VLOOKUP($A545,Equipos!$C$2:$M$967,3,FALSE()),"")</f>
        <v>Urgencia Adulto</v>
      </c>
      <c r="E545" s="50" t="str">
        <f aca="false">IFERROR(VLOOKUP($A545,Equipos!$C$2:$M$967,7,FALSE()),"")</f>
        <v>Drager</v>
      </c>
      <c r="F545" s="50" t="str">
        <f aca="false">IFERROR(VLOOKUP($A545,Equipos!$C$2:$M$967,8,FALSE()),"")</f>
        <v>Vista 120</v>
      </c>
      <c r="G545" s="50" t="s">
        <v>691</v>
      </c>
      <c r="H545" s="50" t="s">
        <v>360</v>
      </c>
      <c r="I545" s="50"/>
      <c r="J545" s="50" t="s">
        <v>352</v>
      </c>
      <c r="K545" s="50" t="str">
        <f aca="false">IFERROR(VLOOKUP($J545,Catálogos!$M$4:$N$17,2,FALSE()),"")</f>
        <v>Mantención Preventiva Realizada</v>
      </c>
      <c r="L545" s="52" t="n">
        <v>46096</v>
      </c>
      <c r="M545" s="50" t="s">
        <v>353</v>
      </c>
      <c r="N545" s="50" t="s">
        <v>253</v>
      </c>
      <c r="O545" s="50"/>
      <c r="P545" s="50"/>
      <c r="Q545" s="50" t="s">
        <v>362</v>
      </c>
    </row>
    <row r="546" customFormat="false" ht="15" hidden="false" customHeight="true" outlineLevel="0" collapsed="false">
      <c r="A546" s="51" t="s">
        <v>584</v>
      </c>
      <c r="B546" s="50" t="str">
        <f aca="false">IFERROR(VLOOKUP($A546,Equipos!$C$2:$M$967,2,FALSE()),"")</f>
        <v>Monitor Multiparámetros</v>
      </c>
      <c r="C546" s="50" t="str">
        <f aca="false">IFERROR(VLOOKUP($A546,Equipos!$C$2:$M$967,9,FALSE()),"")</f>
        <v>VGSLN0049</v>
      </c>
      <c r="D546" s="50" t="str">
        <f aca="false">IFERROR(VLOOKUP($A546,Equipos!$C$2:$M$967,3,FALSE()),"")</f>
        <v>Urgencia Adulto (Prestado a Pediatría)</v>
      </c>
      <c r="E546" s="50" t="str">
        <f aca="false">IFERROR(VLOOKUP($A546,Equipos!$C$2:$M$967,7,FALSE()),"")</f>
        <v>Drager</v>
      </c>
      <c r="F546" s="50" t="str">
        <f aca="false">IFERROR(VLOOKUP($A546,Equipos!$C$2:$M$967,8,FALSE()),"")</f>
        <v>Vista 120</v>
      </c>
      <c r="G546" s="50" t="s">
        <v>691</v>
      </c>
      <c r="H546" s="50" t="s">
        <v>360</v>
      </c>
      <c r="I546" s="50"/>
      <c r="J546" s="50" t="s">
        <v>352</v>
      </c>
      <c r="K546" s="50" t="str">
        <f aca="false">IFERROR(VLOOKUP($J546,Catálogos!$M$4:$N$17,2,FALSE()),"")</f>
        <v>Mantención Preventiva Realizada</v>
      </c>
      <c r="L546" s="52" t="n">
        <v>46096</v>
      </c>
      <c r="M546" s="50" t="s">
        <v>353</v>
      </c>
      <c r="N546" s="50" t="s">
        <v>253</v>
      </c>
      <c r="O546" s="50"/>
      <c r="P546" s="50"/>
      <c r="Q546" s="50" t="s">
        <v>362</v>
      </c>
    </row>
    <row r="547" customFormat="false" ht="15" hidden="false" customHeight="true" outlineLevel="0" collapsed="false">
      <c r="A547" s="51" t="s">
        <v>743</v>
      </c>
      <c r="B547" s="50" t="str">
        <f aca="false">IFERROR(VLOOKUP($A547,Equipos!$C$2:$M$967,2,FALSE()),"")</f>
        <v>Monitor Multiparámetros</v>
      </c>
      <c r="C547" s="50" t="str">
        <f aca="false">IFERROR(VLOOKUP($A547,Equipos!$C$2:$M$967,9,FALSE()),"")</f>
        <v>VGSLN0017</v>
      </c>
      <c r="D547" s="50" t="str">
        <f aca="false">IFERROR(VLOOKUP($A547,Equipos!$C$2:$M$967,3,FALSE()),"")</f>
        <v>Urgencia Adulto</v>
      </c>
      <c r="E547" s="50" t="str">
        <f aca="false">IFERROR(VLOOKUP($A547,Equipos!$C$2:$M$967,7,FALSE()),"")</f>
        <v>Drager</v>
      </c>
      <c r="F547" s="50" t="str">
        <f aca="false">IFERROR(VLOOKUP($A547,Equipos!$C$2:$M$967,8,FALSE()),"")</f>
        <v>Vista 120</v>
      </c>
      <c r="G547" s="50" t="s">
        <v>691</v>
      </c>
      <c r="H547" s="50" t="s">
        <v>360</v>
      </c>
      <c r="I547" s="50"/>
      <c r="J547" s="50" t="s">
        <v>352</v>
      </c>
      <c r="K547" s="50" t="str">
        <f aca="false">IFERROR(VLOOKUP($J547,Catálogos!$M$4:$N$17,2,FALSE()),"")</f>
        <v>Mantención Preventiva Realizada</v>
      </c>
      <c r="L547" s="52" t="n">
        <v>46096</v>
      </c>
      <c r="M547" s="50" t="s">
        <v>353</v>
      </c>
      <c r="N547" s="50" t="s">
        <v>253</v>
      </c>
      <c r="O547" s="50"/>
      <c r="P547" s="50"/>
      <c r="Q547" s="50" t="s">
        <v>362</v>
      </c>
    </row>
    <row r="548" customFormat="false" ht="15" hidden="false" customHeight="true" outlineLevel="0" collapsed="false">
      <c r="A548" s="51" t="s">
        <v>744</v>
      </c>
      <c r="B548" s="50" t="str">
        <f aca="false">IFERROR(VLOOKUP($A548,Equipos!$C$2:$M$967,2,FALSE()),"")</f>
        <v>Monitor Multiparámetros</v>
      </c>
      <c r="C548" s="50" t="str">
        <f aca="false">IFERROR(VLOOKUP($A548,Equipos!$C$2:$M$967,9,FALSE()),"")</f>
        <v>VGSLN0014</v>
      </c>
      <c r="D548" s="50" t="str">
        <f aca="false">IFERROR(VLOOKUP($A548,Equipos!$C$2:$M$967,3,FALSE()),"")</f>
        <v>Urgencia Adulto</v>
      </c>
      <c r="E548" s="50" t="str">
        <f aca="false">IFERROR(VLOOKUP($A548,Equipos!$C$2:$M$967,7,FALSE()),"")</f>
        <v>Drager</v>
      </c>
      <c r="F548" s="50" t="str">
        <f aca="false">IFERROR(VLOOKUP($A548,Equipos!$C$2:$M$967,8,FALSE()),"")</f>
        <v>Vista 120</v>
      </c>
      <c r="G548" s="50" t="s">
        <v>691</v>
      </c>
      <c r="H548" s="50" t="s">
        <v>360</v>
      </c>
      <c r="I548" s="50"/>
      <c r="J548" s="50" t="s">
        <v>352</v>
      </c>
      <c r="K548" s="50" t="str">
        <f aca="false">IFERROR(VLOOKUP($J548,Catálogos!$M$4:$N$17,2,FALSE()),"")</f>
        <v>Mantención Preventiva Realizada</v>
      </c>
      <c r="L548" s="52" t="n">
        <v>46096</v>
      </c>
      <c r="M548" s="50" t="s">
        <v>353</v>
      </c>
      <c r="N548" s="50" t="s">
        <v>253</v>
      </c>
      <c r="O548" s="50"/>
      <c r="P548" s="50"/>
      <c r="Q548" s="50" t="s">
        <v>362</v>
      </c>
    </row>
    <row r="549" customFormat="false" ht="15" hidden="false" customHeight="true" outlineLevel="0" collapsed="false">
      <c r="A549" s="51" t="s">
        <v>745</v>
      </c>
      <c r="B549" s="50" t="str">
        <f aca="false">IFERROR(VLOOKUP($A549,Equipos!$C$2:$M$967,2,FALSE()),"")</f>
        <v>Monitor Multiparámetros</v>
      </c>
      <c r="C549" s="50" t="str">
        <f aca="false">IFERROR(VLOOKUP($A549,Equipos!$C$2:$M$967,9,FALSE()),"")</f>
        <v>VGSLN0002</v>
      </c>
      <c r="D549" s="50" t="str">
        <f aca="false">IFERROR(VLOOKUP($A549,Equipos!$C$2:$M$967,3,FALSE()),"")</f>
        <v>Urgencia Adulto</v>
      </c>
      <c r="E549" s="50" t="str">
        <f aca="false">IFERROR(VLOOKUP($A549,Equipos!$C$2:$M$967,7,FALSE()),"")</f>
        <v>Drager</v>
      </c>
      <c r="F549" s="50" t="str">
        <f aca="false">IFERROR(VLOOKUP($A549,Equipos!$C$2:$M$967,8,FALSE()),"")</f>
        <v>Vista 120</v>
      </c>
      <c r="G549" s="50" t="s">
        <v>691</v>
      </c>
      <c r="H549" s="50" t="s">
        <v>360</v>
      </c>
      <c r="I549" s="50"/>
      <c r="J549" s="50" t="s">
        <v>352</v>
      </c>
      <c r="K549" s="50" t="str">
        <f aca="false">IFERROR(VLOOKUP($J549,Catálogos!$M$4:$N$17,2,FALSE()),"")</f>
        <v>Mantención Preventiva Realizada</v>
      </c>
      <c r="L549" s="52" t="n">
        <v>46096</v>
      </c>
      <c r="M549" s="50" t="s">
        <v>353</v>
      </c>
      <c r="N549" s="50" t="s">
        <v>253</v>
      </c>
      <c r="O549" s="50"/>
      <c r="P549" s="50"/>
      <c r="Q549" s="50" t="s">
        <v>362</v>
      </c>
    </row>
    <row r="550" customFormat="false" ht="15" hidden="false" customHeight="true" outlineLevel="0" collapsed="false">
      <c r="A550" s="51" t="s">
        <v>746</v>
      </c>
      <c r="B550" s="50" t="str">
        <f aca="false">IFERROR(VLOOKUP($A550,Equipos!$C$2:$M$967,2,FALSE()),"")</f>
        <v>Monitor Multiparámetros</v>
      </c>
      <c r="C550" s="50" t="str">
        <f aca="false">IFERROR(VLOOKUP($A550,Equipos!$C$2:$M$967,9,FALSE()),"")</f>
        <v>VGSLN0003</v>
      </c>
      <c r="D550" s="50" t="str">
        <f aca="false">IFERROR(VLOOKUP($A550,Equipos!$C$2:$M$967,3,FALSE()),"")</f>
        <v>Urgencia Adulto</v>
      </c>
      <c r="E550" s="50" t="str">
        <f aca="false">IFERROR(VLOOKUP($A550,Equipos!$C$2:$M$967,7,FALSE()),"")</f>
        <v>Drager</v>
      </c>
      <c r="F550" s="50" t="str">
        <f aca="false">IFERROR(VLOOKUP($A550,Equipos!$C$2:$M$967,8,FALSE()),"")</f>
        <v>Vista 120</v>
      </c>
      <c r="G550" s="50" t="s">
        <v>691</v>
      </c>
      <c r="H550" s="50" t="s">
        <v>360</v>
      </c>
      <c r="I550" s="50"/>
      <c r="J550" s="50" t="s">
        <v>352</v>
      </c>
      <c r="K550" s="50" t="str">
        <f aca="false">IFERROR(VLOOKUP($J550,Catálogos!$M$4:$N$17,2,FALSE()),"")</f>
        <v>Mantención Preventiva Realizada</v>
      </c>
      <c r="L550" s="52" t="n">
        <v>46096</v>
      </c>
      <c r="M550" s="50" t="s">
        <v>353</v>
      </c>
      <c r="N550" s="50" t="s">
        <v>253</v>
      </c>
      <c r="O550" s="50"/>
      <c r="P550" s="50"/>
      <c r="Q550" s="50" t="s">
        <v>362</v>
      </c>
    </row>
    <row r="551" customFormat="false" ht="15" hidden="false" customHeight="true" outlineLevel="0" collapsed="false">
      <c r="A551" s="51" t="s">
        <v>747</v>
      </c>
      <c r="B551" s="50" t="str">
        <f aca="false">IFERROR(VLOOKUP($A551,Equipos!$C$2:$M$967,2,FALSE()),"")</f>
        <v>Monitor Multiparámetros</v>
      </c>
      <c r="C551" s="50" t="str">
        <f aca="false">IFERROR(VLOOKUP($A551,Equipos!$C$2:$M$967,9,FALSE()),"")</f>
        <v>VQSHF0100</v>
      </c>
      <c r="D551" s="50" t="str">
        <f aca="false">IFERROR(VLOOKUP($A551,Equipos!$C$2:$M$967,3,FALSE()),"")</f>
        <v>Electrofisiología</v>
      </c>
      <c r="E551" s="50" t="str">
        <f aca="false">IFERROR(VLOOKUP($A551,Equipos!$C$2:$M$967,7,FALSE()),"")</f>
        <v>Drager</v>
      </c>
      <c r="F551" s="50" t="str">
        <f aca="false">IFERROR(VLOOKUP($A551,Equipos!$C$2:$M$967,8,FALSE()),"")</f>
        <v>Vista 120</v>
      </c>
      <c r="G551" s="50" t="s">
        <v>691</v>
      </c>
      <c r="H551" s="50" t="s">
        <v>360</v>
      </c>
      <c r="I551" s="50"/>
      <c r="J551" s="50" t="s">
        <v>364</v>
      </c>
      <c r="K551" s="50" t="str">
        <f aca="false">IFERROR(VLOOKUP($J551,Catálogos!$M$4:$N$17,2,FALSE()),"")</f>
        <v>Reprogramada · No disponibilidad de horas hombre del funcionario SEC por alta carga laboral</v>
      </c>
      <c r="L551" s="52" t="n">
        <v>46096</v>
      </c>
      <c r="M551" s="50" t="s">
        <v>353</v>
      </c>
      <c r="N551" s="50" t="s">
        <v>253</v>
      </c>
      <c r="O551" s="50"/>
      <c r="P551" s="50"/>
      <c r="Q551" s="50" t="s">
        <v>362</v>
      </c>
    </row>
    <row r="552" customFormat="false" ht="15" hidden="false" customHeight="true" outlineLevel="0" collapsed="false">
      <c r="A552" s="51" t="s">
        <v>585</v>
      </c>
      <c r="B552" s="50" t="str">
        <f aca="false">IFERROR(VLOOKUP($A552,Equipos!$C$2:$M$967,2,FALSE()),"")</f>
        <v>Monitor Multiparámetros</v>
      </c>
      <c r="C552" s="50" t="str">
        <f aca="false">IFERROR(VLOOKUP($A552,Equipos!$C$2:$M$967,9,FALSE()),"")</f>
        <v>V1SHL0116</v>
      </c>
      <c r="D552" s="50" t="str">
        <f aca="false">IFERROR(VLOOKUP($A552,Equipos!$C$2:$M$967,3,FALSE()),"")</f>
        <v>Cardiología (Prestado a Medicina cardiovascular)</v>
      </c>
      <c r="E552" s="50" t="str">
        <f aca="false">IFERROR(VLOOKUP($A552,Equipos!$C$2:$M$967,7,FALSE()),"")</f>
        <v>Drager</v>
      </c>
      <c r="F552" s="50" t="str">
        <f aca="false">IFERROR(VLOOKUP($A552,Equipos!$C$2:$M$967,8,FALSE()),"")</f>
        <v>Vista 120</v>
      </c>
      <c r="G552" s="50" t="s">
        <v>691</v>
      </c>
      <c r="H552" s="50" t="s">
        <v>360</v>
      </c>
      <c r="I552" s="50"/>
      <c r="J552" s="50" t="s">
        <v>352</v>
      </c>
      <c r="K552" s="50" t="str">
        <f aca="false">IFERROR(VLOOKUP($J552,Catálogos!$M$4:$N$17,2,FALSE()),"")</f>
        <v>Mantención Preventiva Realizada</v>
      </c>
      <c r="L552" s="52" t="n">
        <v>46096</v>
      </c>
      <c r="M552" s="50" t="s">
        <v>353</v>
      </c>
      <c r="N552" s="50" t="s">
        <v>253</v>
      </c>
      <c r="O552" s="50"/>
      <c r="P552" s="50"/>
      <c r="Q552" s="50" t="s">
        <v>362</v>
      </c>
    </row>
    <row r="553" customFormat="false" ht="15" hidden="false" customHeight="true" outlineLevel="0" collapsed="false">
      <c r="A553" s="51" t="s">
        <v>586</v>
      </c>
      <c r="B553" s="50" t="str">
        <f aca="false">IFERROR(VLOOKUP($A553,Equipos!$C$2:$M$967,2,FALSE()),"")</f>
        <v>Monitor Multiparámetros</v>
      </c>
      <c r="C553" s="50" t="str">
        <f aca="false">IFERROR(VLOOKUP($A553,Equipos!$C$2:$M$967,9,FALSE()),"")</f>
        <v>V2SFF0044</v>
      </c>
      <c r="D553" s="50" t="str">
        <f aca="false">IFERROR(VLOOKUP($A553,Equipos!$C$2:$M$967,3,FALSE()),"")</f>
        <v>Cardiología (Prestado a Medicina cardiovascular)</v>
      </c>
      <c r="E553" s="50" t="str">
        <f aca="false">IFERROR(VLOOKUP($A553,Equipos!$C$2:$M$967,7,FALSE()),"")</f>
        <v>Drager</v>
      </c>
      <c r="F553" s="50" t="str">
        <f aca="false">IFERROR(VLOOKUP($A553,Equipos!$C$2:$M$967,8,FALSE()),"")</f>
        <v>Vista 120</v>
      </c>
      <c r="G553" s="50" t="s">
        <v>691</v>
      </c>
      <c r="H553" s="50" t="s">
        <v>360</v>
      </c>
      <c r="I553" s="50"/>
      <c r="J553" s="50" t="s">
        <v>352</v>
      </c>
      <c r="K553" s="50" t="str">
        <f aca="false">IFERROR(VLOOKUP($J553,Catálogos!$M$4:$N$17,2,FALSE()),"")</f>
        <v>Mantención Preventiva Realizada</v>
      </c>
      <c r="L553" s="52" t="n">
        <v>46096</v>
      </c>
      <c r="M553" s="50" t="s">
        <v>353</v>
      </c>
      <c r="N553" s="50" t="s">
        <v>253</v>
      </c>
      <c r="O553" s="50"/>
      <c r="P553" s="50"/>
      <c r="Q553" s="50" t="s">
        <v>362</v>
      </c>
    </row>
    <row r="554" customFormat="false" ht="15" hidden="false" customHeight="true" outlineLevel="0" collapsed="false">
      <c r="A554" s="51" t="s">
        <v>748</v>
      </c>
      <c r="B554" s="50" t="str">
        <f aca="false">IFERROR(VLOOKUP($A554,Equipos!$C$2:$M$967,2,FALSE()),"")</f>
        <v>Monitor Multiparámetros</v>
      </c>
      <c r="C554" s="50" t="str">
        <f aca="false">IFERROR(VLOOKUP($A554,Equipos!$C$2:$M$967,9,FALSE()),"")</f>
        <v>3648</v>
      </c>
      <c r="D554" s="50" t="str">
        <f aca="false">IFERROR(VLOOKUP($A554,Equipos!$C$2:$M$967,3,FALSE()),"")</f>
        <v>Quimioterapia Ambulatoria Adulto</v>
      </c>
      <c r="E554" s="50" t="str">
        <f aca="false">IFERROR(VLOOKUP($A554,Equipos!$C$2:$M$967,7,FALSE()),"")</f>
        <v>Nihon Kohden </v>
      </c>
      <c r="F554" s="50" t="str">
        <f aca="false">IFERROR(VLOOKUP($A554,Equipos!$C$2:$M$967,8,FALSE()),"")</f>
        <v>BSM-2351K</v>
      </c>
      <c r="G554" s="50" t="s">
        <v>691</v>
      </c>
      <c r="H554" s="50" t="s">
        <v>360</v>
      </c>
      <c r="I554" s="50"/>
      <c r="J554" s="50" t="s">
        <v>364</v>
      </c>
      <c r="K554" s="50" t="str">
        <f aca="false">IFERROR(VLOOKUP($J554,Catálogos!$M$4:$N$17,2,FALSE()),"")</f>
        <v>Reprogramada · No disponibilidad de horas hombre del funcionario SEC por alta carga laboral</v>
      </c>
      <c r="L554" s="52" t="n">
        <v>46096</v>
      </c>
      <c r="M554" s="50" t="s">
        <v>353</v>
      </c>
      <c r="N554" s="50" t="s">
        <v>253</v>
      </c>
      <c r="O554" s="50"/>
      <c r="P554" s="50"/>
      <c r="Q554" s="50" t="s">
        <v>362</v>
      </c>
    </row>
    <row r="555" customFormat="false" ht="15" hidden="false" customHeight="true" outlineLevel="0" collapsed="false">
      <c r="A555" s="51" t="s">
        <v>587</v>
      </c>
      <c r="B555" s="50" t="str">
        <f aca="false">IFERROR(VLOOKUP($A555,Equipos!$C$2:$M$967,2,FALSE()),"")</f>
        <v>Monitor Multiparámetros</v>
      </c>
      <c r="C555" s="50" t="str">
        <f aca="false">IFERROR(VLOOKUP($A555,Equipos!$C$2:$M$967,9,FALSE()),"")</f>
        <v>TM3M0264</v>
      </c>
      <c r="D555" s="50" t="str">
        <f aca="false">IFERROR(VLOOKUP($A555,Equipos!$C$2:$M$967,3,FALSE()),"")</f>
        <v>Imagenología</v>
      </c>
      <c r="E555" s="50" t="str">
        <f aca="false">IFERROR(VLOOKUP($A555,Equipos!$C$2:$M$967,7,FALSE()),"")</f>
        <v>Tesla</v>
      </c>
      <c r="F555" s="50" t="str">
        <f aca="false">IFERROR(VLOOKUP($A555,Equipos!$C$2:$M$967,8,FALSE()),"")</f>
        <v>M3</v>
      </c>
      <c r="G555" s="50" t="s">
        <v>691</v>
      </c>
      <c r="H555" s="50" t="s">
        <v>360</v>
      </c>
      <c r="I555" s="50"/>
      <c r="J555" s="50" t="s">
        <v>352</v>
      </c>
      <c r="K555" s="50" t="str">
        <f aca="false">IFERROR(VLOOKUP($J555,Catálogos!$M$4:$N$17,2,FALSE()),"")</f>
        <v>Mantención Preventiva Realizada</v>
      </c>
      <c r="L555" s="52" t="n">
        <v>46096</v>
      </c>
      <c r="M555" s="50" t="s">
        <v>353</v>
      </c>
      <c r="N555" s="50" t="s">
        <v>253</v>
      </c>
      <c r="O555" s="50"/>
      <c r="P555" s="50"/>
      <c r="Q555" s="50" t="s">
        <v>362</v>
      </c>
    </row>
    <row r="556" customFormat="false" ht="15" hidden="false" customHeight="true" outlineLevel="0" collapsed="false">
      <c r="A556" s="51" t="s">
        <v>588</v>
      </c>
      <c r="B556" s="50" t="str">
        <f aca="false">IFERROR(VLOOKUP($A556,Equipos!$C$2:$M$967,2,FALSE()),"")</f>
        <v>Monitor Multiparámetros</v>
      </c>
      <c r="C556" s="50" t="str">
        <f aca="false">IFERROR(VLOOKUP($A556,Equipos!$C$2:$M$967,9,FALSE()),"")</f>
        <v>5493736846</v>
      </c>
      <c r="D556" s="50" t="str">
        <f aca="false">IFERROR(VLOOKUP($A556,Equipos!$C$2:$M$967,3,FALSE()),"")</f>
        <v>Cardiología</v>
      </c>
      <c r="E556" s="50" t="str">
        <f aca="false">IFERROR(VLOOKUP($A556,Equipos!$C$2:$M$967,7,FALSE()),"")</f>
        <v>Drager</v>
      </c>
      <c r="F556" s="50" t="str">
        <f aca="false">IFERROR(VLOOKUP($A556,Equipos!$C$2:$M$967,8,FALSE()),"")</f>
        <v>Infinity Kappa</v>
      </c>
      <c r="G556" s="50" t="s">
        <v>691</v>
      </c>
      <c r="H556" s="50" t="s">
        <v>360</v>
      </c>
      <c r="I556" s="50"/>
      <c r="J556" s="50" t="s">
        <v>352</v>
      </c>
      <c r="K556" s="50" t="str">
        <f aca="false">IFERROR(VLOOKUP($J556,Catálogos!$M$4:$N$17,2,FALSE()),"")</f>
        <v>Mantención Preventiva Realizada</v>
      </c>
      <c r="L556" s="52" t="n">
        <v>46096</v>
      </c>
      <c r="M556" s="50" t="s">
        <v>353</v>
      </c>
      <c r="N556" s="50" t="s">
        <v>253</v>
      </c>
      <c r="O556" s="50"/>
      <c r="P556" s="50"/>
      <c r="Q556" s="50" t="s">
        <v>362</v>
      </c>
    </row>
    <row r="557" customFormat="false" ht="15" hidden="false" customHeight="true" outlineLevel="0" collapsed="false">
      <c r="A557" s="51" t="s">
        <v>749</v>
      </c>
      <c r="B557" s="50" t="str">
        <f aca="false">IFERROR(VLOOKUP($A557,Equipos!$C$2:$M$967,2,FALSE()),"")</f>
        <v>Monitor Multiparámetros</v>
      </c>
      <c r="C557" s="50" t="str">
        <f aca="false">IFERROR(VLOOKUP($A557,Equipos!$C$2:$M$967,9,FALSE()),"")</f>
        <v>VTSHD0066</v>
      </c>
      <c r="D557" s="50" t="str">
        <f aca="false">IFERROR(VLOOKUP($A557,Equipos!$C$2:$M$967,3,FALSE()),"")</f>
        <v>Neurocirugía</v>
      </c>
      <c r="E557" s="50" t="str">
        <f aca="false">IFERROR(VLOOKUP($A557,Equipos!$C$2:$M$967,7,FALSE()),"")</f>
        <v>Drager</v>
      </c>
      <c r="F557" s="50" t="str">
        <f aca="false">IFERROR(VLOOKUP($A557,Equipos!$C$2:$M$967,8,FALSE()),"")</f>
        <v>Vista 120</v>
      </c>
      <c r="G557" s="50" t="s">
        <v>691</v>
      </c>
      <c r="H557" s="50" t="s">
        <v>360</v>
      </c>
      <c r="I557" s="50"/>
      <c r="J557" s="50" t="s">
        <v>364</v>
      </c>
      <c r="K557" s="50" t="str">
        <f aca="false">IFERROR(VLOOKUP($J557,Catálogos!$M$4:$N$17,2,FALSE()),"")</f>
        <v>Reprogramada · No disponibilidad de horas hombre del funcionario SEC por alta carga laboral</v>
      </c>
      <c r="L557" s="52" t="n">
        <v>46096</v>
      </c>
      <c r="M557" s="50" t="s">
        <v>353</v>
      </c>
      <c r="N557" s="50" t="s">
        <v>253</v>
      </c>
      <c r="O557" s="50"/>
      <c r="P557" s="50"/>
      <c r="Q557" s="50" t="s">
        <v>362</v>
      </c>
    </row>
    <row r="558" customFormat="false" ht="15" hidden="false" customHeight="true" outlineLevel="0" collapsed="false">
      <c r="A558" s="51" t="s">
        <v>750</v>
      </c>
      <c r="B558" s="50" t="str">
        <f aca="false">IFERROR(VLOOKUP($A558,Equipos!$C$2:$M$967,2,FALSE()),"")</f>
        <v>Monitor Multiparámetros</v>
      </c>
      <c r="C558" s="50" t="str">
        <f aca="false">IFERROR(VLOOKUP($A558,Equipos!$C$2:$M$967,9,FALSE()),"")</f>
        <v>VTSHD0111</v>
      </c>
      <c r="D558" s="50" t="str">
        <f aca="false">IFERROR(VLOOKUP($A558,Equipos!$C$2:$M$967,3,FALSE()),"")</f>
        <v>Neurocirugía</v>
      </c>
      <c r="E558" s="50" t="str">
        <f aca="false">IFERROR(VLOOKUP($A558,Equipos!$C$2:$M$967,7,FALSE()),"")</f>
        <v>Drager</v>
      </c>
      <c r="F558" s="50" t="str">
        <f aca="false">IFERROR(VLOOKUP($A558,Equipos!$C$2:$M$967,8,FALSE()),"")</f>
        <v>Vista 120</v>
      </c>
      <c r="G558" s="50" t="s">
        <v>691</v>
      </c>
      <c r="H558" s="50" t="s">
        <v>360</v>
      </c>
      <c r="I558" s="50"/>
      <c r="J558" s="50" t="s">
        <v>364</v>
      </c>
      <c r="K558" s="50" t="str">
        <f aca="false">IFERROR(VLOOKUP($J558,Catálogos!$M$4:$N$17,2,FALSE()),"")</f>
        <v>Reprogramada · No disponibilidad de horas hombre del funcionario SEC por alta carga laboral</v>
      </c>
      <c r="L558" s="52" t="n">
        <v>46096</v>
      </c>
      <c r="M558" s="50" t="s">
        <v>353</v>
      </c>
      <c r="N558" s="50" t="s">
        <v>253</v>
      </c>
      <c r="O558" s="50"/>
      <c r="P558" s="50"/>
      <c r="Q558" s="50" t="s">
        <v>362</v>
      </c>
    </row>
    <row r="559" customFormat="false" ht="15" hidden="false" customHeight="true" outlineLevel="0" collapsed="false">
      <c r="A559" s="51" t="s">
        <v>751</v>
      </c>
      <c r="B559" s="50" t="str">
        <f aca="false">IFERROR(VLOOKUP($A559,Equipos!$C$2:$M$967,2,FALSE()),"")</f>
        <v>Monitor Multiparámetros</v>
      </c>
      <c r="C559" s="50" t="str">
        <f aca="false">IFERROR(VLOOKUP($A559,Equipos!$C$2:$M$967,9,FALSE()),"")</f>
        <v>VTSHD0107</v>
      </c>
      <c r="D559" s="50" t="str">
        <f aca="false">IFERROR(VLOOKUP($A559,Equipos!$C$2:$M$967,3,FALSE()),"")</f>
        <v>Neurocirugía</v>
      </c>
      <c r="E559" s="50" t="str">
        <f aca="false">IFERROR(VLOOKUP($A559,Equipos!$C$2:$M$967,7,FALSE()),"")</f>
        <v>Drager</v>
      </c>
      <c r="F559" s="50" t="str">
        <f aca="false">IFERROR(VLOOKUP($A559,Equipos!$C$2:$M$967,8,FALSE()),"")</f>
        <v>Vista 120</v>
      </c>
      <c r="G559" s="50" t="s">
        <v>691</v>
      </c>
      <c r="H559" s="50" t="s">
        <v>360</v>
      </c>
      <c r="I559" s="50"/>
      <c r="J559" s="50" t="s">
        <v>364</v>
      </c>
      <c r="K559" s="50" t="str">
        <f aca="false">IFERROR(VLOOKUP($J559,Catálogos!$M$4:$N$17,2,FALSE()),"")</f>
        <v>Reprogramada · No disponibilidad de horas hombre del funcionario SEC por alta carga laboral</v>
      </c>
      <c r="L559" s="52" t="n">
        <v>46096</v>
      </c>
      <c r="M559" s="50" t="s">
        <v>353</v>
      </c>
      <c r="N559" s="50" t="s">
        <v>253</v>
      </c>
      <c r="O559" s="50"/>
      <c r="P559" s="50"/>
      <c r="Q559" s="50" t="s">
        <v>362</v>
      </c>
    </row>
    <row r="560" customFormat="false" ht="15" hidden="false" customHeight="true" outlineLevel="0" collapsed="false">
      <c r="A560" s="51" t="s">
        <v>752</v>
      </c>
      <c r="B560" s="50" t="str">
        <f aca="false">IFERROR(VLOOKUP($A560,Equipos!$C$2:$M$967,2,FALSE()),"")</f>
        <v>Monitor Multiparámetros</v>
      </c>
      <c r="C560" s="50" t="str">
        <f aca="false">IFERROR(VLOOKUP($A560,Equipos!$C$2:$M$967,9,FALSE()),"")</f>
        <v>VTSHD0051</v>
      </c>
      <c r="D560" s="50" t="str">
        <f aca="false">IFERROR(VLOOKUP($A560,Equipos!$C$2:$M$967,3,FALSE()),"")</f>
        <v>Quimioterapia Ambulatoria Adulto</v>
      </c>
      <c r="E560" s="50" t="str">
        <f aca="false">IFERROR(VLOOKUP($A560,Equipos!$C$2:$M$967,7,FALSE()),"")</f>
        <v>Drager</v>
      </c>
      <c r="F560" s="50" t="str">
        <f aca="false">IFERROR(VLOOKUP($A560,Equipos!$C$2:$M$967,8,FALSE()),"")</f>
        <v>Vista 120</v>
      </c>
      <c r="G560" s="50" t="s">
        <v>691</v>
      </c>
      <c r="H560" s="50" t="s">
        <v>360</v>
      </c>
      <c r="I560" s="50"/>
      <c r="J560" s="50" t="s">
        <v>352</v>
      </c>
      <c r="K560" s="50" t="str">
        <f aca="false">IFERROR(VLOOKUP($J560,Catálogos!$M$4:$N$17,2,FALSE()),"")</f>
        <v>Mantención Preventiva Realizada</v>
      </c>
      <c r="L560" s="52" t="n">
        <v>46096</v>
      </c>
      <c r="M560" s="50" t="s">
        <v>353</v>
      </c>
      <c r="N560" s="50" t="s">
        <v>253</v>
      </c>
      <c r="O560" s="50"/>
      <c r="P560" s="50"/>
      <c r="Q560" s="50" t="s">
        <v>362</v>
      </c>
    </row>
    <row r="561" customFormat="false" ht="15" hidden="false" customHeight="true" outlineLevel="0" collapsed="false">
      <c r="A561" s="51" t="s">
        <v>753</v>
      </c>
      <c r="B561" s="50" t="str">
        <f aca="false">IFERROR(VLOOKUP($A561,Equipos!$C$2:$M$967,2,FALSE()),"")</f>
        <v>Monitor Multiparámetros</v>
      </c>
      <c r="C561" s="50" t="str">
        <f aca="false">IFERROR(VLOOKUP($A561,Equipos!$C$2:$M$967,9,FALSE()),"")</f>
        <v>VTSHD0089</v>
      </c>
      <c r="D561" s="50" t="str">
        <f aca="false">IFERROR(VLOOKUP($A561,Equipos!$C$2:$M$967,3,FALSE()),"")</f>
        <v>Neurocirugía</v>
      </c>
      <c r="E561" s="50" t="str">
        <f aca="false">IFERROR(VLOOKUP($A561,Equipos!$C$2:$M$967,7,FALSE()),"")</f>
        <v>Drager</v>
      </c>
      <c r="F561" s="50" t="str">
        <f aca="false">IFERROR(VLOOKUP($A561,Equipos!$C$2:$M$967,8,FALSE()),"")</f>
        <v>Vista 120</v>
      </c>
      <c r="G561" s="50" t="s">
        <v>691</v>
      </c>
      <c r="H561" s="50" t="s">
        <v>360</v>
      </c>
      <c r="I561" s="50"/>
      <c r="J561" s="50" t="s">
        <v>364</v>
      </c>
      <c r="K561" s="50" t="str">
        <f aca="false">IFERROR(VLOOKUP($J561,Catálogos!$M$4:$N$17,2,FALSE()),"")</f>
        <v>Reprogramada · No disponibilidad de horas hombre del funcionario SEC por alta carga laboral</v>
      </c>
      <c r="L561" s="52" t="n">
        <v>46096</v>
      </c>
      <c r="M561" s="50" t="s">
        <v>353</v>
      </c>
      <c r="N561" s="50" t="s">
        <v>253</v>
      </c>
      <c r="O561" s="50"/>
      <c r="P561" s="50"/>
      <c r="Q561" s="50" t="s">
        <v>362</v>
      </c>
    </row>
    <row r="562" customFormat="false" ht="15" hidden="false" customHeight="true" outlineLevel="0" collapsed="false">
      <c r="A562" s="51" t="s">
        <v>754</v>
      </c>
      <c r="B562" s="50" t="str">
        <f aca="false">IFERROR(VLOOKUP($A562,Equipos!$C$2:$M$967,2,FALSE()),"")</f>
        <v>Monitor Multiparámetros</v>
      </c>
      <c r="C562" s="50" t="str">
        <f aca="false">IFERROR(VLOOKUP($A562,Equipos!$C$2:$M$967,9,FALSE()),"")</f>
        <v>VTSHD0102</v>
      </c>
      <c r="D562" s="50" t="str">
        <f aca="false">IFERROR(VLOOKUP($A562,Equipos!$C$2:$M$967,3,FALSE()),"")</f>
        <v>Neurocirugía</v>
      </c>
      <c r="E562" s="50" t="str">
        <f aca="false">IFERROR(VLOOKUP($A562,Equipos!$C$2:$M$967,7,FALSE()),"")</f>
        <v>Drager</v>
      </c>
      <c r="F562" s="50" t="str">
        <f aca="false">IFERROR(VLOOKUP($A562,Equipos!$C$2:$M$967,8,FALSE()),"")</f>
        <v>Vista 120</v>
      </c>
      <c r="G562" s="50" t="s">
        <v>691</v>
      </c>
      <c r="H562" s="50" t="s">
        <v>360</v>
      </c>
      <c r="I562" s="50"/>
      <c r="J562" s="50" t="s">
        <v>364</v>
      </c>
      <c r="K562" s="50" t="str">
        <f aca="false">IFERROR(VLOOKUP($J562,Catálogos!$M$4:$N$17,2,FALSE()),"")</f>
        <v>Reprogramada · No disponibilidad de horas hombre del funcionario SEC por alta carga laboral</v>
      </c>
      <c r="L562" s="52" t="n">
        <v>46096</v>
      </c>
      <c r="M562" s="50" t="s">
        <v>353</v>
      </c>
      <c r="N562" s="50" t="s">
        <v>253</v>
      </c>
      <c r="O562" s="50"/>
      <c r="P562" s="50"/>
      <c r="Q562" s="50" t="s">
        <v>362</v>
      </c>
    </row>
    <row r="563" customFormat="false" ht="15" hidden="false" customHeight="true" outlineLevel="0" collapsed="false">
      <c r="A563" s="51" t="s">
        <v>755</v>
      </c>
      <c r="B563" s="50" t="str">
        <f aca="false">IFERROR(VLOOKUP($A563,Equipos!$C$2:$M$967,2,FALSE()),"")</f>
        <v>Monitor Multiparámetros</v>
      </c>
      <c r="C563" s="50" t="str">
        <f aca="false">IFERROR(VLOOKUP($A563,Equipos!$C$2:$M$967,9,FALSE()),"")</f>
        <v>VTSHD0109</v>
      </c>
      <c r="D563" s="50" t="str">
        <f aca="false">IFERROR(VLOOKUP($A563,Equipos!$C$2:$M$967,3,FALSE()),"")</f>
        <v>Urgencia Adulto</v>
      </c>
      <c r="E563" s="50" t="str">
        <f aca="false">IFERROR(VLOOKUP($A563,Equipos!$C$2:$M$967,7,FALSE()),"")</f>
        <v>Drager</v>
      </c>
      <c r="F563" s="50" t="str">
        <f aca="false">IFERROR(VLOOKUP($A563,Equipos!$C$2:$M$967,8,FALSE()),"")</f>
        <v>Vista 120</v>
      </c>
      <c r="G563" s="50" t="s">
        <v>691</v>
      </c>
      <c r="H563" s="50" t="s">
        <v>360</v>
      </c>
      <c r="I563" s="50"/>
      <c r="J563" s="50" t="s">
        <v>352</v>
      </c>
      <c r="K563" s="50" t="str">
        <f aca="false">IFERROR(VLOOKUP($J563,Catálogos!$M$4:$N$17,2,FALSE()),"")</f>
        <v>Mantención Preventiva Realizada</v>
      </c>
      <c r="L563" s="52" t="n">
        <v>46096</v>
      </c>
      <c r="M563" s="50" t="s">
        <v>353</v>
      </c>
      <c r="N563" s="50" t="s">
        <v>253</v>
      </c>
      <c r="O563" s="50"/>
      <c r="P563" s="50"/>
      <c r="Q563" s="50" t="s">
        <v>362</v>
      </c>
    </row>
    <row r="564" customFormat="false" ht="15" hidden="false" customHeight="true" outlineLevel="0" collapsed="false">
      <c r="A564" s="51" t="s">
        <v>756</v>
      </c>
      <c r="B564" s="50" t="str">
        <f aca="false">IFERROR(VLOOKUP($A564,Equipos!$C$2:$M$967,2,FALSE()),"")</f>
        <v>Monitor Multiparámetros</v>
      </c>
      <c r="C564" s="50" t="str">
        <f aca="false">IFERROR(VLOOKUP($A564,Equipos!$C$2:$M$967,9,FALSE()),"")</f>
        <v>CN23200082</v>
      </c>
      <c r="D564" s="50" t="str">
        <f aca="false">IFERROR(VLOOKUP($A564,Equipos!$C$2:$M$967,3,FALSE()),"")</f>
        <v>Urgencia Adulto</v>
      </c>
      <c r="E564" s="50" t="str">
        <f aca="false">IFERROR(VLOOKUP($A564,Equipos!$C$2:$M$967,7,FALSE()),"")</f>
        <v>Philips</v>
      </c>
      <c r="F564" s="50" t="str">
        <f aca="false">IFERROR(VLOOKUP($A564,Equipos!$C$2:$M$967,8,FALSE()),"")</f>
        <v>G70</v>
      </c>
      <c r="G564" s="50" t="s">
        <v>691</v>
      </c>
      <c r="H564" s="50" t="s">
        <v>360</v>
      </c>
      <c r="I564" s="50"/>
      <c r="J564" s="50" t="s">
        <v>352</v>
      </c>
      <c r="K564" s="50" t="str">
        <f aca="false">IFERROR(VLOOKUP($J564,Catálogos!$M$4:$N$17,2,FALSE()),"")</f>
        <v>Mantención Preventiva Realizada</v>
      </c>
      <c r="L564" s="52" t="n">
        <v>46096</v>
      </c>
      <c r="M564" s="50" t="s">
        <v>353</v>
      </c>
      <c r="N564" s="50" t="s">
        <v>253</v>
      </c>
      <c r="O564" s="50"/>
      <c r="P564" s="50"/>
      <c r="Q564" s="50" t="s">
        <v>362</v>
      </c>
    </row>
    <row r="565" customFormat="false" ht="15" hidden="false" customHeight="true" outlineLevel="0" collapsed="false">
      <c r="A565" s="51" t="s">
        <v>757</v>
      </c>
      <c r="B565" s="50" t="str">
        <f aca="false">IFERROR(VLOOKUP($A565,Equipos!$C$2:$M$967,2,FALSE()),"")</f>
        <v>Monitor Multiparámetros</v>
      </c>
      <c r="C565" s="50" t="str">
        <f aca="false">IFERROR(VLOOKUP($A565,Equipos!$C$2:$M$967,9,FALSE()),"")</f>
        <v>CN23200081</v>
      </c>
      <c r="D565" s="50" t="str">
        <f aca="false">IFERROR(VLOOKUP($A565,Equipos!$C$2:$M$967,3,FALSE()),"")</f>
        <v>Peritoneodiálisis Adulto</v>
      </c>
      <c r="E565" s="50" t="str">
        <f aca="false">IFERROR(VLOOKUP($A565,Equipos!$C$2:$M$967,7,FALSE()),"")</f>
        <v>Philips</v>
      </c>
      <c r="F565" s="50" t="str">
        <f aca="false">IFERROR(VLOOKUP($A565,Equipos!$C$2:$M$967,8,FALSE()),"")</f>
        <v>G70</v>
      </c>
      <c r="G565" s="50" t="s">
        <v>691</v>
      </c>
      <c r="H565" s="50" t="s">
        <v>360</v>
      </c>
      <c r="I565" s="50"/>
      <c r="J565" s="50" t="s">
        <v>364</v>
      </c>
      <c r="K565" s="50" t="str">
        <f aca="false">IFERROR(VLOOKUP($J565,Catálogos!$M$4:$N$17,2,FALSE()),"")</f>
        <v>Reprogramada · No disponibilidad de horas hombre del funcionario SEC por alta carga laboral</v>
      </c>
      <c r="L565" s="52" t="n">
        <v>46096</v>
      </c>
      <c r="M565" s="50" t="s">
        <v>353</v>
      </c>
      <c r="N565" s="50" t="s">
        <v>253</v>
      </c>
      <c r="O565" s="50"/>
      <c r="P565" s="50"/>
      <c r="Q565" s="50" t="s">
        <v>362</v>
      </c>
    </row>
    <row r="566" customFormat="false" ht="15" hidden="false" customHeight="true" outlineLevel="0" collapsed="false">
      <c r="A566" s="51" t="s">
        <v>758</v>
      </c>
      <c r="B566" s="50" t="str">
        <f aca="false">IFERROR(VLOOKUP($A566,Equipos!$C$2:$M$967,2,FALSE()),"")</f>
        <v>Monitor Multiparámetros</v>
      </c>
      <c r="C566" s="50" t="str">
        <f aca="false">IFERROR(VLOOKUP($A566,Equipos!$C$2:$M$967,9,FALSE()),"")</f>
        <v>0107077.</v>
      </c>
      <c r="D566" s="50" t="str">
        <f aca="false">IFERROR(VLOOKUP($A566,Equipos!$C$2:$M$967,3,FALSE()),"")</f>
        <v>Urgencia Infantil</v>
      </c>
      <c r="E566" s="50" t="str">
        <f aca="false">IFERROR(VLOOKUP($A566,Equipos!$C$2:$M$967,7,FALSE()),"")</f>
        <v>Nihon Kohden </v>
      </c>
      <c r="F566" s="50" t="str">
        <f aca="false">IFERROR(VLOOKUP($A566,Equipos!$C$2:$M$967,8,FALSE()),"")</f>
        <v>Vismo PVM-2703K</v>
      </c>
      <c r="G566" s="50" t="s">
        <v>691</v>
      </c>
      <c r="H566" s="50" t="s">
        <v>360</v>
      </c>
      <c r="I566" s="50"/>
      <c r="J566" s="50" t="s">
        <v>352</v>
      </c>
      <c r="K566" s="50" t="str">
        <f aca="false">IFERROR(VLOOKUP($J566,Catálogos!$M$4:$N$17,2,FALSE()),"")</f>
        <v>Mantención Preventiva Realizada</v>
      </c>
      <c r="L566" s="52" t="n">
        <v>46096</v>
      </c>
      <c r="M566" s="50" t="s">
        <v>353</v>
      </c>
      <c r="N566" s="50" t="s">
        <v>253</v>
      </c>
      <c r="O566" s="50"/>
      <c r="P566" s="50"/>
      <c r="Q566" s="50" t="s">
        <v>362</v>
      </c>
    </row>
    <row r="567" customFormat="false" ht="15" hidden="false" customHeight="true" outlineLevel="0" collapsed="false">
      <c r="A567" s="51" t="s">
        <v>759</v>
      </c>
      <c r="B567" s="50" t="str">
        <f aca="false">IFERROR(VLOOKUP($A567,Equipos!$C$2:$M$967,2,FALSE()),"")</f>
        <v>Monitor Multiparámetros</v>
      </c>
      <c r="C567" s="50" t="str">
        <f aca="false">IFERROR(VLOOKUP($A567,Equipos!$C$2:$M$967,9,FALSE()),"")</f>
        <v>0107093.</v>
      </c>
      <c r="D567" s="50" t="str">
        <f aca="false">IFERROR(VLOOKUP($A567,Equipos!$C$2:$M$967,3,FALSE()),"")</f>
        <v>Urgencia Infantil</v>
      </c>
      <c r="E567" s="50" t="str">
        <f aca="false">IFERROR(VLOOKUP($A567,Equipos!$C$2:$M$967,7,FALSE()),"")</f>
        <v>Nihon Kohden </v>
      </c>
      <c r="F567" s="50" t="str">
        <f aca="false">IFERROR(VLOOKUP($A567,Equipos!$C$2:$M$967,8,FALSE()),"")</f>
        <v>Vismo PVM-2703K</v>
      </c>
      <c r="G567" s="50" t="s">
        <v>691</v>
      </c>
      <c r="H567" s="50" t="s">
        <v>360</v>
      </c>
      <c r="I567" s="50"/>
      <c r="J567" s="50" t="s">
        <v>352</v>
      </c>
      <c r="K567" s="50" t="str">
        <f aca="false">IFERROR(VLOOKUP($J567,Catálogos!$M$4:$N$17,2,FALSE()),"")</f>
        <v>Mantención Preventiva Realizada</v>
      </c>
      <c r="L567" s="52" t="n">
        <v>46096</v>
      </c>
      <c r="M567" s="50" t="s">
        <v>353</v>
      </c>
      <c r="N567" s="50" t="s">
        <v>253</v>
      </c>
      <c r="O567" s="50"/>
      <c r="P567" s="50"/>
      <c r="Q567" s="50" t="s">
        <v>362</v>
      </c>
    </row>
    <row r="568" customFormat="false" ht="15" hidden="false" customHeight="true" outlineLevel="0" collapsed="false">
      <c r="A568" s="51" t="s">
        <v>760</v>
      </c>
      <c r="B568" s="50" t="str">
        <f aca="false">IFERROR(VLOOKUP($A568,Equipos!$C$2:$M$967,2,FALSE()),"")</f>
        <v>Monitor Multiparámetros</v>
      </c>
      <c r="C568" s="50" t="str">
        <f aca="false">IFERROR(VLOOKUP($A568,Equipos!$C$2:$M$967,9,FALSE()),"")</f>
        <v>0107101.</v>
      </c>
      <c r="D568" s="50" t="str">
        <f aca="false">IFERROR(VLOOKUP($A568,Equipos!$C$2:$M$967,3,FALSE()),"")</f>
        <v>Urgencia Infantil</v>
      </c>
      <c r="E568" s="50" t="str">
        <f aca="false">IFERROR(VLOOKUP($A568,Equipos!$C$2:$M$967,7,FALSE()),"")</f>
        <v>Nihon Kohden </v>
      </c>
      <c r="F568" s="50" t="str">
        <f aca="false">IFERROR(VLOOKUP($A568,Equipos!$C$2:$M$967,8,FALSE()),"")</f>
        <v>Vismo PVM-2703K</v>
      </c>
      <c r="G568" s="50" t="s">
        <v>691</v>
      </c>
      <c r="H568" s="50" t="s">
        <v>360</v>
      </c>
      <c r="I568" s="50"/>
      <c r="J568" s="50" t="s">
        <v>352</v>
      </c>
      <c r="K568" s="50" t="str">
        <f aca="false">IFERROR(VLOOKUP($J568,Catálogos!$M$4:$N$17,2,FALSE()),"")</f>
        <v>Mantención Preventiva Realizada</v>
      </c>
      <c r="L568" s="52" t="n">
        <v>46096</v>
      </c>
      <c r="M568" s="50" t="s">
        <v>353</v>
      </c>
      <c r="N568" s="50" t="s">
        <v>253</v>
      </c>
      <c r="O568" s="50"/>
      <c r="P568" s="50"/>
      <c r="Q568" s="50" t="s">
        <v>362</v>
      </c>
    </row>
    <row r="569" customFormat="false" ht="15" hidden="false" customHeight="true" outlineLevel="0" collapsed="false">
      <c r="A569" s="51" t="s">
        <v>761</v>
      </c>
      <c r="B569" s="50" t="str">
        <f aca="false">IFERROR(VLOOKUP($A569,Equipos!$C$2:$M$967,2,FALSE()),"")</f>
        <v>Monitor Multiparámetros</v>
      </c>
      <c r="C569" s="50" t="str">
        <f aca="false">IFERROR(VLOOKUP($A569,Equipos!$C$2:$M$967,9,FALSE()),"")</f>
        <v>0107083.</v>
      </c>
      <c r="D569" s="50" t="str">
        <f aca="false">IFERROR(VLOOKUP($A569,Equipos!$C$2:$M$967,3,FALSE()),"")</f>
        <v>Urgencia Infantil</v>
      </c>
      <c r="E569" s="50" t="str">
        <f aca="false">IFERROR(VLOOKUP($A569,Equipos!$C$2:$M$967,7,FALSE()),"")</f>
        <v>Nihon Kohden </v>
      </c>
      <c r="F569" s="50" t="str">
        <f aca="false">IFERROR(VLOOKUP($A569,Equipos!$C$2:$M$967,8,FALSE()),"")</f>
        <v>Vismo PVM-2703K</v>
      </c>
      <c r="G569" s="50" t="s">
        <v>691</v>
      </c>
      <c r="H569" s="50" t="s">
        <v>360</v>
      </c>
      <c r="I569" s="50"/>
      <c r="J569" s="50" t="s">
        <v>352</v>
      </c>
      <c r="K569" s="50" t="str">
        <f aca="false">IFERROR(VLOOKUP($J569,Catálogos!$M$4:$N$17,2,FALSE()),"")</f>
        <v>Mantención Preventiva Realizada</v>
      </c>
      <c r="L569" s="52" t="n">
        <v>46096</v>
      </c>
      <c r="M569" s="50" t="s">
        <v>353</v>
      </c>
      <c r="N569" s="50" t="s">
        <v>253</v>
      </c>
      <c r="O569" s="50"/>
      <c r="P569" s="50"/>
      <c r="Q569" s="50" t="s">
        <v>362</v>
      </c>
    </row>
    <row r="570" customFormat="false" ht="15" hidden="false" customHeight="true" outlineLevel="0" collapsed="false">
      <c r="A570" s="51" t="s">
        <v>762</v>
      </c>
      <c r="B570" s="50" t="str">
        <f aca="false">IFERROR(VLOOKUP($A570,Equipos!$C$2:$M$967,2,FALSE()),"")</f>
        <v>Monitor Multiparámetros</v>
      </c>
      <c r="C570" s="50" t="str">
        <f aca="false">IFERROR(VLOOKUP($A570,Equipos!$C$2:$M$967,9,FALSE()),"")</f>
        <v>0107075.</v>
      </c>
      <c r="D570" s="50" t="str">
        <f aca="false">IFERROR(VLOOKUP($A570,Equipos!$C$2:$M$967,3,FALSE()),"")</f>
        <v>Urgencia Adulto</v>
      </c>
      <c r="E570" s="50" t="str">
        <f aca="false">IFERROR(VLOOKUP($A570,Equipos!$C$2:$M$967,7,FALSE()),"")</f>
        <v>Nihon Kohden </v>
      </c>
      <c r="F570" s="50" t="str">
        <f aca="false">IFERROR(VLOOKUP($A570,Equipos!$C$2:$M$967,8,FALSE()),"")</f>
        <v>Vismo PVM-2703K</v>
      </c>
      <c r="G570" s="50" t="s">
        <v>691</v>
      </c>
      <c r="H570" s="50" t="s">
        <v>360</v>
      </c>
      <c r="I570" s="50"/>
      <c r="J570" s="50" t="s">
        <v>352</v>
      </c>
      <c r="K570" s="50" t="str">
        <f aca="false">IFERROR(VLOOKUP($J570,Catálogos!$M$4:$N$17,2,FALSE()),"")</f>
        <v>Mantención Preventiva Realizada</v>
      </c>
      <c r="L570" s="52" t="n">
        <v>46096</v>
      </c>
      <c r="M570" s="50" t="s">
        <v>353</v>
      </c>
      <c r="N570" s="50" t="s">
        <v>253</v>
      </c>
      <c r="O570" s="50"/>
      <c r="P570" s="50"/>
      <c r="Q570" s="50" t="s">
        <v>362</v>
      </c>
    </row>
    <row r="571" customFormat="false" ht="15" hidden="false" customHeight="true" outlineLevel="0" collapsed="false">
      <c r="A571" s="51" t="s">
        <v>763</v>
      </c>
      <c r="B571" s="50" t="str">
        <f aca="false">IFERROR(VLOOKUP($A571,Equipos!$C$2:$M$967,2,FALSE()),"")</f>
        <v>Monitor Multiparámetros</v>
      </c>
      <c r="C571" s="50" t="str">
        <f aca="false">IFERROR(VLOOKUP($A571,Equipos!$C$2:$M$967,9,FALSE()),"")</f>
        <v>107080</v>
      </c>
      <c r="D571" s="50" t="str">
        <f aca="false">IFERROR(VLOOKUP($A571,Equipos!$C$2:$M$967,3,FALSE()),"")</f>
        <v>Urgencia Adulto</v>
      </c>
      <c r="E571" s="50" t="str">
        <f aca="false">IFERROR(VLOOKUP($A571,Equipos!$C$2:$M$967,7,FALSE()),"")</f>
        <v>Nihon Kohden </v>
      </c>
      <c r="F571" s="50" t="str">
        <f aca="false">IFERROR(VLOOKUP($A571,Equipos!$C$2:$M$967,8,FALSE()),"")</f>
        <v>Vismo PVM-2703K</v>
      </c>
      <c r="G571" s="50" t="s">
        <v>691</v>
      </c>
      <c r="H571" s="50" t="s">
        <v>360</v>
      </c>
      <c r="I571" s="50"/>
      <c r="J571" s="50" t="s">
        <v>352</v>
      </c>
      <c r="K571" s="50" t="str">
        <f aca="false">IFERROR(VLOOKUP($J571,Catálogos!$M$4:$N$17,2,FALSE()),"")</f>
        <v>Mantención Preventiva Realizada</v>
      </c>
      <c r="L571" s="52" t="n">
        <v>46096</v>
      </c>
      <c r="M571" s="50" t="s">
        <v>353</v>
      </c>
      <c r="N571" s="50" t="s">
        <v>253</v>
      </c>
      <c r="O571" s="50"/>
      <c r="P571" s="50"/>
      <c r="Q571" s="50" t="s">
        <v>362</v>
      </c>
    </row>
    <row r="572" customFormat="false" ht="15" hidden="false" customHeight="true" outlineLevel="0" collapsed="false">
      <c r="A572" s="51" t="s">
        <v>764</v>
      </c>
      <c r="B572" s="50" t="str">
        <f aca="false">IFERROR(VLOOKUP($A572,Equipos!$C$2:$M$967,2,FALSE()),"")</f>
        <v>Monitor Multiparámetros</v>
      </c>
      <c r="C572" s="50" t="str">
        <f aca="false">IFERROR(VLOOKUP($A572,Equipos!$C$2:$M$967,9,FALSE()),"")</f>
        <v>105804</v>
      </c>
      <c r="D572" s="50" t="str">
        <f aca="false">IFERROR(VLOOKUP($A572,Equipos!$C$2:$M$967,3,FALSE()),"")</f>
        <v>Urgencia Adulto</v>
      </c>
      <c r="E572" s="50" t="str">
        <f aca="false">IFERROR(VLOOKUP($A572,Equipos!$C$2:$M$967,7,FALSE()),"")</f>
        <v>Nihon Kohden </v>
      </c>
      <c r="F572" s="50" t="str">
        <f aca="false">IFERROR(VLOOKUP($A572,Equipos!$C$2:$M$967,8,FALSE()),"")</f>
        <v>Vismo PVM-2703K</v>
      </c>
      <c r="G572" s="50" t="s">
        <v>691</v>
      </c>
      <c r="H572" s="50" t="s">
        <v>360</v>
      </c>
      <c r="I572" s="50"/>
      <c r="J572" s="50" t="s">
        <v>352</v>
      </c>
      <c r="K572" s="50" t="str">
        <f aca="false">IFERROR(VLOOKUP($J572,Catálogos!$M$4:$N$17,2,FALSE()),"")</f>
        <v>Mantención Preventiva Realizada</v>
      </c>
      <c r="L572" s="52" t="n">
        <v>46096</v>
      </c>
      <c r="M572" s="50" t="s">
        <v>353</v>
      </c>
      <c r="N572" s="50" t="s">
        <v>253</v>
      </c>
      <c r="O572" s="50"/>
      <c r="P572" s="50"/>
      <c r="Q572" s="50" t="s">
        <v>362</v>
      </c>
    </row>
    <row r="573" customFormat="false" ht="15" hidden="false" customHeight="true" outlineLevel="0" collapsed="false">
      <c r="A573" s="51" t="s">
        <v>765</v>
      </c>
      <c r="B573" s="50" t="str">
        <f aca="false">IFERROR(VLOOKUP($A573,Equipos!$C$2:$M$967,2,FALSE()),"")</f>
        <v>Monitor Multiparámetros</v>
      </c>
      <c r="C573" s="50" t="str">
        <f aca="false">IFERROR(VLOOKUP($A573,Equipos!$C$2:$M$967,9,FALSE()),"")</f>
        <v>0105409.</v>
      </c>
      <c r="D573" s="50" t="str">
        <f aca="false">IFERROR(VLOOKUP($A573,Equipos!$C$2:$M$967,3,FALSE()),"")</f>
        <v>Urgencia Infantil</v>
      </c>
      <c r="E573" s="50" t="str">
        <f aca="false">IFERROR(VLOOKUP($A573,Equipos!$C$2:$M$967,7,FALSE()),"")</f>
        <v>Nihon Kohden </v>
      </c>
      <c r="F573" s="50" t="str">
        <f aca="false">IFERROR(VLOOKUP($A573,Equipos!$C$2:$M$967,8,FALSE()),"")</f>
        <v>Vismo PVM-2703K</v>
      </c>
      <c r="G573" s="50" t="s">
        <v>691</v>
      </c>
      <c r="H573" s="50" t="s">
        <v>360</v>
      </c>
      <c r="I573" s="50"/>
      <c r="J573" s="50" t="s">
        <v>352</v>
      </c>
      <c r="K573" s="50" t="str">
        <f aca="false">IFERROR(VLOOKUP($J573,Catálogos!$M$4:$N$17,2,FALSE()),"")</f>
        <v>Mantención Preventiva Realizada</v>
      </c>
      <c r="L573" s="52" t="n">
        <v>46096</v>
      </c>
      <c r="M573" s="50" t="s">
        <v>353</v>
      </c>
      <c r="N573" s="50" t="s">
        <v>253</v>
      </c>
      <c r="O573" s="50"/>
      <c r="P573" s="50"/>
      <c r="Q573" s="50" t="s">
        <v>362</v>
      </c>
    </row>
    <row r="574" customFormat="false" ht="15" hidden="false" customHeight="true" outlineLevel="0" collapsed="false">
      <c r="A574" s="51" t="s">
        <v>766</v>
      </c>
      <c r="B574" s="50" t="str">
        <f aca="false">IFERROR(VLOOKUP($A574,Equipos!$C$2:$M$967,2,FALSE()),"")</f>
        <v>Monitor Multiparámetros</v>
      </c>
      <c r="C574" s="50" t="str">
        <f aca="false">IFERROR(VLOOKUP($A574,Equipos!$C$2:$M$967,9,FALSE()),"")</f>
        <v>0105405.</v>
      </c>
      <c r="D574" s="50" t="str">
        <f aca="false">IFERROR(VLOOKUP($A574,Equipos!$C$2:$M$967,3,FALSE()),"")</f>
        <v>Urgencia Infantil</v>
      </c>
      <c r="E574" s="50" t="str">
        <f aca="false">IFERROR(VLOOKUP($A574,Equipos!$C$2:$M$967,7,FALSE()),"")</f>
        <v>Nihon Kohden </v>
      </c>
      <c r="F574" s="50" t="str">
        <f aca="false">IFERROR(VLOOKUP($A574,Equipos!$C$2:$M$967,8,FALSE()),"")</f>
        <v>Vismo PVM-2703K</v>
      </c>
      <c r="G574" s="50" t="s">
        <v>691</v>
      </c>
      <c r="H574" s="50" t="s">
        <v>360</v>
      </c>
      <c r="I574" s="50"/>
      <c r="J574" s="50" t="s">
        <v>352</v>
      </c>
      <c r="K574" s="50" t="str">
        <f aca="false">IFERROR(VLOOKUP($J574,Catálogos!$M$4:$N$17,2,FALSE()),"")</f>
        <v>Mantención Preventiva Realizada</v>
      </c>
      <c r="L574" s="52" t="n">
        <v>46096</v>
      </c>
      <c r="M574" s="50" t="s">
        <v>353</v>
      </c>
      <c r="N574" s="50" t="s">
        <v>253</v>
      </c>
      <c r="O574" s="50"/>
      <c r="P574" s="50"/>
      <c r="Q574" s="50" t="s">
        <v>362</v>
      </c>
    </row>
    <row r="575" customFormat="false" ht="15" hidden="false" customHeight="true" outlineLevel="0" collapsed="false">
      <c r="A575" s="51" t="s">
        <v>767</v>
      </c>
      <c r="B575" s="50" t="str">
        <f aca="false">IFERROR(VLOOKUP($A575,Equipos!$C$2:$M$967,2,FALSE()),"")</f>
        <v>Monitor Multiparámetros</v>
      </c>
      <c r="C575" s="50" t="str">
        <f aca="false">IFERROR(VLOOKUP($A575,Equipos!$C$2:$M$967,9,FALSE()),"")</f>
        <v>105784</v>
      </c>
      <c r="D575" s="50" t="str">
        <f aca="false">IFERROR(VLOOKUP($A575,Equipos!$C$2:$M$967,3,FALSE()),"")</f>
        <v>Urgencia Adulto</v>
      </c>
      <c r="E575" s="50" t="str">
        <f aca="false">IFERROR(VLOOKUP($A575,Equipos!$C$2:$M$967,7,FALSE()),"")</f>
        <v>Nihon Kohden </v>
      </c>
      <c r="F575" s="50" t="str">
        <f aca="false">IFERROR(VLOOKUP($A575,Equipos!$C$2:$M$967,8,FALSE()),"")</f>
        <v>Vismo PVM-2703K</v>
      </c>
      <c r="G575" s="50" t="s">
        <v>691</v>
      </c>
      <c r="H575" s="50" t="s">
        <v>360</v>
      </c>
      <c r="I575" s="50"/>
      <c r="J575" s="50" t="s">
        <v>352</v>
      </c>
      <c r="K575" s="50" t="str">
        <f aca="false">IFERROR(VLOOKUP($J575,Catálogos!$M$4:$N$17,2,FALSE()),"")</f>
        <v>Mantención Preventiva Realizada</v>
      </c>
      <c r="L575" s="52" t="n">
        <v>46096</v>
      </c>
      <c r="M575" s="50" t="s">
        <v>353</v>
      </c>
      <c r="N575" s="50" t="s">
        <v>253</v>
      </c>
      <c r="O575" s="50"/>
      <c r="P575" s="50"/>
      <c r="Q575" s="50" t="s">
        <v>362</v>
      </c>
    </row>
    <row r="576" customFormat="false" ht="15" hidden="false" customHeight="true" outlineLevel="0" collapsed="false">
      <c r="A576" s="51" t="s">
        <v>768</v>
      </c>
      <c r="B576" s="50" t="str">
        <f aca="false">IFERROR(VLOOKUP($A576,Equipos!$C$2:$M$967,2,FALSE()),"")</f>
        <v>Monitor Multiparámetros</v>
      </c>
      <c r="C576" s="50" t="str">
        <f aca="false">IFERROR(VLOOKUP($A576,Equipos!$C$2:$M$967,9,FALSE()),"")</f>
        <v>0105413.</v>
      </c>
      <c r="D576" s="50" t="str">
        <f aca="false">IFERROR(VLOOKUP($A576,Equipos!$C$2:$M$967,3,FALSE()),"")</f>
        <v>Urgencia Infantil </v>
      </c>
      <c r="E576" s="50" t="str">
        <f aca="false">IFERROR(VLOOKUP($A576,Equipos!$C$2:$M$967,7,FALSE()),"")</f>
        <v>Nihon Kohden </v>
      </c>
      <c r="F576" s="50" t="str">
        <f aca="false">IFERROR(VLOOKUP($A576,Equipos!$C$2:$M$967,8,FALSE()),"")</f>
        <v>Vismo PVM-2703K</v>
      </c>
      <c r="G576" s="50" t="s">
        <v>691</v>
      </c>
      <c r="H576" s="50" t="s">
        <v>360</v>
      </c>
      <c r="I576" s="50"/>
      <c r="J576" s="50" t="s">
        <v>352</v>
      </c>
      <c r="K576" s="50" t="str">
        <f aca="false">IFERROR(VLOOKUP($J576,Catálogos!$M$4:$N$17,2,FALSE()),"")</f>
        <v>Mantención Preventiva Realizada</v>
      </c>
      <c r="L576" s="52" t="n">
        <v>46096</v>
      </c>
      <c r="M576" s="50" t="s">
        <v>353</v>
      </c>
      <c r="N576" s="50" t="s">
        <v>253</v>
      </c>
      <c r="O576" s="50"/>
      <c r="P576" s="50"/>
      <c r="Q576" s="50" t="s">
        <v>362</v>
      </c>
    </row>
    <row r="577" customFormat="false" ht="15" hidden="false" customHeight="true" outlineLevel="0" collapsed="false">
      <c r="A577" s="51" t="s">
        <v>604</v>
      </c>
      <c r="B577" s="50" t="str">
        <f aca="false">IFERROR(VLOOKUP($A577,Equipos!$C$2:$M$967,2,FALSE()),"")</f>
        <v>Monitor Multiparámetros</v>
      </c>
      <c r="C577" s="50" t="str">
        <f aca="false">IFERROR(VLOOKUP($A577,Equipos!$C$2:$M$967,9,FALSE()),"")</f>
        <v>5396140362</v>
      </c>
      <c r="D577" s="50" t="str">
        <f aca="false">IFERROR(VLOOKUP($A577,Equipos!$C$2:$M$967,3,FALSE()),"")</f>
        <v>Imagenología</v>
      </c>
      <c r="E577" s="50" t="str">
        <f aca="false">IFERROR(VLOOKUP($A577,Equipos!$C$2:$M$967,7,FALSE()),"")</f>
        <v>Drager</v>
      </c>
      <c r="F577" s="50" t="str">
        <f aca="false">IFERROR(VLOOKUP($A577,Equipos!$C$2:$M$967,8,FALSE()),"")</f>
        <v>Infinity Vista XL </v>
      </c>
      <c r="G577" s="50" t="s">
        <v>691</v>
      </c>
      <c r="H577" s="50" t="s">
        <v>360</v>
      </c>
      <c r="I577" s="50"/>
      <c r="J577" s="50" t="s">
        <v>352</v>
      </c>
      <c r="K577" s="50" t="str">
        <f aca="false">IFERROR(VLOOKUP($J577,Catálogos!$M$4:$N$17,2,FALSE()),"")</f>
        <v>Mantención Preventiva Realizada</v>
      </c>
      <c r="L577" s="52" t="n">
        <v>46096</v>
      </c>
      <c r="M577" s="50" t="s">
        <v>353</v>
      </c>
      <c r="N577" s="50" t="s">
        <v>253</v>
      </c>
      <c r="O577" s="50"/>
      <c r="P577" s="50"/>
      <c r="Q577" s="50" t="s">
        <v>362</v>
      </c>
    </row>
    <row r="578" customFormat="false" ht="15" hidden="false" customHeight="true" outlineLevel="0" collapsed="false">
      <c r="A578" s="51" t="s">
        <v>605</v>
      </c>
      <c r="B578" s="50" t="str">
        <f aca="false">IFERROR(VLOOKUP($A578,Equipos!$C$2:$M$967,2,FALSE()),"")</f>
        <v>Monitor Multiparámetros</v>
      </c>
      <c r="C578" s="50" t="str">
        <f aca="false">IFERROR(VLOOKUP($A578,Equipos!$C$2:$M$967,9,FALSE()),"")</f>
        <v>SQE19510010SA</v>
      </c>
      <c r="D578" s="50" t="str">
        <f aca="false">IFERROR(VLOOKUP($A578,Equipos!$C$2:$M$967,3,FALSE()),"")</f>
        <v>Medicina</v>
      </c>
      <c r="E578" s="50" t="str">
        <f aca="false">IFERROR(VLOOKUP($A578,Equipos!$C$2:$M$967,7,FALSE()),"")</f>
        <v>General Electric</v>
      </c>
      <c r="F578" s="50" t="str">
        <f aca="false">IFERROR(VLOOKUP($A578,Equipos!$C$2:$M$967,8,FALSE()),"")</f>
        <v>B105</v>
      </c>
      <c r="G578" s="50" t="s">
        <v>691</v>
      </c>
      <c r="H578" s="50" t="s">
        <v>360</v>
      </c>
      <c r="I578" s="50"/>
      <c r="J578" s="50" t="s">
        <v>352</v>
      </c>
      <c r="K578" s="50" t="str">
        <f aca="false">IFERROR(VLOOKUP($J578,Catálogos!$M$4:$N$17,2,FALSE()),"")</f>
        <v>Mantención Preventiva Realizada</v>
      </c>
      <c r="L578" s="52" t="n">
        <v>46096</v>
      </c>
      <c r="M578" s="50" t="s">
        <v>353</v>
      </c>
      <c r="N578" s="50" t="s">
        <v>253</v>
      </c>
      <c r="O578" s="50"/>
      <c r="P578" s="50"/>
      <c r="Q578" s="50" t="s">
        <v>362</v>
      </c>
    </row>
    <row r="579" customFormat="false" ht="15" hidden="false" customHeight="true" outlineLevel="0" collapsed="false">
      <c r="A579" s="51" t="s">
        <v>608</v>
      </c>
      <c r="B579" s="50" t="str">
        <f aca="false">IFERROR(VLOOKUP($A579,Equipos!$C$2:$M$967,2,FALSE()),"")</f>
        <v>Monitor Multiparámetros</v>
      </c>
      <c r="C579" s="50" t="str">
        <f aca="false">IFERROR(VLOOKUP($A579,Equipos!$C$2:$M$967,9,FALSE()),"")</f>
        <v>5395673564</v>
      </c>
      <c r="D579" s="50" t="str">
        <f aca="false">IFERROR(VLOOKUP($A579,Equipos!$C$2:$M$967,3,FALSE()),"")</f>
        <v>Urgencia Infantil (Prestado a Pediatría)</v>
      </c>
      <c r="E579" s="50" t="str">
        <f aca="false">IFERROR(VLOOKUP($A579,Equipos!$C$2:$M$967,7,FALSE()),"")</f>
        <v>Drager </v>
      </c>
      <c r="F579" s="50" t="str">
        <f aca="false">IFERROR(VLOOKUP($A579,Equipos!$C$2:$M$967,8,FALSE()),"")</f>
        <v>Infinity Vista XL </v>
      </c>
      <c r="G579" s="50" t="s">
        <v>691</v>
      </c>
      <c r="H579" s="50" t="s">
        <v>360</v>
      </c>
      <c r="I579" s="50"/>
      <c r="J579" s="50" t="s">
        <v>352</v>
      </c>
      <c r="K579" s="50" t="str">
        <f aca="false">IFERROR(VLOOKUP($J579,Catálogos!$M$4:$N$17,2,FALSE()),"")</f>
        <v>Mantención Preventiva Realizada</v>
      </c>
      <c r="L579" s="52" t="n">
        <v>46096</v>
      </c>
      <c r="M579" s="50" t="s">
        <v>353</v>
      </c>
      <c r="N579" s="50" t="s">
        <v>253</v>
      </c>
      <c r="O579" s="50"/>
      <c r="P579" s="50"/>
      <c r="Q579" s="50" t="s">
        <v>362</v>
      </c>
    </row>
    <row r="580" customFormat="false" ht="15" hidden="false" customHeight="true" outlineLevel="0" collapsed="false">
      <c r="A580" s="51" t="s">
        <v>433</v>
      </c>
      <c r="B580" s="50" t="str">
        <f aca="false">IFERROR(VLOOKUP($A580,Equipos!$C$2:$M$967,2,FALSE()),"")</f>
        <v>Monitor Multiparámetros</v>
      </c>
      <c r="C580" s="50" t="str">
        <f aca="false">IFERROR(VLOOKUP($A580,Equipos!$C$2:$M$967,9,FALSE()),"")</f>
        <v>6000907871</v>
      </c>
      <c r="D580" s="50" t="str">
        <f aca="false">IFERROR(VLOOKUP($A580,Equipos!$C$2:$M$967,3,FALSE()),"")</f>
        <v>UPC Cardiovascular</v>
      </c>
      <c r="E580" s="50" t="str">
        <f aca="false">IFERROR(VLOOKUP($A580,Equipos!$C$2:$M$967,7,FALSE()),"")</f>
        <v>Drager </v>
      </c>
      <c r="F580" s="50" t="str">
        <f aca="false">IFERROR(VLOOKUP($A580,Equipos!$C$2:$M$967,8,FALSE()),"")</f>
        <v>Infinity Vista XL </v>
      </c>
      <c r="G580" s="50" t="s">
        <v>691</v>
      </c>
      <c r="H580" s="50" t="s">
        <v>360</v>
      </c>
      <c r="I580" s="50"/>
      <c r="J580" s="50" t="s">
        <v>352</v>
      </c>
      <c r="K580" s="50" t="str">
        <f aca="false">IFERROR(VLOOKUP($J580,Catálogos!$M$4:$N$17,2,FALSE()),"")</f>
        <v>Mantención Preventiva Realizada</v>
      </c>
      <c r="L580" s="52" t="n">
        <v>46096</v>
      </c>
      <c r="M580" s="50" t="s">
        <v>353</v>
      </c>
      <c r="N580" s="50" t="s">
        <v>253</v>
      </c>
      <c r="O580" s="50"/>
      <c r="P580" s="50"/>
      <c r="Q580" s="50" t="s">
        <v>362</v>
      </c>
    </row>
    <row r="581" customFormat="false" ht="15" hidden="false" customHeight="true" outlineLevel="0" collapsed="false">
      <c r="A581" s="51" t="s">
        <v>769</v>
      </c>
      <c r="B581" s="50" t="str">
        <f aca="false">IFERROR(VLOOKUP($A581,Equipos!$C$2:$M$967,2,FALSE()),"")</f>
        <v>Monitor Multiparámetros</v>
      </c>
      <c r="C581" s="50" t="str">
        <f aca="false">IFERROR(VLOOKUP($A581,Equipos!$C$2:$M$967,9,FALSE()),"")</f>
        <v>01059.</v>
      </c>
      <c r="D581" s="50" t="str">
        <f aca="false">IFERROR(VLOOKUP($A581,Equipos!$C$2:$M$967,3,FALSE()),"")</f>
        <v>Traumatología</v>
      </c>
      <c r="E581" s="50" t="str">
        <f aca="false">IFERROR(VLOOKUP($A581,Equipos!$C$2:$M$967,7,FALSE()),"")</f>
        <v>Nihon Kohden </v>
      </c>
      <c r="F581" s="50" t="str">
        <f aca="false">IFERROR(VLOOKUP($A581,Equipos!$C$2:$M$967,8,FALSE()),"")</f>
        <v>BSM-6301K</v>
      </c>
      <c r="G581" s="50" t="s">
        <v>691</v>
      </c>
      <c r="H581" s="50" t="s">
        <v>360</v>
      </c>
      <c r="I581" s="50"/>
      <c r="J581" s="50" t="s">
        <v>364</v>
      </c>
      <c r="K581" s="50" t="str">
        <f aca="false">IFERROR(VLOOKUP($J581,Catálogos!$M$4:$N$17,2,FALSE()),"")</f>
        <v>Reprogramada · No disponibilidad de horas hombre del funcionario SEC por alta carga laboral</v>
      </c>
      <c r="L581" s="52" t="n">
        <v>46096</v>
      </c>
      <c r="M581" s="50" t="s">
        <v>353</v>
      </c>
      <c r="N581" s="50" t="s">
        <v>253</v>
      </c>
      <c r="O581" s="50"/>
      <c r="P581" s="50"/>
      <c r="Q581" s="50" t="s">
        <v>362</v>
      </c>
    </row>
    <row r="582" customFormat="false" ht="15" hidden="false" customHeight="true" outlineLevel="0" collapsed="false">
      <c r="A582" s="51" t="s">
        <v>770</v>
      </c>
      <c r="B582" s="50" t="str">
        <f aca="false">IFERROR(VLOOKUP($A582,Equipos!$C$2:$M$967,2,FALSE()),"")</f>
        <v>Monitor Multiparámetros</v>
      </c>
      <c r="C582" s="50" t="str">
        <f aca="false">IFERROR(VLOOKUP($A582,Equipos!$C$2:$M$967,9,FALSE()),"")</f>
        <v>01046.</v>
      </c>
      <c r="D582" s="50" t="str">
        <f aca="false">IFERROR(VLOOKUP($A582,Equipos!$C$2:$M$967,3,FALSE()),"")</f>
        <v>Traumatología</v>
      </c>
      <c r="E582" s="50" t="str">
        <f aca="false">IFERROR(VLOOKUP($A582,Equipos!$C$2:$M$967,7,FALSE()),"")</f>
        <v>Nihon Kohden </v>
      </c>
      <c r="F582" s="50" t="str">
        <f aca="false">IFERROR(VLOOKUP($A582,Equipos!$C$2:$M$967,8,FALSE()),"")</f>
        <v>BSM-6301K</v>
      </c>
      <c r="G582" s="50" t="s">
        <v>691</v>
      </c>
      <c r="H582" s="50" t="s">
        <v>360</v>
      </c>
      <c r="I582" s="50"/>
      <c r="J582" s="50" t="s">
        <v>364</v>
      </c>
      <c r="K582" s="50" t="str">
        <f aca="false">IFERROR(VLOOKUP($J582,Catálogos!$M$4:$N$17,2,FALSE()),"")</f>
        <v>Reprogramada · No disponibilidad de horas hombre del funcionario SEC por alta carga laboral</v>
      </c>
      <c r="L582" s="52" t="n">
        <v>46096</v>
      </c>
      <c r="M582" s="50" t="s">
        <v>353</v>
      </c>
      <c r="N582" s="50" t="s">
        <v>253</v>
      </c>
      <c r="O582" s="50"/>
      <c r="P582" s="50"/>
      <c r="Q582" s="50" t="s">
        <v>362</v>
      </c>
    </row>
    <row r="583" customFormat="false" ht="15" hidden="false" customHeight="true" outlineLevel="0" collapsed="false">
      <c r="A583" s="51" t="s">
        <v>771</v>
      </c>
      <c r="B583" s="50" t="str">
        <f aca="false">IFERROR(VLOOKUP($A583,Equipos!$C$2:$M$967,2,FALSE()),"")</f>
        <v>Monitor Multiparámetros</v>
      </c>
      <c r="C583" s="50" t="str">
        <f aca="false">IFERROR(VLOOKUP($A583,Equipos!$C$2:$M$967,9,FALSE()),"")</f>
        <v>01052.</v>
      </c>
      <c r="D583" s="50" t="str">
        <f aca="false">IFERROR(VLOOKUP($A583,Equipos!$C$2:$M$967,3,FALSE()),"")</f>
        <v>Traumatología</v>
      </c>
      <c r="E583" s="50" t="str">
        <f aca="false">IFERROR(VLOOKUP($A583,Equipos!$C$2:$M$967,7,FALSE()),"")</f>
        <v>Nihon Kohden </v>
      </c>
      <c r="F583" s="50" t="str">
        <f aca="false">IFERROR(VLOOKUP($A583,Equipos!$C$2:$M$967,8,FALSE()),"")</f>
        <v>BSM-6301K</v>
      </c>
      <c r="G583" s="50" t="s">
        <v>691</v>
      </c>
      <c r="H583" s="50" t="s">
        <v>360</v>
      </c>
      <c r="I583" s="50"/>
      <c r="J583" s="50" t="s">
        <v>364</v>
      </c>
      <c r="K583" s="50" t="str">
        <f aca="false">IFERROR(VLOOKUP($J583,Catálogos!$M$4:$N$17,2,FALSE()),"")</f>
        <v>Reprogramada · No disponibilidad de horas hombre del funcionario SEC por alta carga laboral</v>
      </c>
      <c r="L583" s="52" t="n">
        <v>46096</v>
      </c>
      <c r="M583" s="50" t="s">
        <v>353</v>
      </c>
      <c r="N583" s="50" t="s">
        <v>253</v>
      </c>
      <c r="O583" s="50"/>
      <c r="P583" s="50"/>
      <c r="Q583" s="50" t="s">
        <v>362</v>
      </c>
    </row>
    <row r="584" customFormat="false" ht="15" hidden="false" customHeight="true" outlineLevel="0" collapsed="false">
      <c r="A584" s="51" t="s">
        <v>612</v>
      </c>
      <c r="B584" s="50" t="str">
        <f aca="false">IFERROR(VLOOKUP($A584,Equipos!$C$2:$M$967,2,FALSE()),"")</f>
        <v>Monitor Multiparámetros</v>
      </c>
      <c r="C584" s="50" t="str">
        <f aca="false">IFERROR(VLOOKUP($A584,Equipos!$C$2:$M$967,9,FALSE()),"")</f>
        <v>1054</v>
      </c>
      <c r="D584" s="50" t="str">
        <f aca="false">IFERROR(VLOOKUP($A584,Equipos!$C$2:$M$967,3,FALSE()),"")</f>
        <v>Medicina</v>
      </c>
      <c r="E584" s="50" t="str">
        <f aca="false">IFERROR(VLOOKUP($A584,Equipos!$C$2:$M$967,7,FALSE()),"")</f>
        <v>Nihon Kohden </v>
      </c>
      <c r="F584" s="50" t="str">
        <f aca="false">IFERROR(VLOOKUP($A584,Equipos!$C$2:$M$967,8,FALSE()),"")</f>
        <v>BSM-6301K</v>
      </c>
      <c r="G584" s="50" t="s">
        <v>691</v>
      </c>
      <c r="H584" s="50" t="s">
        <v>360</v>
      </c>
      <c r="I584" s="50"/>
      <c r="J584" s="50" t="s">
        <v>352</v>
      </c>
      <c r="K584" s="50" t="str">
        <f aca="false">IFERROR(VLOOKUP($J584,Catálogos!$M$4:$N$17,2,FALSE()),"")</f>
        <v>Mantención Preventiva Realizada</v>
      </c>
      <c r="L584" s="52" t="n">
        <v>46096</v>
      </c>
      <c r="M584" s="50" t="s">
        <v>353</v>
      </c>
      <c r="N584" s="50" t="s">
        <v>253</v>
      </c>
      <c r="O584" s="50"/>
      <c r="P584" s="50"/>
      <c r="Q584" s="50" t="s">
        <v>362</v>
      </c>
    </row>
    <row r="585" customFormat="false" ht="15" hidden="false" customHeight="true" outlineLevel="0" collapsed="false">
      <c r="A585" s="51" t="s">
        <v>614</v>
      </c>
      <c r="B585" s="50" t="str">
        <f aca="false">IFERROR(VLOOKUP($A585,Equipos!$C$2:$M$967,2,FALSE()),"")</f>
        <v>Monitor Multiparámetros</v>
      </c>
      <c r="C585" s="50" t="str">
        <f aca="false">IFERROR(VLOOKUP($A585,Equipos!$C$2:$M$967,9,FALSE()),"")</f>
        <v>1069</v>
      </c>
      <c r="D585" s="50" t="str">
        <f aca="false">IFERROR(VLOOKUP($A585,Equipos!$C$2:$M$967,3,FALSE()),"")</f>
        <v>Medicina</v>
      </c>
      <c r="E585" s="50" t="str">
        <f aca="false">IFERROR(VLOOKUP($A585,Equipos!$C$2:$M$967,7,FALSE()),"")</f>
        <v>Nihon Kohden </v>
      </c>
      <c r="F585" s="50" t="str">
        <f aca="false">IFERROR(VLOOKUP($A585,Equipos!$C$2:$M$967,8,FALSE()),"")</f>
        <v>BSM-6301K</v>
      </c>
      <c r="G585" s="50" t="s">
        <v>691</v>
      </c>
      <c r="H585" s="50" t="s">
        <v>360</v>
      </c>
      <c r="I585" s="50"/>
      <c r="J585" s="50" t="s">
        <v>352</v>
      </c>
      <c r="K585" s="50" t="str">
        <f aca="false">IFERROR(VLOOKUP($J585,Catálogos!$M$4:$N$17,2,FALSE()),"")</f>
        <v>Mantención Preventiva Realizada</v>
      </c>
      <c r="L585" s="52" t="n">
        <v>46096</v>
      </c>
      <c r="M585" s="50" t="s">
        <v>353</v>
      </c>
      <c r="N585" s="50" t="s">
        <v>253</v>
      </c>
      <c r="O585" s="50"/>
      <c r="P585" s="50"/>
      <c r="Q585" s="50" t="s">
        <v>362</v>
      </c>
    </row>
    <row r="586" customFormat="false" ht="15" hidden="false" customHeight="true" outlineLevel="0" collapsed="false">
      <c r="A586" s="51" t="s">
        <v>615</v>
      </c>
      <c r="B586" s="50" t="str">
        <f aca="false">IFERROR(VLOOKUP($A586,Equipos!$C$2:$M$967,2,FALSE()),"")</f>
        <v>Monitor Multiparámetros</v>
      </c>
      <c r="C586" s="50" t="str">
        <f aca="false">IFERROR(VLOOKUP($A586,Equipos!$C$2:$M$967,9,FALSE()),"")</f>
        <v>1058</v>
      </c>
      <c r="D586" s="50" t="str">
        <f aca="false">IFERROR(VLOOKUP($A586,Equipos!$C$2:$M$967,3,FALSE()),"")</f>
        <v>Medicina (Prestado a medicina cardiovascular)</v>
      </c>
      <c r="E586" s="50" t="str">
        <f aca="false">IFERROR(VLOOKUP($A586,Equipos!$C$2:$M$967,7,FALSE()),"")</f>
        <v>Nihon Kohden </v>
      </c>
      <c r="F586" s="50" t="str">
        <f aca="false">IFERROR(VLOOKUP($A586,Equipos!$C$2:$M$967,8,FALSE()),"")</f>
        <v>BSM-6301K</v>
      </c>
      <c r="G586" s="50" t="s">
        <v>691</v>
      </c>
      <c r="H586" s="50" t="s">
        <v>360</v>
      </c>
      <c r="I586" s="50"/>
      <c r="J586" s="50" t="s">
        <v>352</v>
      </c>
      <c r="K586" s="50" t="str">
        <f aca="false">IFERROR(VLOOKUP($J586,Catálogos!$M$4:$N$17,2,FALSE()),"")</f>
        <v>Mantención Preventiva Realizada</v>
      </c>
      <c r="L586" s="52" t="n">
        <v>46096</v>
      </c>
      <c r="M586" s="50" t="s">
        <v>353</v>
      </c>
      <c r="N586" s="50" t="s">
        <v>253</v>
      </c>
      <c r="O586" s="50"/>
      <c r="P586" s="50"/>
      <c r="Q586" s="50" t="s">
        <v>362</v>
      </c>
    </row>
    <row r="587" customFormat="false" ht="15" hidden="false" customHeight="true" outlineLevel="0" collapsed="false">
      <c r="A587" s="51" t="s">
        <v>618</v>
      </c>
      <c r="B587" s="50" t="str">
        <f aca="false">IFERROR(VLOOKUP($A587,Equipos!$C$2:$M$967,2,FALSE()),"")</f>
        <v>Monitor Multiparámetros</v>
      </c>
      <c r="C587" s="50" t="str">
        <f aca="false">IFERROR(VLOOKUP($A587,Equipos!$C$2:$M$967,9,FALSE()),"")</f>
        <v>1068</v>
      </c>
      <c r="D587" s="50" t="str">
        <f aca="false">IFERROR(VLOOKUP($A587,Equipos!$C$2:$M$967,3,FALSE()),"")</f>
        <v>Medicina (Prestado a medicina cardiovascular)</v>
      </c>
      <c r="E587" s="50" t="str">
        <f aca="false">IFERROR(VLOOKUP($A587,Equipos!$C$2:$M$967,7,FALSE()),"")</f>
        <v>Nihon Kohden </v>
      </c>
      <c r="F587" s="50" t="str">
        <f aca="false">IFERROR(VLOOKUP($A587,Equipos!$C$2:$M$967,8,FALSE()),"")</f>
        <v>BSM-6301K</v>
      </c>
      <c r="G587" s="50" t="s">
        <v>691</v>
      </c>
      <c r="H587" s="50" t="s">
        <v>360</v>
      </c>
      <c r="I587" s="50"/>
      <c r="J587" s="50" t="s">
        <v>352</v>
      </c>
      <c r="K587" s="50" t="str">
        <f aca="false">IFERROR(VLOOKUP($J587,Catálogos!$M$4:$N$17,2,FALSE()),"")</f>
        <v>Mantención Preventiva Realizada</v>
      </c>
      <c r="L587" s="52" t="n">
        <v>46096</v>
      </c>
      <c r="M587" s="50" t="s">
        <v>353</v>
      </c>
      <c r="N587" s="50" t="s">
        <v>253</v>
      </c>
      <c r="O587" s="50"/>
      <c r="P587" s="50"/>
      <c r="Q587" s="50" t="s">
        <v>362</v>
      </c>
    </row>
    <row r="588" customFormat="false" ht="15" hidden="false" customHeight="true" outlineLevel="0" collapsed="false">
      <c r="A588" s="51" t="s">
        <v>772</v>
      </c>
      <c r="B588" s="50" t="str">
        <f aca="false">IFERROR(VLOOKUP($A588,Equipos!$C$2:$M$967,2,FALSE()),"")</f>
        <v>Monitor Multiparámetros</v>
      </c>
      <c r="C588" s="50" t="str">
        <f aca="false">IFERROR(VLOOKUP($A588,Equipos!$C$2:$M$967,9,FALSE()),"")</f>
        <v>1056</v>
      </c>
      <c r="D588" s="50" t="str">
        <f aca="false">IFERROR(VLOOKUP($A588,Equipos!$C$2:$M$967,3,FALSE()),"")</f>
        <v>Quimioterapia Ambulatoria Adulto</v>
      </c>
      <c r="E588" s="50" t="str">
        <f aca="false">IFERROR(VLOOKUP($A588,Equipos!$C$2:$M$967,7,FALSE()),"")</f>
        <v>Nihon Kohden </v>
      </c>
      <c r="F588" s="50" t="str">
        <f aca="false">IFERROR(VLOOKUP($A588,Equipos!$C$2:$M$967,8,FALSE()),"")</f>
        <v>BSM-6301K</v>
      </c>
      <c r="G588" s="50" t="s">
        <v>691</v>
      </c>
      <c r="H588" s="50" t="s">
        <v>360</v>
      </c>
      <c r="I588" s="50"/>
      <c r="J588" s="50" t="s">
        <v>364</v>
      </c>
      <c r="K588" s="50" t="str">
        <f aca="false">IFERROR(VLOOKUP($J588,Catálogos!$M$4:$N$17,2,FALSE()),"")</f>
        <v>Reprogramada · No disponibilidad de horas hombre del funcionario SEC por alta carga laboral</v>
      </c>
      <c r="L588" s="52" t="n">
        <v>46096</v>
      </c>
      <c r="M588" s="50" t="s">
        <v>353</v>
      </c>
      <c r="N588" s="50" t="s">
        <v>253</v>
      </c>
      <c r="O588" s="50"/>
      <c r="P588" s="50"/>
      <c r="Q588" s="50" t="s">
        <v>362</v>
      </c>
    </row>
    <row r="589" customFormat="false" ht="15" hidden="false" customHeight="true" outlineLevel="0" collapsed="false">
      <c r="A589" s="51" t="s">
        <v>621</v>
      </c>
      <c r="B589" s="50" t="str">
        <f aca="false">IFERROR(VLOOKUP($A589,Equipos!$C$2:$M$967,2,FALSE()),"")</f>
        <v>Monitor Multiparámetros</v>
      </c>
      <c r="C589" s="50" t="str">
        <f aca="false">IFERROR(VLOOKUP($A589,Equipos!$C$2:$M$967,9,FALSE()),"")</f>
        <v>1064</v>
      </c>
      <c r="D589" s="50" t="str">
        <f aca="false">IFERROR(VLOOKUP($A589,Equipos!$C$2:$M$967,3,FALSE()),"")</f>
        <v>Medicina</v>
      </c>
      <c r="E589" s="50" t="str">
        <f aca="false">IFERROR(VLOOKUP($A589,Equipos!$C$2:$M$967,7,FALSE()),"")</f>
        <v>Nihon Kohden </v>
      </c>
      <c r="F589" s="50" t="str">
        <f aca="false">IFERROR(VLOOKUP($A589,Equipos!$C$2:$M$967,8,FALSE()),"")</f>
        <v>BSM-6301K</v>
      </c>
      <c r="G589" s="50" t="s">
        <v>691</v>
      </c>
      <c r="H589" s="50" t="s">
        <v>360</v>
      </c>
      <c r="I589" s="50"/>
      <c r="J589" s="50" t="s">
        <v>352</v>
      </c>
      <c r="K589" s="50" t="str">
        <f aca="false">IFERROR(VLOOKUP($J589,Catálogos!$M$4:$N$17,2,FALSE()),"")</f>
        <v>Mantención Preventiva Realizada</v>
      </c>
      <c r="L589" s="52" t="n">
        <v>46096</v>
      </c>
      <c r="M589" s="50" t="s">
        <v>353</v>
      </c>
      <c r="N589" s="50" t="s">
        <v>253</v>
      </c>
      <c r="O589" s="50"/>
      <c r="P589" s="50"/>
      <c r="Q589" s="50" t="s">
        <v>362</v>
      </c>
    </row>
    <row r="590" customFormat="false" ht="15" hidden="false" customHeight="true" outlineLevel="0" collapsed="false">
      <c r="A590" s="51" t="s">
        <v>773</v>
      </c>
      <c r="B590" s="50" t="str">
        <f aca="false">IFERROR(VLOOKUP($A590,Equipos!$C$2:$M$967,2,FALSE()),"")</f>
        <v>Monitor Multiparámetros</v>
      </c>
      <c r="C590" s="50" t="str">
        <f aca="false">IFERROR(VLOOKUP($A590,Equipos!$C$2:$M$967,9,FALSE()),"")</f>
        <v>1072</v>
      </c>
      <c r="D590" s="50" t="str">
        <f aca="false">IFERROR(VLOOKUP($A590,Equipos!$C$2:$M$967,3,FALSE()),"")</f>
        <v>Quimioterapia Ambulatoria Adulto</v>
      </c>
      <c r="E590" s="50" t="str">
        <f aca="false">IFERROR(VLOOKUP($A590,Equipos!$C$2:$M$967,7,FALSE()),"")</f>
        <v>Nihon Kohden </v>
      </c>
      <c r="F590" s="50" t="str">
        <f aca="false">IFERROR(VLOOKUP($A590,Equipos!$C$2:$M$967,8,FALSE()),"")</f>
        <v>BSM-6301K</v>
      </c>
      <c r="G590" s="50" t="s">
        <v>691</v>
      </c>
      <c r="H590" s="50" t="s">
        <v>360</v>
      </c>
      <c r="I590" s="50"/>
      <c r="J590" s="50" t="s">
        <v>364</v>
      </c>
      <c r="K590" s="50" t="str">
        <f aca="false">IFERROR(VLOOKUP($J590,Catálogos!$M$4:$N$17,2,FALSE()),"")</f>
        <v>Reprogramada · No disponibilidad de horas hombre del funcionario SEC por alta carga laboral</v>
      </c>
      <c r="L590" s="52" t="n">
        <v>46096</v>
      </c>
      <c r="M590" s="50" t="s">
        <v>353</v>
      </c>
      <c r="N590" s="50" t="s">
        <v>253</v>
      </c>
      <c r="O590" s="50"/>
      <c r="P590" s="50"/>
      <c r="Q590" s="50" t="s">
        <v>362</v>
      </c>
    </row>
    <row r="591" customFormat="false" ht="15" hidden="false" customHeight="true" outlineLevel="0" collapsed="false">
      <c r="A591" s="51" t="s">
        <v>774</v>
      </c>
      <c r="B591" s="50" t="str">
        <f aca="false">IFERROR(VLOOKUP($A591,Equipos!$C$2:$M$967,2,FALSE()),"")</f>
        <v>Monitor Multiparámetros</v>
      </c>
      <c r="C591" s="50" t="str">
        <f aca="false">IFERROR(VLOOKUP($A591,Equipos!$C$2:$M$967,9,FALSE()),"")</f>
        <v>6001123877</v>
      </c>
      <c r="D591" s="50" t="str">
        <f aca="false">IFERROR(VLOOKUP($A591,Equipos!$C$2:$M$967,3,FALSE()),"")</f>
        <v>Neurocirugía</v>
      </c>
      <c r="E591" s="50" t="str">
        <f aca="false">IFERROR(VLOOKUP($A591,Equipos!$C$2:$M$967,7,FALSE()),"")</f>
        <v>Drager </v>
      </c>
      <c r="F591" s="50" t="str">
        <f aca="false">IFERROR(VLOOKUP($A591,Equipos!$C$2:$M$967,8,FALSE()),"")</f>
        <v>Infinity Vista </v>
      </c>
      <c r="G591" s="50" t="s">
        <v>691</v>
      </c>
      <c r="H591" s="50" t="s">
        <v>360</v>
      </c>
      <c r="I591" s="50"/>
      <c r="J591" s="50" t="s">
        <v>352</v>
      </c>
      <c r="K591" s="50" t="str">
        <f aca="false">IFERROR(VLOOKUP($J591,Catálogos!$M$4:$N$17,2,FALSE()),"")</f>
        <v>Mantención Preventiva Realizada</v>
      </c>
      <c r="L591" s="52" t="n">
        <v>46096</v>
      </c>
      <c r="M591" s="50" t="s">
        <v>353</v>
      </c>
      <c r="N591" s="50" t="s">
        <v>253</v>
      </c>
      <c r="O591" s="50"/>
      <c r="P591" s="50"/>
      <c r="Q591" s="50" t="s">
        <v>362</v>
      </c>
    </row>
    <row r="592" customFormat="false" ht="15" hidden="false" customHeight="true" outlineLevel="0" collapsed="false">
      <c r="A592" s="51" t="s">
        <v>775</v>
      </c>
      <c r="B592" s="50" t="str">
        <f aca="false">IFERROR(VLOOKUP($A592,Equipos!$C$2:$M$967,2,FALSE()),"")</f>
        <v>Monitor Multiparámetros</v>
      </c>
      <c r="C592" s="50" t="str">
        <f aca="false">IFERROR(VLOOKUP($A592,Equipos!$C$2:$M$967,9,FALSE()),"")</f>
        <v>6001111685</v>
      </c>
      <c r="D592" s="50" t="str">
        <f aca="false">IFERROR(VLOOKUP($A592,Equipos!$C$2:$M$967,3,FALSE()),"")</f>
        <v>Neurocirugía</v>
      </c>
      <c r="E592" s="50" t="str">
        <f aca="false">IFERROR(VLOOKUP($A592,Equipos!$C$2:$M$967,7,FALSE()),"")</f>
        <v>Drager </v>
      </c>
      <c r="F592" s="50" t="str">
        <f aca="false">IFERROR(VLOOKUP($A592,Equipos!$C$2:$M$967,8,FALSE()),"")</f>
        <v>Infinity Vista XL </v>
      </c>
      <c r="G592" s="50" t="s">
        <v>691</v>
      </c>
      <c r="H592" s="50" t="s">
        <v>360</v>
      </c>
      <c r="I592" s="50"/>
      <c r="J592" s="50" t="s">
        <v>352</v>
      </c>
      <c r="K592" s="50" t="str">
        <f aca="false">IFERROR(VLOOKUP($J592,Catálogos!$M$4:$N$17,2,FALSE()),"")</f>
        <v>Mantención Preventiva Realizada</v>
      </c>
      <c r="L592" s="52" t="n">
        <v>46096</v>
      </c>
      <c r="M592" s="50" t="s">
        <v>353</v>
      </c>
      <c r="N592" s="50" t="s">
        <v>253</v>
      </c>
      <c r="O592" s="50"/>
      <c r="P592" s="50"/>
      <c r="Q592" s="50" t="s">
        <v>362</v>
      </c>
    </row>
    <row r="593" customFormat="false" ht="15" hidden="false" customHeight="true" outlineLevel="0" collapsed="false">
      <c r="A593" s="51" t="s">
        <v>776</v>
      </c>
      <c r="B593" s="50" t="str">
        <f aca="false">IFERROR(VLOOKUP($A593,Equipos!$C$2:$M$967,2,FALSE()),"")</f>
        <v>Monitor Multiparámetros</v>
      </c>
      <c r="C593" s="50" t="str">
        <f aca="false">IFERROR(VLOOKUP($A593,Equipos!$C$2:$M$967,9,FALSE()),"")</f>
        <v>6001029471</v>
      </c>
      <c r="D593" s="50" t="str">
        <f aca="false">IFERROR(VLOOKUP($A593,Equipos!$C$2:$M$967,3,FALSE()),"")</f>
        <v>Neurocirugía</v>
      </c>
      <c r="E593" s="50" t="str">
        <f aca="false">IFERROR(VLOOKUP($A593,Equipos!$C$2:$M$967,7,FALSE()),"")</f>
        <v>Drager </v>
      </c>
      <c r="F593" s="50" t="str">
        <f aca="false">IFERROR(VLOOKUP($A593,Equipos!$C$2:$M$967,8,FALSE()),"")</f>
        <v>Infinity Vista XL </v>
      </c>
      <c r="G593" s="50" t="s">
        <v>691</v>
      </c>
      <c r="H593" s="50" t="s">
        <v>360</v>
      </c>
      <c r="I593" s="50"/>
      <c r="J593" s="50" t="s">
        <v>364</v>
      </c>
      <c r="K593" s="50" t="str">
        <f aca="false">IFERROR(VLOOKUP($J593,Catálogos!$M$4:$N$17,2,FALSE()),"")</f>
        <v>Reprogramada · No disponibilidad de horas hombre del funcionario SEC por alta carga laboral</v>
      </c>
      <c r="L593" s="52" t="n">
        <v>46096</v>
      </c>
      <c r="M593" s="50" t="s">
        <v>353</v>
      </c>
      <c r="N593" s="50" t="s">
        <v>253</v>
      </c>
      <c r="O593" s="50"/>
      <c r="P593" s="50"/>
      <c r="Q593" s="50" t="s">
        <v>362</v>
      </c>
    </row>
    <row r="594" customFormat="false" ht="15" hidden="false" customHeight="true" outlineLevel="0" collapsed="false">
      <c r="A594" s="51" t="s">
        <v>777</v>
      </c>
      <c r="B594" s="50" t="str">
        <f aca="false">IFERROR(VLOOKUP($A594,Equipos!$C$2:$M$967,2,FALSE()),"")</f>
        <v>Monitor Multiparámetros</v>
      </c>
      <c r="C594" s="50" t="str">
        <f aca="false">IFERROR(VLOOKUP($A594,Equipos!$C$2:$M$967,9,FALSE()),"")</f>
        <v>6001128079</v>
      </c>
      <c r="D594" s="50" t="str">
        <f aca="false">IFERROR(VLOOKUP($A594,Equipos!$C$2:$M$967,3,FALSE()),"")</f>
        <v>Neurocirugía</v>
      </c>
      <c r="E594" s="50" t="str">
        <f aca="false">IFERROR(VLOOKUP($A594,Equipos!$C$2:$M$967,7,FALSE()),"")</f>
        <v>Drager </v>
      </c>
      <c r="F594" s="50" t="str">
        <f aca="false">IFERROR(VLOOKUP($A594,Equipos!$C$2:$M$967,8,FALSE()),"")</f>
        <v>Infinity Vista XL </v>
      </c>
      <c r="G594" s="50" t="s">
        <v>691</v>
      </c>
      <c r="H594" s="50" t="s">
        <v>360</v>
      </c>
      <c r="I594" s="50"/>
      <c r="J594" s="50" t="s">
        <v>364</v>
      </c>
      <c r="K594" s="50" t="str">
        <f aca="false">IFERROR(VLOOKUP($J594,Catálogos!$M$4:$N$17,2,FALSE()),"")</f>
        <v>Reprogramada · No disponibilidad de horas hombre del funcionario SEC por alta carga laboral</v>
      </c>
      <c r="L594" s="52" t="n">
        <v>46096</v>
      </c>
      <c r="M594" s="50" t="s">
        <v>353</v>
      </c>
      <c r="N594" s="50" t="s">
        <v>253</v>
      </c>
      <c r="O594" s="50"/>
      <c r="P594" s="50"/>
      <c r="Q594" s="50" t="s">
        <v>362</v>
      </c>
    </row>
    <row r="595" customFormat="false" ht="15" hidden="false" customHeight="true" outlineLevel="0" collapsed="false">
      <c r="A595" s="51" t="s">
        <v>778</v>
      </c>
      <c r="B595" s="50" t="str">
        <f aca="false">IFERROR(VLOOKUP($A595,Equipos!$C$2:$M$967,2,FALSE()),"")</f>
        <v>Monitor Multiparámetros</v>
      </c>
      <c r="C595" s="50" t="str">
        <f aca="false">IFERROR(VLOOKUP($A595,Equipos!$C$2:$M$967,9,FALSE()),"")</f>
        <v>212726117</v>
      </c>
      <c r="D595" s="50" t="str">
        <f aca="false">IFERROR(VLOOKUP($A595,Equipos!$C$2:$M$967,3,FALSE()),"")</f>
        <v>Quimioterapia Ambulatoria Adulto</v>
      </c>
      <c r="E595" s="50" t="str">
        <f aca="false">IFERROR(VLOOKUP($A595,Equipos!$C$2:$M$967,7,FALSE()),"")</f>
        <v>Criticare </v>
      </c>
      <c r="F595" s="50" t="str">
        <f aca="false">IFERROR(VLOOKUP($A595,Equipos!$C$2:$M$967,8,FALSE()),"")</f>
        <v>8100E-S</v>
      </c>
      <c r="G595" s="50" t="s">
        <v>691</v>
      </c>
      <c r="H595" s="50" t="s">
        <v>360</v>
      </c>
      <c r="I595" s="50"/>
      <c r="J595" s="50" t="s">
        <v>364</v>
      </c>
      <c r="K595" s="50" t="str">
        <f aca="false">IFERROR(VLOOKUP($J595,Catálogos!$M$4:$N$17,2,FALSE()),"")</f>
        <v>Reprogramada · No disponibilidad de horas hombre del funcionario SEC por alta carga laboral</v>
      </c>
      <c r="L595" s="52" t="n">
        <v>46096</v>
      </c>
      <c r="M595" s="50" t="s">
        <v>353</v>
      </c>
      <c r="N595" s="50" t="s">
        <v>253</v>
      </c>
      <c r="O595" s="50"/>
      <c r="P595" s="50"/>
      <c r="Q595" s="50" t="s">
        <v>362</v>
      </c>
    </row>
    <row r="596" customFormat="false" ht="15" hidden="false" customHeight="true" outlineLevel="0" collapsed="false">
      <c r="A596" s="51" t="s">
        <v>779</v>
      </c>
      <c r="B596" s="50" t="str">
        <f aca="false">IFERROR(VLOOKUP($A596,Equipos!$C$2:$M$967,2,FALSE()),"")</f>
        <v>Monitor Multiparámetros</v>
      </c>
      <c r="C596" s="50" t="str">
        <f aca="false">IFERROR(VLOOKUP($A596,Equipos!$C$2:$M$967,9,FALSE()),"")</f>
        <v>1043</v>
      </c>
      <c r="D596" s="50" t="str">
        <f aca="false">IFERROR(VLOOKUP($A596,Equipos!$C$2:$M$967,3,FALSE()),"")</f>
        <v>Hemato Oncología Adulto</v>
      </c>
      <c r="E596" s="50" t="str">
        <f aca="false">IFERROR(VLOOKUP($A596,Equipos!$C$2:$M$967,7,FALSE()),"")</f>
        <v>Nihon Kohden </v>
      </c>
      <c r="F596" s="50" t="str">
        <f aca="false">IFERROR(VLOOKUP($A596,Equipos!$C$2:$M$967,8,FALSE()),"")</f>
        <v>BSM-6301K</v>
      </c>
      <c r="G596" s="50" t="s">
        <v>691</v>
      </c>
      <c r="H596" s="50" t="s">
        <v>360</v>
      </c>
      <c r="I596" s="50"/>
      <c r="J596" s="50" t="s">
        <v>364</v>
      </c>
      <c r="K596" s="50" t="str">
        <f aca="false">IFERROR(VLOOKUP($J596,Catálogos!$M$4:$N$17,2,FALSE()),"")</f>
        <v>Reprogramada · No disponibilidad de horas hombre del funcionario SEC por alta carga laboral</v>
      </c>
      <c r="L596" s="52" t="n">
        <v>46096</v>
      </c>
      <c r="M596" s="50" t="s">
        <v>353</v>
      </c>
      <c r="N596" s="50" t="s">
        <v>253</v>
      </c>
      <c r="O596" s="50"/>
      <c r="P596" s="50"/>
      <c r="Q596" s="50" t="s">
        <v>362</v>
      </c>
    </row>
    <row r="597" customFormat="false" ht="15" hidden="false" customHeight="true" outlineLevel="0" collapsed="false">
      <c r="A597" s="51" t="s">
        <v>780</v>
      </c>
      <c r="B597" s="50" t="str">
        <f aca="false">IFERROR(VLOOKUP($A597,Equipos!$C$2:$M$967,2,FALSE()),"")</f>
        <v>Monitor Multiparámetros</v>
      </c>
      <c r="C597" s="50" t="str">
        <f aca="false">IFERROR(VLOOKUP($A597,Equipos!$C$2:$M$967,9,FALSE()),"")</f>
        <v>1063</v>
      </c>
      <c r="D597" s="50" t="str">
        <f aca="false">IFERROR(VLOOKUP($A597,Equipos!$C$2:$M$967,3,FALSE()),"")</f>
        <v>Hemato Oncología Adulto</v>
      </c>
      <c r="E597" s="50" t="str">
        <f aca="false">IFERROR(VLOOKUP($A597,Equipos!$C$2:$M$967,7,FALSE()),"")</f>
        <v>Nihon Kohden </v>
      </c>
      <c r="F597" s="50" t="str">
        <f aca="false">IFERROR(VLOOKUP($A597,Equipos!$C$2:$M$967,8,FALSE()),"")</f>
        <v>BSM-6301K</v>
      </c>
      <c r="G597" s="50" t="s">
        <v>691</v>
      </c>
      <c r="H597" s="50" t="s">
        <v>360</v>
      </c>
      <c r="I597" s="50"/>
      <c r="J597" s="50" t="s">
        <v>364</v>
      </c>
      <c r="K597" s="50" t="str">
        <f aca="false">IFERROR(VLOOKUP($J597,Catálogos!$M$4:$N$17,2,FALSE()),"")</f>
        <v>Reprogramada · No disponibilidad de horas hombre del funcionario SEC por alta carga laboral</v>
      </c>
      <c r="L597" s="52" t="n">
        <v>46096</v>
      </c>
      <c r="M597" s="50" t="s">
        <v>353</v>
      </c>
      <c r="N597" s="50" t="s">
        <v>253</v>
      </c>
      <c r="O597" s="50"/>
      <c r="P597" s="50"/>
      <c r="Q597" s="50" t="s">
        <v>362</v>
      </c>
    </row>
    <row r="598" customFormat="false" ht="15" hidden="false" customHeight="true" outlineLevel="0" collapsed="false">
      <c r="A598" s="51" t="s">
        <v>781</v>
      </c>
      <c r="B598" s="50" t="str">
        <f aca="false">IFERROR(VLOOKUP($A598,Equipos!$C$2:$M$967,2,FALSE()),"")</f>
        <v>Monitor Multiparámetros</v>
      </c>
      <c r="C598" s="50" t="str">
        <f aca="false">IFERROR(VLOOKUP($A598,Equipos!$C$2:$M$967,9,FALSE()),"")</f>
        <v>1074</v>
      </c>
      <c r="D598" s="50" t="str">
        <f aca="false">IFERROR(VLOOKUP($A598,Equipos!$C$2:$M$967,3,FALSE()),"")</f>
        <v>Hemato Oncología Adulto</v>
      </c>
      <c r="E598" s="50" t="str">
        <f aca="false">IFERROR(VLOOKUP($A598,Equipos!$C$2:$M$967,7,FALSE()),"")</f>
        <v>Nihon Kohden </v>
      </c>
      <c r="F598" s="50" t="str">
        <f aca="false">IFERROR(VLOOKUP($A598,Equipos!$C$2:$M$967,8,FALSE()),"")</f>
        <v>BSM-6301K</v>
      </c>
      <c r="G598" s="50" t="s">
        <v>691</v>
      </c>
      <c r="H598" s="50" t="s">
        <v>360</v>
      </c>
      <c r="I598" s="50"/>
      <c r="J598" s="50" t="s">
        <v>364</v>
      </c>
      <c r="K598" s="50" t="str">
        <f aca="false">IFERROR(VLOOKUP($J598,Catálogos!$M$4:$N$17,2,FALSE()),"")</f>
        <v>Reprogramada · No disponibilidad de horas hombre del funcionario SEC por alta carga laboral</v>
      </c>
      <c r="L598" s="52" t="n">
        <v>46096</v>
      </c>
      <c r="M598" s="50" t="s">
        <v>353</v>
      </c>
      <c r="N598" s="50" t="s">
        <v>253</v>
      </c>
      <c r="O598" s="50"/>
      <c r="P598" s="50"/>
      <c r="Q598" s="50" t="s">
        <v>362</v>
      </c>
    </row>
    <row r="599" customFormat="false" ht="15" hidden="false" customHeight="true" outlineLevel="0" collapsed="false">
      <c r="A599" s="51" t="s">
        <v>782</v>
      </c>
      <c r="B599" s="50" t="str">
        <f aca="false">IFERROR(VLOOKUP($A599,Equipos!$C$2:$M$967,2,FALSE()),"")</f>
        <v>Monitor Multiparámetros</v>
      </c>
      <c r="C599" s="50" t="str">
        <f aca="false">IFERROR(VLOOKUP($A599,Equipos!$C$2:$M$967,9,FALSE()),"")</f>
        <v>212726171</v>
      </c>
      <c r="D599" s="50" t="str">
        <f aca="false">IFERROR(VLOOKUP($A599,Equipos!$C$2:$M$967,3,FALSE()),"")</f>
        <v>Hemato Oncología Adulto</v>
      </c>
      <c r="E599" s="50" t="str">
        <f aca="false">IFERROR(VLOOKUP($A599,Equipos!$C$2:$M$967,7,FALSE()),"")</f>
        <v>Criticare </v>
      </c>
      <c r="F599" s="50" t="str">
        <f aca="false">IFERROR(VLOOKUP($A599,Equipos!$C$2:$M$967,8,FALSE()),"")</f>
        <v>8100E-S</v>
      </c>
      <c r="G599" s="50" t="s">
        <v>691</v>
      </c>
      <c r="H599" s="50" t="s">
        <v>360</v>
      </c>
      <c r="I599" s="50"/>
      <c r="J599" s="50" t="s">
        <v>364</v>
      </c>
      <c r="K599" s="50" t="str">
        <f aca="false">IFERROR(VLOOKUP($J599,Catálogos!$M$4:$N$17,2,FALSE()),"")</f>
        <v>Reprogramada · No disponibilidad de horas hombre del funcionario SEC por alta carga laboral</v>
      </c>
      <c r="L599" s="52" t="n">
        <v>46096</v>
      </c>
      <c r="M599" s="50" t="s">
        <v>353</v>
      </c>
      <c r="N599" s="50" t="s">
        <v>253</v>
      </c>
      <c r="O599" s="50"/>
      <c r="P599" s="50"/>
      <c r="Q599" s="50" t="s">
        <v>362</v>
      </c>
    </row>
    <row r="600" customFormat="false" ht="15" hidden="false" customHeight="true" outlineLevel="0" collapsed="false">
      <c r="A600" s="51" t="s">
        <v>783</v>
      </c>
      <c r="B600" s="50" t="str">
        <f aca="false">IFERROR(VLOOKUP($A600,Equipos!$C$2:$M$967,2,FALSE()),"")</f>
        <v>Monitor Multiparámetros</v>
      </c>
      <c r="C600" s="50" t="str">
        <f aca="false">IFERROR(VLOOKUP($A600,Equipos!$C$2:$M$967,9,FALSE()),"")</f>
        <v>1039</v>
      </c>
      <c r="D600" s="50" t="str">
        <f aca="false">IFERROR(VLOOKUP($A600,Equipos!$C$2:$M$967,3,FALSE()),"")</f>
        <v>Hemato Oncología Adulto</v>
      </c>
      <c r="E600" s="50" t="str">
        <f aca="false">IFERROR(VLOOKUP($A600,Equipos!$C$2:$M$967,7,FALSE()),"")</f>
        <v>Nihon Kohden </v>
      </c>
      <c r="F600" s="50" t="str">
        <f aca="false">IFERROR(VLOOKUP($A600,Equipos!$C$2:$M$967,8,FALSE()),"")</f>
        <v>BSM-6301K</v>
      </c>
      <c r="G600" s="50" t="s">
        <v>691</v>
      </c>
      <c r="H600" s="50" t="s">
        <v>360</v>
      </c>
      <c r="I600" s="50"/>
      <c r="J600" s="50" t="s">
        <v>364</v>
      </c>
      <c r="K600" s="50" t="str">
        <f aca="false">IFERROR(VLOOKUP($J600,Catálogos!$M$4:$N$17,2,FALSE()),"")</f>
        <v>Reprogramada · No disponibilidad de horas hombre del funcionario SEC por alta carga laboral</v>
      </c>
      <c r="L600" s="52" t="n">
        <v>46096</v>
      </c>
      <c r="M600" s="50" t="s">
        <v>353</v>
      </c>
      <c r="N600" s="50" t="s">
        <v>253</v>
      </c>
      <c r="O600" s="50"/>
      <c r="P600" s="50"/>
      <c r="Q600" s="50" t="s">
        <v>362</v>
      </c>
    </row>
    <row r="601" customFormat="false" ht="15" hidden="false" customHeight="true" outlineLevel="0" collapsed="false">
      <c r="A601" s="51" t="s">
        <v>784</v>
      </c>
      <c r="B601" s="50" t="str">
        <f aca="false">IFERROR(VLOOKUP($A601,Equipos!$C$2:$M$967,2,FALSE()),"")</f>
        <v>Monitor Multiparámetros</v>
      </c>
      <c r="C601" s="50" t="str">
        <f aca="false">IFERROR(VLOOKUP($A601,Equipos!$C$2:$M$967,9,FALSE()),"")</f>
        <v>01036.</v>
      </c>
      <c r="D601" s="50" t="str">
        <f aca="false">IFERROR(VLOOKUP($A601,Equipos!$C$2:$M$967,3,FALSE()),"")</f>
        <v>Traumatología</v>
      </c>
      <c r="E601" s="50" t="str">
        <f aca="false">IFERROR(VLOOKUP($A601,Equipos!$C$2:$M$967,7,FALSE()),"")</f>
        <v>Nihon Kohden </v>
      </c>
      <c r="F601" s="50" t="str">
        <f aca="false">IFERROR(VLOOKUP($A601,Equipos!$C$2:$M$967,8,FALSE()),"")</f>
        <v>BSM-6301K</v>
      </c>
      <c r="G601" s="50" t="s">
        <v>691</v>
      </c>
      <c r="H601" s="50" t="s">
        <v>360</v>
      </c>
      <c r="I601" s="50"/>
      <c r="J601" s="50" t="s">
        <v>364</v>
      </c>
      <c r="K601" s="50" t="str">
        <f aca="false">IFERROR(VLOOKUP($J601,Catálogos!$M$4:$N$17,2,FALSE()),"")</f>
        <v>Reprogramada · No disponibilidad de horas hombre del funcionario SEC por alta carga laboral</v>
      </c>
      <c r="L601" s="52" t="n">
        <v>46096</v>
      </c>
      <c r="M601" s="50" t="s">
        <v>353</v>
      </c>
      <c r="N601" s="50" t="s">
        <v>253</v>
      </c>
      <c r="O601" s="50"/>
      <c r="P601" s="50"/>
      <c r="Q601" s="50" t="s">
        <v>362</v>
      </c>
    </row>
    <row r="602" customFormat="false" ht="15" hidden="false" customHeight="true" outlineLevel="0" collapsed="false">
      <c r="A602" s="51" t="s">
        <v>785</v>
      </c>
      <c r="B602" s="50" t="str">
        <f aca="false">IFERROR(VLOOKUP($A602,Equipos!$C$2:$M$967,2,FALSE()),"")</f>
        <v>Monitor Multiparámetros</v>
      </c>
      <c r="C602" s="50" t="str">
        <f aca="false">IFERROR(VLOOKUP($A602,Equipos!$C$2:$M$967,9,FALSE()),"")</f>
        <v>01035.</v>
      </c>
      <c r="D602" s="50" t="str">
        <f aca="false">IFERROR(VLOOKUP($A602,Equipos!$C$2:$M$967,3,FALSE()),"")</f>
        <v>Traumatología</v>
      </c>
      <c r="E602" s="50" t="str">
        <f aca="false">IFERROR(VLOOKUP($A602,Equipos!$C$2:$M$967,7,FALSE()),"")</f>
        <v>Nihon Kohden </v>
      </c>
      <c r="F602" s="50" t="str">
        <f aca="false">IFERROR(VLOOKUP($A602,Equipos!$C$2:$M$967,8,FALSE()),"")</f>
        <v>BSM-6301K</v>
      </c>
      <c r="G602" s="50" t="s">
        <v>691</v>
      </c>
      <c r="H602" s="50" t="s">
        <v>360</v>
      </c>
      <c r="I602" s="50"/>
      <c r="J602" s="50" t="s">
        <v>364</v>
      </c>
      <c r="K602" s="50" t="str">
        <f aca="false">IFERROR(VLOOKUP($J602,Catálogos!$M$4:$N$17,2,FALSE()),"")</f>
        <v>Reprogramada · No disponibilidad de horas hombre del funcionario SEC por alta carga laboral</v>
      </c>
      <c r="L602" s="52" t="n">
        <v>46096</v>
      </c>
      <c r="M602" s="50" t="s">
        <v>353</v>
      </c>
      <c r="N602" s="50" t="s">
        <v>253</v>
      </c>
      <c r="O602" s="50"/>
      <c r="P602" s="50"/>
      <c r="Q602" s="50" t="s">
        <v>362</v>
      </c>
    </row>
    <row r="603" customFormat="false" ht="15" hidden="false" customHeight="true" outlineLevel="0" collapsed="false">
      <c r="A603" s="51" t="s">
        <v>626</v>
      </c>
      <c r="B603" s="50" t="str">
        <f aca="false">IFERROR(VLOOKUP($A603,Equipos!$C$2:$M$967,2,FALSE()),"")</f>
        <v>Monitor Multiparámetros</v>
      </c>
      <c r="C603" s="50" t="str">
        <f aca="false">IFERROR(VLOOKUP($A603,Equipos!$C$2:$M$967,9,FALSE()),"")</f>
        <v>VGSML0047</v>
      </c>
      <c r="D603" s="50" t="str">
        <f aca="false">IFERROR(VLOOKUP($A603,Equipos!$C$2:$M$967,3,FALSE()),"")</f>
        <v>Pabellón (Recuperación) prestado a UPC Adulto</v>
      </c>
      <c r="E603" s="50" t="str">
        <f aca="false">IFERROR(VLOOKUP($A603,Equipos!$C$2:$M$967,7,FALSE()),"")</f>
        <v>Drager</v>
      </c>
      <c r="F603" s="50" t="str">
        <f aca="false">IFERROR(VLOOKUP($A603,Equipos!$C$2:$M$967,8,FALSE()),"")</f>
        <v>Vista 120</v>
      </c>
      <c r="G603" s="50" t="s">
        <v>691</v>
      </c>
      <c r="H603" s="50" t="s">
        <v>360</v>
      </c>
      <c r="I603" s="50"/>
      <c r="J603" s="50" t="s">
        <v>352</v>
      </c>
      <c r="K603" s="50" t="str">
        <f aca="false">IFERROR(VLOOKUP($J603,Catálogos!$M$4:$N$17,2,FALSE()),"")</f>
        <v>Mantención Preventiva Realizada</v>
      </c>
      <c r="L603" s="52" t="n">
        <v>46096</v>
      </c>
      <c r="M603" s="50" t="s">
        <v>353</v>
      </c>
      <c r="N603" s="50" t="s">
        <v>253</v>
      </c>
      <c r="O603" s="50"/>
      <c r="P603" s="50"/>
      <c r="Q603" s="50" t="s">
        <v>362</v>
      </c>
    </row>
    <row r="604" customFormat="false" ht="15" hidden="false" customHeight="true" outlineLevel="0" collapsed="false">
      <c r="A604" s="51" t="s">
        <v>632</v>
      </c>
      <c r="B604" s="50" t="str">
        <f aca="false">IFERROR(VLOOKUP($A604,Equipos!$C$2:$M$967,2,FALSE()),"")</f>
        <v>Monitor Multiparámetros</v>
      </c>
      <c r="C604" s="50" t="str">
        <f aca="false">IFERROR(VLOOKUP($A604,Equipos!$C$2:$M$967,9,FALSE()),"")</f>
        <v>VSSTE0203</v>
      </c>
      <c r="D604" s="50" t="str">
        <f aca="false">IFERROR(VLOOKUP($A604,Equipos!$C$2:$M$967,3,FALSE()),"")</f>
        <v>Quimioterapia Ambulatoria Adulto</v>
      </c>
      <c r="E604" s="50" t="str">
        <f aca="false">IFERROR(VLOOKUP($A604,Equipos!$C$2:$M$967,7,FALSE()),"")</f>
        <v>Drager</v>
      </c>
      <c r="F604" s="50" t="str">
        <f aca="false">IFERROR(VLOOKUP($A604,Equipos!$C$2:$M$967,8,FALSE()),"")</f>
        <v>Vista 120</v>
      </c>
      <c r="G604" s="50" t="s">
        <v>691</v>
      </c>
      <c r="H604" s="50" t="s">
        <v>360</v>
      </c>
      <c r="I604" s="50"/>
      <c r="J604" s="50" t="s">
        <v>352</v>
      </c>
      <c r="K604" s="50" t="str">
        <f aca="false">IFERROR(VLOOKUP($J604,Catálogos!$M$4:$N$17,2,FALSE()),"")</f>
        <v>Mantención Preventiva Realizada</v>
      </c>
      <c r="L604" s="52" t="n">
        <v>46096</v>
      </c>
      <c r="M604" s="50" t="s">
        <v>353</v>
      </c>
      <c r="N604" s="50" t="s">
        <v>253</v>
      </c>
      <c r="O604" s="50"/>
      <c r="P604" s="50"/>
      <c r="Q604" s="50" t="s">
        <v>362</v>
      </c>
    </row>
    <row r="605" customFormat="false" ht="15" hidden="false" customHeight="true" outlineLevel="0" collapsed="false">
      <c r="A605" s="51" t="s">
        <v>786</v>
      </c>
      <c r="B605" s="50" t="str">
        <f aca="false">IFERROR(VLOOKUP($A605,Equipos!$C$2:$M$967,2,FALSE()),"")</f>
        <v>Monitor Multiparámetros</v>
      </c>
      <c r="C605" s="50" t="str">
        <f aca="false">IFERROR(VLOOKUP($A605,Equipos!$C$2:$M$967,9,FALSE()),"")</f>
        <v>KN-25140948</v>
      </c>
      <c r="D605" s="50" t="str">
        <f aca="false">IFERROR(VLOOKUP($A605,Equipos!$C$2:$M$967,3,FALSE()),"")</f>
        <v>Quimioterapia Ambulatoria Adulto</v>
      </c>
      <c r="E605" s="50" t="str">
        <f aca="false">IFERROR(VLOOKUP($A605,Equipos!$C$2:$M$967,7,FALSE()),"")</f>
        <v>Mindray</v>
      </c>
      <c r="F605" s="50" t="str">
        <f aca="false">IFERROR(VLOOKUP($A605,Equipos!$C$2:$M$967,8,FALSE()),"")</f>
        <v>UMEC10</v>
      </c>
      <c r="G605" s="50" t="s">
        <v>691</v>
      </c>
      <c r="H605" s="50" t="s">
        <v>360</v>
      </c>
      <c r="I605" s="50"/>
      <c r="J605" s="50" t="s">
        <v>364</v>
      </c>
      <c r="K605" s="50" t="str">
        <f aca="false">IFERROR(VLOOKUP($J605,Catálogos!$M$4:$N$17,2,FALSE()),"")</f>
        <v>Reprogramada · No disponibilidad de horas hombre del funcionario SEC por alta carga laboral</v>
      </c>
      <c r="L605" s="52" t="n">
        <v>46096</v>
      </c>
      <c r="M605" s="50" t="s">
        <v>353</v>
      </c>
      <c r="N605" s="50" t="s">
        <v>253</v>
      </c>
      <c r="O605" s="50"/>
      <c r="P605" s="50"/>
      <c r="Q605" s="50" t="s">
        <v>362</v>
      </c>
    </row>
    <row r="606" customFormat="false" ht="15" hidden="false" customHeight="true" outlineLevel="0" collapsed="false">
      <c r="A606" s="51" t="s">
        <v>633</v>
      </c>
      <c r="B606" s="50" t="str">
        <f aca="false">IFERROR(VLOOKUP($A606,Equipos!$C$2:$M$967,2,FALSE()),"")</f>
        <v>Monitor Multiparámetros</v>
      </c>
      <c r="C606" s="50" t="str">
        <f aca="false">IFERROR(VLOOKUP($A606,Equipos!$C$2:$M$967,9,FALSE()),"")</f>
        <v>SQE19510002SA</v>
      </c>
      <c r="D606" s="50" t="str">
        <f aca="false">IFERROR(VLOOKUP($A606,Equipos!$C$2:$M$967,3,FALSE()),"")</f>
        <v>Medicina (Prestado a Psiquiatria)</v>
      </c>
      <c r="E606" s="50" t="str">
        <f aca="false">IFERROR(VLOOKUP($A606,Equipos!$C$2:$M$967,7,FALSE()),"")</f>
        <v>General Electric</v>
      </c>
      <c r="F606" s="50" t="str">
        <f aca="false">IFERROR(VLOOKUP($A606,Equipos!$C$2:$M$967,8,FALSE()),"")</f>
        <v>B105</v>
      </c>
      <c r="G606" s="50" t="s">
        <v>691</v>
      </c>
      <c r="H606" s="50" t="s">
        <v>360</v>
      </c>
      <c r="I606" s="50"/>
      <c r="J606" s="50" t="s">
        <v>352</v>
      </c>
      <c r="K606" s="50" t="str">
        <f aca="false">IFERROR(VLOOKUP($J606,Catálogos!$M$4:$N$17,2,FALSE()),"")</f>
        <v>Mantención Preventiva Realizada</v>
      </c>
      <c r="L606" s="52" t="n">
        <v>46096</v>
      </c>
      <c r="M606" s="50" t="s">
        <v>353</v>
      </c>
      <c r="N606" s="50" t="s">
        <v>253</v>
      </c>
      <c r="O606" s="50"/>
      <c r="P606" s="50"/>
      <c r="Q606" s="50" t="s">
        <v>362</v>
      </c>
    </row>
    <row r="607" customFormat="false" ht="15" hidden="false" customHeight="true" outlineLevel="0" collapsed="false">
      <c r="A607" s="51" t="s">
        <v>634</v>
      </c>
      <c r="B607" s="50" t="str">
        <f aca="false">IFERROR(VLOOKUP($A607,Equipos!$C$2:$M$967,2,FALSE()),"")</f>
        <v>Monitor Multiparámetros</v>
      </c>
      <c r="C607" s="50" t="str">
        <f aca="false">IFERROR(VLOOKUP($A607,Equipos!$C$2:$M$967,9,FALSE()),"")</f>
        <v>JB01B910013</v>
      </c>
      <c r="D607" s="50" t="str">
        <f aca="false">IFERROR(VLOOKUP($A607,Equipos!$C$2:$M$967,3,FALSE()),"")</f>
        <v>CR ONCOLOGICO AMBULATORIO</v>
      </c>
      <c r="E607" s="50" t="str">
        <f aca="false">IFERROR(VLOOKUP($A607,Equipos!$C$2:$M$967,7,FALSE()),"")</f>
        <v>NORTHERN</v>
      </c>
      <c r="F607" s="50" t="str">
        <f aca="false">IFERROR(VLOOKUP($A607,Equipos!$C$2:$M$967,8,FALSE()),"")</f>
        <v>Aquarius ECG</v>
      </c>
      <c r="G607" s="50" t="s">
        <v>691</v>
      </c>
      <c r="H607" s="50" t="s">
        <v>360</v>
      </c>
      <c r="I607" s="50"/>
      <c r="J607" s="50" t="s">
        <v>352</v>
      </c>
      <c r="K607" s="50" t="str">
        <f aca="false">IFERROR(VLOOKUP($J607,Catálogos!$M$4:$N$17,2,FALSE()),"")</f>
        <v>Mantención Preventiva Realizada</v>
      </c>
      <c r="L607" s="52" t="n">
        <v>46096</v>
      </c>
      <c r="M607" s="50" t="s">
        <v>353</v>
      </c>
      <c r="N607" s="50" t="s">
        <v>253</v>
      </c>
      <c r="O607" s="50"/>
      <c r="P607" s="50"/>
      <c r="Q607" s="50" t="s">
        <v>362</v>
      </c>
    </row>
    <row r="608" customFormat="false" ht="15" hidden="false" customHeight="true" outlineLevel="0" collapsed="false">
      <c r="A608" s="51" t="s">
        <v>787</v>
      </c>
      <c r="B608" s="50" t="str">
        <f aca="false">IFERROR(VLOOKUP($A608,Equipos!$C$2:$M$967,2,FALSE()),"")</f>
        <v>Monitor Multiparámetros</v>
      </c>
      <c r="C608" s="50" t="str">
        <f aca="false">IFERROR(VLOOKUP($A608,Equipos!$C$2:$M$967,9,FALSE()),"")</f>
        <v>S2SRF0975</v>
      </c>
      <c r="D608" s="50" t="str">
        <f aca="false">IFERROR(VLOOKUP($A608,Equipos!$C$2:$M$967,3,FALSE()),"")</f>
        <v>Hemato Oncología Adulto</v>
      </c>
      <c r="E608" s="50" t="str">
        <f aca="false">IFERROR(VLOOKUP($A608,Equipos!$C$2:$M$967,7,FALSE()),"")</f>
        <v>Drager</v>
      </c>
      <c r="F608" s="50" t="str">
        <f aca="false">IFERROR(VLOOKUP($A608,Equipos!$C$2:$M$967,8,FALSE()),"")</f>
        <v>Vista 120 S</v>
      </c>
      <c r="G608" s="50" t="s">
        <v>691</v>
      </c>
      <c r="H608" s="50" t="s">
        <v>360</v>
      </c>
      <c r="I608" s="50"/>
      <c r="J608" s="50" t="s">
        <v>364</v>
      </c>
      <c r="K608" s="50" t="str">
        <f aca="false">IFERROR(VLOOKUP($J608,Catálogos!$M$4:$N$17,2,FALSE()),"")</f>
        <v>Reprogramada · No disponibilidad de horas hombre del funcionario SEC por alta carga laboral</v>
      </c>
      <c r="L608" s="52" t="n">
        <v>46096</v>
      </c>
      <c r="M608" s="50" t="s">
        <v>353</v>
      </c>
      <c r="N608" s="50" t="s">
        <v>253</v>
      </c>
      <c r="O608" s="50"/>
      <c r="P608" s="50"/>
      <c r="Q608" s="50" t="s">
        <v>362</v>
      </c>
    </row>
    <row r="609" customFormat="false" ht="15" hidden="false" customHeight="true" outlineLevel="0" collapsed="false">
      <c r="A609" s="51" t="s">
        <v>788</v>
      </c>
      <c r="B609" s="50" t="str">
        <f aca="false">IFERROR(VLOOKUP($A609,Equipos!$C$2:$M$967,2,FALSE()),"")</f>
        <v>Monitor Multiparámetros</v>
      </c>
      <c r="C609" s="50" t="str">
        <f aca="false">IFERROR(VLOOKUP($A609,Equipos!$C$2:$M$967,9,FALSE()),"")</f>
        <v>S2SRF0978</v>
      </c>
      <c r="D609" s="50" t="str">
        <f aca="false">IFERROR(VLOOKUP($A609,Equipos!$C$2:$M$967,3,FALSE()),"")</f>
        <v>Hemato Oncología Adulto</v>
      </c>
      <c r="E609" s="50" t="str">
        <f aca="false">IFERROR(VLOOKUP($A609,Equipos!$C$2:$M$967,7,FALSE()),"")</f>
        <v>Drager</v>
      </c>
      <c r="F609" s="50" t="str">
        <f aca="false">IFERROR(VLOOKUP($A609,Equipos!$C$2:$M$967,8,FALSE()),"")</f>
        <v>Vista 120 S</v>
      </c>
      <c r="G609" s="50" t="s">
        <v>691</v>
      </c>
      <c r="H609" s="50" t="s">
        <v>360</v>
      </c>
      <c r="I609" s="50"/>
      <c r="J609" s="50" t="s">
        <v>364</v>
      </c>
      <c r="K609" s="50" t="str">
        <f aca="false">IFERROR(VLOOKUP($J609,Catálogos!$M$4:$N$17,2,FALSE()),"")</f>
        <v>Reprogramada · No disponibilidad de horas hombre del funcionario SEC por alta carga laboral</v>
      </c>
      <c r="L609" s="52" t="n">
        <v>46096</v>
      </c>
      <c r="M609" s="50" t="s">
        <v>353</v>
      </c>
      <c r="N609" s="50" t="s">
        <v>253</v>
      </c>
      <c r="O609" s="50"/>
      <c r="P609" s="50"/>
      <c r="Q609" s="50" t="s">
        <v>362</v>
      </c>
    </row>
    <row r="610" customFormat="false" ht="15" hidden="false" customHeight="true" outlineLevel="0" collapsed="false">
      <c r="A610" s="51" t="s">
        <v>636</v>
      </c>
      <c r="B610" s="50" t="str">
        <f aca="false">IFERROR(VLOOKUP($A610,Equipos!$C$2:$M$967,2,FALSE()),"")</f>
        <v>Monitor Multiparámetros</v>
      </c>
      <c r="C610" s="50" t="str">
        <f aca="false">IFERROR(VLOOKUP($A610,Equipos!$C$2:$M$967,9,FALSE()),"")</f>
        <v>JH01B910030</v>
      </c>
      <c r="D610" s="50" t="str">
        <f aca="false">IFERROR(VLOOKUP($A610,Equipos!$C$2:$M$967,3,FALSE()),"")</f>
        <v>CR ONCOLOGICO AMBULATORIO</v>
      </c>
      <c r="E610" s="50" t="str">
        <f aca="false">IFERROR(VLOOKUP($A610,Equipos!$C$2:$M$967,7,FALSE()),"")</f>
        <v>NORTHERN</v>
      </c>
      <c r="F610" s="50" t="str">
        <f aca="false">IFERROR(VLOOKUP($A610,Equipos!$C$2:$M$967,8,FALSE()),"")</f>
        <v>Aquarius ECG</v>
      </c>
      <c r="G610" s="50" t="s">
        <v>691</v>
      </c>
      <c r="H610" s="50" t="s">
        <v>360</v>
      </c>
      <c r="I610" s="50"/>
      <c r="J610" s="50" t="s">
        <v>352</v>
      </c>
      <c r="K610" s="50" t="str">
        <f aca="false">IFERROR(VLOOKUP($J610,Catálogos!$M$4:$N$17,2,FALSE()),"")</f>
        <v>Mantención Preventiva Realizada</v>
      </c>
      <c r="L610" s="52" t="n">
        <v>46096</v>
      </c>
      <c r="M610" s="50" t="s">
        <v>353</v>
      </c>
      <c r="N610" s="50" t="s">
        <v>253</v>
      </c>
      <c r="O610" s="50"/>
      <c r="P610" s="50"/>
      <c r="Q610" s="50" t="s">
        <v>362</v>
      </c>
    </row>
    <row r="611" customFormat="false" ht="15" hidden="false" customHeight="true" outlineLevel="0" collapsed="false">
      <c r="A611" s="51" t="s">
        <v>789</v>
      </c>
      <c r="B611" s="50" t="str">
        <f aca="false">IFERROR(VLOOKUP($A611,Equipos!$C$2:$M$967,2,FALSE()),"")</f>
        <v>Monitor Multiparámetros</v>
      </c>
      <c r="C611" s="50" t="str">
        <f aca="false">IFERROR(VLOOKUP($A611,Equipos!$C$2:$M$967,9,FALSE()),"")</f>
        <v>S2SRF0969</v>
      </c>
      <c r="D611" s="50" t="str">
        <f aca="false">IFERROR(VLOOKUP($A611,Equipos!$C$2:$M$967,3,FALSE()),"")</f>
        <v>Hemato Oncología Adulto</v>
      </c>
      <c r="E611" s="50" t="str">
        <f aca="false">IFERROR(VLOOKUP($A611,Equipos!$C$2:$M$967,7,FALSE()),"")</f>
        <v>Drager</v>
      </c>
      <c r="F611" s="50" t="str">
        <f aca="false">IFERROR(VLOOKUP($A611,Equipos!$C$2:$M$967,8,FALSE()),"")</f>
        <v>Vista 120 S</v>
      </c>
      <c r="G611" s="50" t="s">
        <v>691</v>
      </c>
      <c r="H611" s="50" t="s">
        <v>360</v>
      </c>
      <c r="I611" s="50"/>
      <c r="J611" s="50" t="s">
        <v>364</v>
      </c>
      <c r="K611" s="50" t="str">
        <f aca="false">IFERROR(VLOOKUP($J611,Catálogos!$M$4:$N$17,2,FALSE()),"")</f>
        <v>Reprogramada · No disponibilidad de horas hombre del funcionario SEC por alta carga laboral</v>
      </c>
      <c r="L611" s="52" t="n">
        <v>46096</v>
      </c>
      <c r="M611" s="50" t="s">
        <v>353</v>
      </c>
      <c r="N611" s="50" t="s">
        <v>253</v>
      </c>
      <c r="O611" s="50"/>
      <c r="P611" s="50"/>
      <c r="Q611" s="50" t="s">
        <v>362</v>
      </c>
    </row>
    <row r="612" customFormat="false" ht="15" hidden="false" customHeight="true" outlineLevel="0" collapsed="false">
      <c r="A612" s="51" t="s">
        <v>790</v>
      </c>
      <c r="B612" s="50" t="str">
        <f aca="false">IFERROR(VLOOKUP($A612,Equipos!$C$2:$M$967,2,FALSE()),"")</f>
        <v>Monitor Multiparámetros</v>
      </c>
      <c r="C612" s="50" t="str">
        <f aca="false">IFERROR(VLOOKUP($A612,Equipos!$C$2:$M$967,9,FALSE()),"")</f>
        <v>S2SRF0982</v>
      </c>
      <c r="D612" s="50" t="str">
        <f aca="false">IFERROR(VLOOKUP($A612,Equipos!$C$2:$M$967,3,FALSE()),"")</f>
        <v>Hemato Oncología Adulto</v>
      </c>
      <c r="E612" s="50" t="str">
        <f aca="false">IFERROR(VLOOKUP($A612,Equipos!$C$2:$M$967,7,FALSE()),"")</f>
        <v>Drager</v>
      </c>
      <c r="F612" s="50" t="str">
        <f aca="false">IFERROR(VLOOKUP($A612,Equipos!$C$2:$M$967,8,FALSE()),"")</f>
        <v>Vista 120 S</v>
      </c>
      <c r="G612" s="50" t="s">
        <v>691</v>
      </c>
      <c r="H612" s="50" t="s">
        <v>360</v>
      </c>
      <c r="I612" s="50"/>
      <c r="J612" s="50" t="s">
        <v>364</v>
      </c>
      <c r="K612" s="50" t="str">
        <f aca="false">IFERROR(VLOOKUP($J612,Catálogos!$M$4:$N$17,2,FALSE()),"")</f>
        <v>Reprogramada · No disponibilidad de horas hombre del funcionario SEC por alta carga laboral</v>
      </c>
      <c r="L612" s="52" t="n">
        <v>46096</v>
      </c>
      <c r="M612" s="50" t="s">
        <v>353</v>
      </c>
      <c r="N612" s="50" t="s">
        <v>253</v>
      </c>
      <c r="O612" s="50"/>
      <c r="P612" s="50"/>
      <c r="Q612" s="50" t="s">
        <v>362</v>
      </c>
    </row>
    <row r="613" customFormat="false" ht="15" hidden="false" customHeight="true" outlineLevel="0" collapsed="false">
      <c r="A613" s="51" t="s">
        <v>641</v>
      </c>
      <c r="B613" s="50" t="str">
        <f aca="false">IFERROR(VLOOKUP($A613,Equipos!$C$2:$M$967,2,FALSE()),"")</f>
        <v>Monitor Multiparámetros</v>
      </c>
      <c r="C613" s="50" t="str">
        <f aca="false">IFERROR(VLOOKUP($A613,Equipos!$C$2:$M$967,9,FALSE()),"")</f>
        <v>5514423368</v>
      </c>
      <c r="D613" s="50" t="str">
        <f aca="false">IFERROR(VLOOKUP($A613,Equipos!$C$2:$M$967,3,FALSE()),"")</f>
        <v>Imagenología</v>
      </c>
      <c r="E613" s="50" t="str">
        <f aca="false">IFERROR(VLOOKUP($A613,Equipos!$C$2:$M$967,7,FALSE()),"")</f>
        <v>Drager </v>
      </c>
      <c r="F613" s="50" t="str">
        <f aca="false">IFERROR(VLOOKUP($A613,Equipos!$C$2:$M$967,8,FALSE()),"")</f>
        <v>Infinity Vista</v>
      </c>
      <c r="G613" s="50" t="s">
        <v>691</v>
      </c>
      <c r="H613" s="50" t="s">
        <v>360</v>
      </c>
      <c r="I613" s="50"/>
      <c r="J613" s="50" t="s">
        <v>352</v>
      </c>
      <c r="K613" s="50" t="str">
        <f aca="false">IFERROR(VLOOKUP($J613,Catálogos!$M$4:$N$17,2,FALSE()),"")</f>
        <v>Mantención Preventiva Realizada</v>
      </c>
      <c r="L613" s="52" t="n">
        <v>46096</v>
      </c>
      <c r="M613" s="50" t="s">
        <v>353</v>
      </c>
      <c r="N613" s="50" t="s">
        <v>253</v>
      </c>
      <c r="O613" s="50"/>
      <c r="P613" s="50"/>
      <c r="Q613" s="50" t="s">
        <v>362</v>
      </c>
    </row>
    <row r="614" customFormat="false" ht="15" hidden="false" customHeight="true" outlineLevel="0" collapsed="false">
      <c r="A614" s="51" t="s">
        <v>642</v>
      </c>
      <c r="B614" s="50" t="str">
        <f aca="false">IFERROR(VLOOKUP($A614,Equipos!$C$2:$M$967,2,FALSE()),"")</f>
        <v>Monitor Multiparámetros</v>
      </c>
      <c r="C614" s="50" t="str">
        <f aca="false">IFERROR(VLOOKUP($A614,Equipos!$C$2:$M$967,9,FALSE()),"")</f>
        <v>J3300KB00015</v>
      </c>
      <c r="D614" s="50" t="str">
        <f aca="false">IFERROR(VLOOKUP($A614,Equipos!$C$2:$M$967,3,FALSE()),"")</f>
        <v>Imagenología</v>
      </c>
      <c r="E614" s="50" t="str">
        <f aca="false">IFERROR(VLOOKUP($A614,Equipos!$C$2:$M$967,7,FALSE()),"")</f>
        <v>Creative Medical</v>
      </c>
      <c r="F614" s="50" t="str">
        <f aca="false">IFERROR(VLOOKUP($A614,Equipos!$C$2:$M$967,8,FALSE()),"")</f>
        <v>UP-7000</v>
      </c>
      <c r="G614" s="50" t="s">
        <v>691</v>
      </c>
      <c r="H614" s="50" t="s">
        <v>360</v>
      </c>
      <c r="I614" s="50"/>
      <c r="J614" s="50" t="s">
        <v>352</v>
      </c>
      <c r="K614" s="50" t="str">
        <f aca="false">IFERROR(VLOOKUP($J614,Catálogos!$M$4:$N$17,2,FALSE()),"")</f>
        <v>Mantención Preventiva Realizada</v>
      </c>
      <c r="L614" s="52" t="n">
        <v>46096</v>
      </c>
      <c r="M614" s="50" t="s">
        <v>353</v>
      </c>
      <c r="N614" s="50" t="s">
        <v>253</v>
      </c>
      <c r="O614" s="50"/>
      <c r="P614" s="50"/>
      <c r="Q614" s="50" t="s">
        <v>362</v>
      </c>
    </row>
    <row r="615" customFormat="false" ht="15" hidden="false" customHeight="true" outlineLevel="0" collapsed="false">
      <c r="A615" s="51" t="s">
        <v>791</v>
      </c>
      <c r="B615" s="50" t="str">
        <f aca="false">IFERROR(VLOOKUP($A615,Equipos!$C$2:$M$967,2,FALSE()),"")</f>
        <v>Monitor Multiparámetros</v>
      </c>
      <c r="C615" s="50" t="str">
        <f aca="false">IFERROR(VLOOKUP($A615,Equipos!$C$2:$M$967,9,FALSE()),"")</f>
        <v>100650</v>
      </c>
      <c r="D615" s="50" t="str">
        <f aca="false">IFERROR(VLOOKUP($A615,Equipos!$C$2:$M$967,3,FALSE()),"")</f>
        <v>Urgencia Adulto</v>
      </c>
      <c r="E615" s="50" t="str">
        <f aca="false">IFERROR(VLOOKUP($A615,Equipos!$C$2:$M$967,7,FALSE()),"")</f>
        <v>Nihon Kohden </v>
      </c>
      <c r="F615" s="50" t="str">
        <f aca="false">IFERROR(VLOOKUP($A615,Equipos!$C$2:$M$967,8,FALSE()),"")</f>
        <v>PVM-2701K</v>
      </c>
      <c r="G615" s="50" t="s">
        <v>691</v>
      </c>
      <c r="H615" s="50" t="s">
        <v>360</v>
      </c>
      <c r="I615" s="50"/>
      <c r="J615" s="50" t="s">
        <v>352</v>
      </c>
      <c r="K615" s="50" t="str">
        <f aca="false">IFERROR(VLOOKUP($J615,Catálogos!$M$4:$N$17,2,FALSE()),"")</f>
        <v>Mantención Preventiva Realizada</v>
      </c>
      <c r="L615" s="52" t="n">
        <v>46096</v>
      </c>
      <c r="M615" s="50" t="s">
        <v>353</v>
      </c>
      <c r="N615" s="50" t="s">
        <v>253</v>
      </c>
      <c r="O615" s="50"/>
      <c r="P615" s="50"/>
      <c r="Q615" s="50" t="s">
        <v>362</v>
      </c>
    </row>
    <row r="616" customFormat="false" ht="15" hidden="false" customHeight="true" outlineLevel="0" collapsed="false">
      <c r="A616" s="51" t="s">
        <v>792</v>
      </c>
      <c r="B616" s="50" t="str">
        <f aca="false">IFERROR(VLOOKUP($A616,Equipos!$C$2:$M$967,2,FALSE()),"")</f>
        <v>Monitor Multiparámetros</v>
      </c>
      <c r="C616" s="50" t="str">
        <f aca="false">IFERROR(VLOOKUP($A616,Equipos!$C$2:$M$967,9,FALSE()),"")</f>
        <v>100658</v>
      </c>
      <c r="D616" s="50" t="str">
        <f aca="false">IFERROR(VLOOKUP($A616,Equipos!$C$2:$M$967,3,FALSE()),"")</f>
        <v>Urgencia Adulto</v>
      </c>
      <c r="E616" s="50" t="str">
        <f aca="false">IFERROR(VLOOKUP($A616,Equipos!$C$2:$M$967,7,FALSE()),"")</f>
        <v>Nihon Kohden </v>
      </c>
      <c r="F616" s="50" t="str">
        <f aca="false">IFERROR(VLOOKUP($A616,Equipos!$C$2:$M$967,8,FALSE()),"")</f>
        <v>PVM-2701K</v>
      </c>
      <c r="G616" s="50" t="s">
        <v>691</v>
      </c>
      <c r="H616" s="50" t="s">
        <v>360</v>
      </c>
      <c r="I616" s="50"/>
      <c r="J616" s="50" t="s">
        <v>332</v>
      </c>
      <c r="K616" s="50" t="str">
        <f aca="false">IFERROR(VLOOKUP($J616,Catálogos!$M$4:$N$17,2,FALSE()),"")</f>
        <v>Reprogramada · Equipo en servicio técnico</v>
      </c>
      <c r="L616" s="52" t="n">
        <v>46096</v>
      </c>
      <c r="M616" s="50" t="s">
        <v>6</v>
      </c>
      <c r="N616" s="50" t="s">
        <v>253</v>
      </c>
      <c r="O616" s="50"/>
      <c r="P616" s="50"/>
      <c r="Q616" s="50" t="s">
        <v>362</v>
      </c>
    </row>
    <row r="617" customFormat="false" ht="15" hidden="false" customHeight="true" outlineLevel="0" collapsed="false">
      <c r="A617" s="51" t="s">
        <v>793</v>
      </c>
      <c r="B617" s="50" t="str">
        <f aca="false">IFERROR(VLOOKUP($A617,Equipos!$C$2:$M$967,2,FALSE()),"")</f>
        <v>Monitor Multiparámetros</v>
      </c>
      <c r="C617" s="50" t="str">
        <f aca="false">IFERROR(VLOOKUP($A617,Equipos!$C$2:$M$967,9,FALSE()),"")</f>
        <v>100641</v>
      </c>
      <c r="D617" s="50" t="str">
        <f aca="false">IFERROR(VLOOKUP($A617,Equipos!$C$2:$M$967,3,FALSE()),"")</f>
        <v>Urgencia Adulto</v>
      </c>
      <c r="E617" s="50" t="str">
        <f aca="false">IFERROR(VLOOKUP($A617,Equipos!$C$2:$M$967,7,FALSE()),"")</f>
        <v>Nihon Kohden </v>
      </c>
      <c r="F617" s="50" t="str">
        <f aca="false">IFERROR(VLOOKUP($A617,Equipos!$C$2:$M$967,8,FALSE()),"")</f>
        <v>PVM-2701K</v>
      </c>
      <c r="G617" s="50" t="s">
        <v>691</v>
      </c>
      <c r="H617" s="50" t="s">
        <v>360</v>
      </c>
      <c r="I617" s="50"/>
      <c r="J617" s="50" t="s">
        <v>352</v>
      </c>
      <c r="K617" s="50" t="str">
        <f aca="false">IFERROR(VLOOKUP($J617,Catálogos!$M$4:$N$17,2,FALSE()),"")</f>
        <v>Mantención Preventiva Realizada</v>
      </c>
      <c r="L617" s="52" t="n">
        <v>46096</v>
      </c>
      <c r="M617" s="50" t="s">
        <v>353</v>
      </c>
      <c r="N617" s="50" t="s">
        <v>253</v>
      </c>
      <c r="O617" s="50"/>
      <c r="P617" s="50"/>
      <c r="Q617" s="50" t="s">
        <v>362</v>
      </c>
    </row>
    <row r="618" customFormat="false" ht="15" hidden="false" customHeight="true" outlineLevel="0" collapsed="false">
      <c r="A618" s="51" t="s">
        <v>794</v>
      </c>
      <c r="B618" s="50" t="str">
        <f aca="false">IFERROR(VLOOKUP($A618,Equipos!$C$2:$M$967,2,FALSE()),"")</f>
        <v>Monitor Multiparámetros</v>
      </c>
      <c r="C618" s="50" t="str">
        <f aca="false">IFERROR(VLOOKUP($A618,Equipos!$C$2:$M$967,9,FALSE()),"")</f>
        <v>0100659.</v>
      </c>
      <c r="D618" s="50" t="str">
        <f aca="false">IFERROR(VLOOKUP($A618,Equipos!$C$2:$M$967,3,FALSE()),"")</f>
        <v>Urgencia Infantil</v>
      </c>
      <c r="E618" s="50" t="str">
        <f aca="false">IFERROR(VLOOKUP($A618,Equipos!$C$2:$M$967,7,FALSE()),"")</f>
        <v>Nihon Kohden </v>
      </c>
      <c r="F618" s="50" t="str">
        <f aca="false">IFERROR(VLOOKUP($A618,Equipos!$C$2:$M$967,8,FALSE()),"")</f>
        <v>PVM-2701K</v>
      </c>
      <c r="G618" s="50" t="s">
        <v>691</v>
      </c>
      <c r="H618" s="50" t="s">
        <v>360</v>
      </c>
      <c r="I618" s="50"/>
      <c r="J618" s="50" t="s">
        <v>352</v>
      </c>
      <c r="K618" s="50" t="str">
        <f aca="false">IFERROR(VLOOKUP($J618,Catálogos!$M$4:$N$17,2,FALSE()),"")</f>
        <v>Mantención Preventiva Realizada</v>
      </c>
      <c r="L618" s="52" t="n">
        <v>46096</v>
      </c>
      <c r="M618" s="50" t="s">
        <v>353</v>
      </c>
      <c r="N618" s="50" t="s">
        <v>253</v>
      </c>
      <c r="O618" s="50"/>
      <c r="P618" s="50"/>
      <c r="Q618" s="50" t="s">
        <v>362</v>
      </c>
    </row>
    <row r="619" customFormat="false" ht="15" hidden="false" customHeight="true" outlineLevel="0" collapsed="false">
      <c r="A619" s="51" t="s">
        <v>795</v>
      </c>
      <c r="B619" s="50" t="str">
        <f aca="false">IFERROR(VLOOKUP($A619,Equipos!$C$2:$M$967,2,FALSE()),"")</f>
        <v>Monitor Multiparámetros</v>
      </c>
      <c r="C619" s="50" t="str">
        <f aca="false">IFERROR(VLOOKUP($A619,Equipos!$C$2:$M$967,9,FALSE()),"")</f>
        <v>100653</v>
      </c>
      <c r="D619" s="50" t="str">
        <f aca="false">IFERROR(VLOOKUP($A619,Equipos!$C$2:$M$967,3,FALSE()),"")</f>
        <v>Urgencia Adulto</v>
      </c>
      <c r="E619" s="50" t="str">
        <f aca="false">IFERROR(VLOOKUP($A619,Equipos!$C$2:$M$967,7,FALSE()),"")</f>
        <v>Nihon Kohden </v>
      </c>
      <c r="F619" s="50" t="str">
        <f aca="false">IFERROR(VLOOKUP($A619,Equipos!$C$2:$M$967,8,FALSE()),"")</f>
        <v>PVM-2701K</v>
      </c>
      <c r="G619" s="50" t="s">
        <v>691</v>
      </c>
      <c r="H619" s="50" t="s">
        <v>360</v>
      </c>
      <c r="I619" s="50"/>
      <c r="J619" s="50" t="s">
        <v>352</v>
      </c>
      <c r="K619" s="50" t="str">
        <f aca="false">IFERROR(VLOOKUP($J619,Catálogos!$M$4:$N$17,2,FALSE()),"")</f>
        <v>Mantención Preventiva Realizada</v>
      </c>
      <c r="L619" s="52" t="n">
        <v>46096</v>
      </c>
      <c r="M619" s="50" t="s">
        <v>353</v>
      </c>
      <c r="N619" s="50" t="s">
        <v>253</v>
      </c>
      <c r="O619" s="50"/>
      <c r="P619" s="50"/>
      <c r="Q619" s="50" t="s">
        <v>362</v>
      </c>
    </row>
    <row r="620" customFormat="false" ht="15" hidden="false" customHeight="true" outlineLevel="0" collapsed="false">
      <c r="A620" s="51" t="s">
        <v>643</v>
      </c>
      <c r="B620" s="50" t="str">
        <f aca="false">IFERROR(VLOOKUP($A620,Equipos!$C$2:$M$967,2,FALSE()),"")</f>
        <v>Monitor Multiparámetros</v>
      </c>
      <c r="C620" s="50" t="str">
        <f aca="false">IFERROR(VLOOKUP($A620,Equipos!$C$2:$M$967,9,FALSE()),"")</f>
        <v>AC5-43007991</v>
      </c>
      <c r="D620" s="50" t="str">
        <f aca="false">IFERROR(VLOOKUP($A620,Equipos!$C$2:$M$967,3,FALSE()),"")</f>
        <v>Pediatría</v>
      </c>
      <c r="E620" s="50" t="str">
        <f aca="false">IFERROR(VLOOKUP($A620,Equipos!$C$2:$M$967,7,FALSE()),"")</f>
        <v>Mindray</v>
      </c>
      <c r="F620" s="50" t="str">
        <f aca="false">IFERROR(VLOOKUP($A620,Equipos!$C$2:$M$967,8,FALSE()),"")</f>
        <v>EPM 15 Compact</v>
      </c>
      <c r="G620" s="50" t="s">
        <v>691</v>
      </c>
      <c r="H620" s="50" t="s">
        <v>360</v>
      </c>
      <c r="I620" s="50"/>
      <c r="J620" s="50" t="s">
        <v>352</v>
      </c>
      <c r="K620" s="50" t="str">
        <f aca="false">IFERROR(VLOOKUP($J620,Catálogos!$M$4:$N$17,2,FALSE()),"")</f>
        <v>Mantención Preventiva Realizada</v>
      </c>
      <c r="L620" s="52" t="n">
        <v>46096</v>
      </c>
      <c r="M620" s="50" t="s">
        <v>353</v>
      </c>
      <c r="N620" s="50" t="s">
        <v>253</v>
      </c>
      <c r="O620" s="50"/>
      <c r="P620" s="50"/>
      <c r="Q620" s="50" t="s">
        <v>362</v>
      </c>
    </row>
    <row r="621" customFormat="false" ht="15" hidden="false" customHeight="true" outlineLevel="0" collapsed="false">
      <c r="A621" s="51" t="s">
        <v>796</v>
      </c>
      <c r="B621" s="50" t="str">
        <f aca="false">IFERROR(VLOOKUP($A621,Equipos!$C$2:$M$967,2,FALSE()),"")</f>
        <v>Monitor Multiparámetros</v>
      </c>
      <c r="C621" s="50" t="str">
        <f aca="false">IFERROR(VLOOKUP($A621,Equipos!$C$2:$M$967,9,FALSE()),"")</f>
        <v>0100647.</v>
      </c>
      <c r="D621" s="50" t="str">
        <f aca="false">IFERROR(VLOOKUP($A621,Equipos!$C$2:$M$967,3,FALSE()),"")</f>
        <v>Urgencia Infantil</v>
      </c>
      <c r="E621" s="50" t="str">
        <f aca="false">IFERROR(VLOOKUP($A621,Equipos!$C$2:$M$967,7,FALSE()),"")</f>
        <v>Nihon Kohden </v>
      </c>
      <c r="F621" s="50" t="str">
        <f aca="false">IFERROR(VLOOKUP($A621,Equipos!$C$2:$M$967,8,FALSE()),"")</f>
        <v>PVM-2701K</v>
      </c>
      <c r="G621" s="50" t="s">
        <v>691</v>
      </c>
      <c r="H621" s="50" t="s">
        <v>360</v>
      </c>
      <c r="I621" s="50"/>
      <c r="J621" s="50" t="s">
        <v>352</v>
      </c>
      <c r="K621" s="50" t="str">
        <f aca="false">IFERROR(VLOOKUP($J621,Catálogos!$M$4:$N$17,2,FALSE()),"")</f>
        <v>Mantención Preventiva Realizada</v>
      </c>
      <c r="L621" s="52" t="n">
        <v>46096</v>
      </c>
      <c r="M621" s="50" t="s">
        <v>353</v>
      </c>
      <c r="N621" s="50" t="s">
        <v>253</v>
      </c>
      <c r="O621" s="50"/>
      <c r="P621" s="50"/>
      <c r="Q621" s="50" t="s">
        <v>362</v>
      </c>
    </row>
    <row r="622" customFormat="false" ht="15" hidden="false" customHeight="true" outlineLevel="0" collapsed="false">
      <c r="A622" s="51" t="s">
        <v>797</v>
      </c>
      <c r="B622" s="50" t="str">
        <f aca="false">IFERROR(VLOOKUP($A622,Equipos!$C$2:$M$967,2,FALSE()),"")</f>
        <v>Monitor Multiparámetros</v>
      </c>
      <c r="C622" s="50" t="str">
        <f aca="false">IFERROR(VLOOKUP($A622,Equipos!$C$2:$M$967,9,FALSE()),"")</f>
        <v>100643</v>
      </c>
      <c r="D622" s="50" t="str">
        <f aca="false">IFERROR(VLOOKUP($A622,Equipos!$C$2:$M$967,3,FALSE()),"")</f>
        <v>Urgencia Adulto</v>
      </c>
      <c r="E622" s="50" t="str">
        <f aca="false">IFERROR(VLOOKUP($A622,Equipos!$C$2:$M$967,7,FALSE()),"")</f>
        <v>Nihon Kohden </v>
      </c>
      <c r="F622" s="50" t="str">
        <f aca="false">IFERROR(VLOOKUP($A622,Equipos!$C$2:$M$967,8,FALSE()),"")</f>
        <v>PVM-2701K</v>
      </c>
      <c r="G622" s="50" t="s">
        <v>691</v>
      </c>
      <c r="H622" s="50" t="s">
        <v>360</v>
      </c>
      <c r="I622" s="50"/>
      <c r="J622" s="50" t="s">
        <v>352</v>
      </c>
      <c r="K622" s="50" t="str">
        <f aca="false">IFERROR(VLOOKUP($J622,Catálogos!$M$4:$N$17,2,FALSE()),"")</f>
        <v>Mantención Preventiva Realizada</v>
      </c>
      <c r="L622" s="52" t="n">
        <v>46096</v>
      </c>
      <c r="M622" s="50" t="s">
        <v>353</v>
      </c>
      <c r="N622" s="50" t="s">
        <v>253</v>
      </c>
      <c r="O622" s="50"/>
      <c r="P622" s="50"/>
      <c r="Q622" s="50" t="s">
        <v>362</v>
      </c>
    </row>
    <row r="623" customFormat="false" ht="15" hidden="false" customHeight="true" outlineLevel="0" collapsed="false">
      <c r="A623" s="51" t="s">
        <v>798</v>
      </c>
      <c r="B623" s="50" t="str">
        <f aca="false">IFERROR(VLOOKUP($A623,Equipos!$C$2:$M$967,2,FALSE()),"")</f>
        <v>Monitor Multiparámetros</v>
      </c>
      <c r="C623" s="50" t="str">
        <f aca="false">IFERROR(VLOOKUP($A623,Equipos!$C$2:$M$967,9,FALSE()),"")</f>
        <v>0100638.</v>
      </c>
      <c r="D623" s="50" t="str">
        <f aca="false">IFERROR(VLOOKUP($A623,Equipos!$C$2:$M$967,3,FALSE()),"")</f>
        <v>Urgencia Infantil</v>
      </c>
      <c r="E623" s="50" t="str">
        <f aca="false">IFERROR(VLOOKUP($A623,Equipos!$C$2:$M$967,7,FALSE()),"")</f>
        <v>Nihon Kohden </v>
      </c>
      <c r="F623" s="50" t="str">
        <f aca="false">IFERROR(VLOOKUP($A623,Equipos!$C$2:$M$967,8,FALSE()),"")</f>
        <v>PVM-2701K</v>
      </c>
      <c r="G623" s="50" t="s">
        <v>691</v>
      </c>
      <c r="H623" s="50" t="s">
        <v>360</v>
      </c>
      <c r="I623" s="50"/>
      <c r="J623" s="50" t="s">
        <v>352</v>
      </c>
      <c r="K623" s="50" t="str">
        <f aca="false">IFERROR(VLOOKUP($J623,Catálogos!$M$4:$N$17,2,FALSE()),"")</f>
        <v>Mantención Preventiva Realizada</v>
      </c>
      <c r="L623" s="52" t="n">
        <v>46096</v>
      </c>
      <c r="M623" s="50" t="s">
        <v>353</v>
      </c>
      <c r="N623" s="50" t="s">
        <v>253</v>
      </c>
      <c r="O623" s="50"/>
      <c r="P623" s="50"/>
      <c r="Q623" s="50" t="s">
        <v>362</v>
      </c>
    </row>
    <row r="624" customFormat="false" ht="15" hidden="false" customHeight="true" outlineLevel="0" collapsed="false">
      <c r="A624" s="51" t="s">
        <v>799</v>
      </c>
      <c r="B624" s="50" t="str">
        <f aca="false">IFERROR(VLOOKUP($A624,Equipos!$C$2:$M$967,2,FALSE()),"")</f>
        <v>Monitor Multiparámetros</v>
      </c>
      <c r="C624" s="50" t="str">
        <f aca="false">IFERROR(VLOOKUP($A624,Equipos!$C$2:$M$967,9,FALSE()),"")</f>
        <v>100645</v>
      </c>
      <c r="D624" s="50" t="str">
        <f aca="false">IFERROR(VLOOKUP($A624,Equipos!$C$2:$M$967,3,FALSE()),"")</f>
        <v>Urgencia Adulto</v>
      </c>
      <c r="E624" s="50" t="str">
        <f aca="false">IFERROR(VLOOKUP($A624,Equipos!$C$2:$M$967,7,FALSE()),"")</f>
        <v>Nihon Kohden </v>
      </c>
      <c r="F624" s="50" t="str">
        <f aca="false">IFERROR(VLOOKUP($A624,Equipos!$C$2:$M$967,8,FALSE()),"")</f>
        <v>PVM-2701K</v>
      </c>
      <c r="G624" s="50" t="s">
        <v>691</v>
      </c>
      <c r="H624" s="50" t="s">
        <v>360</v>
      </c>
      <c r="I624" s="50"/>
      <c r="J624" s="50" t="s">
        <v>352</v>
      </c>
      <c r="K624" s="50" t="str">
        <f aca="false">IFERROR(VLOOKUP($J624,Catálogos!$M$4:$N$17,2,FALSE()),"")</f>
        <v>Mantención Preventiva Realizada</v>
      </c>
      <c r="L624" s="52" t="n">
        <v>46096</v>
      </c>
      <c r="M624" s="50" t="s">
        <v>353</v>
      </c>
      <c r="N624" s="50" t="s">
        <v>253</v>
      </c>
      <c r="O624" s="50"/>
      <c r="P624" s="50"/>
      <c r="Q624" s="50" t="s">
        <v>362</v>
      </c>
    </row>
    <row r="625" customFormat="false" ht="15" hidden="false" customHeight="true" outlineLevel="0" collapsed="false">
      <c r="A625" s="51" t="s">
        <v>644</v>
      </c>
      <c r="B625" s="50" t="str">
        <f aca="false">IFERROR(VLOOKUP($A625,Equipos!$C$2:$M$967,2,FALSE()),"")</f>
        <v>Monitor Multiparámetros</v>
      </c>
      <c r="C625" s="50" t="str">
        <f aca="false">IFERROR(VLOOKUP($A625,Equipos!$C$2:$M$967,9,FALSE()),"")</f>
        <v>SP318494018WA</v>
      </c>
      <c r="D625" s="50" t="str">
        <f aca="false">IFERROR(VLOOKUP($A625,Equipos!$C$2:$M$967,3,FALSE()),"")</f>
        <v>Imagenología</v>
      </c>
      <c r="E625" s="50" t="str">
        <f aca="false">IFERROR(VLOOKUP($A625,Equipos!$C$2:$M$967,7,FALSE()),"")</f>
        <v>General Electric</v>
      </c>
      <c r="F625" s="50" t="str">
        <f aca="false">IFERROR(VLOOKUP($A625,Equipos!$C$2:$M$967,8,FALSE()),"")</f>
        <v>B105</v>
      </c>
      <c r="G625" s="50" t="s">
        <v>691</v>
      </c>
      <c r="H625" s="50" t="s">
        <v>360</v>
      </c>
      <c r="I625" s="50"/>
      <c r="J625" s="50" t="s">
        <v>352</v>
      </c>
      <c r="K625" s="50" t="str">
        <f aca="false">IFERROR(VLOOKUP($J625,Catálogos!$M$4:$N$17,2,FALSE()),"")</f>
        <v>Mantención Preventiva Realizada</v>
      </c>
      <c r="L625" s="52" t="n">
        <v>46096</v>
      </c>
      <c r="M625" s="50" t="s">
        <v>353</v>
      </c>
      <c r="N625" s="50" t="s">
        <v>253</v>
      </c>
      <c r="O625" s="50"/>
      <c r="P625" s="50"/>
      <c r="Q625" s="50" t="s">
        <v>362</v>
      </c>
    </row>
    <row r="626" customFormat="false" ht="15" hidden="false" customHeight="true" outlineLevel="0" collapsed="false">
      <c r="A626" s="51" t="s">
        <v>645</v>
      </c>
      <c r="B626" s="50" t="str">
        <f aca="false">IFERROR(VLOOKUP($A626,Equipos!$C$2:$M$967,2,FALSE()),"")</f>
        <v>Monitor Multiparámetros</v>
      </c>
      <c r="C626" s="50" t="str">
        <f aca="false">IFERROR(VLOOKUP($A626,Equipos!$C$2:$M$967,9,FALSE()),"")</f>
        <v>SP318494009WA</v>
      </c>
      <c r="D626" s="50" t="str">
        <f aca="false">IFERROR(VLOOKUP($A626,Equipos!$C$2:$M$967,3,FALSE()),"")</f>
        <v>Imagenología</v>
      </c>
      <c r="E626" s="50" t="str">
        <f aca="false">IFERROR(VLOOKUP($A626,Equipos!$C$2:$M$967,7,FALSE()),"")</f>
        <v>General Electric</v>
      </c>
      <c r="F626" s="50" t="str">
        <f aca="false">IFERROR(VLOOKUP($A626,Equipos!$C$2:$M$967,8,FALSE()),"")</f>
        <v>B105</v>
      </c>
      <c r="G626" s="50" t="s">
        <v>691</v>
      </c>
      <c r="H626" s="50" t="s">
        <v>360</v>
      </c>
      <c r="I626" s="50"/>
      <c r="J626" s="50" t="s">
        <v>352</v>
      </c>
      <c r="K626" s="50" t="str">
        <f aca="false">IFERROR(VLOOKUP($J626,Catálogos!$M$4:$N$17,2,FALSE()),"")</f>
        <v>Mantención Preventiva Realizada</v>
      </c>
      <c r="L626" s="52" t="n">
        <v>46096</v>
      </c>
      <c r="M626" s="50" t="s">
        <v>353</v>
      </c>
      <c r="N626" s="50" t="s">
        <v>253</v>
      </c>
      <c r="O626" s="50"/>
      <c r="P626" s="50"/>
      <c r="Q626" s="50" t="s">
        <v>362</v>
      </c>
    </row>
    <row r="627" customFormat="false" ht="15" hidden="false" customHeight="true" outlineLevel="0" collapsed="false">
      <c r="A627" s="51" t="s">
        <v>646</v>
      </c>
      <c r="B627" s="50" t="str">
        <f aca="false">IFERROR(VLOOKUP($A627,Equipos!$C$2:$M$967,2,FALSE()),"")</f>
        <v>Monitor Multiparámetros</v>
      </c>
      <c r="C627" s="50" t="str">
        <f aca="false">IFERROR(VLOOKUP($A627,Equipos!$C$2:$M$967,9,FALSE()),"")</f>
        <v>SP318493999WA</v>
      </c>
      <c r="D627" s="50" t="str">
        <f aca="false">IFERROR(VLOOKUP($A627,Equipos!$C$2:$M$967,3,FALSE()),"")</f>
        <v>Imagenología</v>
      </c>
      <c r="E627" s="50" t="str">
        <f aca="false">IFERROR(VLOOKUP($A627,Equipos!$C$2:$M$967,7,FALSE()),"")</f>
        <v>General Electric</v>
      </c>
      <c r="F627" s="50" t="str">
        <f aca="false">IFERROR(VLOOKUP($A627,Equipos!$C$2:$M$967,8,FALSE()),"")</f>
        <v>B105</v>
      </c>
      <c r="G627" s="50" t="s">
        <v>691</v>
      </c>
      <c r="H627" s="50" t="s">
        <v>360</v>
      </c>
      <c r="I627" s="50"/>
      <c r="J627" s="50" t="s">
        <v>352</v>
      </c>
      <c r="K627" s="50" t="str">
        <f aca="false">IFERROR(VLOOKUP($J627,Catálogos!$M$4:$N$17,2,FALSE()),"")</f>
        <v>Mantención Preventiva Realizada</v>
      </c>
      <c r="L627" s="52" t="n">
        <v>46096</v>
      </c>
      <c r="M627" s="50" t="s">
        <v>353</v>
      </c>
      <c r="N627" s="50" t="s">
        <v>253</v>
      </c>
      <c r="O627" s="50"/>
      <c r="P627" s="50"/>
      <c r="Q627" s="50" t="s">
        <v>362</v>
      </c>
    </row>
    <row r="628" customFormat="false" ht="15" hidden="false" customHeight="true" outlineLevel="0" collapsed="false">
      <c r="A628" s="51" t="s">
        <v>647</v>
      </c>
      <c r="B628" s="50" t="str">
        <f aca="false">IFERROR(VLOOKUP($A628,Equipos!$C$2:$M$967,2,FALSE()),"")</f>
        <v>Monitor Multiparámetros</v>
      </c>
      <c r="C628" s="50" t="str">
        <f aca="false">IFERROR(VLOOKUP($A628,Equipos!$C$2:$M$967,9,FALSE()),"")</f>
        <v>SP318493998WA</v>
      </c>
      <c r="D628" s="50" t="str">
        <f aca="false">IFERROR(VLOOKUP($A628,Equipos!$C$2:$M$967,3,FALSE()),"")</f>
        <v>Imagenología</v>
      </c>
      <c r="E628" s="50" t="str">
        <f aca="false">IFERROR(VLOOKUP($A628,Equipos!$C$2:$M$967,7,FALSE()),"")</f>
        <v>General Electric</v>
      </c>
      <c r="F628" s="50" t="str">
        <f aca="false">IFERROR(VLOOKUP($A628,Equipos!$C$2:$M$967,8,FALSE()),"")</f>
        <v>B105</v>
      </c>
      <c r="G628" s="50" t="s">
        <v>691</v>
      </c>
      <c r="H628" s="50" t="s">
        <v>360</v>
      </c>
      <c r="I628" s="50"/>
      <c r="J628" s="50" t="s">
        <v>352</v>
      </c>
      <c r="K628" s="50" t="str">
        <f aca="false">IFERROR(VLOOKUP($J628,Catálogos!$M$4:$N$17,2,FALSE()),"")</f>
        <v>Mantención Preventiva Realizada</v>
      </c>
      <c r="L628" s="52" t="n">
        <v>46096</v>
      </c>
      <c r="M628" s="50" t="s">
        <v>353</v>
      </c>
      <c r="N628" s="50" t="s">
        <v>253</v>
      </c>
      <c r="O628" s="50"/>
      <c r="P628" s="50"/>
      <c r="Q628" s="50" t="s">
        <v>362</v>
      </c>
    </row>
    <row r="629" customFormat="false" ht="15" hidden="false" customHeight="true" outlineLevel="0" collapsed="false">
      <c r="A629" s="51" t="s">
        <v>648</v>
      </c>
      <c r="B629" s="50" t="str">
        <f aca="false">IFERROR(VLOOKUP($A629,Equipos!$C$2:$M$967,2,FALSE()),"")</f>
        <v>Monitor Multiparámetros</v>
      </c>
      <c r="C629" s="50" t="str">
        <f aca="false">IFERROR(VLOOKUP($A629,Equipos!$C$2:$M$967,9,FALSE()),"")</f>
        <v>5514410774</v>
      </c>
      <c r="D629" s="50" t="str">
        <f aca="false">IFERROR(VLOOKUP($A629,Equipos!$C$2:$M$967,3,FALSE()),"")</f>
        <v>UPC Cardiovascular (Prestado a medicina cardiovascular)</v>
      </c>
      <c r="E629" s="50" t="str">
        <f aca="false">IFERROR(VLOOKUP($A629,Equipos!$C$2:$M$967,7,FALSE()),"")</f>
        <v>Drager </v>
      </c>
      <c r="F629" s="50" t="str">
        <f aca="false">IFERROR(VLOOKUP($A629,Equipos!$C$2:$M$967,8,FALSE()),"")</f>
        <v>Infinity Vista </v>
      </c>
      <c r="G629" s="50" t="s">
        <v>691</v>
      </c>
      <c r="H629" s="50" t="s">
        <v>360</v>
      </c>
      <c r="I629" s="50"/>
      <c r="J629" s="50" t="s">
        <v>352</v>
      </c>
      <c r="K629" s="50" t="str">
        <f aca="false">IFERROR(VLOOKUP($J629,Catálogos!$M$4:$N$17,2,FALSE()),"")</f>
        <v>Mantención Preventiva Realizada</v>
      </c>
      <c r="L629" s="52" t="n">
        <v>46096</v>
      </c>
      <c r="M629" s="50" t="s">
        <v>353</v>
      </c>
      <c r="N629" s="50" t="s">
        <v>253</v>
      </c>
      <c r="O629" s="50"/>
      <c r="P629" s="50"/>
      <c r="Q629" s="50" t="s">
        <v>362</v>
      </c>
    </row>
    <row r="630" customFormat="false" ht="15" hidden="false" customHeight="true" outlineLevel="0" collapsed="false">
      <c r="A630" s="51" t="s">
        <v>649</v>
      </c>
      <c r="B630" s="50" t="str">
        <f aca="false">IFERROR(VLOOKUP($A630,Equipos!$C$2:$M$967,2,FALSE()),"")</f>
        <v>Monitor Multiparámetros</v>
      </c>
      <c r="C630" s="50" t="str">
        <f aca="false">IFERROR(VLOOKUP($A630,Equipos!$C$2:$M$967,9,FALSE()),"")</f>
        <v>6000543675</v>
      </c>
      <c r="D630" s="50" t="str">
        <f aca="false">IFERROR(VLOOKUP($A630,Equipos!$C$2:$M$967,3,FALSE()),"")</f>
        <v>Urgencia Adulto (Prestado a Pediatría)</v>
      </c>
      <c r="E630" s="50" t="str">
        <f aca="false">IFERROR(VLOOKUP($A630,Equipos!$C$2:$M$967,7,FALSE()),"")</f>
        <v>Drager </v>
      </c>
      <c r="F630" s="50" t="str">
        <f aca="false">IFERROR(VLOOKUP($A630,Equipos!$C$2:$M$967,8,FALSE()),"")</f>
        <v>Infinity Vista XL </v>
      </c>
      <c r="G630" s="50" t="s">
        <v>691</v>
      </c>
      <c r="H630" s="50" t="s">
        <v>360</v>
      </c>
      <c r="I630" s="50"/>
      <c r="J630" s="50" t="s">
        <v>352</v>
      </c>
      <c r="K630" s="50" t="str">
        <f aca="false">IFERROR(VLOOKUP($J630,Catálogos!$M$4:$N$17,2,FALSE()),"")</f>
        <v>Mantención Preventiva Realizada</v>
      </c>
      <c r="L630" s="52" t="n">
        <v>46096</v>
      </c>
      <c r="M630" s="50" t="s">
        <v>353</v>
      </c>
      <c r="N630" s="50" t="s">
        <v>253</v>
      </c>
      <c r="O630" s="50"/>
      <c r="P630" s="50"/>
      <c r="Q630" s="50" t="s">
        <v>362</v>
      </c>
    </row>
    <row r="631" customFormat="false" ht="15" hidden="false" customHeight="true" outlineLevel="0" collapsed="false">
      <c r="A631" s="51" t="s">
        <v>800</v>
      </c>
      <c r="B631" s="50" t="str">
        <f aca="false">IFERROR(VLOOKUP($A631,Equipos!$C$2:$M$967,2,FALSE()),"")</f>
        <v>Ventilador Mecánico </v>
      </c>
      <c r="C631" s="50" t="str">
        <f aca="false">IFERROR(VLOOKUP($A631,Equipos!$C$2:$M$967,9,FALSE()),"")</f>
        <v>YH830A-V24C35008</v>
      </c>
      <c r="D631" s="50" t="str">
        <f aca="false">IFERROR(VLOOKUP($A631,Equipos!$C$2:$M$967,3,FALSE()),"")</f>
        <v>UPC Pediátrica</v>
      </c>
      <c r="E631" s="50" t="str">
        <f aca="false">IFERROR(VLOOKUP($A631,Equipos!$C$2:$M$967,7,FALSE()),"")</f>
        <v>Yuwell</v>
      </c>
      <c r="F631" s="50" t="str">
        <f aca="false">IFERROR(VLOOKUP($A631,Equipos!$C$2:$M$967,8,FALSE()),"")</f>
        <v>YH-830</v>
      </c>
      <c r="G631" s="50" t="s">
        <v>691</v>
      </c>
      <c r="H631" s="50" t="s">
        <v>360</v>
      </c>
      <c r="I631" s="50"/>
      <c r="J631" s="50" t="s">
        <v>352</v>
      </c>
      <c r="K631" s="50" t="str">
        <f aca="false">IFERROR(VLOOKUP($J631,Catálogos!$M$4:$N$17,2,FALSE()),"")</f>
        <v>Mantención Preventiva Realizada</v>
      </c>
      <c r="L631" s="52" t="n">
        <v>46096</v>
      </c>
      <c r="M631" s="50" t="s">
        <v>353</v>
      </c>
      <c r="N631" s="50" t="s">
        <v>253</v>
      </c>
      <c r="O631" s="50"/>
      <c r="P631" s="50"/>
      <c r="Q631" s="50" t="s">
        <v>362</v>
      </c>
    </row>
    <row r="632" customFormat="false" ht="15" hidden="false" customHeight="true" outlineLevel="0" collapsed="false">
      <c r="A632" s="51" t="s">
        <v>801</v>
      </c>
      <c r="B632" s="50" t="str">
        <f aca="false">IFERROR(VLOOKUP($A632,Equipos!$C$2:$M$967,2,FALSE()),"")</f>
        <v>Ventilador Mecánico </v>
      </c>
      <c r="C632" s="50" t="str">
        <f aca="false">IFERROR(VLOOKUP($A632,Equipos!$C$2:$M$967,9,FALSE()),"")</f>
        <v>YH830A-V25132020</v>
      </c>
      <c r="D632" s="50" t="str">
        <f aca="false">IFERROR(VLOOKUP($A632,Equipos!$C$2:$M$967,3,FALSE()),"")</f>
        <v>UPC Pediátrica</v>
      </c>
      <c r="E632" s="50" t="str">
        <f aca="false">IFERROR(VLOOKUP($A632,Equipos!$C$2:$M$967,7,FALSE()),"")</f>
        <v>Yuwell</v>
      </c>
      <c r="F632" s="50" t="str">
        <f aca="false">IFERROR(VLOOKUP($A632,Equipos!$C$2:$M$967,8,FALSE()),"")</f>
        <v>YH-830</v>
      </c>
      <c r="G632" s="50" t="s">
        <v>691</v>
      </c>
      <c r="H632" s="50" t="s">
        <v>360</v>
      </c>
      <c r="I632" s="50"/>
      <c r="J632" s="50" t="s">
        <v>352</v>
      </c>
      <c r="K632" s="50" t="str">
        <f aca="false">IFERROR(VLOOKUP($J632,Catálogos!$M$4:$N$17,2,FALSE()),"")</f>
        <v>Mantención Preventiva Realizada</v>
      </c>
      <c r="L632" s="52" t="n">
        <v>46096</v>
      </c>
      <c r="M632" s="50" t="s">
        <v>353</v>
      </c>
      <c r="N632" s="50" t="s">
        <v>253</v>
      </c>
      <c r="O632" s="50"/>
      <c r="P632" s="50"/>
      <c r="Q632" s="50" t="s">
        <v>362</v>
      </c>
    </row>
    <row r="633" customFormat="false" ht="15" hidden="false" customHeight="true" outlineLevel="0" collapsed="false">
      <c r="A633" s="51" t="s">
        <v>802</v>
      </c>
      <c r="B633" s="50" t="str">
        <f aca="false">IFERROR(VLOOKUP($A633,Equipos!$C$2:$M$967,2,FALSE()),"")</f>
        <v>Ventilador Mecánico </v>
      </c>
      <c r="C633" s="50" t="str">
        <f aca="false">IFERROR(VLOOKUP($A633,Equipos!$C$2:$M$967,9,FALSE()),"")</f>
        <v>YH830A-V24C35013</v>
      </c>
      <c r="D633" s="50" t="str">
        <f aca="false">IFERROR(VLOOKUP($A633,Equipos!$C$2:$M$967,3,FALSE()),"")</f>
        <v>UPC Pediátrica</v>
      </c>
      <c r="E633" s="50" t="str">
        <f aca="false">IFERROR(VLOOKUP($A633,Equipos!$C$2:$M$967,7,FALSE()),"")</f>
        <v>Yuwell</v>
      </c>
      <c r="F633" s="50" t="str">
        <f aca="false">IFERROR(VLOOKUP($A633,Equipos!$C$2:$M$967,8,FALSE()),"")</f>
        <v>YH-830</v>
      </c>
      <c r="G633" s="50" t="s">
        <v>691</v>
      </c>
      <c r="H633" s="50" t="s">
        <v>360</v>
      </c>
      <c r="I633" s="50"/>
      <c r="J633" s="50" t="s">
        <v>352</v>
      </c>
      <c r="K633" s="50" t="str">
        <f aca="false">IFERROR(VLOOKUP($J633,Catálogos!$M$4:$N$17,2,FALSE()),"")</f>
        <v>Mantención Preventiva Realizada</v>
      </c>
      <c r="L633" s="52" t="n">
        <v>46096</v>
      </c>
      <c r="M633" s="50" t="s">
        <v>353</v>
      </c>
      <c r="N633" s="50" t="s">
        <v>253</v>
      </c>
      <c r="O633" s="50"/>
      <c r="P633" s="50"/>
      <c r="Q633" s="50" t="s">
        <v>362</v>
      </c>
    </row>
    <row r="634" customFormat="false" ht="15" hidden="false" customHeight="true" outlineLevel="0" collapsed="false">
      <c r="A634" s="51" t="s">
        <v>803</v>
      </c>
      <c r="B634" s="50" t="str">
        <f aca="false">IFERROR(VLOOKUP($A634,Equipos!$C$2:$M$967,2,FALSE()),"")</f>
        <v>Ventilador Mecánico </v>
      </c>
      <c r="C634" s="50" t="str">
        <f aca="false">IFERROR(VLOOKUP($A634,Equipos!$C$2:$M$967,9,FALSE()),"")</f>
        <v>YH830-V24C35011</v>
      </c>
      <c r="D634" s="50" t="str">
        <f aca="false">IFERROR(VLOOKUP($A634,Equipos!$C$2:$M$967,3,FALSE()),"")</f>
        <v>UPC Pediátrica</v>
      </c>
      <c r="E634" s="50" t="str">
        <f aca="false">IFERROR(VLOOKUP($A634,Equipos!$C$2:$M$967,7,FALSE()),"")</f>
        <v>Yuwell</v>
      </c>
      <c r="F634" s="50" t="str">
        <f aca="false">IFERROR(VLOOKUP($A634,Equipos!$C$2:$M$967,8,FALSE()),"")</f>
        <v>YH-830</v>
      </c>
      <c r="G634" s="50" t="s">
        <v>691</v>
      </c>
      <c r="H634" s="50" t="s">
        <v>360</v>
      </c>
      <c r="I634" s="50"/>
      <c r="J634" s="50" t="s">
        <v>352</v>
      </c>
      <c r="K634" s="50" t="str">
        <f aca="false">IFERROR(VLOOKUP($J634,Catálogos!$M$4:$N$17,2,FALSE()),"")</f>
        <v>Mantención Preventiva Realizada</v>
      </c>
      <c r="L634" s="52" t="n">
        <v>46096</v>
      </c>
      <c r="M634" s="50" t="s">
        <v>353</v>
      </c>
      <c r="N634" s="50" t="s">
        <v>253</v>
      </c>
      <c r="O634" s="50"/>
      <c r="P634" s="50"/>
      <c r="Q634" s="50" t="s">
        <v>362</v>
      </c>
    </row>
    <row r="635" customFormat="false" ht="15" hidden="false" customHeight="true" outlineLevel="0" collapsed="false">
      <c r="A635" s="51" t="s">
        <v>804</v>
      </c>
      <c r="B635" s="50" t="str">
        <f aca="false">IFERROR(VLOOKUP($A635,Equipos!$C$2:$M$967,2,FALSE()),"")</f>
        <v>Ventilador Mecánico </v>
      </c>
      <c r="C635" s="50" t="str">
        <f aca="false">IFERROR(VLOOKUP($A635,Equipos!$C$2:$M$967,9,FALSE()),"")</f>
        <v>H27247766FFE4</v>
      </c>
      <c r="D635" s="50" t="str">
        <f aca="false">IFERROR(VLOOKUP($A635,Equipos!$C$2:$M$967,3,FALSE()),"")</f>
        <v>Hospitalización Domiciliaria</v>
      </c>
      <c r="E635" s="50" t="str">
        <f aca="false">IFERROR(VLOOKUP($A635,Equipos!$C$2:$M$967,7,FALSE()),"")</f>
        <v>Philips</v>
      </c>
      <c r="F635" s="50" t="str">
        <f aca="false">IFERROR(VLOOKUP($A635,Equipos!$C$2:$M$967,8,FALSE()),"")</f>
        <v>Trilogy EVO</v>
      </c>
      <c r="G635" s="50" t="s">
        <v>691</v>
      </c>
      <c r="H635" s="50" t="s">
        <v>360</v>
      </c>
      <c r="I635" s="50"/>
      <c r="J635" s="50" t="s">
        <v>805</v>
      </c>
      <c r="K635" s="50" t="str">
        <f aca="false">IFERROR(VLOOKUP($J635,Catálogos!$M$4:$N$17,2,FALSE()),"")</f>
        <v>Reprogramada · No disponibilidad de horas hombre del servicio técnico externo</v>
      </c>
      <c r="L635" s="52" t="n">
        <v>46096</v>
      </c>
      <c r="M635" s="50" t="s">
        <v>353</v>
      </c>
      <c r="N635" s="50" t="s">
        <v>253</v>
      </c>
      <c r="O635" s="50"/>
      <c r="P635" s="50"/>
      <c r="Q635" s="50" t="s">
        <v>362</v>
      </c>
    </row>
    <row r="636" customFormat="false" ht="15" hidden="false" customHeight="true" outlineLevel="0" collapsed="false">
      <c r="A636" s="51" t="s">
        <v>806</v>
      </c>
      <c r="B636" s="50" t="str">
        <f aca="false">IFERROR(VLOOKUP($A636,Equipos!$C$2:$M$967,2,FALSE()),"")</f>
        <v>Ventilador Mecánico </v>
      </c>
      <c r="C636" s="50" t="str">
        <f aca="false">IFERROR(VLOOKUP($A636,Equipos!$C$2:$M$967,9,FALSE()),"")</f>
        <v>TV01802190C</v>
      </c>
      <c r="D636" s="50" t="str">
        <f aca="false">IFERROR(VLOOKUP($A636,Equipos!$C$2:$M$967,3,FALSE()),"")</f>
        <v>UPC Pediátrica</v>
      </c>
      <c r="E636" s="50" t="str">
        <f aca="false">IFERROR(VLOOKUP($A636,Equipos!$C$2:$M$967,7,FALSE()),"")</f>
        <v>Philips</v>
      </c>
      <c r="F636" s="50" t="str">
        <f aca="false">IFERROR(VLOOKUP($A636,Equipos!$C$2:$M$967,8,FALSE()),"")</f>
        <v>Trilogy 202</v>
      </c>
      <c r="G636" s="50" t="s">
        <v>691</v>
      </c>
      <c r="H636" s="50" t="s">
        <v>360</v>
      </c>
      <c r="I636" s="50"/>
      <c r="J636" s="50" t="s">
        <v>805</v>
      </c>
      <c r="K636" s="50" t="str">
        <f aca="false">IFERROR(VLOOKUP($J636,Catálogos!$M$4:$N$17,2,FALSE()),"")</f>
        <v>Reprogramada · No disponibilidad de horas hombre del servicio técnico externo</v>
      </c>
      <c r="L636" s="52" t="n">
        <v>46096</v>
      </c>
      <c r="M636" s="50" t="s">
        <v>353</v>
      </c>
      <c r="N636" s="50" t="s">
        <v>253</v>
      </c>
      <c r="O636" s="50"/>
      <c r="P636" s="50"/>
      <c r="Q636" s="50" t="s">
        <v>362</v>
      </c>
    </row>
    <row r="637" customFormat="false" ht="15" hidden="false" customHeight="true" outlineLevel="0" collapsed="false">
      <c r="A637" s="51" t="s">
        <v>807</v>
      </c>
      <c r="B637" s="50" t="str">
        <f aca="false">IFERROR(VLOOKUP($A637,Equipos!$C$2:$M$967,2,FALSE()),"")</f>
        <v>Ventilador Mecánico </v>
      </c>
      <c r="C637" s="50" t="str">
        <f aca="false">IFERROR(VLOOKUP($A637,Equipos!$C$2:$M$967,9,FALSE()),"")</f>
        <v>TV01802190B</v>
      </c>
      <c r="D637" s="50" t="str">
        <f aca="false">IFERROR(VLOOKUP($A637,Equipos!$C$2:$M$967,3,FALSE()),"")</f>
        <v>UPC Pediátrica</v>
      </c>
      <c r="E637" s="50" t="str">
        <f aca="false">IFERROR(VLOOKUP($A637,Equipos!$C$2:$M$967,7,FALSE()),"")</f>
        <v>Philips</v>
      </c>
      <c r="F637" s="50" t="str">
        <f aca="false">IFERROR(VLOOKUP($A637,Equipos!$C$2:$M$967,8,FALSE()),"")</f>
        <v>Trilogy 202</v>
      </c>
      <c r="G637" s="50" t="s">
        <v>691</v>
      </c>
      <c r="H637" s="50" t="s">
        <v>360</v>
      </c>
      <c r="I637" s="50"/>
      <c r="J637" s="50" t="s">
        <v>332</v>
      </c>
      <c r="K637" s="50" t="str">
        <f aca="false">IFERROR(VLOOKUP($J637,Catálogos!$M$4:$N$17,2,FALSE()),"")</f>
        <v>Reprogramada · Equipo en servicio técnico</v>
      </c>
      <c r="L637" s="52" t="n">
        <v>46096</v>
      </c>
      <c r="M637" s="50" t="s">
        <v>6</v>
      </c>
      <c r="N637" s="50" t="s">
        <v>253</v>
      </c>
      <c r="O637" s="50"/>
      <c r="P637" s="50"/>
      <c r="Q637" s="50" t="s">
        <v>362</v>
      </c>
    </row>
    <row r="638" customFormat="false" ht="15" hidden="false" customHeight="true" outlineLevel="0" collapsed="false">
      <c r="A638" s="51" t="s">
        <v>808</v>
      </c>
      <c r="B638" s="50" t="str">
        <f aca="false">IFERROR(VLOOKUP($A638,Equipos!$C$2:$M$967,2,FALSE()),"")</f>
        <v>Ventilador Mecánico </v>
      </c>
      <c r="C638" s="50" t="str">
        <f aca="false">IFERROR(VLOOKUP($A638,Equipos!$C$2:$M$967,9,FALSE()),"")</f>
        <v>TV01802190A</v>
      </c>
      <c r="D638" s="50" t="str">
        <f aca="false">IFERROR(VLOOKUP($A638,Equipos!$C$2:$M$967,3,FALSE()),"")</f>
        <v>UPC Pediátrica</v>
      </c>
      <c r="E638" s="50" t="str">
        <f aca="false">IFERROR(VLOOKUP($A638,Equipos!$C$2:$M$967,7,FALSE()),"")</f>
        <v>Philips</v>
      </c>
      <c r="F638" s="50" t="str">
        <f aca="false">IFERROR(VLOOKUP($A638,Equipos!$C$2:$M$967,8,FALSE()),"")</f>
        <v>Trilogy 202</v>
      </c>
      <c r="G638" s="50" t="s">
        <v>691</v>
      </c>
      <c r="H638" s="50" t="s">
        <v>360</v>
      </c>
      <c r="I638" s="50"/>
      <c r="J638" s="50" t="s">
        <v>805</v>
      </c>
      <c r="K638" s="50" t="str">
        <f aca="false">IFERROR(VLOOKUP($J638,Catálogos!$M$4:$N$17,2,FALSE()),"")</f>
        <v>Reprogramada · No disponibilidad de horas hombre del servicio técnico externo</v>
      </c>
      <c r="L638" s="52" t="n">
        <v>46096</v>
      </c>
      <c r="M638" s="50" t="s">
        <v>353</v>
      </c>
      <c r="N638" s="50" t="s">
        <v>253</v>
      </c>
      <c r="O638" s="50"/>
      <c r="P638" s="50"/>
      <c r="Q638" s="50" t="s">
        <v>362</v>
      </c>
    </row>
    <row r="639" customFormat="false" ht="15" hidden="false" customHeight="true" outlineLevel="0" collapsed="false">
      <c r="A639" s="51" t="s">
        <v>809</v>
      </c>
      <c r="B639" s="50" t="str">
        <f aca="false">IFERROR(VLOOKUP($A639,Equipos!$C$2:$M$967,2,FALSE()),"")</f>
        <v>Ventilador Mecánico </v>
      </c>
      <c r="C639" s="50" t="str">
        <f aca="false">IFERROR(VLOOKUP($A639,Equipos!$C$2:$M$967,9,FALSE()),"")</f>
        <v>TV018021909</v>
      </c>
      <c r="D639" s="50" t="str">
        <f aca="false">IFERROR(VLOOKUP($A639,Equipos!$C$2:$M$967,3,FALSE()),"")</f>
        <v>UPC Pediátrica</v>
      </c>
      <c r="E639" s="50" t="str">
        <f aca="false">IFERROR(VLOOKUP($A639,Equipos!$C$2:$M$967,7,FALSE()),"")</f>
        <v>Philips</v>
      </c>
      <c r="F639" s="50" t="str">
        <f aca="false">IFERROR(VLOOKUP($A639,Equipos!$C$2:$M$967,8,FALSE()),"")</f>
        <v>Trilogy 202</v>
      </c>
      <c r="G639" s="50" t="s">
        <v>691</v>
      </c>
      <c r="H639" s="50" t="s">
        <v>360</v>
      </c>
      <c r="I639" s="50"/>
      <c r="J639" s="50" t="s">
        <v>352</v>
      </c>
      <c r="K639" s="50" t="str">
        <f aca="false">IFERROR(VLOOKUP($J639,Catálogos!$M$4:$N$17,2,FALSE()),"")</f>
        <v>Mantención Preventiva Realizada</v>
      </c>
      <c r="L639" s="52" t="n">
        <v>46096</v>
      </c>
      <c r="M639" s="50" t="s">
        <v>353</v>
      </c>
      <c r="N639" s="50" t="s">
        <v>253</v>
      </c>
      <c r="O639" s="50"/>
      <c r="P639" s="50"/>
      <c r="Q639" s="50" t="s">
        <v>362</v>
      </c>
    </row>
    <row r="640" customFormat="false" ht="15" hidden="false" customHeight="true" outlineLevel="0" collapsed="false">
      <c r="A640" s="51" t="s">
        <v>810</v>
      </c>
      <c r="B640" s="50" t="str">
        <f aca="false">IFERROR(VLOOKUP($A640,Equipos!$C$2:$M$967,2,FALSE()),"")</f>
        <v>Ventilador Mecánico </v>
      </c>
      <c r="C640" s="50" t="str">
        <f aca="false">IFERROR(VLOOKUP($A640,Equipos!$C$2:$M$967,9,FALSE()),"")</f>
        <v>TV018021907</v>
      </c>
      <c r="D640" s="50" t="str">
        <f aca="false">IFERROR(VLOOKUP($A640,Equipos!$C$2:$M$967,3,FALSE()),"")</f>
        <v>UPC Pediátrica</v>
      </c>
      <c r="E640" s="50" t="str">
        <f aca="false">IFERROR(VLOOKUP($A640,Equipos!$C$2:$M$967,7,FALSE()),"")</f>
        <v>Philips</v>
      </c>
      <c r="F640" s="50" t="str">
        <f aca="false">IFERROR(VLOOKUP($A640,Equipos!$C$2:$M$967,8,FALSE()),"")</f>
        <v>Trilogy 202</v>
      </c>
      <c r="G640" s="50" t="s">
        <v>691</v>
      </c>
      <c r="H640" s="50" t="s">
        <v>360</v>
      </c>
      <c r="I640" s="50"/>
      <c r="J640" s="50" t="s">
        <v>352</v>
      </c>
      <c r="K640" s="50" t="str">
        <f aca="false">IFERROR(VLOOKUP($J640,Catálogos!$M$4:$N$17,2,FALSE()),"")</f>
        <v>Mantención Preventiva Realizada</v>
      </c>
      <c r="L640" s="52" t="n">
        <v>46096</v>
      </c>
      <c r="M640" s="50" t="s">
        <v>353</v>
      </c>
      <c r="N640" s="50" t="s">
        <v>253</v>
      </c>
      <c r="O640" s="50"/>
      <c r="P640" s="50"/>
      <c r="Q640" s="50" t="s">
        <v>362</v>
      </c>
    </row>
    <row r="641" customFormat="false" ht="15" hidden="false" customHeight="true" outlineLevel="0" collapsed="false">
      <c r="A641" s="51" t="s">
        <v>811</v>
      </c>
      <c r="B641" s="50" t="str">
        <f aca="false">IFERROR(VLOOKUP($A641,Equipos!$C$2:$M$967,2,FALSE()),"")</f>
        <v>Ventilador Mecánico </v>
      </c>
      <c r="C641" s="50" t="str">
        <f aca="false">IFERROR(VLOOKUP($A641,Equipos!$C$2:$M$967,9,FALSE()),"")</f>
        <v>TV018021903</v>
      </c>
      <c r="D641" s="50" t="str">
        <f aca="false">IFERROR(VLOOKUP($A641,Equipos!$C$2:$M$967,3,FALSE()),"")</f>
        <v>UPC Pediátrica</v>
      </c>
      <c r="E641" s="50" t="str">
        <f aca="false">IFERROR(VLOOKUP($A641,Equipos!$C$2:$M$967,7,FALSE()),"")</f>
        <v>Philips</v>
      </c>
      <c r="F641" s="50" t="str">
        <f aca="false">IFERROR(VLOOKUP($A641,Equipos!$C$2:$M$967,8,FALSE()),"")</f>
        <v>Trilogy 202</v>
      </c>
      <c r="G641" s="50" t="s">
        <v>691</v>
      </c>
      <c r="H641" s="50" t="s">
        <v>360</v>
      </c>
      <c r="I641" s="50"/>
      <c r="J641" s="50" t="s">
        <v>352</v>
      </c>
      <c r="K641" s="50" t="str">
        <f aca="false">IFERROR(VLOOKUP($J641,Catálogos!$M$4:$N$17,2,FALSE()),"")</f>
        <v>Mantención Preventiva Realizada</v>
      </c>
      <c r="L641" s="52" t="n">
        <v>46096</v>
      </c>
      <c r="M641" s="50" t="s">
        <v>353</v>
      </c>
      <c r="N641" s="50" t="s">
        <v>253</v>
      </c>
      <c r="O641" s="50"/>
      <c r="P641" s="50"/>
      <c r="Q641" s="50" t="s">
        <v>362</v>
      </c>
    </row>
    <row r="642" customFormat="false" ht="15" hidden="false" customHeight="true" outlineLevel="0" collapsed="false">
      <c r="A642" s="51" t="s">
        <v>812</v>
      </c>
      <c r="B642" s="50" t="str">
        <f aca="false">IFERROR(VLOOKUP($A642,Equipos!$C$2:$M$967,2,FALSE()),"")</f>
        <v>Ventilador Mecánico </v>
      </c>
      <c r="C642" s="50" t="str">
        <f aca="false">IFERROR(VLOOKUP($A642,Equipos!$C$2:$M$967,9,FALSE()),"")</f>
        <v>TV018020612</v>
      </c>
      <c r="D642" s="50" t="str">
        <f aca="false">IFERROR(VLOOKUP($A642,Equipos!$C$2:$M$967,3,FALSE()),"")</f>
        <v>UPC Pediátrica</v>
      </c>
      <c r="E642" s="50" t="str">
        <f aca="false">IFERROR(VLOOKUP($A642,Equipos!$C$2:$M$967,7,FALSE()),"")</f>
        <v>Philips</v>
      </c>
      <c r="F642" s="50" t="str">
        <f aca="false">IFERROR(VLOOKUP($A642,Equipos!$C$2:$M$967,8,FALSE()),"")</f>
        <v>Trilogy 202</v>
      </c>
      <c r="G642" s="50" t="s">
        <v>691</v>
      </c>
      <c r="H642" s="50" t="s">
        <v>360</v>
      </c>
      <c r="I642" s="50"/>
      <c r="J642" s="50" t="s">
        <v>332</v>
      </c>
      <c r="K642" s="50" t="str">
        <f aca="false">IFERROR(VLOOKUP($J642,Catálogos!$M$4:$N$17,2,FALSE()),"")</f>
        <v>Reprogramada · Equipo en servicio técnico</v>
      </c>
      <c r="L642" s="52" t="n">
        <v>46096</v>
      </c>
      <c r="M642" s="50" t="s">
        <v>6</v>
      </c>
      <c r="N642" s="50" t="s">
        <v>253</v>
      </c>
      <c r="O642" s="50"/>
      <c r="P642" s="50"/>
      <c r="Q642" s="50" t="s">
        <v>362</v>
      </c>
    </row>
    <row r="643" customFormat="false" ht="15" hidden="false" customHeight="true" outlineLevel="0" collapsed="false">
      <c r="A643" s="51" t="s">
        <v>813</v>
      </c>
      <c r="B643" s="50" t="str">
        <f aca="false">IFERROR(VLOOKUP($A643,Equipos!$C$2:$M$967,2,FALSE()),"")</f>
        <v>Ventilador Mecánico </v>
      </c>
      <c r="C643" s="50" t="str">
        <f aca="false">IFERROR(VLOOKUP($A643,Equipos!$C$2:$M$967,9,FALSE()),"")</f>
        <v>TV01802060A</v>
      </c>
      <c r="D643" s="50" t="str">
        <f aca="false">IFERROR(VLOOKUP($A643,Equipos!$C$2:$M$967,3,FALSE()),"")</f>
        <v>UPC Pediátrica</v>
      </c>
      <c r="E643" s="50" t="str">
        <f aca="false">IFERROR(VLOOKUP($A643,Equipos!$C$2:$M$967,7,FALSE()),"")</f>
        <v>Philips</v>
      </c>
      <c r="F643" s="50" t="str">
        <f aca="false">IFERROR(VLOOKUP($A643,Equipos!$C$2:$M$967,8,FALSE()),"")</f>
        <v>Trilogy 202</v>
      </c>
      <c r="G643" s="50" t="s">
        <v>691</v>
      </c>
      <c r="H643" s="50" t="s">
        <v>360</v>
      </c>
      <c r="I643" s="50"/>
      <c r="J643" s="50" t="s">
        <v>352</v>
      </c>
      <c r="K643" s="50" t="str">
        <f aca="false">IFERROR(VLOOKUP($J643,Catálogos!$M$4:$N$17,2,FALSE()),"")</f>
        <v>Mantención Preventiva Realizada</v>
      </c>
      <c r="L643" s="52" t="n">
        <v>46096</v>
      </c>
      <c r="M643" s="50" t="s">
        <v>353</v>
      </c>
      <c r="N643" s="50" t="s">
        <v>253</v>
      </c>
      <c r="O643" s="50"/>
      <c r="P643" s="50"/>
      <c r="Q643" s="50" t="s">
        <v>362</v>
      </c>
    </row>
    <row r="644" customFormat="false" ht="15" hidden="false" customHeight="true" outlineLevel="0" collapsed="false">
      <c r="A644" s="51" t="s">
        <v>814</v>
      </c>
      <c r="B644" s="50" t="str">
        <f aca="false">IFERROR(VLOOKUP($A644,Equipos!$C$2:$M$967,2,FALSE()),"")</f>
        <v>Ventilador Mecánico </v>
      </c>
      <c r="C644" s="50" t="str">
        <f aca="false">IFERROR(VLOOKUP($A644,Equipos!$C$2:$M$967,9,FALSE()),"")</f>
        <v>TV018020609</v>
      </c>
      <c r="D644" s="50" t="str">
        <f aca="false">IFERROR(VLOOKUP($A644,Equipos!$C$2:$M$967,3,FALSE()),"")</f>
        <v>UPC Pediátrica</v>
      </c>
      <c r="E644" s="50" t="str">
        <f aca="false">IFERROR(VLOOKUP($A644,Equipos!$C$2:$M$967,7,FALSE()),"")</f>
        <v>Philips</v>
      </c>
      <c r="F644" s="50" t="str">
        <f aca="false">IFERROR(VLOOKUP($A644,Equipos!$C$2:$M$967,8,FALSE()),"")</f>
        <v>Trilogy 202</v>
      </c>
      <c r="G644" s="50" t="s">
        <v>691</v>
      </c>
      <c r="H644" s="50" t="s">
        <v>360</v>
      </c>
      <c r="I644" s="50"/>
      <c r="J644" s="50" t="s">
        <v>352</v>
      </c>
      <c r="K644" s="50" t="str">
        <f aca="false">IFERROR(VLOOKUP($J644,Catálogos!$M$4:$N$17,2,FALSE()),"")</f>
        <v>Mantención Preventiva Realizada</v>
      </c>
      <c r="L644" s="52" t="n">
        <v>46096</v>
      </c>
      <c r="M644" s="50" t="s">
        <v>353</v>
      </c>
      <c r="N644" s="50" t="s">
        <v>253</v>
      </c>
      <c r="O644" s="50"/>
      <c r="P644" s="50"/>
      <c r="Q644" s="50" t="s">
        <v>362</v>
      </c>
    </row>
    <row r="645" customFormat="false" ht="15" hidden="false" customHeight="true" outlineLevel="0" collapsed="false">
      <c r="A645" s="51" t="s">
        <v>815</v>
      </c>
      <c r="B645" s="50" t="str">
        <f aca="false">IFERROR(VLOOKUP($A645,Equipos!$C$2:$M$967,2,FALSE()),"")</f>
        <v>Ventilador Mecánico </v>
      </c>
      <c r="C645" s="50" t="str">
        <f aca="false">IFERROR(VLOOKUP($A645,Equipos!$C$2:$M$967,9,FALSE()),"")</f>
        <v>H29942683ADD6</v>
      </c>
      <c r="D645" s="50" t="str">
        <f aca="false">IFERROR(VLOOKUP($A645,Equipos!$C$2:$M$967,3,FALSE()),"")</f>
        <v>UPC Pediátrica</v>
      </c>
      <c r="E645" s="50" t="str">
        <f aca="false">IFERROR(VLOOKUP($A645,Equipos!$C$2:$M$967,7,FALSE()),"")</f>
        <v>Philips</v>
      </c>
      <c r="F645" s="50" t="str">
        <f aca="false">IFERROR(VLOOKUP($A645,Equipos!$C$2:$M$967,8,FALSE()),"")</f>
        <v>Trilogy EV300</v>
      </c>
      <c r="G645" s="50" t="s">
        <v>691</v>
      </c>
      <c r="H645" s="50" t="s">
        <v>360</v>
      </c>
      <c r="I645" s="50"/>
      <c r="J645" s="50" t="s">
        <v>352</v>
      </c>
      <c r="K645" s="50" t="str">
        <f aca="false">IFERROR(VLOOKUP($J645,Catálogos!$M$4:$N$17,2,FALSE()),"")</f>
        <v>Mantención Preventiva Realizada</v>
      </c>
      <c r="L645" s="52" t="n">
        <v>46096</v>
      </c>
      <c r="M645" s="50" t="s">
        <v>353</v>
      </c>
      <c r="N645" s="50" t="s">
        <v>253</v>
      </c>
      <c r="O645" s="50"/>
      <c r="P645" s="50"/>
      <c r="Q645" s="50" t="s">
        <v>362</v>
      </c>
    </row>
    <row r="646" customFormat="false" ht="15" hidden="false" customHeight="true" outlineLevel="0" collapsed="false">
      <c r="A646" s="51" t="s">
        <v>123</v>
      </c>
      <c r="B646" s="50" t="str">
        <f aca="false">IFERROR(VLOOKUP($A646,Equipos!$C$2:$M$967,2,FALSE()),"")</f>
        <v>Ventilador Mecánico </v>
      </c>
      <c r="C646" s="50" t="str">
        <f aca="false">IFERROR(VLOOKUP($A646,Equipos!$C$2:$M$967,9,FALSE()),"")</f>
        <v>3512202231</v>
      </c>
      <c r="D646" s="50" t="str">
        <f aca="false">IFERROR(VLOOKUP($A646,Equipos!$C$2:$M$967,3,FALSE()),"")</f>
        <v>UPC 3er Piso</v>
      </c>
      <c r="E646" s="50" t="str">
        <f aca="false">IFERROR(VLOOKUP($A646,Equipos!$C$2:$M$967,7,FALSE()),"")</f>
        <v>Puritan Bennett</v>
      </c>
      <c r="F646" s="50" t="n">
        <f aca="false">IFERROR(VLOOKUP($A646,Equipos!$C$2:$M$967,8,FALSE()),"")</f>
        <v>840</v>
      </c>
      <c r="G646" s="50" t="s">
        <v>691</v>
      </c>
      <c r="H646" s="50" t="s">
        <v>360</v>
      </c>
      <c r="I646" s="50"/>
      <c r="J646" s="50" t="s">
        <v>805</v>
      </c>
      <c r="K646" s="50" t="str">
        <f aca="false">IFERROR(VLOOKUP($J646,Catálogos!$M$4:$N$17,2,FALSE()),"")</f>
        <v>Reprogramada · No disponibilidad de horas hombre del servicio técnico externo</v>
      </c>
      <c r="L646" s="52" t="n">
        <v>46096</v>
      </c>
      <c r="M646" s="50" t="s">
        <v>353</v>
      </c>
      <c r="N646" s="50" t="s">
        <v>253</v>
      </c>
      <c r="O646" s="50"/>
      <c r="P646" s="50"/>
      <c r="Q646" s="50" t="s">
        <v>362</v>
      </c>
    </row>
    <row r="647" customFormat="false" ht="15" hidden="false" customHeight="true" outlineLevel="0" collapsed="false">
      <c r="A647" s="51" t="s">
        <v>816</v>
      </c>
      <c r="B647" s="50" t="str">
        <f aca="false">IFERROR(VLOOKUP($A647,Equipos!$C$2:$M$967,2,FALSE()),"")</f>
        <v>Ventilador Mecánico </v>
      </c>
      <c r="C647" s="50" t="str">
        <f aca="false">IFERROR(VLOOKUP($A647,Equipos!$C$2:$M$967,9,FALSE()),"")</f>
        <v>3512202272</v>
      </c>
      <c r="D647" s="50" t="str">
        <f aca="false">IFERROR(VLOOKUP($A647,Equipos!$C$2:$M$967,3,FALSE()),"")</f>
        <v>UPC 3er Piso</v>
      </c>
      <c r="E647" s="50" t="str">
        <f aca="false">IFERROR(VLOOKUP($A647,Equipos!$C$2:$M$967,7,FALSE()),"")</f>
        <v>Puritan Bennett</v>
      </c>
      <c r="F647" s="50" t="n">
        <f aca="false">IFERROR(VLOOKUP($A647,Equipos!$C$2:$M$967,8,FALSE()),"")</f>
        <v>840</v>
      </c>
      <c r="G647" s="50" t="s">
        <v>691</v>
      </c>
      <c r="H647" s="50" t="s">
        <v>360</v>
      </c>
      <c r="I647" s="50"/>
      <c r="J647" s="50" t="s">
        <v>805</v>
      </c>
      <c r="K647" s="50" t="str">
        <f aca="false">IFERROR(VLOOKUP($J647,Catálogos!$M$4:$N$17,2,FALSE()),"")</f>
        <v>Reprogramada · No disponibilidad de horas hombre del servicio técnico externo</v>
      </c>
      <c r="L647" s="52" t="n">
        <v>46096</v>
      </c>
      <c r="M647" s="50" t="s">
        <v>353</v>
      </c>
      <c r="N647" s="50" t="s">
        <v>253</v>
      </c>
      <c r="O647" s="50"/>
      <c r="P647" s="50"/>
      <c r="Q647" s="50" t="s">
        <v>362</v>
      </c>
    </row>
    <row r="648" customFormat="false" ht="15" hidden="false" customHeight="true" outlineLevel="0" collapsed="false">
      <c r="A648" s="51" t="s">
        <v>817</v>
      </c>
      <c r="B648" s="50" t="str">
        <f aca="false">IFERROR(VLOOKUP($A648,Equipos!$C$2:$M$967,2,FALSE()),"")</f>
        <v>Ventilador Mecánico </v>
      </c>
      <c r="C648" s="50" t="str">
        <f aca="false">IFERROR(VLOOKUP($A648,Equipos!$C$2:$M$967,9,FALSE()),"")</f>
        <v>35B2101446</v>
      </c>
      <c r="D648" s="50" t="str">
        <f aca="false">IFERROR(VLOOKUP($A648,Equipos!$C$2:$M$967,3,FALSE()),"")</f>
        <v>UPC Cardiovascular</v>
      </c>
      <c r="E648" s="50" t="str">
        <f aca="false">IFERROR(VLOOKUP($A648,Equipos!$C$2:$M$967,7,FALSE()),"")</f>
        <v>Puritan Bennett</v>
      </c>
      <c r="F648" s="50" t="n">
        <f aca="false">IFERROR(VLOOKUP($A648,Equipos!$C$2:$M$967,8,FALSE()),"")</f>
        <v>980</v>
      </c>
      <c r="G648" s="50" t="s">
        <v>691</v>
      </c>
      <c r="H648" s="50" t="s">
        <v>360</v>
      </c>
      <c r="I648" s="50"/>
      <c r="J648" s="50" t="s">
        <v>805</v>
      </c>
      <c r="K648" s="50" t="str">
        <f aca="false">IFERROR(VLOOKUP($J648,Catálogos!$M$4:$N$17,2,FALSE()),"")</f>
        <v>Reprogramada · No disponibilidad de horas hombre del servicio técnico externo</v>
      </c>
      <c r="L648" s="52" t="n">
        <v>46096</v>
      </c>
      <c r="M648" s="50" t="s">
        <v>353</v>
      </c>
      <c r="N648" s="50" t="s">
        <v>253</v>
      </c>
      <c r="O648" s="50"/>
      <c r="P648" s="50"/>
      <c r="Q648" s="50" t="s">
        <v>362</v>
      </c>
    </row>
    <row r="649" customFormat="false" ht="15" hidden="false" customHeight="true" outlineLevel="0" collapsed="false">
      <c r="A649" s="51" t="s">
        <v>818</v>
      </c>
      <c r="B649" s="50" t="str">
        <f aca="false">IFERROR(VLOOKUP($A649,Equipos!$C$2:$M$967,2,FALSE()),"")</f>
        <v>Ventilador Mecánico </v>
      </c>
      <c r="C649" s="50" t="str">
        <f aca="false">IFERROR(VLOOKUP($A649,Equipos!$C$2:$M$967,9,FALSE()),"")</f>
        <v>35B2101475</v>
      </c>
      <c r="D649" s="50" t="str">
        <f aca="false">IFERROR(VLOOKUP($A649,Equipos!$C$2:$M$967,3,FALSE()),"")</f>
        <v>UPC Cardiovascular</v>
      </c>
      <c r="E649" s="50" t="str">
        <f aca="false">IFERROR(VLOOKUP($A649,Equipos!$C$2:$M$967,7,FALSE()),"")</f>
        <v>Puritan Bennett</v>
      </c>
      <c r="F649" s="50" t="str">
        <f aca="false">IFERROR(VLOOKUP($A649,Equipos!$C$2:$M$967,8,FALSE()),"")</f>
        <v>980/cc</v>
      </c>
      <c r="G649" s="50" t="s">
        <v>691</v>
      </c>
      <c r="H649" s="50" t="s">
        <v>360</v>
      </c>
      <c r="I649" s="50"/>
      <c r="J649" s="50" t="s">
        <v>331</v>
      </c>
      <c r="K649" s="50" t="str">
        <f aca="false">IFERROR(VLOOKUP($J649,Catálogos!$M$4:$N$17,2,FALSE()),"")</f>
        <v>Reprogramada · Equipo no operativo, a la espera de repuestos o accesorios</v>
      </c>
      <c r="L649" s="52" t="n">
        <v>46096</v>
      </c>
      <c r="M649" s="50" t="s">
        <v>355</v>
      </c>
      <c r="N649" s="50" t="s">
        <v>253</v>
      </c>
      <c r="O649" s="50"/>
      <c r="P649" s="50"/>
      <c r="Q649" s="50" t="s">
        <v>362</v>
      </c>
    </row>
    <row r="650" customFormat="false" ht="15" hidden="false" customHeight="true" outlineLevel="0" collapsed="false">
      <c r="A650" s="51" t="s">
        <v>819</v>
      </c>
      <c r="B650" s="50" t="str">
        <f aca="false">IFERROR(VLOOKUP($A650,Equipos!$C$2:$M$967,2,FALSE()),"")</f>
        <v>Ventilador Mecánico </v>
      </c>
      <c r="C650" s="50" t="str">
        <f aca="false">IFERROR(VLOOKUP($A650,Equipos!$C$2:$M$967,9,FALSE()),"")</f>
        <v>35B2101527</v>
      </c>
      <c r="D650" s="50" t="str">
        <f aca="false">IFERROR(VLOOKUP($A650,Equipos!$C$2:$M$967,3,FALSE()),"")</f>
        <v>UPC Cardiovascular (Prestado a Urgencia Adulto)</v>
      </c>
      <c r="E650" s="50" t="str">
        <f aca="false">IFERROR(VLOOKUP($A650,Equipos!$C$2:$M$967,7,FALSE()),"")</f>
        <v>Puritan Bennett</v>
      </c>
      <c r="F650" s="50" t="str">
        <f aca="false">IFERROR(VLOOKUP($A650,Equipos!$C$2:$M$967,8,FALSE()),"")</f>
        <v>980/cc</v>
      </c>
      <c r="G650" s="50" t="s">
        <v>691</v>
      </c>
      <c r="H650" s="50" t="s">
        <v>360</v>
      </c>
      <c r="I650" s="50"/>
      <c r="J650" s="50" t="s">
        <v>805</v>
      </c>
      <c r="K650" s="50" t="str">
        <f aca="false">IFERROR(VLOOKUP($J650,Catálogos!$M$4:$N$17,2,FALSE()),"")</f>
        <v>Reprogramada · No disponibilidad de horas hombre del servicio técnico externo</v>
      </c>
      <c r="L650" s="52" t="n">
        <v>46096</v>
      </c>
      <c r="M650" s="50" t="s">
        <v>353</v>
      </c>
      <c r="N650" s="50" t="s">
        <v>253</v>
      </c>
      <c r="O650" s="50"/>
      <c r="P650" s="50"/>
      <c r="Q650" s="50" t="s">
        <v>362</v>
      </c>
    </row>
    <row r="651" customFormat="false" ht="15" hidden="false" customHeight="true" outlineLevel="0" collapsed="false">
      <c r="A651" s="51" t="s">
        <v>820</v>
      </c>
      <c r="B651" s="50" t="str">
        <f aca="false">IFERROR(VLOOKUP($A651,Equipos!$C$2:$M$967,2,FALSE()),"")</f>
        <v>Ventilador Mecánico </v>
      </c>
      <c r="C651" s="50" t="str">
        <f aca="false">IFERROR(VLOOKUP($A651,Equipos!$C$2:$M$967,9,FALSE()),"")</f>
        <v>3512202219</v>
      </c>
      <c r="D651" s="50" t="str">
        <f aca="false">IFERROR(VLOOKUP($A651,Equipos!$C$2:$M$967,3,FALSE()),"")</f>
        <v>UPC Adulto</v>
      </c>
      <c r="E651" s="50" t="str">
        <f aca="false">IFERROR(VLOOKUP($A651,Equipos!$C$2:$M$967,7,FALSE()),"")</f>
        <v>Puritan Bennett</v>
      </c>
      <c r="F651" s="50" t="n">
        <f aca="false">IFERROR(VLOOKUP($A651,Equipos!$C$2:$M$967,8,FALSE()),"")</f>
        <v>840</v>
      </c>
      <c r="G651" s="50" t="s">
        <v>691</v>
      </c>
      <c r="H651" s="50" t="s">
        <v>360</v>
      </c>
      <c r="I651" s="50"/>
      <c r="J651" s="50" t="s">
        <v>805</v>
      </c>
      <c r="K651" s="50" t="str">
        <f aca="false">IFERROR(VLOOKUP($J651,Catálogos!$M$4:$N$17,2,FALSE()),"")</f>
        <v>Reprogramada · No disponibilidad de horas hombre del servicio técnico externo</v>
      </c>
      <c r="L651" s="52" t="n">
        <v>46096</v>
      </c>
      <c r="M651" s="50" t="s">
        <v>353</v>
      </c>
      <c r="N651" s="50" t="s">
        <v>253</v>
      </c>
      <c r="O651" s="50"/>
      <c r="P651" s="50"/>
      <c r="Q651" s="50" t="s">
        <v>362</v>
      </c>
    </row>
    <row r="652" customFormat="false" ht="15" hidden="false" customHeight="true" outlineLevel="0" collapsed="false">
      <c r="A652" s="51" t="s">
        <v>821</v>
      </c>
      <c r="B652" s="50" t="str">
        <f aca="false">IFERROR(VLOOKUP($A652,Equipos!$C$2:$M$967,2,FALSE()),"")</f>
        <v>Ventilador Mecánico </v>
      </c>
      <c r="C652" s="50" t="str">
        <f aca="false">IFERROR(VLOOKUP($A652,Equipos!$C$2:$M$967,9,FALSE()),"")</f>
        <v>3512202261</v>
      </c>
      <c r="D652" s="50" t="str">
        <f aca="false">IFERROR(VLOOKUP($A652,Equipos!$C$2:$M$967,3,FALSE()),"")</f>
        <v>UPC Adulto</v>
      </c>
      <c r="E652" s="50" t="str">
        <f aca="false">IFERROR(VLOOKUP($A652,Equipos!$C$2:$M$967,7,FALSE()),"")</f>
        <v>Puritan Bennett</v>
      </c>
      <c r="F652" s="50" t="n">
        <f aca="false">IFERROR(VLOOKUP($A652,Equipos!$C$2:$M$967,8,FALSE()),"")</f>
        <v>840</v>
      </c>
      <c r="G652" s="50" t="s">
        <v>691</v>
      </c>
      <c r="H652" s="50" t="s">
        <v>360</v>
      </c>
      <c r="I652" s="50"/>
      <c r="J652" s="50" t="s">
        <v>805</v>
      </c>
      <c r="K652" s="50" t="str">
        <f aca="false">IFERROR(VLOOKUP($J652,Catálogos!$M$4:$N$17,2,FALSE()),"")</f>
        <v>Reprogramada · No disponibilidad de horas hombre del servicio técnico externo</v>
      </c>
      <c r="L652" s="52" t="n">
        <v>46096</v>
      </c>
      <c r="M652" s="50" t="s">
        <v>353</v>
      </c>
      <c r="N652" s="50" t="s">
        <v>253</v>
      </c>
      <c r="O652" s="50"/>
      <c r="P652" s="50"/>
      <c r="Q652" s="50" t="s">
        <v>362</v>
      </c>
    </row>
    <row r="653" customFormat="false" ht="15" hidden="false" customHeight="true" outlineLevel="0" collapsed="false">
      <c r="A653" s="51" t="s">
        <v>822</v>
      </c>
      <c r="B653" s="50" t="str">
        <f aca="false">IFERROR(VLOOKUP($A653,Equipos!$C$2:$M$967,2,FALSE()),"")</f>
        <v>Ventilador Mecánico </v>
      </c>
      <c r="C653" s="50" t="str">
        <f aca="false">IFERROR(VLOOKUP($A653,Equipos!$C$2:$M$967,9,FALSE()),"")</f>
        <v>35B2004447</v>
      </c>
      <c r="D653" s="50" t="str">
        <f aca="false">IFERROR(VLOOKUP($A653,Equipos!$C$2:$M$967,3,FALSE()),"")</f>
        <v>UPC Adulto</v>
      </c>
      <c r="E653" s="50" t="str">
        <f aca="false">IFERROR(VLOOKUP($A653,Equipos!$C$2:$M$967,7,FALSE()),"")</f>
        <v>Puritan Bennett</v>
      </c>
      <c r="F653" s="50" t="str">
        <f aca="false">IFERROR(VLOOKUP($A653,Equipos!$C$2:$M$967,8,FALSE()),"")</f>
        <v>980/Sin Comp.</v>
      </c>
      <c r="G653" s="50" t="s">
        <v>691</v>
      </c>
      <c r="H653" s="50" t="s">
        <v>360</v>
      </c>
      <c r="I653" s="50"/>
      <c r="J653" s="50" t="s">
        <v>805</v>
      </c>
      <c r="K653" s="50" t="str">
        <f aca="false">IFERROR(VLOOKUP($J653,Catálogos!$M$4:$N$17,2,FALSE()),"")</f>
        <v>Reprogramada · No disponibilidad de horas hombre del servicio técnico externo</v>
      </c>
      <c r="L653" s="52" t="n">
        <v>46096</v>
      </c>
      <c r="M653" s="50" t="s">
        <v>353</v>
      </c>
      <c r="N653" s="50" t="s">
        <v>253</v>
      </c>
      <c r="O653" s="50"/>
      <c r="P653" s="50"/>
      <c r="Q653" s="50" t="s">
        <v>362</v>
      </c>
    </row>
    <row r="654" customFormat="false" ht="15" hidden="false" customHeight="true" outlineLevel="0" collapsed="false">
      <c r="A654" s="51" t="s">
        <v>823</v>
      </c>
      <c r="B654" s="50" t="str">
        <f aca="false">IFERROR(VLOOKUP($A654,Equipos!$C$2:$M$967,2,FALSE()),"")</f>
        <v>Ventilador Mecánico </v>
      </c>
      <c r="C654" s="50" t="str">
        <f aca="false">IFERROR(VLOOKUP($A654,Equipos!$C$2:$M$967,9,FALSE()),"")</f>
        <v>35B2004449</v>
      </c>
      <c r="D654" s="50" t="str">
        <f aca="false">IFERROR(VLOOKUP($A654,Equipos!$C$2:$M$967,3,FALSE()),"")</f>
        <v>UPC Cardiovascular</v>
      </c>
      <c r="E654" s="50" t="str">
        <f aca="false">IFERROR(VLOOKUP($A654,Equipos!$C$2:$M$967,7,FALSE()),"")</f>
        <v>Puritan Bennett</v>
      </c>
      <c r="F654" s="50" t="str">
        <f aca="false">IFERROR(VLOOKUP($A654,Equipos!$C$2:$M$967,8,FALSE()),"")</f>
        <v>980/Sin Comp.</v>
      </c>
      <c r="G654" s="50" t="s">
        <v>691</v>
      </c>
      <c r="H654" s="50" t="s">
        <v>360</v>
      </c>
      <c r="I654" s="50"/>
      <c r="J654" s="50" t="s">
        <v>805</v>
      </c>
      <c r="K654" s="50" t="str">
        <f aca="false">IFERROR(VLOOKUP($J654,Catálogos!$M$4:$N$17,2,FALSE()),"")</f>
        <v>Reprogramada · No disponibilidad de horas hombre del servicio técnico externo</v>
      </c>
      <c r="L654" s="52" t="n">
        <v>46096</v>
      </c>
      <c r="M654" s="50" t="s">
        <v>353</v>
      </c>
      <c r="N654" s="50" t="s">
        <v>253</v>
      </c>
      <c r="O654" s="50"/>
      <c r="P654" s="50"/>
      <c r="Q654" s="50" t="s">
        <v>362</v>
      </c>
    </row>
    <row r="655" customFormat="false" ht="15" hidden="false" customHeight="true" outlineLevel="0" collapsed="false">
      <c r="A655" s="51" t="s">
        <v>824</v>
      </c>
      <c r="B655" s="50" t="str">
        <f aca="false">IFERROR(VLOOKUP($A655,Equipos!$C$2:$M$967,2,FALSE()),"")</f>
        <v>Ventilador Mecánico </v>
      </c>
      <c r="C655" s="50" t="str">
        <f aca="false">IFERROR(VLOOKUP($A655,Equipos!$C$2:$M$967,9,FALSE()),"")</f>
        <v>35B2004413</v>
      </c>
      <c r="D655" s="50" t="str">
        <f aca="false">IFERROR(VLOOKUP($A655,Equipos!$C$2:$M$967,3,FALSE()),"")</f>
        <v>UPC Cardiovascular</v>
      </c>
      <c r="E655" s="50" t="str">
        <f aca="false">IFERROR(VLOOKUP($A655,Equipos!$C$2:$M$967,7,FALSE()),"")</f>
        <v>Puritan Bennett</v>
      </c>
      <c r="F655" s="50" t="str">
        <f aca="false">IFERROR(VLOOKUP($A655,Equipos!$C$2:$M$967,8,FALSE()),"")</f>
        <v>980/Sin Comp.</v>
      </c>
      <c r="G655" s="50" t="s">
        <v>691</v>
      </c>
      <c r="H655" s="50" t="s">
        <v>360</v>
      </c>
      <c r="I655" s="50"/>
      <c r="J655" s="50" t="s">
        <v>331</v>
      </c>
      <c r="K655" s="50" t="str">
        <f aca="false">IFERROR(VLOOKUP($J655,Catálogos!$M$4:$N$17,2,FALSE()),"")</f>
        <v>Reprogramada · Equipo no operativo, a la espera de repuestos o accesorios</v>
      </c>
      <c r="L655" s="52" t="n">
        <v>46096</v>
      </c>
      <c r="M655" s="50" t="s">
        <v>355</v>
      </c>
      <c r="N655" s="50" t="s">
        <v>253</v>
      </c>
      <c r="O655" s="50"/>
      <c r="P655" s="50"/>
      <c r="Q655" s="50" t="s">
        <v>362</v>
      </c>
    </row>
    <row r="656" customFormat="false" ht="15" hidden="false" customHeight="true" outlineLevel="0" collapsed="false">
      <c r="A656" s="51" t="s">
        <v>825</v>
      </c>
      <c r="B656" s="50" t="str">
        <f aca="false">IFERROR(VLOOKUP($A656,Equipos!$C$2:$M$967,2,FALSE()),"")</f>
        <v>Ventilador Mecánico </v>
      </c>
      <c r="C656" s="50" t="str">
        <f aca="false">IFERROR(VLOOKUP($A656,Equipos!$C$2:$M$967,9,FALSE()),"")</f>
        <v>3512202265</v>
      </c>
      <c r="D656" s="50" t="str">
        <f aca="false">IFERROR(VLOOKUP($A656,Equipos!$C$2:$M$967,3,FALSE()),"")</f>
        <v>Urgencia Adulto (Prestado a UPC Cardiovascular)</v>
      </c>
      <c r="E656" s="50" t="str">
        <f aca="false">IFERROR(VLOOKUP($A656,Equipos!$C$2:$M$967,7,FALSE()),"")</f>
        <v>Puritan Bennett</v>
      </c>
      <c r="F656" s="50" t="n">
        <f aca="false">IFERROR(VLOOKUP($A656,Equipos!$C$2:$M$967,8,FALSE()),"")</f>
        <v>840</v>
      </c>
      <c r="G656" s="50" t="s">
        <v>691</v>
      </c>
      <c r="H656" s="50" t="s">
        <v>360</v>
      </c>
      <c r="I656" s="50"/>
      <c r="J656" s="50" t="s">
        <v>805</v>
      </c>
      <c r="K656" s="50" t="str">
        <f aca="false">IFERROR(VLOOKUP($J656,Catálogos!$M$4:$N$17,2,FALSE()),"")</f>
        <v>Reprogramada · No disponibilidad de horas hombre del servicio técnico externo</v>
      </c>
      <c r="L656" s="52" t="n">
        <v>46096</v>
      </c>
      <c r="M656" s="50" t="s">
        <v>353</v>
      </c>
      <c r="N656" s="50" t="s">
        <v>253</v>
      </c>
      <c r="O656" s="50"/>
      <c r="P656" s="50"/>
      <c r="Q656" s="50" t="s">
        <v>362</v>
      </c>
    </row>
    <row r="657" customFormat="false" ht="15" hidden="false" customHeight="true" outlineLevel="0" collapsed="false">
      <c r="A657" s="51" t="s">
        <v>826</v>
      </c>
      <c r="B657" s="50" t="str">
        <f aca="false">IFERROR(VLOOKUP($A657,Equipos!$C$2:$M$967,2,FALSE()),"")</f>
        <v>Ventilador Mecánico </v>
      </c>
      <c r="C657" s="50" t="str">
        <f aca="false">IFERROR(VLOOKUP($A657,Equipos!$C$2:$M$967,9,FALSE()),"")</f>
        <v>35B2004521</v>
      </c>
      <c r="D657" s="50" t="str">
        <f aca="false">IFERROR(VLOOKUP($A657,Equipos!$C$2:$M$967,3,FALSE()),"")</f>
        <v>UPC Adulto</v>
      </c>
      <c r="E657" s="50" t="str">
        <f aca="false">IFERROR(VLOOKUP($A657,Equipos!$C$2:$M$967,7,FALSE()),"")</f>
        <v>Puritan Bennett</v>
      </c>
      <c r="F657" s="50" t="str">
        <f aca="false">IFERROR(VLOOKUP($A657,Equipos!$C$2:$M$967,8,FALSE()),"")</f>
        <v>980/Sin Comp.</v>
      </c>
      <c r="G657" s="50" t="s">
        <v>691</v>
      </c>
      <c r="H657" s="50" t="s">
        <v>360</v>
      </c>
      <c r="I657" s="50"/>
      <c r="J657" s="50" t="s">
        <v>331</v>
      </c>
      <c r="K657" s="50" t="str">
        <f aca="false">IFERROR(VLOOKUP($J657,Catálogos!$M$4:$N$17,2,FALSE()),"")</f>
        <v>Reprogramada · Equipo no operativo, a la espera de repuestos o accesorios</v>
      </c>
      <c r="L657" s="52" t="n">
        <v>46096</v>
      </c>
      <c r="M657" s="50" t="s">
        <v>355</v>
      </c>
      <c r="N657" s="50" t="s">
        <v>253</v>
      </c>
      <c r="O657" s="50"/>
      <c r="P657" s="50"/>
      <c r="Q657" s="50" t="s">
        <v>362</v>
      </c>
    </row>
    <row r="658" customFormat="false" ht="15" hidden="false" customHeight="true" outlineLevel="0" collapsed="false">
      <c r="A658" s="51" t="s">
        <v>827</v>
      </c>
      <c r="B658" s="50" t="str">
        <f aca="false">IFERROR(VLOOKUP($A658,Equipos!$C$2:$M$967,2,FALSE()),"")</f>
        <v>Ventilador Mecánico </v>
      </c>
      <c r="C658" s="50" t="str">
        <f aca="false">IFERROR(VLOOKUP($A658,Equipos!$C$2:$M$967,9,FALSE()),"")</f>
        <v>35B2002482</v>
      </c>
      <c r="D658" s="50" t="str">
        <f aca="false">IFERROR(VLOOKUP($A658,Equipos!$C$2:$M$967,3,FALSE()),"")</f>
        <v>UPC Cardiovascular</v>
      </c>
      <c r="E658" s="50" t="str">
        <f aca="false">IFERROR(VLOOKUP($A658,Equipos!$C$2:$M$967,7,FALSE()),"")</f>
        <v>Puritan Bennett</v>
      </c>
      <c r="F658" s="50" t="n">
        <f aca="false">IFERROR(VLOOKUP($A658,Equipos!$C$2:$M$967,8,FALSE()),"")</f>
        <v>980</v>
      </c>
      <c r="G658" s="50" t="s">
        <v>691</v>
      </c>
      <c r="H658" s="50" t="s">
        <v>360</v>
      </c>
      <c r="I658" s="50"/>
      <c r="J658" s="50" t="s">
        <v>331</v>
      </c>
      <c r="K658" s="50" t="str">
        <f aca="false">IFERROR(VLOOKUP($J658,Catálogos!$M$4:$N$17,2,FALSE()),"")</f>
        <v>Reprogramada · Equipo no operativo, a la espera de repuestos o accesorios</v>
      </c>
      <c r="L658" s="52" t="n">
        <v>46096</v>
      </c>
      <c r="M658" s="50" t="s">
        <v>355</v>
      </c>
      <c r="N658" s="50" t="s">
        <v>253</v>
      </c>
      <c r="O658" s="50"/>
      <c r="P658" s="50"/>
      <c r="Q658" s="50" t="s">
        <v>362</v>
      </c>
    </row>
    <row r="659" customFormat="false" ht="15" hidden="false" customHeight="true" outlineLevel="0" collapsed="false">
      <c r="A659" s="51" t="s">
        <v>828</v>
      </c>
      <c r="B659" s="50" t="str">
        <f aca="false">IFERROR(VLOOKUP($A659,Equipos!$C$2:$M$967,2,FALSE()),"")</f>
        <v>Ventilador Mecánico </v>
      </c>
      <c r="C659" s="50" t="str">
        <f aca="false">IFERROR(VLOOKUP($A659,Equipos!$C$2:$M$967,9,FALSE()),"")</f>
        <v>HT7P200197</v>
      </c>
      <c r="D659" s="50" t="str">
        <f aca="false">IFERROR(VLOOKUP($A659,Equipos!$C$2:$M$967,3,FALSE()),"")</f>
        <v>UPC Cardiovascular</v>
      </c>
      <c r="E659" s="50" t="str">
        <f aca="false">IFERROR(VLOOKUP($A659,Equipos!$C$2:$M$967,7,FALSE()),"")</f>
        <v>Newport</v>
      </c>
      <c r="F659" s="50" t="str">
        <f aca="false">IFERROR(VLOOKUP($A659,Equipos!$C$2:$M$967,8,FALSE()),"")</f>
        <v>HT70 PLUS</v>
      </c>
      <c r="G659" s="50" t="s">
        <v>691</v>
      </c>
      <c r="H659" s="50" t="s">
        <v>360</v>
      </c>
      <c r="I659" s="50"/>
      <c r="J659" s="50" t="s">
        <v>805</v>
      </c>
      <c r="K659" s="50" t="str">
        <f aca="false">IFERROR(VLOOKUP($J659,Catálogos!$M$4:$N$17,2,FALSE()),"")</f>
        <v>Reprogramada · No disponibilidad de horas hombre del servicio técnico externo</v>
      </c>
      <c r="L659" s="52" t="n">
        <v>46096</v>
      </c>
      <c r="M659" s="50" t="s">
        <v>353</v>
      </c>
      <c r="N659" s="50" t="s">
        <v>253</v>
      </c>
      <c r="O659" s="50"/>
      <c r="P659" s="50"/>
      <c r="Q659" s="50" t="s">
        <v>362</v>
      </c>
    </row>
    <row r="660" customFormat="false" ht="15" hidden="false" customHeight="true" outlineLevel="0" collapsed="false">
      <c r="A660" s="51" t="s">
        <v>829</v>
      </c>
      <c r="B660" s="50" t="str">
        <f aca="false">IFERROR(VLOOKUP($A660,Equipos!$C$2:$M$967,2,FALSE()),"")</f>
        <v>Ventilador Mecánico </v>
      </c>
      <c r="C660" s="50" t="str">
        <f aca="false">IFERROR(VLOOKUP($A660,Equipos!$C$2:$M$967,9,FALSE()),"")</f>
        <v>40966N0126</v>
      </c>
      <c r="D660" s="50" t="str">
        <f aca="false">IFERROR(VLOOKUP($A660,Equipos!$C$2:$M$967,3,FALSE()),"")</f>
        <v>Urgencia Adulto (Prestado a UPC 3er piso)</v>
      </c>
      <c r="E660" s="50" t="str">
        <f aca="false">IFERROR(VLOOKUP($A660,Equipos!$C$2:$M$967,7,FALSE()),"")</f>
        <v>Puritan Bennett</v>
      </c>
      <c r="F660" s="50" t="n">
        <f aca="false">IFERROR(VLOOKUP($A660,Equipos!$C$2:$M$967,8,FALSE()),"")</f>
        <v>560</v>
      </c>
      <c r="G660" s="50" t="s">
        <v>691</v>
      </c>
      <c r="H660" s="50" t="s">
        <v>360</v>
      </c>
      <c r="I660" s="50"/>
      <c r="J660" s="50" t="s">
        <v>805</v>
      </c>
      <c r="K660" s="50" t="str">
        <f aca="false">IFERROR(VLOOKUP($J660,Catálogos!$M$4:$N$17,2,FALSE()),"")</f>
        <v>Reprogramada · No disponibilidad de horas hombre del servicio técnico externo</v>
      </c>
      <c r="L660" s="52" t="n">
        <v>46096</v>
      </c>
      <c r="M660" s="50" t="s">
        <v>353</v>
      </c>
      <c r="N660" s="50" t="s">
        <v>253</v>
      </c>
      <c r="O660" s="50"/>
      <c r="P660" s="50"/>
      <c r="Q660" s="50" t="s">
        <v>362</v>
      </c>
    </row>
    <row r="661" customFormat="false" ht="15" hidden="false" customHeight="true" outlineLevel="0" collapsed="false">
      <c r="A661" s="51" t="s">
        <v>830</v>
      </c>
      <c r="B661" s="50" t="str">
        <f aca="false">IFERROR(VLOOKUP($A661,Equipos!$C$2:$M$967,2,FALSE()),"")</f>
        <v>Ventilador Mecánico </v>
      </c>
      <c r="C661" s="50" t="str">
        <f aca="false">IFERROR(VLOOKUP($A661,Equipos!$C$2:$M$967,9,FALSE()),"")</f>
        <v>40966N0133</v>
      </c>
      <c r="D661" s="50" t="str">
        <f aca="false">IFERROR(VLOOKUP($A661,Equipos!$C$2:$M$967,3,FALSE()),"")</f>
        <v>Urgencia Adulto (Prestado a UPC Cardiovascular)</v>
      </c>
      <c r="E661" s="50" t="str">
        <f aca="false">IFERROR(VLOOKUP($A661,Equipos!$C$2:$M$967,7,FALSE()),"")</f>
        <v>Puritan Bennett</v>
      </c>
      <c r="F661" s="50" t="n">
        <f aca="false">IFERROR(VLOOKUP($A661,Equipos!$C$2:$M$967,8,FALSE()),"")</f>
        <v>560</v>
      </c>
      <c r="G661" s="50" t="s">
        <v>691</v>
      </c>
      <c r="H661" s="50" t="s">
        <v>360</v>
      </c>
      <c r="I661" s="50"/>
      <c r="J661" s="50" t="s">
        <v>805</v>
      </c>
      <c r="K661" s="50" t="str">
        <f aca="false">IFERROR(VLOOKUP($J661,Catálogos!$M$4:$N$17,2,FALSE()),"")</f>
        <v>Reprogramada · No disponibilidad de horas hombre del servicio técnico externo</v>
      </c>
      <c r="L661" s="52" t="n">
        <v>46096</v>
      </c>
      <c r="M661" s="50" t="s">
        <v>353</v>
      </c>
      <c r="N661" s="50" t="s">
        <v>253</v>
      </c>
      <c r="O661" s="50"/>
      <c r="P661" s="50"/>
      <c r="Q661" s="50" t="s">
        <v>362</v>
      </c>
    </row>
    <row r="662" customFormat="false" ht="15" hidden="false" customHeight="true" outlineLevel="0" collapsed="false">
      <c r="A662" s="51" t="s">
        <v>831</v>
      </c>
      <c r="B662" s="50" t="str">
        <f aca="false">IFERROR(VLOOKUP($A662,Equipos!$C$2:$M$967,2,FALSE()),"")</f>
        <v>Ventilador Mecánico </v>
      </c>
      <c r="C662" s="50" t="str">
        <f aca="false">IFERROR(VLOOKUP($A662,Equipos!$C$2:$M$967,9,FALSE()),"")</f>
        <v>40966N0147</v>
      </c>
      <c r="D662" s="50" t="str">
        <f aca="false">IFERROR(VLOOKUP($A662,Equipos!$C$2:$M$967,3,FALSE()),"")</f>
        <v>Urgencia Adulto</v>
      </c>
      <c r="E662" s="50" t="str">
        <f aca="false">IFERROR(VLOOKUP($A662,Equipos!$C$2:$M$967,7,FALSE()),"")</f>
        <v>Puritan Bennett</v>
      </c>
      <c r="F662" s="50" t="n">
        <f aca="false">IFERROR(VLOOKUP($A662,Equipos!$C$2:$M$967,8,FALSE()),"")</f>
        <v>560</v>
      </c>
      <c r="G662" s="50" t="s">
        <v>691</v>
      </c>
      <c r="H662" s="50" t="s">
        <v>360</v>
      </c>
      <c r="I662" s="50"/>
      <c r="J662" s="50" t="s">
        <v>332</v>
      </c>
      <c r="K662" s="50" t="str">
        <f aca="false">IFERROR(VLOOKUP($J662,Catálogos!$M$4:$N$17,2,FALSE()),"")</f>
        <v>Reprogramada · Equipo en servicio técnico</v>
      </c>
      <c r="L662" s="52" t="n">
        <v>46096</v>
      </c>
      <c r="M662" s="50" t="s">
        <v>6</v>
      </c>
      <c r="N662" s="50" t="s">
        <v>253</v>
      </c>
      <c r="O662" s="50"/>
      <c r="P662" s="50"/>
      <c r="Q662" s="50" t="s">
        <v>362</v>
      </c>
    </row>
    <row r="663" customFormat="false" ht="15" hidden="false" customHeight="true" outlineLevel="0" collapsed="false">
      <c r="A663" s="51" t="s">
        <v>28</v>
      </c>
      <c r="B663" s="50" t="str">
        <f aca="false">IFERROR(VLOOKUP($A663,Equipos!$C$2:$M$967,2,FALSE()),"")</f>
        <v>Ventilador Mecánico </v>
      </c>
      <c r="C663" s="50" t="str">
        <f aca="false">IFERROR(VLOOKUP($A663,Equipos!$C$2:$M$967,9,FALSE()),"")</f>
        <v>40966N0118</v>
      </c>
      <c r="D663" s="50" t="str">
        <f aca="false">IFERROR(VLOOKUP($A663,Equipos!$C$2:$M$967,3,FALSE()),"")</f>
        <v>UPC 3er Piso</v>
      </c>
      <c r="E663" s="50" t="str">
        <f aca="false">IFERROR(VLOOKUP($A663,Equipos!$C$2:$M$967,7,FALSE()),"")</f>
        <v>Puritan Bennett</v>
      </c>
      <c r="F663" s="50" t="n">
        <f aca="false">IFERROR(VLOOKUP($A663,Equipos!$C$2:$M$967,8,FALSE()),"")</f>
        <v>560</v>
      </c>
      <c r="G663" s="50" t="s">
        <v>691</v>
      </c>
      <c r="H663" s="50" t="s">
        <v>360</v>
      </c>
      <c r="I663" s="50"/>
      <c r="J663" s="50" t="s">
        <v>805</v>
      </c>
      <c r="K663" s="50" t="str">
        <f aca="false">IFERROR(VLOOKUP($J663,Catálogos!$M$4:$N$17,2,FALSE()),"")</f>
        <v>Reprogramada · No disponibilidad de horas hombre del servicio técnico externo</v>
      </c>
      <c r="L663" s="52" t="n">
        <v>46096</v>
      </c>
      <c r="M663" s="50" t="s">
        <v>353</v>
      </c>
      <c r="N663" s="50" t="s">
        <v>253</v>
      </c>
      <c r="O663" s="50"/>
      <c r="P663" s="50"/>
      <c r="Q663" s="50" t="s">
        <v>362</v>
      </c>
    </row>
    <row r="664" customFormat="false" ht="15" hidden="false" customHeight="true" outlineLevel="0" collapsed="false">
      <c r="A664" s="51" t="s">
        <v>27</v>
      </c>
      <c r="B664" s="50" t="str">
        <f aca="false">IFERROR(VLOOKUP($A664,Equipos!$C$2:$M$967,2,FALSE()),"")</f>
        <v>Ventilador Mecánico </v>
      </c>
      <c r="C664" s="50" t="str">
        <f aca="false">IFERROR(VLOOKUP($A664,Equipos!$C$2:$M$967,9,FALSE()),"")</f>
        <v>40966N0134</v>
      </c>
      <c r="D664" s="50" t="str">
        <f aca="false">IFERROR(VLOOKUP($A664,Equipos!$C$2:$M$967,3,FALSE()),"")</f>
        <v>UPC 3er Piso</v>
      </c>
      <c r="E664" s="50" t="str">
        <f aca="false">IFERROR(VLOOKUP($A664,Equipos!$C$2:$M$967,7,FALSE()),"")</f>
        <v>Puritan Bennett</v>
      </c>
      <c r="F664" s="50" t="n">
        <f aca="false">IFERROR(VLOOKUP($A664,Equipos!$C$2:$M$967,8,FALSE()),"")</f>
        <v>560</v>
      </c>
      <c r="G664" s="50" t="s">
        <v>691</v>
      </c>
      <c r="H664" s="50" t="s">
        <v>360</v>
      </c>
      <c r="I664" s="50"/>
      <c r="J664" s="50" t="s">
        <v>805</v>
      </c>
      <c r="K664" s="50" t="str">
        <f aca="false">IFERROR(VLOOKUP($J664,Catálogos!$M$4:$N$17,2,FALSE()),"")</f>
        <v>Reprogramada · No disponibilidad de horas hombre del servicio técnico externo</v>
      </c>
      <c r="L664" s="52" t="n">
        <v>46096</v>
      </c>
      <c r="M664" s="50" t="s">
        <v>353</v>
      </c>
      <c r="N664" s="50" t="s">
        <v>253</v>
      </c>
      <c r="O664" s="50"/>
      <c r="P664" s="50"/>
      <c r="Q664" s="50" t="s">
        <v>362</v>
      </c>
    </row>
    <row r="665" customFormat="false" ht="15" hidden="false" customHeight="true" outlineLevel="0" collapsed="false">
      <c r="A665" s="51" t="s">
        <v>832</v>
      </c>
      <c r="B665" s="50" t="str">
        <f aca="false">IFERROR(VLOOKUP($A665,Equipos!$C$2:$M$967,2,FALSE()),"")</f>
        <v>Ventilador Mecánico </v>
      </c>
      <c r="C665" s="50" t="str">
        <f aca="false">IFERROR(VLOOKUP($A665,Equipos!$C$2:$M$967,9,FALSE()),"")</f>
        <v>40966N0156</v>
      </c>
      <c r="D665" s="50" t="str">
        <f aca="false">IFERROR(VLOOKUP($A665,Equipos!$C$2:$M$967,3,FALSE()),"")</f>
        <v>UPC 3er Piso</v>
      </c>
      <c r="E665" s="50" t="str">
        <f aca="false">IFERROR(VLOOKUP($A665,Equipos!$C$2:$M$967,7,FALSE()),"")</f>
        <v>Puritan Bennett</v>
      </c>
      <c r="F665" s="50" t="n">
        <f aca="false">IFERROR(VLOOKUP($A665,Equipos!$C$2:$M$967,8,FALSE()),"")</f>
        <v>560</v>
      </c>
      <c r="G665" s="50" t="s">
        <v>691</v>
      </c>
      <c r="H665" s="50" t="s">
        <v>360</v>
      </c>
      <c r="I665" s="50"/>
      <c r="J665" s="50" t="s">
        <v>805</v>
      </c>
      <c r="K665" s="50" t="str">
        <f aca="false">IFERROR(VLOOKUP($J665,Catálogos!$M$4:$N$17,2,FALSE()),"")</f>
        <v>Reprogramada · No disponibilidad de horas hombre del servicio técnico externo</v>
      </c>
      <c r="L665" s="52" t="n">
        <v>46096</v>
      </c>
      <c r="M665" s="50" t="s">
        <v>353</v>
      </c>
      <c r="N665" s="50" t="s">
        <v>253</v>
      </c>
      <c r="O665" s="50"/>
      <c r="P665" s="50"/>
      <c r="Q665" s="50" t="s">
        <v>362</v>
      </c>
    </row>
    <row r="666" customFormat="false" ht="15" hidden="false" customHeight="true" outlineLevel="0" collapsed="false">
      <c r="A666" s="51" t="s">
        <v>833</v>
      </c>
      <c r="B666" s="50" t="str">
        <f aca="false">IFERROR(VLOOKUP($A666,Equipos!$C$2:$M$967,2,FALSE()),"")</f>
        <v>Ventilador Mecánico </v>
      </c>
      <c r="C666" s="50" t="str">
        <f aca="false">IFERROR(VLOOKUP($A666,Equipos!$C$2:$M$967,9,FALSE()),"")</f>
        <v>40966N0158</v>
      </c>
      <c r="D666" s="50" t="str">
        <f aca="false">IFERROR(VLOOKUP($A666,Equipos!$C$2:$M$967,3,FALSE()),"")</f>
        <v>UPC 3er Piso</v>
      </c>
      <c r="E666" s="50" t="str">
        <f aca="false">IFERROR(VLOOKUP($A666,Equipos!$C$2:$M$967,7,FALSE()),"")</f>
        <v>Puritan Bennett</v>
      </c>
      <c r="F666" s="50" t="n">
        <f aca="false">IFERROR(VLOOKUP($A666,Equipos!$C$2:$M$967,8,FALSE()),"")</f>
        <v>560</v>
      </c>
      <c r="G666" s="50" t="s">
        <v>691</v>
      </c>
      <c r="H666" s="50" t="s">
        <v>360</v>
      </c>
      <c r="I666" s="50"/>
      <c r="J666" s="50" t="s">
        <v>332</v>
      </c>
      <c r="K666" s="50" t="str">
        <f aca="false">IFERROR(VLOOKUP($J666,Catálogos!$M$4:$N$17,2,FALSE()),"")</f>
        <v>Reprogramada · Equipo en servicio técnico</v>
      </c>
      <c r="L666" s="52" t="n">
        <v>46096</v>
      </c>
      <c r="M666" s="50" t="s">
        <v>6</v>
      </c>
      <c r="N666" s="50" t="s">
        <v>253</v>
      </c>
      <c r="O666" s="50"/>
      <c r="P666" s="50"/>
      <c r="Q666" s="50" t="s">
        <v>362</v>
      </c>
    </row>
    <row r="667" customFormat="false" ht="15" hidden="false" customHeight="true" outlineLevel="0" collapsed="false">
      <c r="A667" s="51" t="s">
        <v>834</v>
      </c>
      <c r="B667" s="50" t="str">
        <f aca="false">IFERROR(VLOOKUP($A667,Equipos!$C$2:$M$967,2,FALSE()),"")</f>
        <v>Ventilador Mecánico </v>
      </c>
      <c r="C667" s="50" t="str">
        <f aca="false">IFERROR(VLOOKUP($A667,Equipos!$C$2:$M$967,9,FALSE()),"")</f>
        <v>N17HT720120041</v>
      </c>
      <c r="D667" s="50" t="str">
        <f aca="false">IFERROR(VLOOKUP($A667,Equipos!$C$2:$M$967,3,FALSE()),"")</f>
        <v>SAMU</v>
      </c>
      <c r="E667" s="50" t="str">
        <f aca="false">IFERROR(VLOOKUP($A667,Equipos!$C$2:$M$967,7,FALSE()),"")</f>
        <v>Newport </v>
      </c>
      <c r="F667" s="50" t="str">
        <f aca="false">IFERROR(VLOOKUP($A667,Equipos!$C$2:$M$967,8,FALSE()),"")</f>
        <v>HT70 PLUS</v>
      </c>
      <c r="G667" s="50" t="s">
        <v>691</v>
      </c>
      <c r="H667" s="50" t="s">
        <v>360</v>
      </c>
      <c r="I667" s="50"/>
      <c r="J667" s="50" t="s">
        <v>805</v>
      </c>
      <c r="K667" s="50" t="str">
        <f aca="false">IFERROR(VLOOKUP($J667,Catálogos!$M$4:$N$17,2,FALSE()),"")</f>
        <v>Reprogramada · No disponibilidad de horas hombre del servicio técnico externo</v>
      </c>
      <c r="L667" s="52" t="n">
        <v>46096</v>
      </c>
      <c r="M667" s="50" t="s">
        <v>353</v>
      </c>
      <c r="N667" s="50" t="s">
        <v>253</v>
      </c>
      <c r="O667" s="50"/>
      <c r="P667" s="50"/>
      <c r="Q667" s="50" t="s">
        <v>362</v>
      </c>
    </row>
    <row r="668" customFormat="false" ht="15" hidden="false" customHeight="true" outlineLevel="0" collapsed="false">
      <c r="A668" s="51" t="s">
        <v>835</v>
      </c>
      <c r="B668" s="50" t="str">
        <f aca="false">IFERROR(VLOOKUP($A668,Equipos!$C$2:$M$967,2,FALSE()),"")</f>
        <v>Ventilador Mecánico </v>
      </c>
      <c r="C668" s="50" t="str">
        <f aca="false">IFERROR(VLOOKUP($A668,Equipos!$C$2:$M$967,9,FALSE()),"")</f>
        <v>N14HT720413504</v>
      </c>
      <c r="D668" s="50" t="str">
        <f aca="false">IFERROR(VLOOKUP($A668,Equipos!$C$2:$M$967,3,FALSE()),"")</f>
        <v>Urgencia Adulto (Prestado a UPC Cardiovascular)</v>
      </c>
      <c r="E668" s="50" t="str">
        <f aca="false">IFERROR(VLOOKUP($A668,Equipos!$C$2:$M$967,7,FALSE()),"")</f>
        <v>Newport </v>
      </c>
      <c r="F668" s="50" t="str">
        <f aca="false">IFERROR(VLOOKUP($A668,Equipos!$C$2:$M$967,8,FALSE()),"")</f>
        <v>HT70 PLUS</v>
      </c>
      <c r="G668" s="50" t="s">
        <v>691</v>
      </c>
      <c r="H668" s="50" t="s">
        <v>360</v>
      </c>
      <c r="I668" s="50"/>
      <c r="J668" s="50" t="s">
        <v>805</v>
      </c>
      <c r="K668" s="50" t="str">
        <f aca="false">IFERROR(VLOOKUP($J668,Catálogos!$M$4:$N$17,2,FALSE()),"")</f>
        <v>Reprogramada · No disponibilidad de horas hombre del servicio técnico externo</v>
      </c>
      <c r="L668" s="52" t="n">
        <v>46096</v>
      </c>
      <c r="M668" s="50" t="s">
        <v>353</v>
      </c>
      <c r="N668" s="50" t="s">
        <v>253</v>
      </c>
      <c r="O668" s="50"/>
      <c r="P668" s="50"/>
      <c r="Q668" s="50" t="s">
        <v>362</v>
      </c>
    </row>
    <row r="669" customFormat="false" ht="15" hidden="false" customHeight="true" outlineLevel="0" collapsed="false">
      <c r="A669" s="51" t="s">
        <v>836</v>
      </c>
      <c r="B669" s="50" t="str">
        <f aca="false">IFERROR(VLOOKUP($A669,Equipos!$C$2:$M$967,2,FALSE()),"")</f>
        <v>Ventilador Mecánico </v>
      </c>
      <c r="C669" s="50" t="str">
        <f aca="false">IFERROR(VLOOKUP($A669,Equipos!$C$2:$M$967,9,FALSE()),"")</f>
        <v>79510</v>
      </c>
      <c r="D669" s="50" t="str">
        <f aca="false">IFERROR(VLOOKUP($A669,Equipos!$C$2:$M$967,3,FALSE()),"")</f>
        <v>UPC Adulto</v>
      </c>
      <c r="E669" s="50" t="str">
        <f aca="false">IFERROR(VLOOKUP($A669,Equipos!$C$2:$M$967,7,FALSE()),"")</f>
        <v>Maquet</v>
      </c>
      <c r="F669" s="50" t="str">
        <f aca="false">IFERROR(VLOOKUP($A669,Equipos!$C$2:$M$967,8,FALSE()),"")</f>
        <v>Servo i RM</v>
      </c>
      <c r="G669" s="50" t="s">
        <v>691</v>
      </c>
      <c r="H669" s="50" t="s">
        <v>360</v>
      </c>
      <c r="I669" s="50"/>
      <c r="J669" s="50" t="s">
        <v>805</v>
      </c>
      <c r="K669" s="50" t="str">
        <f aca="false">IFERROR(VLOOKUP($J669,Catálogos!$M$4:$N$17,2,FALSE()),"")</f>
        <v>Reprogramada · No disponibilidad de horas hombre del servicio técnico externo</v>
      </c>
      <c r="L669" s="52" t="n">
        <v>46096</v>
      </c>
      <c r="M669" s="50" t="s">
        <v>353</v>
      </c>
      <c r="N669" s="50" t="s">
        <v>253</v>
      </c>
      <c r="O669" s="50"/>
      <c r="P669" s="50"/>
      <c r="Q669" s="50" t="s">
        <v>362</v>
      </c>
    </row>
    <row r="670" customFormat="false" ht="15" hidden="false" customHeight="true" outlineLevel="0" collapsed="false">
      <c r="A670" s="51" t="s">
        <v>837</v>
      </c>
      <c r="B670" s="50" t="str">
        <f aca="false">IFERROR(VLOOKUP($A670,Equipos!$C$2:$M$967,2,FALSE()),"")</f>
        <v>Ventilador Mecánico </v>
      </c>
      <c r="C670" s="50" t="str">
        <f aca="false">IFERROR(VLOOKUP($A670,Equipos!$C$2:$M$967,9,FALSE()),"")</f>
        <v>3512141901</v>
      </c>
      <c r="D670" s="50" t="str">
        <f aca="false">IFERROR(VLOOKUP($A670,Equipos!$C$2:$M$967,3,FALSE()),"")</f>
        <v>Urgencia Adulto (Prestado a UPC Cardiovascular)</v>
      </c>
      <c r="E670" s="50" t="str">
        <f aca="false">IFERROR(VLOOKUP($A670,Equipos!$C$2:$M$967,7,FALSE()),"")</f>
        <v>Puritan Bennett</v>
      </c>
      <c r="F670" s="50" t="str">
        <f aca="false">IFERROR(VLOOKUP($A670,Equipos!$C$2:$M$967,8,FALSE()),"")</f>
        <v>840/Sin Comp.</v>
      </c>
      <c r="G670" s="50" t="s">
        <v>691</v>
      </c>
      <c r="H670" s="50" t="s">
        <v>360</v>
      </c>
      <c r="I670" s="50"/>
      <c r="J670" s="50" t="s">
        <v>805</v>
      </c>
      <c r="K670" s="50" t="str">
        <f aca="false">IFERROR(VLOOKUP($J670,Catálogos!$M$4:$N$17,2,FALSE()),"")</f>
        <v>Reprogramada · No disponibilidad de horas hombre del servicio técnico externo</v>
      </c>
      <c r="L670" s="52" t="n">
        <v>46096</v>
      </c>
      <c r="M670" s="50" t="s">
        <v>353</v>
      </c>
      <c r="N670" s="50" t="s">
        <v>253</v>
      </c>
      <c r="O670" s="50"/>
      <c r="P670" s="50"/>
      <c r="Q670" s="50" t="s">
        <v>362</v>
      </c>
    </row>
    <row r="671" customFormat="false" ht="15" hidden="false" customHeight="true" outlineLevel="0" collapsed="false">
      <c r="A671" s="51" t="s">
        <v>241</v>
      </c>
      <c r="B671" s="50" t="str">
        <f aca="false">IFERROR(VLOOKUP($A671,Equipos!$C$2:$M$967,2,FALSE()),"")</f>
        <v>Ventilador Mecánico </v>
      </c>
      <c r="C671" s="50" t="str">
        <f aca="false">IFERROR(VLOOKUP($A671,Equipos!$C$2:$M$967,9,FALSE()),"")</f>
        <v>5497</v>
      </c>
      <c r="D671" s="50" t="str">
        <f aca="false">IFERROR(VLOOKUP($A671,Equipos!$C$2:$M$967,3,FALSE()),"")</f>
        <v>Urgencia Adulto</v>
      </c>
      <c r="E671" s="50" t="str">
        <f aca="false">IFERROR(VLOOKUP($A671,Equipos!$C$2:$M$967,7,FALSE()),"")</f>
        <v>Hamilton</v>
      </c>
      <c r="F671" s="50" t="str">
        <f aca="false">IFERROR(VLOOKUP($A671,Equipos!$C$2:$M$967,8,FALSE()),"")</f>
        <v>MR1</v>
      </c>
      <c r="G671" s="50" t="s">
        <v>691</v>
      </c>
      <c r="H671" s="50" t="s">
        <v>360</v>
      </c>
      <c r="I671" s="50"/>
      <c r="J671" s="50" t="s">
        <v>352</v>
      </c>
      <c r="K671" s="50" t="str">
        <f aca="false">IFERROR(VLOOKUP($J671,Catálogos!$M$4:$N$17,2,FALSE()),"")</f>
        <v>Mantención Preventiva Realizada</v>
      </c>
      <c r="L671" s="52" t="n">
        <v>46096</v>
      </c>
      <c r="M671" s="50" t="s">
        <v>353</v>
      </c>
      <c r="N671" s="50" t="s">
        <v>253</v>
      </c>
      <c r="O671" s="50"/>
      <c r="P671" s="50"/>
      <c r="Q671" s="50" t="s">
        <v>362</v>
      </c>
    </row>
    <row r="672" customFormat="false" ht="15" hidden="false" customHeight="true" outlineLevel="0" collapsed="false">
      <c r="A672" s="51" t="s">
        <v>838</v>
      </c>
      <c r="B672" s="50" t="str">
        <f aca="false">IFERROR(VLOOKUP($A672,Equipos!$C$2:$M$967,2,FALSE()),"")</f>
        <v>Ventilador Mecánico </v>
      </c>
      <c r="C672" s="50" t="str">
        <f aca="false">IFERROR(VLOOKUP($A672,Equipos!$C$2:$M$967,9,FALSE()),"")</f>
        <v>27332</v>
      </c>
      <c r="D672" s="50" t="str">
        <f aca="false">IFERROR(VLOOKUP($A672,Equipos!$C$2:$M$967,3,FALSE()),"")</f>
        <v>SAMU</v>
      </c>
      <c r="E672" s="50" t="str">
        <f aca="false">IFERROR(VLOOKUP($A672,Equipos!$C$2:$M$967,7,FALSE()),"")</f>
        <v>Hamilton</v>
      </c>
      <c r="F672" s="50" t="str">
        <f aca="false">IFERROR(VLOOKUP($A672,Equipos!$C$2:$M$967,8,FALSE()),"")</f>
        <v>T1</v>
      </c>
      <c r="G672" s="50" t="s">
        <v>691</v>
      </c>
      <c r="H672" s="50" t="s">
        <v>360</v>
      </c>
      <c r="I672" s="50"/>
      <c r="J672" s="50" t="s">
        <v>352</v>
      </c>
      <c r="K672" s="50" t="str">
        <f aca="false">IFERROR(VLOOKUP($J672,Catálogos!$M$4:$N$17,2,FALSE()),"")</f>
        <v>Mantención Preventiva Realizada</v>
      </c>
      <c r="L672" s="52" t="n">
        <v>46096</v>
      </c>
      <c r="M672" s="50" t="s">
        <v>353</v>
      </c>
      <c r="N672" s="50" t="s">
        <v>253</v>
      </c>
      <c r="O672" s="50"/>
      <c r="P672" s="50"/>
      <c r="Q672" s="50" t="s">
        <v>362</v>
      </c>
    </row>
    <row r="673" customFormat="false" ht="15" hidden="false" customHeight="true" outlineLevel="0" collapsed="false">
      <c r="A673" s="51" t="s">
        <v>839</v>
      </c>
      <c r="B673" s="50" t="str">
        <f aca="false">IFERROR(VLOOKUP($A673,Equipos!$C$2:$M$967,2,FALSE()),"")</f>
        <v>Ventilador Mecánico </v>
      </c>
      <c r="C673" s="50" t="str">
        <f aca="false">IFERROR(VLOOKUP($A673,Equipos!$C$2:$M$967,9,FALSE()),"")</f>
        <v>35B2100833</v>
      </c>
      <c r="D673" s="50" t="str">
        <f aca="false">IFERROR(VLOOKUP($A673,Equipos!$C$2:$M$967,3,FALSE()),"")</f>
        <v>UPC Cardiovascular</v>
      </c>
      <c r="E673" s="50" t="str">
        <f aca="false">IFERROR(VLOOKUP($A673,Equipos!$C$2:$M$967,7,FALSE()),"")</f>
        <v>Puritan Bennett</v>
      </c>
      <c r="F673" s="50" t="str">
        <f aca="false">IFERROR(VLOOKUP($A673,Equipos!$C$2:$M$967,8,FALSE()),"")</f>
        <v>980/cc</v>
      </c>
      <c r="G673" s="50" t="s">
        <v>691</v>
      </c>
      <c r="H673" s="50" t="s">
        <v>360</v>
      </c>
      <c r="I673" s="50"/>
      <c r="J673" s="50" t="s">
        <v>805</v>
      </c>
      <c r="K673" s="50" t="str">
        <f aca="false">IFERROR(VLOOKUP($J673,Catálogos!$M$4:$N$17,2,FALSE()),"")</f>
        <v>Reprogramada · No disponibilidad de horas hombre del servicio técnico externo</v>
      </c>
      <c r="L673" s="52" t="n">
        <v>46096</v>
      </c>
      <c r="M673" s="50" t="s">
        <v>353</v>
      </c>
      <c r="N673" s="50" t="s">
        <v>253</v>
      </c>
      <c r="O673" s="50"/>
      <c r="P673" s="50"/>
      <c r="Q673" s="50" t="s">
        <v>362</v>
      </c>
    </row>
    <row r="674" customFormat="false" ht="15" hidden="false" customHeight="true" outlineLevel="0" collapsed="false">
      <c r="A674" s="51" t="s">
        <v>840</v>
      </c>
      <c r="B674" s="50" t="str">
        <f aca="false">IFERROR(VLOOKUP($A674,Equipos!$C$2:$M$967,2,FALSE()),"")</f>
        <v>Ventilador Mecánico </v>
      </c>
      <c r="C674" s="50" t="str">
        <f aca="false">IFERROR(VLOOKUP($A674,Equipos!$C$2:$M$967,9,FALSE()),"")</f>
        <v>3510053115</v>
      </c>
      <c r="D674" s="50" t="str">
        <f aca="false">IFERROR(VLOOKUP($A674,Equipos!$C$2:$M$967,3,FALSE()),"")</f>
        <v>UPC Adulto</v>
      </c>
      <c r="E674" s="50" t="str">
        <f aca="false">IFERROR(VLOOKUP($A674,Equipos!$C$2:$M$967,7,FALSE()),"")</f>
        <v>Puritan Bennett</v>
      </c>
      <c r="F674" s="50" t="str">
        <f aca="false">IFERROR(VLOOKUP($A674,Equipos!$C$2:$M$967,8,FALSE()),"")</f>
        <v>840/Sin Comp.</v>
      </c>
      <c r="G674" s="50" t="s">
        <v>691</v>
      </c>
      <c r="H674" s="50" t="s">
        <v>360</v>
      </c>
      <c r="I674" s="50"/>
      <c r="J674" s="50" t="s">
        <v>331</v>
      </c>
      <c r="K674" s="50" t="str">
        <f aca="false">IFERROR(VLOOKUP($J674,Catálogos!$M$4:$N$17,2,FALSE()),"")</f>
        <v>Reprogramada · Equipo no operativo, a la espera de repuestos o accesorios</v>
      </c>
      <c r="L674" s="52" t="n">
        <v>46096</v>
      </c>
      <c r="M674" s="50" t="s">
        <v>355</v>
      </c>
      <c r="N674" s="50" t="s">
        <v>253</v>
      </c>
      <c r="O674" s="50"/>
      <c r="P674" s="50"/>
      <c r="Q674" s="50" t="s">
        <v>362</v>
      </c>
    </row>
    <row r="675" customFormat="false" ht="15" hidden="false" customHeight="true" outlineLevel="0" collapsed="false">
      <c r="A675" s="51" t="s">
        <v>841</v>
      </c>
      <c r="B675" s="50" t="str">
        <f aca="false">IFERROR(VLOOKUP($A675,Equipos!$C$2:$M$967,2,FALSE()),"")</f>
        <v>Ventilador Mecánico </v>
      </c>
      <c r="C675" s="50" t="str">
        <f aca="false">IFERROR(VLOOKUP($A675,Equipos!$C$2:$M$967,9,FALSE()),"")</f>
        <v>27365</v>
      </c>
      <c r="D675" s="50" t="str">
        <f aca="false">IFERROR(VLOOKUP($A675,Equipos!$C$2:$M$967,3,FALSE()),"")</f>
        <v>SAMU</v>
      </c>
      <c r="E675" s="50" t="str">
        <f aca="false">IFERROR(VLOOKUP($A675,Equipos!$C$2:$M$967,7,FALSE()),"")</f>
        <v>Hamilton</v>
      </c>
      <c r="F675" s="50" t="str">
        <f aca="false">IFERROR(VLOOKUP($A675,Equipos!$C$2:$M$967,8,FALSE()),"")</f>
        <v>T1</v>
      </c>
      <c r="G675" s="50" t="s">
        <v>691</v>
      </c>
      <c r="H675" s="50" t="s">
        <v>360</v>
      </c>
      <c r="I675" s="50"/>
      <c r="J675" s="50" t="s">
        <v>352</v>
      </c>
      <c r="K675" s="50" t="str">
        <f aca="false">IFERROR(VLOOKUP($J675,Catálogos!$M$4:$N$17,2,FALSE()),"")</f>
        <v>Mantención Preventiva Realizada</v>
      </c>
      <c r="L675" s="52" t="n">
        <v>46096</v>
      </c>
      <c r="M675" s="50" t="s">
        <v>353</v>
      </c>
      <c r="N675" s="50" t="s">
        <v>253</v>
      </c>
      <c r="O675" s="50"/>
      <c r="P675" s="50"/>
      <c r="Q675" s="50" t="s">
        <v>362</v>
      </c>
    </row>
    <row r="676" customFormat="false" ht="15" hidden="false" customHeight="true" outlineLevel="0" collapsed="false">
      <c r="A676" s="51" t="s">
        <v>842</v>
      </c>
      <c r="B676" s="50" t="str">
        <f aca="false">IFERROR(VLOOKUP($A676,Equipos!$C$2:$M$967,2,FALSE()),"")</f>
        <v>Ventilador Mecánico </v>
      </c>
      <c r="C676" s="50" t="str">
        <f aca="false">IFERROR(VLOOKUP($A676,Equipos!$C$2:$M$967,9,FALSE()),"")</f>
        <v>TV020010608</v>
      </c>
      <c r="D676" s="50" t="str">
        <f aca="false">IFERROR(VLOOKUP($A676,Equipos!$C$2:$M$967,3,FALSE()),"")</f>
        <v>UPC Pediátrica</v>
      </c>
      <c r="E676" s="50" t="str">
        <f aca="false">IFERROR(VLOOKUP($A676,Equipos!$C$2:$M$967,7,FALSE()),"")</f>
        <v>Philips</v>
      </c>
      <c r="F676" s="50" t="str">
        <f aca="false">IFERROR(VLOOKUP($A676,Equipos!$C$2:$M$967,8,FALSE()),"")</f>
        <v>Trilogy 202</v>
      </c>
      <c r="G676" s="50" t="s">
        <v>691</v>
      </c>
      <c r="H676" s="50" t="s">
        <v>360</v>
      </c>
      <c r="I676" s="50"/>
      <c r="J676" s="50" t="s">
        <v>352</v>
      </c>
      <c r="K676" s="50" t="str">
        <f aca="false">IFERROR(VLOOKUP($J676,Catálogos!$M$4:$N$17,2,FALSE()),"")</f>
        <v>Mantención Preventiva Realizada</v>
      </c>
      <c r="L676" s="52" t="n">
        <v>46096</v>
      </c>
      <c r="M676" s="50" t="s">
        <v>353</v>
      </c>
      <c r="N676" s="50" t="s">
        <v>253</v>
      </c>
      <c r="O676" s="50"/>
      <c r="P676" s="50"/>
      <c r="Q676" s="50" t="s">
        <v>362</v>
      </c>
    </row>
    <row r="677" customFormat="false" ht="15" hidden="false" customHeight="true" outlineLevel="0" collapsed="false">
      <c r="A677" s="51" t="s">
        <v>843</v>
      </c>
      <c r="B677" s="50" t="str">
        <f aca="false">IFERROR(VLOOKUP($A677,Equipos!$C$2:$M$967,2,FALSE()),"")</f>
        <v>Ventilador Mecánico </v>
      </c>
      <c r="C677" s="50" t="str">
        <f aca="false">IFERROR(VLOOKUP($A677,Equipos!$C$2:$M$967,9,FALSE()),"")</f>
        <v>TV02001060B</v>
      </c>
      <c r="D677" s="50" t="str">
        <f aca="false">IFERROR(VLOOKUP($A677,Equipos!$C$2:$M$967,3,FALSE()),"")</f>
        <v>Urgencia Adulto</v>
      </c>
      <c r="E677" s="50" t="str">
        <f aca="false">IFERROR(VLOOKUP($A677,Equipos!$C$2:$M$967,7,FALSE()),"")</f>
        <v>Philips</v>
      </c>
      <c r="F677" s="50" t="str">
        <f aca="false">IFERROR(VLOOKUP($A677,Equipos!$C$2:$M$967,8,FALSE()),"")</f>
        <v>Trilogy 202</v>
      </c>
      <c r="G677" s="50" t="s">
        <v>691</v>
      </c>
      <c r="H677" s="50" t="s">
        <v>360</v>
      </c>
      <c r="I677" s="50"/>
      <c r="J677" s="50" t="s">
        <v>352</v>
      </c>
      <c r="K677" s="50" t="str">
        <f aca="false">IFERROR(VLOOKUP($J677,Catálogos!$M$4:$N$17,2,FALSE()),"")</f>
        <v>Mantención Preventiva Realizada</v>
      </c>
      <c r="L677" s="52" t="n">
        <v>46096</v>
      </c>
      <c r="M677" s="50" t="s">
        <v>353</v>
      </c>
      <c r="N677" s="50" t="s">
        <v>253</v>
      </c>
      <c r="O677" s="50"/>
      <c r="P677" s="50"/>
      <c r="Q677" s="50" t="s">
        <v>362</v>
      </c>
    </row>
    <row r="678" customFormat="false" ht="15" hidden="false" customHeight="true" outlineLevel="0" collapsed="false">
      <c r="A678" s="51" t="s">
        <v>844</v>
      </c>
      <c r="B678" s="50" t="str">
        <f aca="false">IFERROR(VLOOKUP($A678,Equipos!$C$2:$M$967,2,FALSE()),"")</f>
        <v>Ventilador Mecánico </v>
      </c>
      <c r="C678" s="50" t="str">
        <f aca="false">IFERROR(VLOOKUP($A678,Equipos!$C$2:$M$967,9,FALSE()),"")</f>
        <v>201038729</v>
      </c>
      <c r="D678" s="50" t="str">
        <f aca="false">IFERROR(VLOOKUP($A678,Equipos!$C$2:$M$967,3,FALSE()),"")</f>
        <v>UPC Cardiovascular</v>
      </c>
      <c r="E678" s="50" t="str">
        <f aca="false">IFERROR(VLOOKUP($A678,Equipos!$C$2:$M$967,7,FALSE()),"")</f>
        <v>Philips</v>
      </c>
      <c r="F678" s="50" t="str">
        <f aca="false">IFERROR(VLOOKUP($A678,Equipos!$C$2:$M$967,8,FALSE()),"")</f>
        <v>Respironic V60</v>
      </c>
      <c r="G678" s="50" t="s">
        <v>691</v>
      </c>
      <c r="H678" s="50" t="s">
        <v>360</v>
      </c>
      <c r="I678" s="50"/>
      <c r="J678" s="50" t="s">
        <v>352</v>
      </c>
      <c r="K678" s="50" t="str">
        <f aca="false">IFERROR(VLOOKUP($J678,Catálogos!$M$4:$N$17,2,FALSE()),"")</f>
        <v>Mantención Preventiva Realizada</v>
      </c>
      <c r="L678" s="52" t="n">
        <v>46096</v>
      </c>
      <c r="M678" s="50" t="s">
        <v>353</v>
      </c>
      <c r="N678" s="50" t="s">
        <v>253</v>
      </c>
      <c r="O678" s="50"/>
      <c r="P678" s="50"/>
      <c r="Q678" s="50" t="s">
        <v>362</v>
      </c>
    </row>
    <row r="679" customFormat="false" ht="15" hidden="false" customHeight="true" outlineLevel="0" collapsed="false">
      <c r="A679" s="51" t="s">
        <v>845</v>
      </c>
      <c r="B679" s="50" t="str">
        <f aca="false">IFERROR(VLOOKUP($A679,Equipos!$C$2:$M$967,2,FALSE()),"")</f>
        <v>Ventilador Mecánico </v>
      </c>
      <c r="C679" s="50" t="str">
        <f aca="false">IFERROR(VLOOKUP($A679,Equipos!$C$2:$M$967,9,FALSE()),"")</f>
        <v>TV019111203</v>
      </c>
      <c r="D679" s="50" t="str">
        <f aca="false">IFERROR(VLOOKUP($A679,Equipos!$C$2:$M$967,3,FALSE()),"")</f>
        <v>Urgencia Adulto (Prestado a Urgencia Infantil)</v>
      </c>
      <c r="E679" s="50" t="str">
        <f aca="false">IFERROR(VLOOKUP($A679,Equipos!$C$2:$M$967,7,FALSE()),"")</f>
        <v>Philips</v>
      </c>
      <c r="F679" s="50" t="str">
        <f aca="false">IFERROR(VLOOKUP($A679,Equipos!$C$2:$M$967,8,FALSE()),"")</f>
        <v>Trilogy 202</v>
      </c>
      <c r="G679" s="50" t="s">
        <v>691</v>
      </c>
      <c r="H679" s="50" t="s">
        <v>360</v>
      </c>
      <c r="I679" s="50"/>
      <c r="J679" s="50" t="s">
        <v>805</v>
      </c>
      <c r="K679" s="50" t="str">
        <f aca="false">IFERROR(VLOOKUP($J679,Catálogos!$M$4:$N$17,2,FALSE()),"")</f>
        <v>Reprogramada · No disponibilidad de horas hombre del servicio técnico externo</v>
      </c>
      <c r="L679" s="52" t="n">
        <v>46096</v>
      </c>
      <c r="M679" s="50" t="s">
        <v>353</v>
      </c>
      <c r="N679" s="50" t="s">
        <v>253</v>
      </c>
      <c r="O679" s="50"/>
      <c r="P679" s="50"/>
      <c r="Q679" s="50" t="s">
        <v>362</v>
      </c>
    </row>
    <row r="680" customFormat="false" ht="15" hidden="false" customHeight="true" outlineLevel="0" collapsed="false">
      <c r="A680" s="51" t="s">
        <v>846</v>
      </c>
      <c r="B680" s="50" t="str">
        <f aca="false">IFERROR(VLOOKUP($A680,Equipos!$C$2:$M$967,2,FALSE()),"")</f>
        <v>Ventilador Mecánico </v>
      </c>
      <c r="C680" s="50" t="str">
        <f aca="false">IFERROR(VLOOKUP($A680,Equipos!$C$2:$M$967,9,FALSE()),"")</f>
        <v>TV020010610</v>
      </c>
      <c r="D680" s="50" t="str">
        <f aca="false">IFERROR(VLOOKUP($A680,Equipos!$C$2:$M$967,3,FALSE()),"")</f>
        <v>UPC Pediátrica</v>
      </c>
      <c r="E680" s="50" t="str">
        <f aca="false">IFERROR(VLOOKUP($A680,Equipos!$C$2:$M$967,7,FALSE()),"")</f>
        <v>Philips</v>
      </c>
      <c r="F680" s="50" t="str">
        <f aca="false">IFERROR(VLOOKUP($A680,Equipos!$C$2:$M$967,8,FALSE()),"")</f>
        <v>Trilogy 202</v>
      </c>
      <c r="G680" s="50" t="s">
        <v>691</v>
      </c>
      <c r="H680" s="50" t="s">
        <v>360</v>
      </c>
      <c r="I680" s="50"/>
      <c r="J680" s="50" t="s">
        <v>352</v>
      </c>
      <c r="K680" s="50" t="str">
        <f aca="false">IFERROR(VLOOKUP($J680,Catálogos!$M$4:$N$17,2,FALSE()),"")</f>
        <v>Mantención Preventiva Realizada</v>
      </c>
      <c r="L680" s="52" t="n">
        <v>46096</v>
      </c>
      <c r="M680" s="50" t="s">
        <v>353</v>
      </c>
      <c r="N680" s="50" t="s">
        <v>253</v>
      </c>
      <c r="O680" s="50"/>
      <c r="P680" s="50"/>
      <c r="Q680" s="50" t="s">
        <v>362</v>
      </c>
    </row>
    <row r="681" customFormat="false" ht="15" hidden="false" customHeight="true" outlineLevel="0" collapsed="false">
      <c r="A681" s="51" t="s">
        <v>847</v>
      </c>
      <c r="B681" s="50" t="str">
        <f aca="false">IFERROR(VLOOKUP($A681,Equipos!$C$2:$M$967,2,FALSE()),"")</f>
        <v>Ventilador Mecánico </v>
      </c>
      <c r="C681" s="50" t="str">
        <f aca="false">IFERROR(VLOOKUP($A681,Equipos!$C$2:$M$967,9,FALSE()),"")</f>
        <v>TV019111110</v>
      </c>
      <c r="D681" s="50" t="str">
        <f aca="false">IFERROR(VLOOKUP($A681,Equipos!$C$2:$M$967,3,FALSE()),"")</f>
        <v>UPC Pediátrica</v>
      </c>
      <c r="E681" s="50" t="str">
        <f aca="false">IFERROR(VLOOKUP($A681,Equipos!$C$2:$M$967,7,FALSE()),"")</f>
        <v>Philips</v>
      </c>
      <c r="F681" s="50" t="str">
        <f aca="false">IFERROR(VLOOKUP($A681,Equipos!$C$2:$M$967,8,FALSE()),"")</f>
        <v>Trilogy 202</v>
      </c>
      <c r="G681" s="50" t="s">
        <v>691</v>
      </c>
      <c r="H681" s="50" t="s">
        <v>360</v>
      </c>
      <c r="I681" s="50"/>
      <c r="J681" s="50" t="s">
        <v>352</v>
      </c>
      <c r="K681" s="50" t="str">
        <f aca="false">IFERROR(VLOOKUP($J681,Catálogos!$M$4:$N$17,2,FALSE()),"")</f>
        <v>Mantención Preventiva Realizada</v>
      </c>
      <c r="L681" s="52" t="n">
        <v>46096</v>
      </c>
      <c r="M681" s="50" t="s">
        <v>353</v>
      </c>
      <c r="N681" s="50" t="s">
        <v>253</v>
      </c>
      <c r="O681" s="50"/>
      <c r="P681" s="50"/>
      <c r="Q681" s="50" t="s">
        <v>362</v>
      </c>
    </row>
    <row r="682" customFormat="false" ht="15" hidden="false" customHeight="true" outlineLevel="0" collapsed="false">
      <c r="A682" s="51" t="s">
        <v>848</v>
      </c>
      <c r="B682" s="50" t="str">
        <f aca="false">IFERROR(VLOOKUP($A682,Equipos!$C$2:$M$967,2,FALSE()),"")</f>
        <v>Ventilador Mecánico </v>
      </c>
      <c r="C682" s="50" t="str">
        <f aca="false">IFERROR(VLOOKUP($A682,Equipos!$C$2:$M$967,9,FALSE()),"")</f>
        <v>27406</v>
      </c>
      <c r="D682" s="50" t="str">
        <f aca="false">IFERROR(VLOOKUP($A682,Equipos!$C$2:$M$967,3,FALSE()),"")</f>
        <v>UPC Pediátrica </v>
      </c>
      <c r="E682" s="50" t="str">
        <f aca="false">IFERROR(VLOOKUP($A682,Equipos!$C$2:$M$967,7,FALSE()),"")</f>
        <v>Maquet</v>
      </c>
      <c r="F682" s="50" t="str">
        <f aca="false">IFERROR(VLOOKUP($A682,Equipos!$C$2:$M$967,8,FALSE()),"")</f>
        <v>Servo i RM</v>
      </c>
      <c r="G682" s="50" t="s">
        <v>691</v>
      </c>
      <c r="H682" s="50" t="s">
        <v>360</v>
      </c>
      <c r="I682" s="50"/>
      <c r="J682" s="50" t="s">
        <v>331</v>
      </c>
      <c r="K682" s="50" t="str">
        <f aca="false">IFERROR(VLOOKUP($J682,Catálogos!$M$4:$N$17,2,FALSE()),"")</f>
        <v>Reprogramada · Equipo no operativo, a la espera de repuestos o accesorios</v>
      </c>
      <c r="L682" s="52" t="n">
        <v>46096</v>
      </c>
      <c r="M682" s="50" t="s">
        <v>355</v>
      </c>
      <c r="N682" s="50" t="s">
        <v>253</v>
      </c>
      <c r="O682" s="50"/>
      <c r="P682" s="50"/>
      <c r="Q682" s="50" t="s">
        <v>362</v>
      </c>
    </row>
    <row r="683" customFormat="false" ht="15" hidden="false" customHeight="true" outlineLevel="0" collapsed="false">
      <c r="A683" s="51" t="s">
        <v>849</v>
      </c>
      <c r="B683" s="50" t="str">
        <f aca="false">IFERROR(VLOOKUP($A683,Equipos!$C$2:$M$967,2,FALSE()),"")</f>
        <v>Ventilador Mecánico </v>
      </c>
      <c r="C683" s="50" t="str">
        <f aca="false">IFERROR(VLOOKUP($A683,Equipos!$C$2:$M$967,9,FALSE()),"")</f>
        <v>27409</v>
      </c>
      <c r="D683" s="50" t="str">
        <f aca="false">IFERROR(VLOOKUP($A683,Equipos!$C$2:$M$967,3,FALSE()),"")</f>
        <v>UPC Pediátrica </v>
      </c>
      <c r="E683" s="50" t="str">
        <f aca="false">IFERROR(VLOOKUP($A683,Equipos!$C$2:$M$967,7,FALSE()),"")</f>
        <v>Maquet</v>
      </c>
      <c r="F683" s="50" t="str">
        <f aca="false">IFERROR(VLOOKUP($A683,Equipos!$C$2:$M$967,8,FALSE()),"")</f>
        <v>Servo i</v>
      </c>
      <c r="G683" s="50" t="s">
        <v>691</v>
      </c>
      <c r="H683" s="50" t="s">
        <v>360</v>
      </c>
      <c r="I683" s="50"/>
      <c r="J683" s="50" t="s">
        <v>805</v>
      </c>
      <c r="K683" s="50" t="str">
        <f aca="false">IFERROR(VLOOKUP($J683,Catálogos!$M$4:$N$17,2,FALSE()),"")</f>
        <v>Reprogramada · No disponibilidad de horas hombre del servicio técnico externo</v>
      </c>
      <c r="L683" s="52" t="n">
        <v>46096</v>
      </c>
      <c r="M683" s="50" t="s">
        <v>353</v>
      </c>
      <c r="N683" s="50" t="s">
        <v>253</v>
      </c>
      <c r="O683" s="50"/>
      <c r="P683" s="50"/>
      <c r="Q683" s="50" t="s">
        <v>362</v>
      </c>
    </row>
    <row r="684" customFormat="false" ht="15" hidden="false" customHeight="true" outlineLevel="0" collapsed="false">
      <c r="A684" s="51" t="s">
        <v>850</v>
      </c>
      <c r="B684" s="50" t="str">
        <f aca="false">IFERROR(VLOOKUP($A684,Equipos!$C$2:$M$967,2,FALSE()),"")</f>
        <v>Ventilador Mecánico </v>
      </c>
      <c r="C684" s="50" t="str">
        <f aca="false">IFERROR(VLOOKUP($A684,Equipos!$C$2:$M$967,9,FALSE()),"")</f>
        <v>15062</v>
      </c>
      <c r="D684" s="50" t="str">
        <f aca="false">IFERROR(VLOOKUP($A684,Equipos!$C$2:$M$967,3,FALSE()),"")</f>
        <v>UPC Pediátrica </v>
      </c>
      <c r="E684" s="50" t="str">
        <f aca="false">IFERROR(VLOOKUP($A684,Equipos!$C$2:$M$967,7,FALSE()),"")</f>
        <v>Maquet</v>
      </c>
      <c r="F684" s="50" t="str">
        <f aca="false">IFERROR(VLOOKUP($A684,Equipos!$C$2:$M$967,8,FALSE()),"")</f>
        <v>Servo i</v>
      </c>
      <c r="G684" s="50" t="s">
        <v>691</v>
      </c>
      <c r="H684" s="50" t="s">
        <v>360</v>
      </c>
      <c r="I684" s="50"/>
      <c r="J684" s="50" t="s">
        <v>805</v>
      </c>
      <c r="K684" s="50" t="str">
        <f aca="false">IFERROR(VLOOKUP($J684,Catálogos!$M$4:$N$17,2,FALSE()),"")</f>
        <v>Reprogramada · No disponibilidad de horas hombre del servicio técnico externo</v>
      </c>
      <c r="L684" s="52" t="n">
        <v>46096</v>
      </c>
      <c r="M684" s="50" t="s">
        <v>353</v>
      </c>
      <c r="N684" s="50" t="s">
        <v>253</v>
      </c>
      <c r="O684" s="50"/>
      <c r="P684" s="50"/>
      <c r="Q684" s="50" t="s">
        <v>362</v>
      </c>
    </row>
    <row r="685" customFormat="false" ht="15" hidden="false" customHeight="true" outlineLevel="0" collapsed="false">
      <c r="A685" s="51" t="s">
        <v>851</v>
      </c>
      <c r="B685" s="50" t="str">
        <f aca="false">IFERROR(VLOOKUP($A685,Equipos!$C$2:$M$967,2,FALSE()),"")</f>
        <v>Ventilador Mecánico </v>
      </c>
      <c r="C685" s="50" t="str">
        <f aca="false">IFERROR(VLOOKUP($A685,Equipos!$C$2:$M$967,9,FALSE()),"")</f>
        <v>3510053070</v>
      </c>
      <c r="D685" s="50" t="str">
        <f aca="false">IFERROR(VLOOKUP($A685,Equipos!$C$2:$M$967,3,FALSE()),"")</f>
        <v>UPC Cardiovascular</v>
      </c>
      <c r="E685" s="50" t="str">
        <f aca="false">IFERROR(VLOOKUP($A685,Equipos!$C$2:$M$967,7,FALSE()),"")</f>
        <v>Puritan Bennett</v>
      </c>
      <c r="F685" s="50" t="n">
        <f aca="false">IFERROR(VLOOKUP($A685,Equipos!$C$2:$M$967,8,FALSE()),"")</f>
        <v>840</v>
      </c>
      <c r="G685" s="50" t="s">
        <v>691</v>
      </c>
      <c r="H685" s="50" t="s">
        <v>360</v>
      </c>
      <c r="I685" s="50"/>
      <c r="J685" s="50" t="s">
        <v>805</v>
      </c>
      <c r="K685" s="50" t="str">
        <f aca="false">IFERROR(VLOOKUP($J685,Catálogos!$M$4:$N$17,2,FALSE()),"")</f>
        <v>Reprogramada · No disponibilidad de horas hombre del servicio técnico externo</v>
      </c>
      <c r="L685" s="52" t="n">
        <v>46096</v>
      </c>
      <c r="M685" s="50" t="s">
        <v>353</v>
      </c>
      <c r="N685" s="50" t="s">
        <v>253</v>
      </c>
      <c r="O685" s="50"/>
      <c r="P685" s="50"/>
      <c r="Q685" s="50" t="s">
        <v>362</v>
      </c>
    </row>
    <row r="686" customFormat="false" ht="15" hidden="false" customHeight="true" outlineLevel="0" collapsed="false">
      <c r="A686" s="51" t="s">
        <v>852</v>
      </c>
      <c r="B686" s="50" t="str">
        <f aca="false">IFERROR(VLOOKUP($A686,Equipos!$C$2:$M$967,2,FALSE()),"")</f>
        <v>Ventilador Mecánico </v>
      </c>
      <c r="C686" s="50" t="str">
        <f aca="false">IFERROR(VLOOKUP($A686,Equipos!$C$2:$M$967,9,FALSE()),"")</f>
        <v>3510053116</v>
      </c>
      <c r="D686" s="50" t="str">
        <f aca="false">IFERROR(VLOOKUP($A686,Equipos!$C$2:$M$967,3,FALSE()),"")</f>
        <v>UPC Cardiovascular</v>
      </c>
      <c r="E686" s="50" t="str">
        <f aca="false">IFERROR(VLOOKUP($A686,Equipos!$C$2:$M$967,7,FALSE()),"")</f>
        <v>Puritan Bennett</v>
      </c>
      <c r="F686" s="50" t="n">
        <f aca="false">IFERROR(VLOOKUP($A686,Equipos!$C$2:$M$967,8,FALSE()),"")</f>
        <v>840</v>
      </c>
      <c r="G686" s="50" t="s">
        <v>691</v>
      </c>
      <c r="H686" s="50" t="s">
        <v>360</v>
      </c>
      <c r="I686" s="50"/>
      <c r="J686" s="50" t="s">
        <v>805</v>
      </c>
      <c r="K686" s="50" t="str">
        <f aca="false">IFERROR(VLOOKUP($J686,Catálogos!$M$4:$N$17,2,FALSE()),"")</f>
        <v>Reprogramada · No disponibilidad de horas hombre del servicio técnico externo</v>
      </c>
      <c r="L686" s="52" t="n">
        <v>46096</v>
      </c>
      <c r="M686" s="50" t="s">
        <v>353</v>
      </c>
      <c r="N686" s="50" t="s">
        <v>253</v>
      </c>
      <c r="O686" s="50"/>
      <c r="P686" s="50"/>
      <c r="Q686" s="50" t="s">
        <v>362</v>
      </c>
    </row>
    <row r="687" customFormat="false" ht="15" hidden="false" customHeight="true" outlineLevel="0" collapsed="false">
      <c r="A687" s="51" t="s">
        <v>853</v>
      </c>
      <c r="B687" s="50" t="str">
        <f aca="false">IFERROR(VLOOKUP($A687,Equipos!$C$2:$M$967,2,FALSE()),"")</f>
        <v>Ventilador Mecánico </v>
      </c>
      <c r="C687" s="50" t="str">
        <f aca="false">IFERROR(VLOOKUP($A687,Equipos!$C$2:$M$967,9,FALSE()),"")</f>
        <v>HT7P200663</v>
      </c>
      <c r="D687" s="50" t="str">
        <f aca="false">IFERROR(VLOOKUP($A687,Equipos!$C$2:$M$967,3,FALSE()),"")</f>
        <v>SAMU</v>
      </c>
      <c r="E687" s="50" t="str">
        <f aca="false">IFERROR(VLOOKUP($A687,Equipos!$C$2:$M$967,7,FALSE()),"")</f>
        <v>Newport</v>
      </c>
      <c r="F687" s="50" t="str">
        <f aca="false">IFERROR(VLOOKUP($A687,Equipos!$C$2:$M$967,8,FALSE()),"")</f>
        <v>HT70 PLUS</v>
      </c>
      <c r="G687" s="50" t="s">
        <v>691</v>
      </c>
      <c r="H687" s="50" t="s">
        <v>360</v>
      </c>
      <c r="I687" s="50"/>
      <c r="J687" s="50" t="s">
        <v>805</v>
      </c>
      <c r="K687" s="50" t="str">
        <f aca="false">IFERROR(VLOOKUP($J687,Catálogos!$M$4:$N$17,2,FALSE()),"")</f>
        <v>Reprogramada · No disponibilidad de horas hombre del servicio técnico externo</v>
      </c>
      <c r="L687" s="52" t="n">
        <v>46096</v>
      </c>
      <c r="M687" s="50" t="s">
        <v>353</v>
      </c>
      <c r="N687" s="50" t="s">
        <v>253</v>
      </c>
      <c r="O687" s="50"/>
      <c r="P687" s="50"/>
      <c r="Q687" s="50" t="s">
        <v>362</v>
      </c>
    </row>
    <row r="688" customFormat="false" ht="15" hidden="false" customHeight="true" outlineLevel="0" collapsed="false">
      <c r="A688" s="51" t="s">
        <v>854</v>
      </c>
      <c r="B688" s="50" t="str">
        <f aca="false">IFERROR(VLOOKUP($A688,Equipos!$C$2:$M$967,2,FALSE()),"")</f>
        <v>Ventilador Mecánico </v>
      </c>
      <c r="C688" s="50" t="str">
        <f aca="false">IFERROR(VLOOKUP($A688,Equipos!$C$2:$M$967,9,FALSE()),"")</f>
        <v>3510094107</v>
      </c>
      <c r="D688" s="50" t="str">
        <f aca="false">IFERROR(VLOOKUP($A688,Equipos!$C$2:$M$967,3,FALSE()),"")</f>
        <v>UPC Cardiovascular</v>
      </c>
      <c r="E688" s="50" t="str">
        <f aca="false">IFERROR(VLOOKUP($A688,Equipos!$C$2:$M$967,7,FALSE()),"")</f>
        <v>Puritan Bennett</v>
      </c>
      <c r="F688" s="50" t="str">
        <f aca="false">IFERROR(VLOOKUP($A688,Equipos!$C$2:$M$967,8,FALSE()),"")</f>
        <v>840/Sin Comp.</v>
      </c>
      <c r="G688" s="50" t="s">
        <v>691</v>
      </c>
      <c r="H688" s="50" t="s">
        <v>360</v>
      </c>
      <c r="I688" s="50"/>
      <c r="J688" s="50" t="s">
        <v>805</v>
      </c>
      <c r="K688" s="50" t="str">
        <f aca="false">IFERROR(VLOOKUP($J688,Catálogos!$M$4:$N$17,2,FALSE()),"")</f>
        <v>Reprogramada · No disponibilidad de horas hombre del servicio técnico externo</v>
      </c>
      <c r="L688" s="52" t="n">
        <v>46096</v>
      </c>
      <c r="M688" s="50" t="s">
        <v>353</v>
      </c>
      <c r="N688" s="50" t="s">
        <v>253</v>
      </c>
      <c r="O688" s="50"/>
      <c r="P688" s="50"/>
      <c r="Q688" s="50" t="s">
        <v>362</v>
      </c>
    </row>
    <row r="689" customFormat="false" ht="15" hidden="false" customHeight="true" outlineLevel="0" collapsed="false">
      <c r="A689" s="51" t="s">
        <v>855</v>
      </c>
      <c r="B689" s="50" t="str">
        <f aca="false">IFERROR(VLOOKUP($A689,Equipos!$C$2:$M$967,2,FALSE()),"")</f>
        <v>Ventilador Mecánico </v>
      </c>
      <c r="C689" s="50" t="str">
        <f aca="false">IFERROR(VLOOKUP($A689,Equipos!$C$2:$M$967,9,FALSE()),"")</f>
        <v>35B2101546</v>
      </c>
      <c r="D689" s="50" t="str">
        <f aca="false">IFERROR(VLOOKUP($A689,Equipos!$C$2:$M$967,3,FALSE()),"")</f>
        <v>UPC Cardiovascular</v>
      </c>
      <c r="E689" s="50" t="str">
        <f aca="false">IFERROR(VLOOKUP($A689,Equipos!$C$2:$M$967,7,FALSE()),"")</f>
        <v>Puritan Bennett</v>
      </c>
      <c r="F689" s="50" t="str">
        <f aca="false">IFERROR(VLOOKUP($A689,Equipos!$C$2:$M$967,8,FALSE()),"")</f>
        <v>980/cc</v>
      </c>
      <c r="G689" s="50" t="s">
        <v>691</v>
      </c>
      <c r="H689" s="50" t="s">
        <v>360</v>
      </c>
      <c r="I689" s="50"/>
      <c r="J689" s="50" t="s">
        <v>805</v>
      </c>
      <c r="K689" s="50" t="str">
        <f aca="false">IFERROR(VLOOKUP($J689,Catálogos!$M$4:$N$17,2,FALSE()),"")</f>
        <v>Reprogramada · No disponibilidad de horas hombre del servicio técnico externo</v>
      </c>
      <c r="L689" s="52" t="n">
        <v>46096</v>
      </c>
      <c r="M689" s="50" t="s">
        <v>353</v>
      </c>
      <c r="N689" s="50" t="s">
        <v>253</v>
      </c>
      <c r="O689" s="50"/>
      <c r="P689" s="50"/>
      <c r="Q689" s="50" t="s">
        <v>362</v>
      </c>
    </row>
    <row r="690" customFormat="false" ht="15" hidden="false" customHeight="true" outlineLevel="0" collapsed="false">
      <c r="A690" s="51" t="s">
        <v>856</v>
      </c>
      <c r="B690" s="50" t="str">
        <f aca="false">IFERROR(VLOOKUP($A690,Equipos!$C$2:$M$967,2,FALSE()),"")</f>
        <v>Ventilador Mecánico </v>
      </c>
      <c r="C690" s="50" t="str">
        <f aca="false">IFERROR(VLOOKUP($A690,Equipos!$C$2:$M$967,9,FALSE()),"")</f>
        <v>35B2101595</v>
      </c>
      <c r="D690" s="50" t="str">
        <f aca="false">IFERROR(VLOOKUP($A690,Equipos!$C$2:$M$967,3,FALSE()),"")</f>
        <v>UPC Cardiovascular</v>
      </c>
      <c r="E690" s="50" t="str">
        <f aca="false">IFERROR(VLOOKUP($A690,Equipos!$C$2:$M$967,7,FALSE()),"")</f>
        <v>Puritan Bennett</v>
      </c>
      <c r="F690" s="50" t="str">
        <f aca="false">IFERROR(VLOOKUP($A690,Equipos!$C$2:$M$967,8,FALSE()),"")</f>
        <v>980/cc</v>
      </c>
      <c r="G690" s="50" t="s">
        <v>691</v>
      </c>
      <c r="H690" s="50" t="s">
        <v>360</v>
      </c>
      <c r="I690" s="50"/>
      <c r="J690" s="50" t="s">
        <v>805</v>
      </c>
      <c r="K690" s="50" t="str">
        <f aca="false">IFERROR(VLOOKUP($J690,Catálogos!$M$4:$N$17,2,FALSE()),"")</f>
        <v>Reprogramada · No disponibilidad de horas hombre del servicio técnico externo</v>
      </c>
      <c r="L690" s="52" t="n">
        <v>46096</v>
      </c>
      <c r="M690" s="50" t="s">
        <v>353</v>
      </c>
      <c r="N690" s="50" t="s">
        <v>253</v>
      </c>
      <c r="O690" s="50"/>
      <c r="P690" s="50"/>
      <c r="Q690" s="50" t="s">
        <v>362</v>
      </c>
    </row>
    <row r="691" customFormat="false" ht="15" hidden="false" customHeight="true" outlineLevel="0" collapsed="false">
      <c r="A691" s="51" t="s">
        <v>857</v>
      </c>
      <c r="B691" s="50" t="str">
        <f aca="false">IFERROR(VLOOKUP($A691,Equipos!$C$2:$M$967,2,FALSE()),"")</f>
        <v>Ventilador Mecánico </v>
      </c>
      <c r="C691" s="50" t="str">
        <f aca="false">IFERROR(VLOOKUP($A691,Equipos!$C$2:$M$967,9,FALSE()),"")</f>
        <v>35B2101536</v>
      </c>
      <c r="D691" s="50" t="str">
        <f aca="false">IFERROR(VLOOKUP($A691,Equipos!$C$2:$M$967,3,FALSE()),"")</f>
        <v>UPC Cardiovascular</v>
      </c>
      <c r="E691" s="50" t="str">
        <f aca="false">IFERROR(VLOOKUP($A691,Equipos!$C$2:$M$967,7,FALSE()),"")</f>
        <v>Puritan Bennett</v>
      </c>
      <c r="F691" s="50" t="str">
        <f aca="false">IFERROR(VLOOKUP($A691,Equipos!$C$2:$M$967,8,FALSE()),"")</f>
        <v>980/cc</v>
      </c>
      <c r="G691" s="50" t="s">
        <v>691</v>
      </c>
      <c r="H691" s="50" t="s">
        <v>360</v>
      </c>
      <c r="I691" s="50"/>
      <c r="J691" s="50" t="s">
        <v>805</v>
      </c>
      <c r="K691" s="50" t="str">
        <f aca="false">IFERROR(VLOOKUP($J691,Catálogos!$M$4:$N$17,2,FALSE()),"")</f>
        <v>Reprogramada · No disponibilidad de horas hombre del servicio técnico externo</v>
      </c>
      <c r="L691" s="52" t="n">
        <v>46096</v>
      </c>
      <c r="M691" s="50" t="s">
        <v>353</v>
      </c>
      <c r="N691" s="50" t="s">
        <v>253</v>
      </c>
      <c r="O691" s="50"/>
      <c r="P691" s="50"/>
      <c r="Q691" s="50" t="s">
        <v>362</v>
      </c>
    </row>
    <row r="692" customFormat="false" ht="15" hidden="false" customHeight="true" outlineLevel="0" collapsed="false">
      <c r="A692" s="51" t="s">
        <v>858</v>
      </c>
      <c r="B692" s="50" t="str">
        <f aca="false">IFERROR(VLOOKUP($A692,Equipos!$C$2:$M$967,2,FALSE()),"")</f>
        <v>Ventilador Mecánico </v>
      </c>
      <c r="C692" s="50" t="str">
        <f aca="false">IFERROR(VLOOKUP($A692,Equipos!$C$2:$M$967,9,FALSE()),"")</f>
        <v>3510094192</v>
      </c>
      <c r="D692" s="50" t="str">
        <f aca="false">IFERROR(VLOOKUP($A692,Equipos!$C$2:$M$967,3,FALSE()),"")</f>
        <v>UPC Adulto</v>
      </c>
      <c r="E692" s="50" t="str">
        <f aca="false">IFERROR(VLOOKUP($A692,Equipos!$C$2:$M$967,7,FALSE()),"")</f>
        <v>Puritan Bennett</v>
      </c>
      <c r="F692" s="50" t="str">
        <f aca="false">IFERROR(VLOOKUP($A692,Equipos!$C$2:$M$967,8,FALSE()),"")</f>
        <v>840/Sin Comp.</v>
      </c>
      <c r="G692" s="50" t="s">
        <v>691</v>
      </c>
      <c r="H692" s="50" t="s">
        <v>360</v>
      </c>
      <c r="I692" s="50"/>
      <c r="J692" s="50" t="s">
        <v>805</v>
      </c>
      <c r="K692" s="50" t="str">
        <f aca="false">IFERROR(VLOOKUP($J692,Catálogos!$M$4:$N$17,2,FALSE()),"")</f>
        <v>Reprogramada · No disponibilidad de horas hombre del servicio técnico externo</v>
      </c>
      <c r="L692" s="52" t="n">
        <v>46096</v>
      </c>
      <c r="M692" s="50" t="s">
        <v>353</v>
      </c>
      <c r="N692" s="50" t="s">
        <v>253</v>
      </c>
      <c r="O692" s="50"/>
      <c r="P692" s="50"/>
      <c r="Q692" s="50" t="s">
        <v>362</v>
      </c>
    </row>
    <row r="693" customFormat="false" ht="15" hidden="false" customHeight="true" outlineLevel="0" collapsed="false">
      <c r="A693" s="51" t="s">
        <v>859</v>
      </c>
      <c r="B693" s="50" t="str">
        <f aca="false">IFERROR(VLOOKUP($A693,Equipos!$C$2:$M$967,2,FALSE()),"")</f>
        <v>Ventilador Mecánico </v>
      </c>
      <c r="C693" s="50" t="str">
        <f aca="false">IFERROR(VLOOKUP($A693,Equipos!$C$2:$M$967,9,FALSE()),"")</f>
        <v>3510094181</v>
      </c>
      <c r="D693" s="50" t="str">
        <f aca="false">IFERROR(VLOOKUP($A693,Equipos!$C$2:$M$967,3,FALSE()),"")</f>
        <v>UPC Adulto</v>
      </c>
      <c r="E693" s="50" t="str">
        <f aca="false">IFERROR(VLOOKUP($A693,Equipos!$C$2:$M$967,7,FALSE()),"")</f>
        <v>Puritan Bennett</v>
      </c>
      <c r="F693" s="50" t="n">
        <f aca="false">IFERROR(VLOOKUP($A693,Equipos!$C$2:$M$967,8,FALSE()),"")</f>
        <v>840</v>
      </c>
      <c r="G693" s="50" t="s">
        <v>691</v>
      </c>
      <c r="H693" s="50" t="s">
        <v>360</v>
      </c>
      <c r="I693" s="50"/>
      <c r="J693" s="50" t="s">
        <v>805</v>
      </c>
      <c r="K693" s="50" t="str">
        <f aca="false">IFERROR(VLOOKUP($J693,Catálogos!$M$4:$N$17,2,FALSE()),"")</f>
        <v>Reprogramada · No disponibilidad de horas hombre del servicio técnico externo</v>
      </c>
      <c r="L693" s="52" t="n">
        <v>46096</v>
      </c>
      <c r="M693" s="50" t="s">
        <v>353</v>
      </c>
      <c r="N693" s="50" t="s">
        <v>253</v>
      </c>
      <c r="O693" s="50"/>
      <c r="P693" s="50"/>
      <c r="Q693" s="50" t="s">
        <v>362</v>
      </c>
    </row>
    <row r="694" customFormat="false" ht="15" hidden="false" customHeight="true" outlineLevel="0" collapsed="false">
      <c r="A694" s="51" t="s">
        <v>860</v>
      </c>
      <c r="B694" s="50" t="str">
        <f aca="false">IFERROR(VLOOKUP($A694,Equipos!$C$2:$M$967,2,FALSE()),"")</f>
        <v>Ventilador Mecánico </v>
      </c>
      <c r="C694" s="50" t="str">
        <f aca="false">IFERROR(VLOOKUP($A694,Equipos!$C$2:$M$967,9,FALSE()),"")</f>
        <v>3510094199</v>
      </c>
      <c r="D694" s="50" t="str">
        <f aca="false">IFERROR(VLOOKUP($A694,Equipos!$C$2:$M$967,3,FALSE()),"")</f>
        <v>UPC Adulto</v>
      </c>
      <c r="E694" s="50" t="str">
        <f aca="false">IFERROR(VLOOKUP($A694,Equipos!$C$2:$M$967,7,FALSE()),"")</f>
        <v>Puritan Bennett</v>
      </c>
      <c r="F694" s="50" t="str">
        <f aca="false">IFERROR(VLOOKUP($A694,Equipos!$C$2:$M$967,8,FALSE()),"")</f>
        <v>840/Sin Comp.</v>
      </c>
      <c r="G694" s="50" t="s">
        <v>691</v>
      </c>
      <c r="H694" s="50" t="s">
        <v>360</v>
      </c>
      <c r="I694" s="50"/>
      <c r="J694" s="50" t="s">
        <v>805</v>
      </c>
      <c r="K694" s="50" t="str">
        <f aca="false">IFERROR(VLOOKUP($J694,Catálogos!$M$4:$N$17,2,FALSE()),"")</f>
        <v>Reprogramada · No disponibilidad de horas hombre del servicio técnico externo</v>
      </c>
      <c r="L694" s="52" t="n">
        <v>46096</v>
      </c>
      <c r="M694" s="50" t="s">
        <v>353</v>
      </c>
      <c r="N694" s="50" t="s">
        <v>253</v>
      </c>
      <c r="O694" s="50"/>
      <c r="P694" s="50"/>
      <c r="Q694" s="50" t="s">
        <v>362</v>
      </c>
    </row>
    <row r="695" customFormat="false" ht="15" hidden="false" customHeight="true" outlineLevel="0" collapsed="false">
      <c r="A695" s="51" t="s">
        <v>861</v>
      </c>
      <c r="B695" s="50" t="str">
        <f aca="false">IFERROR(VLOOKUP($A695,Equipos!$C$2:$M$967,2,FALSE()),"")</f>
        <v>Máquina de Anestesia</v>
      </c>
      <c r="C695" s="50" t="str">
        <f aca="false">IFERROR(VLOOKUP($A695,Equipos!$C$2:$M$967,9,FALSE()),"")</f>
        <v>ASML-0015</v>
      </c>
      <c r="D695" s="50" t="str">
        <f aca="false">IFERROR(VLOOKUP($A695,Equipos!$C$2:$M$967,3,FALSE()),"")</f>
        <v>Pabellón Quirúrgico (Prestado a Imagenología)</v>
      </c>
      <c r="E695" s="50" t="str">
        <f aca="false">IFERROR(VLOOKUP($A695,Equipos!$C$2:$M$967,7,FALSE()),"")</f>
        <v>Drager</v>
      </c>
      <c r="F695" s="50" t="str">
        <f aca="false">IFERROR(VLOOKUP($A695,Equipos!$C$2:$M$967,8,FALSE()),"")</f>
        <v>Fabius MRI</v>
      </c>
      <c r="G695" s="50" t="s">
        <v>691</v>
      </c>
      <c r="H695" s="50" t="s">
        <v>360</v>
      </c>
      <c r="I695" s="50"/>
      <c r="J695" s="50" t="s">
        <v>805</v>
      </c>
      <c r="K695" s="50" t="str">
        <f aca="false">IFERROR(VLOOKUP($J695,Catálogos!$M$4:$N$17,2,FALSE()),"")</f>
        <v>Reprogramada · No disponibilidad de horas hombre del servicio técnico externo</v>
      </c>
      <c r="L695" s="52" t="n">
        <v>46096</v>
      </c>
      <c r="M695" s="50" t="s">
        <v>353</v>
      </c>
      <c r="N695" s="50" t="s">
        <v>253</v>
      </c>
      <c r="O695" s="50"/>
      <c r="P695" s="50"/>
      <c r="Q695" s="50" t="s">
        <v>362</v>
      </c>
    </row>
    <row r="696" customFormat="false" ht="15" hidden="false" customHeight="true" outlineLevel="0" collapsed="false">
      <c r="A696" s="51" t="s">
        <v>862</v>
      </c>
      <c r="B696" s="50" t="str">
        <f aca="false">IFERROR(VLOOKUP($A696,Equipos!$C$2:$M$967,2,FALSE()),"")</f>
        <v>Máquina de Anestesia</v>
      </c>
      <c r="C696" s="50" t="str">
        <f aca="false">IFERROR(VLOOKUP($A696,Equipos!$C$2:$M$967,9,FALSE()),"")</f>
        <v>ASMK-0179</v>
      </c>
      <c r="D696" s="50" t="str">
        <f aca="false">IFERROR(VLOOKUP($A696,Equipos!$C$2:$M$967,3,FALSE()),"")</f>
        <v>Pabellón Quirúrgico</v>
      </c>
      <c r="E696" s="50" t="str">
        <f aca="false">IFERROR(VLOOKUP($A696,Equipos!$C$2:$M$967,7,FALSE()),"")</f>
        <v>Drager</v>
      </c>
      <c r="F696" s="50" t="str">
        <f aca="false">IFERROR(VLOOKUP($A696,Equipos!$C$2:$M$967,8,FALSE()),"")</f>
        <v>Primus</v>
      </c>
      <c r="G696" s="50" t="s">
        <v>691</v>
      </c>
      <c r="H696" s="50" t="s">
        <v>360</v>
      </c>
      <c r="I696" s="50"/>
      <c r="J696" s="50" t="s">
        <v>805</v>
      </c>
      <c r="K696" s="50" t="str">
        <f aca="false">IFERROR(VLOOKUP($J696,Catálogos!$M$4:$N$17,2,FALSE()),"")</f>
        <v>Reprogramada · No disponibilidad de horas hombre del servicio técnico externo</v>
      </c>
      <c r="L696" s="52" t="n">
        <v>46096</v>
      </c>
      <c r="M696" s="50" t="s">
        <v>353</v>
      </c>
      <c r="N696" s="50" t="s">
        <v>253</v>
      </c>
      <c r="O696" s="50"/>
      <c r="P696" s="50"/>
      <c r="Q696" s="50" t="s">
        <v>362</v>
      </c>
    </row>
    <row r="697" customFormat="false" ht="15" hidden="false" customHeight="true" outlineLevel="0" collapsed="false">
      <c r="A697" s="51" t="s">
        <v>863</v>
      </c>
      <c r="B697" s="50" t="str">
        <f aca="false">IFERROR(VLOOKUP($A697,Equipos!$C$2:$M$967,2,FALSE()),"")</f>
        <v>Máquina de Anestesia</v>
      </c>
      <c r="C697" s="50" t="str">
        <f aca="false">IFERROR(VLOOKUP($A697,Equipos!$C$2:$M$967,9,FALSE()),"")</f>
        <v>ASMK-0178</v>
      </c>
      <c r="D697" s="50" t="str">
        <f aca="false">IFERROR(VLOOKUP($A697,Equipos!$C$2:$M$967,3,FALSE()),"")</f>
        <v>Pabellón Quirúrgico</v>
      </c>
      <c r="E697" s="50" t="str">
        <f aca="false">IFERROR(VLOOKUP($A697,Equipos!$C$2:$M$967,7,FALSE()),"")</f>
        <v>Drager</v>
      </c>
      <c r="F697" s="50" t="str">
        <f aca="false">IFERROR(VLOOKUP($A697,Equipos!$C$2:$M$967,8,FALSE()),"")</f>
        <v>Primus</v>
      </c>
      <c r="G697" s="50" t="s">
        <v>691</v>
      </c>
      <c r="H697" s="50" t="s">
        <v>360</v>
      </c>
      <c r="I697" s="50"/>
      <c r="J697" s="50" t="s">
        <v>805</v>
      </c>
      <c r="K697" s="50" t="str">
        <f aca="false">IFERROR(VLOOKUP($J697,Catálogos!$M$4:$N$17,2,FALSE()),"")</f>
        <v>Reprogramada · No disponibilidad de horas hombre del servicio técnico externo</v>
      </c>
      <c r="L697" s="52" t="n">
        <v>46096</v>
      </c>
      <c r="M697" s="50" t="s">
        <v>353</v>
      </c>
      <c r="N697" s="50" t="s">
        <v>253</v>
      </c>
      <c r="O697" s="50"/>
      <c r="P697" s="50"/>
      <c r="Q697" s="50" t="s">
        <v>362</v>
      </c>
    </row>
    <row r="698" customFormat="false" ht="15" hidden="false" customHeight="true" outlineLevel="0" collapsed="false">
      <c r="A698" s="51" t="s">
        <v>864</v>
      </c>
      <c r="B698" s="50" t="str">
        <f aca="false">IFERROR(VLOOKUP($A698,Equipos!$C$2:$M$967,2,FALSE()),"")</f>
        <v>Máquina de Anestesia</v>
      </c>
      <c r="C698" s="50" t="str">
        <f aca="false">IFERROR(VLOOKUP($A698,Equipos!$C$2:$M$967,9,FALSE()),"")</f>
        <v>ASMK-0085</v>
      </c>
      <c r="D698" s="50" t="str">
        <f aca="false">IFERROR(VLOOKUP($A698,Equipos!$C$2:$M$967,3,FALSE()),"")</f>
        <v>Pabellón Quirúrgico</v>
      </c>
      <c r="E698" s="50" t="str">
        <f aca="false">IFERROR(VLOOKUP($A698,Equipos!$C$2:$M$967,7,FALSE()),"")</f>
        <v>Drager</v>
      </c>
      <c r="F698" s="50" t="str">
        <f aca="false">IFERROR(VLOOKUP($A698,Equipos!$C$2:$M$967,8,FALSE()),"")</f>
        <v>Perseus A500</v>
      </c>
      <c r="G698" s="50" t="s">
        <v>691</v>
      </c>
      <c r="H698" s="50" t="s">
        <v>360</v>
      </c>
      <c r="I698" s="50"/>
      <c r="J698" s="50" t="s">
        <v>805</v>
      </c>
      <c r="K698" s="50" t="str">
        <f aca="false">IFERROR(VLOOKUP($J698,Catálogos!$M$4:$N$17,2,FALSE()),"")</f>
        <v>Reprogramada · No disponibilidad de horas hombre del servicio técnico externo</v>
      </c>
      <c r="L698" s="52" t="n">
        <v>46096</v>
      </c>
      <c r="M698" s="50" t="s">
        <v>353</v>
      </c>
      <c r="N698" s="50" t="s">
        <v>253</v>
      </c>
      <c r="O698" s="50"/>
      <c r="P698" s="50"/>
      <c r="Q698" s="50" t="s">
        <v>362</v>
      </c>
    </row>
    <row r="699" customFormat="false" ht="15" hidden="false" customHeight="true" outlineLevel="0" collapsed="false">
      <c r="A699" s="51" t="s">
        <v>865</v>
      </c>
      <c r="B699" s="50" t="str">
        <f aca="false">IFERROR(VLOOKUP($A699,Equipos!$C$2:$M$967,2,FALSE()),"")</f>
        <v>Máquina de Anestesia</v>
      </c>
      <c r="C699" s="50" t="str">
        <f aca="false">IFERROR(VLOOKUP($A699,Equipos!$C$2:$M$967,9,FALSE()),"")</f>
        <v>ASMK-0086</v>
      </c>
      <c r="D699" s="50" t="str">
        <f aca="false">IFERROR(VLOOKUP($A699,Equipos!$C$2:$M$967,3,FALSE()),"")</f>
        <v>Pabellón Quirúrgico</v>
      </c>
      <c r="E699" s="50" t="str">
        <f aca="false">IFERROR(VLOOKUP($A699,Equipos!$C$2:$M$967,7,FALSE()),"")</f>
        <v>Drager</v>
      </c>
      <c r="F699" s="50" t="str">
        <f aca="false">IFERROR(VLOOKUP($A699,Equipos!$C$2:$M$967,8,FALSE()),"")</f>
        <v>Perseus A500</v>
      </c>
      <c r="G699" s="50" t="s">
        <v>691</v>
      </c>
      <c r="H699" s="50" t="s">
        <v>360</v>
      </c>
      <c r="I699" s="50"/>
      <c r="J699" s="50" t="s">
        <v>805</v>
      </c>
      <c r="K699" s="50" t="str">
        <f aca="false">IFERROR(VLOOKUP($J699,Catálogos!$M$4:$N$17,2,FALSE()),"")</f>
        <v>Reprogramada · No disponibilidad de horas hombre del servicio técnico externo</v>
      </c>
      <c r="L699" s="52" t="n">
        <v>46096</v>
      </c>
      <c r="M699" s="50" t="s">
        <v>353</v>
      </c>
      <c r="N699" s="50" t="s">
        <v>253</v>
      </c>
      <c r="O699" s="50"/>
      <c r="P699" s="50"/>
      <c r="Q699" s="50" t="s">
        <v>362</v>
      </c>
    </row>
    <row r="700" customFormat="false" ht="15" hidden="false" customHeight="true" outlineLevel="0" collapsed="false">
      <c r="A700" s="51" t="s">
        <v>866</v>
      </c>
      <c r="B700" s="50" t="str">
        <f aca="false">IFERROR(VLOOKUP($A700,Equipos!$C$2:$M$967,2,FALSE()),"")</f>
        <v>Máquina de Anestesia</v>
      </c>
      <c r="C700" s="50" t="str">
        <f aca="false">IFERROR(VLOOKUP($A700,Equipos!$C$2:$M$967,9,FALSE()),"")</f>
        <v>ASMK-0087</v>
      </c>
      <c r="D700" s="50" t="str">
        <f aca="false">IFERROR(VLOOKUP($A700,Equipos!$C$2:$M$967,3,FALSE()),"")</f>
        <v>Pabellón Quirúrgico</v>
      </c>
      <c r="E700" s="50" t="str">
        <f aca="false">IFERROR(VLOOKUP($A700,Equipos!$C$2:$M$967,7,FALSE()),"")</f>
        <v>Drager</v>
      </c>
      <c r="F700" s="50" t="str">
        <f aca="false">IFERROR(VLOOKUP($A700,Equipos!$C$2:$M$967,8,FALSE()),"")</f>
        <v>Perseus A500</v>
      </c>
      <c r="G700" s="50" t="s">
        <v>691</v>
      </c>
      <c r="H700" s="50" t="s">
        <v>360</v>
      </c>
      <c r="I700" s="50"/>
      <c r="J700" s="50" t="s">
        <v>805</v>
      </c>
      <c r="K700" s="50" t="str">
        <f aca="false">IFERROR(VLOOKUP($J700,Catálogos!$M$4:$N$17,2,FALSE()),"")</f>
        <v>Reprogramada · No disponibilidad de horas hombre del servicio técnico externo</v>
      </c>
      <c r="L700" s="52" t="n">
        <v>46096</v>
      </c>
      <c r="M700" s="50" t="s">
        <v>353</v>
      </c>
      <c r="N700" s="50" t="s">
        <v>253</v>
      </c>
      <c r="O700" s="50"/>
      <c r="P700" s="50"/>
      <c r="Q700" s="50" t="s">
        <v>362</v>
      </c>
    </row>
    <row r="701" customFormat="false" ht="15" hidden="false" customHeight="true" outlineLevel="0" collapsed="false">
      <c r="A701" s="51" t="s">
        <v>867</v>
      </c>
      <c r="B701" s="50" t="str">
        <f aca="false">IFERROR(VLOOKUP($A701,Equipos!$C$2:$M$967,2,FALSE()),"")</f>
        <v>Máquina de Anestesia</v>
      </c>
      <c r="C701" s="50" t="str">
        <f aca="false">IFERROR(VLOOKUP($A701,Equipos!$C$2:$M$967,9,FALSE()),"")</f>
        <v>ASMB-0234</v>
      </c>
      <c r="D701" s="50" t="str">
        <f aca="false">IFERROR(VLOOKUP($A701,Equipos!$C$2:$M$967,3,FALSE()),"")</f>
        <v>Pabellón Quirúrgico (Prestado a Pabellón CMA)</v>
      </c>
      <c r="E701" s="50" t="str">
        <f aca="false">IFERROR(VLOOKUP($A701,Equipos!$C$2:$M$967,7,FALSE()),"")</f>
        <v>Drager</v>
      </c>
      <c r="F701" s="50" t="str">
        <f aca="false">IFERROR(VLOOKUP($A701,Equipos!$C$2:$M$967,8,FALSE()),"")</f>
        <v>Primus</v>
      </c>
      <c r="G701" s="50" t="s">
        <v>691</v>
      </c>
      <c r="H701" s="50" t="s">
        <v>360</v>
      </c>
      <c r="I701" s="50"/>
      <c r="J701" s="50" t="s">
        <v>805</v>
      </c>
      <c r="K701" s="50" t="str">
        <f aca="false">IFERROR(VLOOKUP($J701,Catálogos!$M$4:$N$17,2,FALSE()),"")</f>
        <v>Reprogramada · No disponibilidad de horas hombre del servicio técnico externo</v>
      </c>
      <c r="L701" s="52" t="n">
        <v>46096</v>
      </c>
      <c r="M701" s="50" t="s">
        <v>353</v>
      </c>
      <c r="N701" s="50" t="s">
        <v>253</v>
      </c>
      <c r="O701" s="50"/>
      <c r="P701" s="50"/>
      <c r="Q701" s="50" t="s">
        <v>362</v>
      </c>
    </row>
    <row r="702" customFormat="false" ht="15" hidden="false" customHeight="true" outlineLevel="0" collapsed="false">
      <c r="A702" s="51" t="s">
        <v>868</v>
      </c>
      <c r="B702" s="50" t="str">
        <f aca="false">IFERROR(VLOOKUP($A702,Equipos!$C$2:$M$967,2,FALSE()),"")</f>
        <v>Máquina de Anestesia</v>
      </c>
      <c r="C702" s="50" t="str">
        <f aca="false">IFERROR(VLOOKUP($A702,Equipos!$C$2:$M$967,9,FALSE()),"")</f>
        <v>ASMB-0233</v>
      </c>
      <c r="D702" s="50" t="str">
        <f aca="false">IFERROR(VLOOKUP($A702,Equipos!$C$2:$M$967,3,FALSE()),"")</f>
        <v>Pabellón Quirúrgico</v>
      </c>
      <c r="E702" s="50" t="str">
        <f aca="false">IFERROR(VLOOKUP($A702,Equipos!$C$2:$M$967,7,FALSE()),"")</f>
        <v>Drager</v>
      </c>
      <c r="F702" s="50" t="str">
        <f aca="false">IFERROR(VLOOKUP($A702,Equipos!$C$2:$M$967,8,FALSE()),"")</f>
        <v>Primus IE</v>
      </c>
      <c r="G702" s="50" t="s">
        <v>691</v>
      </c>
      <c r="H702" s="50" t="s">
        <v>360</v>
      </c>
      <c r="I702" s="50"/>
      <c r="J702" s="50" t="s">
        <v>805</v>
      </c>
      <c r="K702" s="50" t="str">
        <f aca="false">IFERROR(VLOOKUP($J702,Catálogos!$M$4:$N$17,2,FALSE()),"")</f>
        <v>Reprogramada · No disponibilidad de horas hombre del servicio técnico externo</v>
      </c>
      <c r="L702" s="52" t="n">
        <v>46096</v>
      </c>
      <c r="M702" s="50" t="s">
        <v>353</v>
      </c>
      <c r="N702" s="50" t="s">
        <v>253</v>
      </c>
      <c r="O702" s="50"/>
      <c r="P702" s="50"/>
      <c r="Q702" s="50" t="s">
        <v>362</v>
      </c>
    </row>
    <row r="703" customFormat="false" ht="15" hidden="false" customHeight="true" outlineLevel="0" collapsed="false">
      <c r="A703" s="51" t="s">
        <v>256</v>
      </c>
      <c r="B703" s="50" t="str">
        <f aca="false">IFERROR(VLOOKUP($A703,Equipos!$C$2:$M$967,2,FALSE()),"")</f>
        <v>Máquina de Anestesia</v>
      </c>
      <c r="C703" s="50" t="str">
        <f aca="false">IFERROR(VLOOKUP($A703,Equipos!$C$2:$M$967,9,FALSE()),"")</f>
        <v>ASHB-0261</v>
      </c>
      <c r="D703" s="50" t="str">
        <f aca="false">IFERROR(VLOOKUP($A703,Equipos!$C$2:$M$967,3,FALSE()),"")</f>
        <v>Pabellón Quirúrgico</v>
      </c>
      <c r="E703" s="50" t="str">
        <f aca="false">IFERROR(VLOOKUP($A703,Equipos!$C$2:$M$967,7,FALSE()),"")</f>
        <v>Drager </v>
      </c>
      <c r="F703" s="50" t="str">
        <f aca="false">IFERROR(VLOOKUP($A703,Equipos!$C$2:$M$967,8,FALSE()),"")</f>
        <v>Primus IE</v>
      </c>
      <c r="G703" s="50" t="s">
        <v>691</v>
      </c>
      <c r="H703" s="50" t="s">
        <v>360</v>
      </c>
      <c r="I703" s="50"/>
      <c r="J703" s="50" t="s">
        <v>805</v>
      </c>
      <c r="K703" s="50" t="str">
        <f aca="false">IFERROR(VLOOKUP($J703,Catálogos!$M$4:$N$17,2,FALSE()),"")</f>
        <v>Reprogramada · No disponibilidad de horas hombre del servicio técnico externo</v>
      </c>
      <c r="L703" s="52" t="n">
        <v>46096</v>
      </c>
      <c r="M703" s="50" t="s">
        <v>353</v>
      </c>
      <c r="N703" s="50" t="s">
        <v>253</v>
      </c>
      <c r="O703" s="50"/>
      <c r="P703" s="50"/>
      <c r="Q703" s="50" t="s">
        <v>362</v>
      </c>
    </row>
    <row r="704" customFormat="false" ht="15" hidden="false" customHeight="true" outlineLevel="0" collapsed="false">
      <c r="A704" s="51" t="s">
        <v>869</v>
      </c>
      <c r="B704" s="50" t="str">
        <f aca="false">IFERROR(VLOOKUP($A704,Equipos!$C$2:$M$967,2,FALSE()),"")</f>
        <v>Máquina de Anestesia</v>
      </c>
      <c r="C704" s="50" t="str">
        <f aca="false">IFERROR(VLOOKUP($A704,Equipos!$C$2:$M$967,9,FALSE()),"")</f>
        <v>ASHB-0262</v>
      </c>
      <c r="D704" s="50" t="str">
        <f aca="false">IFERROR(VLOOKUP($A704,Equipos!$C$2:$M$967,3,FALSE()),"")</f>
        <v>Pabellón Quirúrgico</v>
      </c>
      <c r="E704" s="50" t="str">
        <f aca="false">IFERROR(VLOOKUP($A704,Equipos!$C$2:$M$967,7,FALSE()),"")</f>
        <v>Drager </v>
      </c>
      <c r="F704" s="50" t="str">
        <f aca="false">IFERROR(VLOOKUP($A704,Equipos!$C$2:$M$967,8,FALSE()),"")</f>
        <v>Primus IE</v>
      </c>
      <c r="G704" s="50" t="s">
        <v>691</v>
      </c>
      <c r="H704" s="50" t="s">
        <v>360</v>
      </c>
      <c r="I704" s="50"/>
      <c r="J704" s="50" t="s">
        <v>331</v>
      </c>
      <c r="K704" s="50" t="str">
        <f aca="false">IFERROR(VLOOKUP($J704,Catálogos!$M$4:$N$17,2,FALSE()),"")</f>
        <v>Reprogramada · Equipo no operativo, a la espera de repuestos o accesorios</v>
      </c>
      <c r="L704" s="52" t="n">
        <v>46096</v>
      </c>
      <c r="M704" s="50" t="s">
        <v>355</v>
      </c>
      <c r="N704" s="50" t="s">
        <v>253</v>
      </c>
      <c r="O704" s="50"/>
      <c r="P704" s="50"/>
      <c r="Q704" s="50" t="s">
        <v>362</v>
      </c>
    </row>
    <row r="705" customFormat="false" ht="15" hidden="false" customHeight="true" outlineLevel="0" collapsed="false">
      <c r="A705" s="51" t="s">
        <v>870</v>
      </c>
      <c r="B705" s="50" t="str">
        <f aca="false">IFERROR(VLOOKUP($A705,Equipos!$C$2:$M$967,2,FALSE()),"")</f>
        <v>Máquina de Anestesia</v>
      </c>
      <c r="C705" s="50" t="str">
        <f aca="false">IFERROR(VLOOKUP($A705,Equipos!$C$2:$M$967,9,FALSE()),"")</f>
        <v>ASHB-0263</v>
      </c>
      <c r="D705" s="50" t="str">
        <f aca="false">IFERROR(VLOOKUP($A705,Equipos!$C$2:$M$967,3,FALSE()),"")</f>
        <v>Pabellones Gineco-Obstétricos</v>
      </c>
      <c r="E705" s="50" t="str">
        <f aca="false">IFERROR(VLOOKUP($A705,Equipos!$C$2:$M$967,7,FALSE()),"")</f>
        <v>Drager</v>
      </c>
      <c r="F705" s="50" t="str">
        <f aca="false">IFERROR(VLOOKUP($A705,Equipos!$C$2:$M$967,8,FALSE()),"")</f>
        <v>Primus IE</v>
      </c>
      <c r="G705" s="50" t="s">
        <v>691</v>
      </c>
      <c r="H705" s="50" t="s">
        <v>360</v>
      </c>
      <c r="I705" s="50"/>
      <c r="J705" s="50" t="s">
        <v>352</v>
      </c>
      <c r="K705" s="50" t="str">
        <f aca="false">IFERROR(VLOOKUP($J705,Catálogos!$M$4:$N$17,2,FALSE()),"")</f>
        <v>Mantención Preventiva Realizada</v>
      </c>
      <c r="L705" s="52" t="n">
        <v>46096</v>
      </c>
      <c r="M705" s="50" t="s">
        <v>353</v>
      </c>
      <c r="N705" s="50" t="s">
        <v>253</v>
      </c>
      <c r="O705" s="50"/>
      <c r="P705" s="50"/>
      <c r="Q705" s="50" t="s">
        <v>362</v>
      </c>
    </row>
    <row r="706" customFormat="false" ht="15" hidden="false" customHeight="true" outlineLevel="0" collapsed="false">
      <c r="A706" s="51" t="s">
        <v>871</v>
      </c>
      <c r="B706" s="50" t="str">
        <f aca="false">IFERROR(VLOOKUP($A706,Equipos!$C$2:$M$967,2,FALSE()),"")</f>
        <v>Máquina de Anestesia</v>
      </c>
      <c r="C706" s="50" t="str">
        <f aca="false">IFERROR(VLOOKUP($A706,Equipos!$C$2:$M$967,9,FALSE()),"")</f>
        <v>ARXK-0015</v>
      </c>
      <c r="D706" s="50" t="str">
        <f aca="false">IFERROR(VLOOKUP($A706,Equipos!$C$2:$M$967,3,FALSE()),"")</f>
        <v>Pabellón (Prestado a Hemodinamia)</v>
      </c>
      <c r="E706" s="50" t="str">
        <f aca="false">IFERROR(VLOOKUP($A706,Equipos!$C$2:$M$967,7,FALSE()),"")</f>
        <v>Drager</v>
      </c>
      <c r="F706" s="50" t="str">
        <f aca="false">IFERROR(VLOOKUP($A706,Equipos!$C$2:$M$967,8,FALSE()),"")</f>
        <v>Primus</v>
      </c>
      <c r="G706" s="50" t="s">
        <v>691</v>
      </c>
      <c r="H706" s="50" t="s">
        <v>360</v>
      </c>
      <c r="I706" s="50"/>
      <c r="J706" s="50" t="s">
        <v>805</v>
      </c>
      <c r="K706" s="50" t="str">
        <f aca="false">IFERROR(VLOOKUP($J706,Catálogos!$M$4:$N$17,2,FALSE()),"")</f>
        <v>Reprogramada · No disponibilidad de horas hombre del servicio técnico externo</v>
      </c>
      <c r="L706" s="52" t="n">
        <v>46096</v>
      </c>
      <c r="M706" s="50" t="s">
        <v>353</v>
      </c>
      <c r="N706" s="50" t="s">
        <v>253</v>
      </c>
      <c r="O706" s="50"/>
      <c r="P706" s="50"/>
      <c r="Q706" s="50" t="s">
        <v>362</v>
      </c>
    </row>
    <row r="707" customFormat="false" ht="15" hidden="false" customHeight="true" outlineLevel="0" collapsed="false">
      <c r="A707" s="51" t="s">
        <v>872</v>
      </c>
      <c r="B707" s="50" t="str">
        <f aca="false">IFERROR(VLOOKUP($A707,Equipos!$C$2:$M$967,2,FALSE()),"")</f>
        <v>Máquina de Anestesia</v>
      </c>
      <c r="C707" s="50" t="str">
        <f aca="false">IFERROR(VLOOKUP($A707,Equipos!$C$2:$M$967,9,FALSE()),"")</f>
        <v>AMTK00245</v>
      </c>
      <c r="D707" s="50" t="str">
        <f aca="false">IFERROR(VLOOKUP($A707,Equipos!$C$2:$M$967,3,FALSE()),"")</f>
        <v>Imagenología</v>
      </c>
      <c r="E707" s="50" t="str">
        <f aca="false">IFERROR(VLOOKUP($A707,Equipos!$C$2:$M$967,7,FALSE()),"")</f>
        <v>Datex Ohmeda </v>
      </c>
      <c r="F707" s="50" t="str">
        <f aca="false">IFERROR(VLOOKUP($A707,Equipos!$C$2:$M$967,8,FALSE()),"")</f>
        <v>Aestiva/5 MRI</v>
      </c>
      <c r="G707" s="50" t="s">
        <v>691</v>
      </c>
      <c r="H707" s="50" t="s">
        <v>360</v>
      </c>
      <c r="I707" s="50"/>
      <c r="J707" s="50" t="s">
        <v>805</v>
      </c>
      <c r="K707" s="50" t="str">
        <f aca="false">IFERROR(VLOOKUP($J707,Catálogos!$M$4:$N$17,2,FALSE()),"")</f>
        <v>Reprogramada · No disponibilidad de horas hombre del servicio técnico externo</v>
      </c>
      <c r="L707" s="52" t="n">
        <v>46096</v>
      </c>
      <c r="M707" s="50" t="s">
        <v>353</v>
      </c>
      <c r="N707" s="50" t="s">
        <v>253</v>
      </c>
      <c r="O707" s="50"/>
      <c r="P707" s="50"/>
      <c r="Q707" s="50" t="s">
        <v>362</v>
      </c>
    </row>
    <row r="708" customFormat="false" ht="15" hidden="false" customHeight="true" outlineLevel="0" collapsed="false">
      <c r="A708" s="51" t="s">
        <v>873</v>
      </c>
      <c r="B708" s="50" t="str">
        <f aca="false">IFERROR(VLOOKUP($A708,Equipos!$C$2:$M$967,2,FALSE()),"")</f>
        <v>Máquina de Anestesia</v>
      </c>
      <c r="C708" s="50" t="str">
        <f aca="false">IFERROR(VLOOKUP($A708,Equipos!$C$2:$M$967,9,FALSE()),"")</f>
        <v>ARYL-0080</v>
      </c>
      <c r="D708" s="50" t="str">
        <f aca="false">IFERROR(VLOOKUP($A708,Equipos!$C$2:$M$967,3,FALSE()),"")</f>
        <v>Pabellón Quirúrgico</v>
      </c>
      <c r="E708" s="50" t="str">
        <f aca="false">IFERROR(VLOOKUP($A708,Equipos!$C$2:$M$967,7,FALSE()),"")</f>
        <v>Drager</v>
      </c>
      <c r="F708" s="50" t="str">
        <f aca="false">IFERROR(VLOOKUP($A708,Equipos!$C$2:$M$967,8,FALSE()),"")</f>
        <v>Fabius GS</v>
      </c>
      <c r="G708" s="50" t="s">
        <v>691</v>
      </c>
      <c r="H708" s="50" t="s">
        <v>360</v>
      </c>
      <c r="I708" s="50"/>
      <c r="J708" s="50" t="s">
        <v>805</v>
      </c>
      <c r="K708" s="50" t="str">
        <f aca="false">IFERROR(VLOOKUP($J708,Catálogos!$M$4:$N$17,2,FALSE()),"")</f>
        <v>Reprogramada · No disponibilidad de horas hombre del servicio técnico externo</v>
      </c>
      <c r="L708" s="52" t="n">
        <v>46096</v>
      </c>
      <c r="M708" s="50" t="s">
        <v>353</v>
      </c>
      <c r="N708" s="50" t="s">
        <v>253</v>
      </c>
      <c r="O708" s="50"/>
      <c r="P708" s="50"/>
      <c r="Q708" s="50" t="s">
        <v>362</v>
      </c>
    </row>
    <row r="709" customFormat="false" ht="15" hidden="false" customHeight="true" outlineLevel="0" collapsed="false">
      <c r="A709" s="51" t="s">
        <v>259</v>
      </c>
      <c r="B709" s="50" t="str">
        <f aca="false">IFERROR(VLOOKUP($A709,Equipos!$C$2:$M$967,2,FALSE()),"")</f>
        <v>Máquina de Anestesia</v>
      </c>
      <c r="C709" s="50" t="str">
        <f aca="false">IFERROR(VLOOKUP($A709,Equipos!$C$2:$M$967,9,FALSE()),"")</f>
        <v>ASDK-0158</v>
      </c>
      <c r="D709" s="50" t="str">
        <f aca="false">IFERROR(VLOOKUP($A709,Equipos!$C$2:$M$967,3,FALSE()),"")</f>
        <v>Pabellón Quirúrgico</v>
      </c>
      <c r="E709" s="50" t="str">
        <f aca="false">IFERROR(VLOOKUP($A709,Equipos!$C$2:$M$967,7,FALSE()),"")</f>
        <v>Drager </v>
      </c>
      <c r="F709" s="50" t="str">
        <f aca="false">IFERROR(VLOOKUP($A709,Equipos!$C$2:$M$967,8,FALSE()),"")</f>
        <v>Primus </v>
      </c>
      <c r="G709" s="50" t="s">
        <v>691</v>
      </c>
      <c r="H709" s="50" t="s">
        <v>360</v>
      </c>
      <c r="I709" s="50"/>
      <c r="J709" s="50" t="s">
        <v>805</v>
      </c>
      <c r="K709" s="50" t="str">
        <f aca="false">IFERROR(VLOOKUP($J709,Catálogos!$M$4:$N$17,2,FALSE()),"")</f>
        <v>Reprogramada · No disponibilidad de horas hombre del servicio técnico externo</v>
      </c>
      <c r="L709" s="52" t="n">
        <v>46096</v>
      </c>
      <c r="M709" s="50" t="s">
        <v>353</v>
      </c>
      <c r="N709" s="50" t="s">
        <v>253</v>
      </c>
      <c r="O709" s="50"/>
      <c r="P709" s="50"/>
      <c r="Q709" s="50" t="s">
        <v>362</v>
      </c>
    </row>
    <row r="710" customFormat="false" ht="15" hidden="false" customHeight="true" outlineLevel="0" collapsed="false">
      <c r="A710" s="51" t="s">
        <v>136</v>
      </c>
      <c r="B710" s="50" t="str">
        <f aca="false">IFERROR(VLOOKUP($A710,Equipos!$C$2:$M$967,2,FALSE()),"")</f>
        <v>Máquina de Anestesia</v>
      </c>
      <c r="C710" s="50" t="str">
        <f aca="false">IFERROR(VLOOKUP($A710,Equipos!$C$2:$M$967,9,FALSE()),"")</f>
        <v>ARYA-0174</v>
      </c>
      <c r="D710" s="50" t="str">
        <f aca="false">IFERROR(VLOOKUP($A710,Equipos!$C$2:$M$967,3,FALSE()),"")</f>
        <v>Pabellón Quirúrgico</v>
      </c>
      <c r="E710" s="50" t="str">
        <f aca="false">IFERROR(VLOOKUP($A710,Equipos!$C$2:$M$967,7,FALSE()),"")</f>
        <v>Drager</v>
      </c>
      <c r="F710" s="50" t="str">
        <f aca="false">IFERROR(VLOOKUP($A710,Equipos!$C$2:$M$967,8,FALSE()),"")</f>
        <v>Primus </v>
      </c>
      <c r="G710" s="50" t="s">
        <v>691</v>
      </c>
      <c r="H710" s="50" t="s">
        <v>360</v>
      </c>
      <c r="I710" s="50"/>
      <c r="J710" s="50" t="s">
        <v>805</v>
      </c>
      <c r="K710" s="50" t="str">
        <f aca="false">IFERROR(VLOOKUP($J710,Catálogos!$M$4:$N$17,2,FALSE()),"")</f>
        <v>Reprogramada · No disponibilidad de horas hombre del servicio técnico externo</v>
      </c>
      <c r="L710" s="52" t="n">
        <v>46096</v>
      </c>
      <c r="M710" s="50" t="s">
        <v>353</v>
      </c>
      <c r="N710" s="50" t="s">
        <v>253</v>
      </c>
      <c r="O710" s="50"/>
      <c r="P710" s="50"/>
      <c r="Q710" s="50" t="s">
        <v>362</v>
      </c>
    </row>
    <row r="711" customFormat="false" ht="15" hidden="false" customHeight="true" outlineLevel="0" collapsed="false">
      <c r="A711" s="51" t="s">
        <v>133</v>
      </c>
      <c r="B711" s="50" t="str">
        <f aca="false">IFERROR(VLOOKUP($A711,Equipos!$C$2:$M$967,2,FALSE()),"")</f>
        <v>Máquina de Anestesia</v>
      </c>
      <c r="C711" s="50" t="str">
        <f aca="false">IFERROR(VLOOKUP($A711,Equipos!$C$2:$M$967,9,FALSE()),"")</f>
        <v>ASMB-0230</v>
      </c>
      <c r="D711" s="50" t="str">
        <f aca="false">IFERROR(VLOOKUP($A711,Equipos!$C$2:$M$967,3,FALSE()),"")</f>
        <v>Pabellón Quirúrgico</v>
      </c>
      <c r="E711" s="50" t="str">
        <f aca="false">IFERROR(VLOOKUP($A711,Equipos!$C$2:$M$967,7,FALSE()),"")</f>
        <v>Drager</v>
      </c>
      <c r="F711" s="50" t="str">
        <f aca="false">IFERROR(VLOOKUP($A711,Equipos!$C$2:$M$967,8,FALSE()),"")</f>
        <v>Primus IE</v>
      </c>
      <c r="G711" s="50" t="s">
        <v>691</v>
      </c>
      <c r="H711" s="50" t="s">
        <v>360</v>
      </c>
      <c r="I711" s="50"/>
      <c r="J711" s="50" t="s">
        <v>805</v>
      </c>
      <c r="K711" s="50" t="str">
        <f aca="false">IFERROR(VLOOKUP($J711,Catálogos!$M$4:$N$17,2,FALSE()),"")</f>
        <v>Reprogramada · No disponibilidad de horas hombre del servicio técnico externo</v>
      </c>
      <c r="L711" s="52" t="n">
        <v>46096</v>
      </c>
      <c r="M711" s="50" t="s">
        <v>353</v>
      </c>
      <c r="N711" s="50" t="s">
        <v>253</v>
      </c>
      <c r="O711" s="50"/>
      <c r="P711" s="50"/>
      <c r="Q711" s="50" t="s">
        <v>362</v>
      </c>
    </row>
    <row r="712" customFormat="false" ht="15" hidden="false" customHeight="true" outlineLevel="0" collapsed="false">
      <c r="A712" s="51" t="s">
        <v>874</v>
      </c>
      <c r="B712" s="50" t="str">
        <f aca="false">IFERROR(VLOOKUP($A712,Equipos!$C$2:$M$967,2,FALSE()),"")</f>
        <v>Máquina de Anestesia</v>
      </c>
      <c r="C712" s="50" t="str">
        <f aca="false">IFERROR(VLOOKUP($A712,Equipos!$C$2:$M$967,9,FALSE()),"")</f>
        <v>ASCB-0129</v>
      </c>
      <c r="D712" s="50" t="str">
        <f aca="false">IFERROR(VLOOKUP($A712,Equipos!$C$2:$M$967,3,FALSE()),"")</f>
        <v>Pabellón Quirúrgico</v>
      </c>
      <c r="E712" s="50" t="str">
        <f aca="false">IFERROR(VLOOKUP($A712,Equipos!$C$2:$M$967,7,FALSE()),"")</f>
        <v>Drager </v>
      </c>
      <c r="F712" s="50" t="str">
        <f aca="false">IFERROR(VLOOKUP($A712,Equipos!$C$2:$M$967,8,FALSE()),"")</f>
        <v>Primus</v>
      </c>
      <c r="G712" s="50" t="s">
        <v>691</v>
      </c>
      <c r="H712" s="50" t="s">
        <v>360</v>
      </c>
      <c r="I712" s="50"/>
      <c r="J712" s="50" t="s">
        <v>352</v>
      </c>
      <c r="K712" s="50" t="str">
        <f aca="false">IFERROR(VLOOKUP($J712,Catálogos!$M$4:$N$17,2,FALSE()),"")</f>
        <v>Mantención Preventiva Realizada</v>
      </c>
      <c r="L712" s="52" t="n">
        <v>46096</v>
      </c>
      <c r="M712" s="50" t="s">
        <v>353</v>
      </c>
      <c r="N712" s="50" t="s">
        <v>253</v>
      </c>
      <c r="O712" s="50"/>
      <c r="P712" s="50"/>
      <c r="Q712" s="50" t="s">
        <v>362</v>
      </c>
    </row>
    <row r="713" customFormat="false" ht="15" hidden="false" customHeight="true" outlineLevel="0" collapsed="false">
      <c r="A713" s="51" t="s">
        <v>875</v>
      </c>
      <c r="B713" s="50" t="str">
        <f aca="false">IFERROR(VLOOKUP($A713,Equipos!$C$2:$M$967,2,FALSE()),"")</f>
        <v>Máquina de Anestesia</v>
      </c>
      <c r="C713" s="50" t="str">
        <f aca="false">IFERROR(VLOOKUP($A713,Equipos!$C$2:$M$967,9,FALSE()),"")</f>
        <v>ASCB-0130</v>
      </c>
      <c r="D713" s="50" t="str">
        <f aca="false">IFERROR(VLOOKUP($A713,Equipos!$C$2:$M$967,3,FALSE()),"")</f>
        <v>Pabellón Quirúrgico (Prestado a Imagenología)</v>
      </c>
      <c r="E713" s="50" t="str">
        <f aca="false">IFERROR(VLOOKUP($A713,Equipos!$C$2:$M$967,7,FALSE()),"")</f>
        <v>Drager </v>
      </c>
      <c r="F713" s="50" t="str">
        <f aca="false">IFERROR(VLOOKUP($A713,Equipos!$C$2:$M$967,8,FALSE()),"")</f>
        <v>Primus </v>
      </c>
      <c r="G713" s="50" t="s">
        <v>691</v>
      </c>
      <c r="H713" s="50" t="s">
        <v>360</v>
      </c>
      <c r="I713" s="50"/>
      <c r="J713" s="50" t="s">
        <v>331</v>
      </c>
      <c r="K713" s="50" t="str">
        <f aca="false">IFERROR(VLOOKUP($J713,Catálogos!$M$4:$N$17,2,FALSE()),"")</f>
        <v>Reprogramada · Equipo no operativo, a la espera de repuestos o accesorios</v>
      </c>
      <c r="L713" s="52" t="n">
        <v>46096</v>
      </c>
      <c r="M713" s="50" t="s">
        <v>355</v>
      </c>
      <c r="N713" s="50" t="s">
        <v>253</v>
      </c>
      <c r="O713" s="50"/>
      <c r="P713" s="50"/>
      <c r="Q713" s="50" t="s">
        <v>362</v>
      </c>
    </row>
    <row r="714" customFormat="false" ht="15" hidden="false" customHeight="true" outlineLevel="0" collapsed="false">
      <c r="A714" s="51" t="s">
        <v>876</v>
      </c>
      <c r="B714" s="50" t="str">
        <f aca="false">IFERROR(VLOOKUP($A714,Equipos!$C$2:$M$967,2,FALSE()),"")</f>
        <v>Máquina de Anestesia</v>
      </c>
      <c r="C714" s="50" t="str">
        <f aca="false">IFERROR(VLOOKUP($A714,Equipos!$C$2:$M$967,9,FALSE()),"")</f>
        <v>ASMB-0232</v>
      </c>
      <c r="D714" s="50" t="str">
        <f aca="false">IFERROR(VLOOKUP($A714,Equipos!$C$2:$M$967,3,FALSE()),"")</f>
        <v>Pabellón Quirúrgico (Prestado a Pabellón CMA)</v>
      </c>
      <c r="E714" s="50" t="str">
        <f aca="false">IFERROR(VLOOKUP($A714,Equipos!$C$2:$M$967,7,FALSE()),"")</f>
        <v>Drager</v>
      </c>
      <c r="F714" s="50" t="str">
        <f aca="false">IFERROR(VLOOKUP($A714,Equipos!$C$2:$M$967,8,FALSE()),"")</f>
        <v>Primus IE</v>
      </c>
      <c r="G714" s="50" t="s">
        <v>691</v>
      </c>
      <c r="H714" s="50" t="s">
        <v>360</v>
      </c>
      <c r="I714" s="50"/>
      <c r="J714" s="50" t="s">
        <v>805</v>
      </c>
      <c r="K714" s="50" t="str">
        <f aca="false">IFERROR(VLOOKUP($J714,Catálogos!$M$4:$N$17,2,FALSE()),"")</f>
        <v>Reprogramada · No disponibilidad de horas hombre del servicio técnico externo</v>
      </c>
      <c r="L714" s="52" t="n">
        <v>46096</v>
      </c>
      <c r="M714" s="50" t="s">
        <v>353</v>
      </c>
      <c r="N714" s="50" t="s">
        <v>253</v>
      </c>
      <c r="O714" s="50"/>
      <c r="P714" s="50"/>
      <c r="Q714" s="50" t="s">
        <v>362</v>
      </c>
    </row>
    <row r="715" customFormat="false" ht="15" hidden="false" customHeight="true" outlineLevel="0" collapsed="false">
      <c r="A715" s="51" t="s">
        <v>877</v>
      </c>
      <c r="B715" s="50" t="str">
        <f aca="false">IFERROR(VLOOKUP($A715,Equipos!$C$2:$M$967,2,FALSE()),"")</f>
        <v>Máquina de Anestesia</v>
      </c>
      <c r="C715" s="50" t="str">
        <f aca="false">IFERROR(VLOOKUP($A715,Equipos!$C$2:$M$967,9,FALSE()),"")</f>
        <v>ARXK-0016</v>
      </c>
      <c r="D715" s="50" t="str">
        <f aca="false">IFERROR(VLOOKUP($A715,Equipos!$C$2:$M$967,3,FALSE()),"")</f>
        <v>Pabellón Quirúrgico</v>
      </c>
      <c r="E715" s="50" t="str">
        <f aca="false">IFERROR(VLOOKUP($A715,Equipos!$C$2:$M$967,7,FALSE()),"")</f>
        <v>Drager </v>
      </c>
      <c r="F715" s="50" t="str">
        <f aca="false">IFERROR(VLOOKUP($A715,Equipos!$C$2:$M$967,8,FALSE()),"")</f>
        <v>Primus</v>
      </c>
      <c r="G715" s="50" t="s">
        <v>691</v>
      </c>
      <c r="H715" s="50" t="s">
        <v>360</v>
      </c>
      <c r="I715" s="50"/>
      <c r="J715" s="50" t="s">
        <v>805</v>
      </c>
      <c r="K715" s="50" t="str">
        <f aca="false">IFERROR(VLOOKUP($J715,Catálogos!$M$4:$N$17,2,FALSE()),"")</f>
        <v>Reprogramada · No disponibilidad de horas hombre del servicio técnico externo</v>
      </c>
      <c r="L715" s="52" t="n">
        <v>46096</v>
      </c>
      <c r="M715" s="50" t="s">
        <v>353</v>
      </c>
      <c r="N715" s="50" t="s">
        <v>253</v>
      </c>
      <c r="O715" s="50"/>
      <c r="P715" s="50"/>
      <c r="Q715" s="50" t="s">
        <v>362</v>
      </c>
    </row>
    <row r="716" customFormat="false" ht="15" hidden="false" customHeight="true" outlineLevel="0" collapsed="false">
      <c r="A716" s="51" t="s">
        <v>252</v>
      </c>
      <c r="B716" s="50" t="str">
        <f aca="false">IFERROR(VLOOKUP($A716,Equipos!$C$2:$M$967,2,FALSE()),"")</f>
        <v>Máquina de Anestesia</v>
      </c>
      <c r="C716" s="50" t="str">
        <f aca="false">IFERROR(VLOOKUP($A716,Equipos!$C$2:$M$967,9,FALSE()),"")</f>
        <v>ARYA-0173</v>
      </c>
      <c r="D716" s="50" t="str">
        <f aca="false">IFERROR(VLOOKUP($A716,Equipos!$C$2:$M$967,3,FALSE()),"")</f>
        <v>Pabellón Quirúrgico (Prestado a Imagenología)</v>
      </c>
      <c r="E716" s="50" t="str">
        <f aca="false">IFERROR(VLOOKUP($A716,Equipos!$C$2:$M$967,7,FALSE()),"")</f>
        <v>Drager </v>
      </c>
      <c r="F716" s="50" t="str">
        <f aca="false">IFERROR(VLOOKUP($A716,Equipos!$C$2:$M$967,8,FALSE()),"")</f>
        <v>Primus </v>
      </c>
      <c r="G716" s="50" t="s">
        <v>691</v>
      </c>
      <c r="H716" s="50" t="s">
        <v>360</v>
      </c>
      <c r="I716" s="50"/>
      <c r="J716" s="50" t="s">
        <v>805</v>
      </c>
      <c r="K716" s="50" t="str">
        <f aca="false">IFERROR(VLOOKUP($J716,Catálogos!$M$4:$N$17,2,FALSE()),"")</f>
        <v>Reprogramada · No disponibilidad de horas hombre del servicio técnico externo</v>
      </c>
      <c r="L716" s="52" t="n">
        <v>46096</v>
      </c>
      <c r="M716" s="50" t="s">
        <v>353</v>
      </c>
      <c r="N716" s="50" t="s">
        <v>253</v>
      </c>
      <c r="O716" s="50"/>
      <c r="P716" s="50"/>
      <c r="Q716" s="50" t="s">
        <v>362</v>
      </c>
    </row>
    <row r="717" customFormat="false" ht="15" hidden="false" customHeight="true" outlineLevel="0" collapsed="false">
      <c r="A717" s="51" t="s">
        <v>878</v>
      </c>
      <c r="B717" s="50" t="str">
        <f aca="false">IFERROR(VLOOKUP($A717,Equipos!$C$2:$M$967,2,FALSE()),"")</f>
        <v>Máquina de Anestesia</v>
      </c>
      <c r="C717" s="50" t="str">
        <f aca="false">IFERROR(VLOOKUP($A717,Equipos!$C$2:$M$967,9,FALSE()),"")</f>
        <v>ARXN-0048</v>
      </c>
      <c r="D717" s="50" t="str">
        <f aca="false">IFERROR(VLOOKUP($A717,Equipos!$C$2:$M$967,3,FALSE()),"")</f>
        <v>Pabellón Quirúrgico (Prestado a Electrofisiología)</v>
      </c>
      <c r="E717" s="50" t="str">
        <f aca="false">IFERROR(VLOOKUP($A717,Equipos!$C$2:$M$967,7,FALSE()),"")</f>
        <v>Drager </v>
      </c>
      <c r="F717" s="50" t="str">
        <f aca="false">IFERROR(VLOOKUP($A717,Equipos!$C$2:$M$967,8,FALSE()),"")</f>
        <v>Fabius GS</v>
      </c>
      <c r="G717" s="50" t="s">
        <v>691</v>
      </c>
      <c r="H717" s="50" t="s">
        <v>360</v>
      </c>
      <c r="I717" s="50"/>
      <c r="J717" s="50" t="s">
        <v>331</v>
      </c>
      <c r="K717" s="50" t="str">
        <f aca="false">IFERROR(VLOOKUP($J717,Catálogos!$M$4:$N$17,2,FALSE()),"")</f>
        <v>Reprogramada · Equipo no operativo, a la espera de repuestos o accesorios</v>
      </c>
      <c r="L717" s="52" t="n">
        <v>46096</v>
      </c>
      <c r="M717" s="50" t="s">
        <v>355</v>
      </c>
      <c r="N717" s="50" t="s">
        <v>253</v>
      </c>
      <c r="O717" s="50"/>
      <c r="P717" s="50"/>
      <c r="Q717" s="50" t="s">
        <v>362</v>
      </c>
    </row>
    <row r="718" customFormat="false" ht="15" hidden="false" customHeight="true" outlineLevel="0" collapsed="false">
      <c r="A718" s="51" t="s">
        <v>879</v>
      </c>
      <c r="B718" s="50" t="str">
        <f aca="false">IFERROR(VLOOKUP($A718,Equipos!$C$2:$M$967,2,FALSE()),"")</f>
        <v>Máquina de Anestesia</v>
      </c>
      <c r="C718" s="50" t="str">
        <f aca="false">IFERROR(VLOOKUP($A718,Equipos!$C$2:$M$967,9,FALSE()),"")</f>
        <v>ASRJ-0185</v>
      </c>
      <c r="D718" s="50" t="str">
        <f aca="false">IFERROR(VLOOKUP($A718,Equipos!$C$2:$M$967,3,FALSE()),"")</f>
        <v>Pabellones Gineco-Obstétricos</v>
      </c>
      <c r="E718" s="50" t="str">
        <f aca="false">IFERROR(VLOOKUP($A718,Equipos!$C$2:$M$967,7,FALSE()),"")</f>
        <v>Drager </v>
      </c>
      <c r="F718" s="50" t="str">
        <f aca="false">IFERROR(VLOOKUP($A718,Equipos!$C$2:$M$967,8,FALSE()),"")</f>
        <v>Perseus A500</v>
      </c>
      <c r="G718" s="50" t="s">
        <v>691</v>
      </c>
      <c r="H718" s="50" t="s">
        <v>360</v>
      </c>
      <c r="I718" s="50"/>
      <c r="J718" s="50" t="s">
        <v>805</v>
      </c>
      <c r="K718" s="50" t="str">
        <f aca="false">IFERROR(VLOOKUP($J718,Catálogos!$M$4:$N$17,2,FALSE()),"")</f>
        <v>Reprogramada · No disponibilidad de horas hombre del servicio técnico externo</v>
      </c>
      <c r="L718" s="52" t="n">
        <v>46096</v>
      </c>
      <c r="M718" s="50" t="s">
        <v>353</v>
      </c>
      <c r="N718" s="50" t="s">
        <v>253</v>
      </c>
      <c r="O718" s="50"/>
      <c r="P718" s="50"/>
      <c r="Q718" s="50" t="s">
        <v>362</v>
      </c>
    </row>
    <row r="719" customFormat="false" ht="15" hidden="false" customHeight="true" outlineLevel="0" collapsed="false">
      <c r="A719" s="51" t="s">
        <v>880</v>
      </c>
      <c r="B719" s="50" t="str">
        <f aca="false">IFERROR(VLOOKUP($A719,Equipos!$C$2:$M$967,2,FALSE()),"")</f>
        <v>Máquina de Anestesia</v>
      </c>
      <c r="C719" s="50" t="str">
        <f aca="false">IFERROR(VLOOKUP($A719,Equipos!$C$2:$M$967,9,FALSE()),"")</f>
        <v>ASLJ-0308</v>
      </c>
      <c r="D719" s="50" t="str">
        <f aca="false">IFERROR(VLOOKUP($A719,Equipos!$C$2:$M$967,3,FALSE()),"")</f>
        <v>Pabellones Gineco-Obstétricos</v>
      </c>
      <c r="E719" s="50" t="str">
        <f aca="false">IFERROR(VLOOKUP($A719,Equipos!$C$2:$M$967,7,FALSE()),"")</f>
        <v>Drager </v>
      </c>
      <c r="F719" s="50" t="str">
        <f aca="false">IFERROR(VLOOKUP($A719,Equipos!$C$2:$M$967,8,FALSE()),"")</f>
        <v>Primus IE</v>
      </c>
      <c r="G719" s="50" t="s">
        <v>691</v>
      </c>
      <c r="H719" s="50" t="s">
        <v>360</v>
      </c>
      <c r="I719" s="50"/>
      <c r="J719" s="50" t="s">
        <v>805</v>
      </c>
      <c r="K719" s="50" t="str">
        <f aca="false">IFERROR(VLOOKUP($J719,Catálogos!$M$4:$N$17,2,FALSE()),"")</f>
        <v>Reprogramada · No disponibilidad de horas hombre del servicio técnico externo</v>
      </c>
      <c r="L719" s="52" t="n">
        <v>46096</v>
      </c>
      <c r="M719" s="50" t="s">
        <v>353</v>
      </c>
      <c r="N719" s="50" t="s">
        <v>253</v>
      </c>
      <c r="O719" s="50"/>
      <c r="P719" s="50"/>
      <c r="Q719" s="50" t="s">
        <v>362</v>
      </c>
    </row>
    <row r="720" customFormat="false" ht="15" hidden="false" customHeight="true" outlineLevel="0" collapsed="false">
      <c r="A720" s="51" t="s">
        <v>881</v>
      </c>
      <c r="B720" s="50" t="str">
        <f aca="false">IFERROR(VLOOKUP($A720,Equipos!$C$2:$M$967,2,FALSE()),"")</f>
        <v>Desfibrilador</v>
      </c>
      <c r="C720" s="50" t="str">
        <f aca="false">IFERROR(VLOOKUP($A720,Equipos!$C$2:$M$967,9,FALSE()),"")</f>
        <v>3945</v>
      </c>
      <c r="D720" s="50" t="str">
        <f aca="false">IFERROR(VLOOKUP($A720,Equipos!$C$2:$M$967,3,FALSE()),"")</f>
        <v>Hemato Oncología Adulto</v>
      </c>
      <c r="E720" s="50" t="str">
        <f aca="false">IFERROR(VLOOKUP($A720,Equipos!$C$2:$M$967,7,FALSE()),"")</f>
        <v>Nihon Kohden</v>
      </c>
      <c r="F720" s="50" t="str">
        <f aca="false">IFERROR(VLOOKUP($A720,Equipos!$C$2:$M$967,8,FALSE()),"")</f>
        <v>TEC-5631</v>
      </c>
      <c r="G720" s="50" t="s">
        <v>691</v>
      </c>
      <c r="H720" s="50" t="s">
        <v>360</v>
      </c>
      <c r="I720" s="50"/>
      <c r="J720" s="50" t="s">
        <v>352</v>
      </c>
      <c r="K720" s="50" t="str">
        <f aca="false">IFERROR(VLOOKUP($J720,Catálogos!$M$4:$N$17,2,FALSE()),"")</f>
        <v>Mantención Preventiva Realizada</v>
      </c>
      <c r="L720" s="52" t="n">
        <v>46096</v>
      </c>
      <c r="M720" s="50" t="s">
        <v>353</v>
      </c>
      <c r="N720" s="50" t="s">
        <v>253</v>
      </c>
      <c r="O720" s="50"/>
      <c r="P720" s="50"/>
      <c r="Q720" s="50" t="s">
        <v>362</v>
      </c>
    </row>
    <row r="721" customFormat="false" ht="15" hidden="false" customHeight="true" outlineLevel="0" collapsed="false">
      <c r="A721" s="51" t="s">
        <v>79</v>
      </c>
      <c r="B721" s="50" t="str">
        <f aca="false">IFERROR(VLOOKUP($A721,Equipos!$C$2:$M$967,2,FALSE()),"")</f>
        <v>DEA</v>
      </c>
      <c r="C721" s="50" t="str">
        <f aca="false">IFERROR(VLOOKUP($A721,Equipos!$C$2:$M$967,9,FALSE()),"")</f>
        <v>X21A332744</v>
      </c>
      <c r="D721" s="50" t="str">
        <f aca="false">IFERROR(VLOOKUP($A721,Equipos!$C$2:$M$967,3,FALSE()),"")</f>
        <v>Gestión de Pacientes</v>
      </c>
      <c r="E721" s="50" t="str">
        <f aca="false">IFERROR(VLOOKUP($A721,Equipos!$C$2:$M$967,7,FALSE()),"")</f>
        <v>Zoll</v>
      </c>
      <c r="F721" s="50" t="str">
        <f aca="false">IFERROR(VLOOKUP($A721,Equipos!$C$2:$M$967,8,FALSE()),"")</f>
        <v>AEDPLUS</v>
      </c>
      <c r="G721" s="50" t="s">
        <v>691</v>
      </c>
      <c r="H721" s="50" t="s">
        <v>360</v>
      </c>
      <c r="I721" s="50"/>
      <c r="J721" s="50" t="s">
        <v>352</v>
      </c>
      <c r="K721" s="50" t="str">
        <f aca="false">IFERROR(VLOOKUP($J721,Catálogos!$M$4:$N$17,2,FALSE()),"")</f>
        <v>Mantención Preventiva Realizada</v>
      </c>
      <c r="L721" s="52" t="n">
        <v>46096</v>
      </c>
      <c r="M721" s="50" t="s">
        <v>353</v>
      </c>
      <c r="N721" s="50" t="s">
        <v>253</v>
      </c>
      <c r="O721" s="50"/>
      <c r="P721" s="50"/>
      <c r="Q721" s="50" t="s">
        <v>362</v>
      </c>
    </row>
    <row r="722" customFormat="false" ht="15" hidden="false" customHeight="true" outlineLevel="0" collapsed="false">
      <c r="A722" s="51" t="s">
        <v>76</v>
      </c>
      <c r="B722" s="50" t="str">
        <f aca="false">IFERROR(VLOOKUP($A722,Equipos!$C$2:$M$967,2,FALSE()),"")</f>
        <v>DEA</v>
      </c>
      <c r="C722" s="50" t="str">
        <f aca="false">IFERROR(VLOOKUP($A722,Equipos!$C$2:$M$967,9,FALSE()),"")</f>
        <v>13036</v>
      </c>
      <c r="D722" s="50" t="str">
        <f aca="false">IFERROR(VLOOKUP($A722,Equipos!$C$2:$M$967,3,FALSE()),"")</f>
        <v>SAMU</v>
      </c>
      <c r="E722" s="50" t="str">
        <f aca="false">IFERROR(VLOOKUP($A722,Equipos!$C$2:$M$967,7,FALSE()),"")</f>
        <v>Nihon Kohden</v>
      </c>
      <c r="F722" s="50" t="str">
        <f aca="false">IFERROR(VLOOKUP($A722,Equipos!$C$2:$M$967,8,FALSE()),"")</f>
        <v>AED-3100K</v>
      </c>
      <c r="G722" s="50" t="s">
        <v>691</v>
      </c>
      <c r="H722" s="50" t="s">
        <v>360</v>
      </c>
      <c r="I722" s="50"/>
      <c r="J722" s="50" t="s">
        <v>352</v>
      </c>
      <c r="K722" s="50" t="str">
        <f aca="false">IFERROR(VLOOKUP($J722,Catálogos!$M$4:$N$17,2,FALSE()),"")</f>
        <v>Mantención Preventiva Realizada</v>
      </c>
      <c r="L722" s="52" t="n">
        <v>46096</v>
      </c>
      <c r="M722" s="50" t="s">
        <v>353</v>
      </c>
      <c r="N722" s="50" t="s">
        <v>253</v>
      </c>
      <c r="O722" s="50"/>
      <c r="P722" s="50"/>
      <c r="Q722" s="50" t="s">
        <v>362</v>
      </c>
    </row>
    <row r="723" customFormat="false" ht="15" hidden="false" customHeight="true" outlineLevel="0" collapsed="false">
      <c r="A723" s="51" t="s">
        <v>882</v>
      </c>
      <c r="B723" s="50" t="str">
        <f aca="false">IFERROR(VLOOKUP($A723,Equipos!$C$2:$M$967,2,FALSE()),"")</f>
        <v>Desfibrilador</v>
      </c>
      <c r="C723" s="50" t="str">
        <f aca="false">IFERROR(VLOOKUP($A723,Equipos!$C$2:$M$967,9,FALSE()),"")</f>
        <v>298</v>
      </c>
      <c r="D723" s="50" t="str">
        <f aca="false">IFERROR(VLOOKUP($A723,Equipos!$C$2:$M$967,3,FALSE()),"")</f>
        <v>Urgencia Adulto</v>
      </c>
      <c r="E723" s="50" t="str">
        <f aca="false">IFERROR(VLOOKUP($A723,Equipos!$C$2:$M$967,7,FALSE()),"")</f>
        <v>Nihon Kohden</v>
      </c>
      <c r="F723" s="50" t="str">
        <f aca="false">IFERROR(VLOOKUP($A723,Equipos!$C$2:$M$967,8,FALSE()),"")</f>
        <v>EMS-1052E</v>
      </c>
      <c r="G723" s="50" t="s">
        <v>691</v>
      </c>
      <c r="H723" s="50" t="s">
        <v>360</v>
      </c>
      <c r="I723" s="50"/>
      <c r="J723" s="50" t="s">
        <v>331</v>
      </c>
      <c r="K723" s="50" t="str">
        <f aca="false">IFERROR(VLOOKUP($J723,Catálogos!$M$4:$N$17,2,FALSE()),"")</f>
        <v>Reprogramada · Equipo no operativo, a la espera de repuestos o accesorios</v>
      </c>
      <c r="L723" s="52" t="n">
        <v>46096</v>
      </c>
      <c r="M723" s="50" t="s">
        <v>355</v>
      </c>
      <c r="N723" s="50" t="s">
        <v>253</v>
      </c>
      <c r="O723" s="50"/>
      <c r="P723" s="50"/>
      <c r="Q723" s="50" t="s">
        <v>362</v>
      </c>
    </row>
    <row r="724" customFormat="false" ht="15" hidden="false" customHeight="true" outlineLevel="0" collapsed="false">
      <c r="A724" s="51" t="s">
        <v>499</v>
      </c>
      <c r="B724" s="50" t="str">
        <f aca="false">IFERROR(VLOOKUP($A724,Equipos!$C$2:$M$967,2,FALSE()),"")</f>
        <v>Desfibrilador</v>
      </c>
      <c r="C724" s="50" t="str">
        <f aca="false">IFERROR(VLOOKUP($A724,Equipos!$C$2:$M$967,9,FALSE()),"")</f>
        <v>(21)AF19F099447</v>
      </c>
      <c r="D724" s="50" t="str">
        <f aca="false">IFERROR(VLOOKUP($A724,Equipos!$C$2:$M$967,3,FALSE()),"")</f>
        <v>UPC Cardiovascular</v>
      </c>
      <c r="E724" s="50" t="str">
        <f aca="false">IFERROR(VLOOKUP($A724,Equipos!$C$2:$M$967,7,FALSE()),"")</f>
        <v>Zoll</v>
      </c>
      <c r="F724" s="50" t="str">
        <f aca="false">IFERROR(VLOOKUP($A724,Equipos!$C$2:$M$967,8,FALSE()),"")</f>
        <v>R SERIES ALS</v>
      </c>
      <c r="G724" s="50" t="s">
        <v>691</v>
      </c>
      <c r="H724" s="50" t="s">
        <v>360</v>
      </c>
      <c r="I724" s="50"/>
      <c r="J724" s="50" t="s">
        <v>352</v>
      </c>
      <c r="K724" s="50" t="str">
        <f aca="false">IFERROR(VLOOKUP($J724,Catálogos!$M$4:$N$17,2,FALSE()),"")</f>
        <v>Mantención Preventiva Realizada</v>
      </c>
      <c r="L724" s="52" t="n">
        <v>46096</v>
      </c>
      <c r="M724" s="50" t="s">
        <v>353</v>
      </c>
      <c r="N724" s="50" t="s">
        <v>253</v>
      </c>
      <c r="O724" s="50"/>
      <c r="P724" s="50"/>
      <c r="Q724" s="50" t="s">
        <v>362</v>
      </c>
    </row>
    <row r="725" customFormat="false" ht="15" hidden="false" customHeight="true" outlineLevel="0" collapsed="false">
      <c r="A725" s="51" t="s">
        <v>883</v>
      </c>
      <c r="B725" s="50" t="str">
        <f aca="false">IFERROR(VLOOKUP($A725,Equipos!$C$2:$M$967,2,FALSE()),"")</f>
        <v>Desfibrilador</v>
      </c>
      <c r="C725" s="50" t="str">
        <f aca="false">IFERROR(VLOOKUP($A725,Equipos!$C$2:$M$967,9,FALSE()),"")</f>
        <v>7905</v>
      </c>
      <c r="D725" s="50" t="str">
        <f aca="false">IFERROR(VLOOKUP($A725,Equipos!$C$2:$M$967,3,FALSE()),"")</f>
        <v>Urgencia Infantil</v>
      </c>
      <c r="E725" s="50" t="str">
        <f aca="false">IFERROR(VLOOKUP($A725,Equipos!$C$2:$M$967,7,FALSE()),"")</f>
        <v>Nihon Kohden</v>
      </c>
      <c r="F725" s="50" t="str">
        <f aca="false">IFERROR(VLOOKUP($A725,Equipos!$C$2:$M$967,8,FALSE()),"")</f>
        <v>TEC-5631E</v>
      </c>
      <c r="G725" s="50" t="s">
        <v>691</v>
      </c>
      <c r="H725" s="50" t="s">
        <v>360</v>
      </c>
      <c r="I725" s="50"/>
      <c r="J725" s="50" t="s">
        <v>352</v>
      </c>
      <c r="K725" s="50" t="str">
        <f aca="false">IFERROR(VLOOKUP($J725,Catálogos!$M$4:$N$17,2,FALSE()),"")</f>
        <v>Mantención Preventiva Realizada</v>
      </c>
      <c r="L725" s="52" t="n">
        <v>46096</v>
      </c>
      <c r="M725" s="50" t="s">
        <v>353</v>
      </c>
      <c r="N725" s="50" t="s">
        <v>253</v>
      </c>
      <c r="O725" s="50"/>
      <c r="P725" s="50"/>
      <c r="Q725" s="50" t="s">
        <v>362</v>
      </c>
    </row>
    <row r="726" customFormat="false" ht="15" hidden="false" customHeight="true" outlineLevel="0" collapsed="false">
      <c r="A726" s="51" t="s">
        <v>884</v>
      </c>
      <c r="B726" s="50" t="str">
        <f aca="false">IFERROR(VLOOKUP($A726,Equipos!$C$2:$M$967,2,FALSE()),"")</f>
        <v>Desfibrilador</v>
      </c>
      <c r="C726" s="50" t="str">
        <f aca="false">IFERROR(VLOOKUP($A726,Equipos!$C$2:$M$967,9,FALSE()),"")</f>
        <v>(21)AF14J041073</v>
      </c>
      <c r="D726" s="50" t="str">
        <f aca="false">IFERROR(VLOOKUP($A726,Equipos!$C$2:$M$967,3,FALSE()),"")</f>
        <v>Electrofisiología</v>
      </c>
      <c r="E726" s="50" t="str">
        <f aca="false">IFERROR(VLOOKUP($A726,Equipos!$C$2:$M$967,7,FALSE()),"")</f>
        <v>Zoll </v>
      </c>
      <c r="F726" s="50" t="str">
        <f aca="false">IFERROR(VLOOKUP($A726,Equipos!$C$2:$M$967,8,FALSE()),"")</f>
        <v>R SERIES ALS</v>
      </c>
      <c r="G726" s="50" t="s">
        <v>691</v>
      </c>
      <c r="H726" s="50" t="s">
        <v>360</v>
      </c>
      <c r="I726" s="50"/>
      <c r="J726" s="50" t="s">
        <v>352</v>
      </c>
      <c r="K726" s="50" t="str">
        <f aca="false">IFERROR(VLOOKUP($J726,Catálogos!$M$4:$N$17,2,FALSE()),"")</f>
        <v>Mantención Preventiva Realizada</v>
      </c>
      <c r="L726" s="52" t="n">
        <v>46096</v>
      </c>
      <c r="M726" s="50" t="s">
        <v>353</v>
      </c>
      <c r="N726" s="50" t="s">
        <v>253</v>
      </c>
      <c r="O726" s="50"/>
      <c r="P726" s="50"/>
      <c r="Q726" s="50" t="s">
        <v>362</v>
      </c>
    </row>
    <row r="727" customFormat="false" ht="15" hidden="false" customHeight="true" outlineLevel="0" collapsed="false">
      <c r="A727" s="51" t="s">
        <v>885</v>
      </c>
      <c r="B727" s="50" t="str">
        <f aca="false">IFERROR(VLOOKUP($A727,Equipos!$C$2:$M$967,2,FALSE()),"")</f>
        <v>Desfibrilador</v>
      </c>
      <c r="C727" s="50" t="str">
        <f aca="false">IFERROR(VLOOKUP($A727,Equipos!$C$2:$M$967,9,FALSE()),"")</f>
        <v>DG-29006907</v>
      </c>
      <c r="D727" s="50" t="str">
        <f aca="false">IFERROR(VLOOKUP($A727,Equipos!$C$2:$M$967,3,FALSE()),"")</f>
        <v>Urgencia Infantil</v>
      </c>
      <c r="E727" s="50" t="str">
        <f aca="false">IFERROR(VLOOKUP($A727,Equipos!$C$2:$M$967,7,FALSE()),"")</f>
        <v>Mindray</v>
      </c>
      <c r="F727" s="50" t="str">
        <f aca="false">IFERROR(VLOOKUP($A727,Equipos!$C$2:$M$967,8,FALSE()),"")</f>
        <v>BeneHeart D6</v>
      </c>
      <c r="G727" s="50" t="s">
        <v>691</v>
      </c>
      <c r="H727" s="50" t="s">
        <v>360</v>
      </c>
      <c r="I727" s="50"/>
      <c r="J727" s="50" t="s">
        <v>352</v>
      </c>
      <c r="K727" s="50" t="str">
        <f aca="false">IFERROR(VLOOKUP($J727,Catálogos!$M$4:$N$17,2,FALSE()),"")</f>
        <v>Mantención Preventiva Realizada</v>
      </c>
      <c r="L727" s="52" t="n">
        <v>46096</v>
      </c>
      <c r="M727" s="50" t="s">
        <v>353</v>
      </c>
      <c r="N727" s="50" t="s">
        <v>253</v>
      </c>
      <c r="O727" s="50"/>
      <c r="P727" s="50"/>
      <c r="Q727" s="50" t="s">
        <v>362</v>
      </c>
    </row>
    <row r="728" customFormat="false" ht="15" hidden="false" customHeight="true" outlineLevel="0" collapsed="false">
      <c r="A728" s="51" t="s">
        <v>71</v>
      </c>
      <c r="B728" s="50" t="str">
        <f aca="false">IFERROR(VLOOKUP($A728,Equipos!$C$2:$M$967,2,FALSE()),"")</f>
        <v>DEA</v>
      </c>
      <c r="C728" s="50" t="str">
        <f aca="false">IFERROR(VLOOKUP($A728,Equipos!$C$2:$M$967,9,FALSE()),"")</f>
        <v>40361</v>
      </c>
      <c r="D728" s="50" t="str">
        <f aca="false">IFERROR(VLOOKUP($A728,Equipos!$C$2:$M$967,3,FALSE()),"")</f>
        <v>CDT</v>
      </c>
      <c r="E728" s="50" t="str">
        <f aca="false">IFERROR(VLOOKUP($A728,Equipos!$C$2:$M$967,7,FALSE()),"")</f>
        <v>Nihon Kohden</v>
      </c>
      <c r="F728" s="50" t="str">
        <f aca="false">IFERROR(VLOOKUP($A728,Equipos!$C$2:$M$967,8,FALSE()),"")</f>
        <v>AED-3100K</v>
      </c>
      <c r="G728" s="50" t="s">
        <v>691</v>
      </c>
      <c r="H728" s="50" t="s">
        <v>360</v>
      </c>
      <c r="I728" s="50"/>
      <c r="J728" s="50" t="s">
        <v>352</v>
      </c>
      <c r="K728" s="50" t="str">
        <f aca="false">IFERROR(VLOOKUP($J728,Catálogos!$M$4:$N$17,2,FALSE()),"")</f>
        <v>Mantención Preventiva Realizada</v>
      </c>
      <c r="L728" s="52" t="n">
        <v>46096</v>
      </c>
      <c r="M728" s="50" t="s">
        <v>353</v>
      </c>
      <c r="N728" s="50" t="s">
        <v>253</v>
      </c>
      <c r="O728" s="50"/>
      <c r="P728" s="50"/>
      <c r="Q728" s="50" t="s">
        <v>362</v>
      </c>
    </row>
    <row r="729" customFormat="false" ht="15" hidden="false" customHeight="true" outlineLevel="0" collapsed="false">
      <c r="A729" s="51" t="s">
        <v>68</v>
      </c>
      <c r="B729" s="50" t="str">
        <f aca="false">IFERROR(VLOOKUP($A729,Equipos!$C$2:$M$967,2,FALSE()),"")</f>
        <v>DEA</v>
      </c>
      <c r="C729" s="50" t="str">
        <f aca="false">IFERROR(VLOOKUP($A729,Equipos!$C$2:$M$967,9,FALSE()),"")</f>
        <v>122002985</v>
      </c>
      <c r="D729" s="50" t="str">
        <f aca="false">IFERROR(VLOOKUP($A729,Equipos!$C$2:$M$967,3,FALSE()),"")</f>
        <v>Prevención de Riesgos</v>
      </c>
      <c r="E729" s="50" t="str">
        <f aca="false">IFERROR(VLOOKUP($A729,Equipos!$C$2:$M$967,7,FALSE()),"")</f>
        <v>DEFIBTECH</v>
      </c>
      <c r="F729" s="50" t="str">
        <f aca="false">IFERROR(VLOOKUP($A729,Equipos!$C$2:$M$967,8,FALSE()),"")</f>
        <v>LIFE LINE </v>
      </c>
      <c r="G729" s="50" t="s">
        <v>691</v>
      </c>
      <c r="H729" s="50" t="s">
        <v>360</v>
      </c>
      <c r="I729" s="50"/>
      <c r="J729" s="50" t="s">
        <v>352</v>
      </c>
      <c r="K729" s="50" t="str">
        <f aca="false">IFERROR(VLOOKUP($J729,Catálogos!$M$4:$N$17,2,FALSE()),"")</f>
        <v>Mantención Preventiva Realizada</v>
      </c>
      <c r="L729" s="52" t="n">
        <v>46096</v>
      </c>
      <c r="M729" s="50" t="s">
        <v>353</v>
      </c>
      <c r="N729" s="50" t="s">
        <v>253</v>
      </c>
      <c r="O729" s="50"/>
      <c r="P729" s="50"/>
      <c r="Q729" s="50" t="s">
        <v>362</v>
      </c>
    </row>
    <row r="730" customFormat="false" ht="15" hidden="false" customHeight="true" outlineLevel="0" collapsed="false">
      <c r="A730" s="51" t="s">
        <v>105</v>
      </c>
      <c r="B730" s="50" t="str">
        <f aca="false">IFERROR(VLOOKUP($A730,Equipos!$C$2:$M$967,2,FALSE()),"")</f>
        <v>DEA</v>
      </c>
      <c r="C730" s="50" t="str">
        <f aca="false">IFERROR(VLOOKUP($A730,Equipos!$C$2:$M$967,9,FALSE()),"")</f>
        <v>122002988</v>
      </c>
      <c r="D730" s="50" t="str">
        <f aca="false">IFERROR(VLOOKUP($A730,Equipos!$C$2:$M$967,3,FALSE()),"")</f>
        <v>Prevención de Riesgos</v>
      </c>
      <c r="E730" s="50" t="str">
        <f aca="false">IFERROR(VLOOKUP($A730,Equipos!$C$2:$M$967,7,FALSE()),"")</f>
        <v>DEFIBTECH</v>
      </c>
      <c r="F730" s="50" t="str">
        <f aca="false">IFERROR(VLOOKUP($A730,Equipos!$C$2:$M$967,8,FALSE()),"")</f>
        <v>LIFE LINE </v>
      </c>
      <c r="G730" s="50" t="s">
        <v>691</v>
      </c>
      <c r="H730" s="50" t="s">
        <v>360</v>
      </c>
      <c r="I730" s="50"/>
      <c r="J730" s="50" t="s">
        <v>352</v>
      </c>
      <c r="K730" s="50" t="str">
        <f aca="false">IFERROR(VLOOKUP($J730,Catálogos!$M$4:$N$17,2,FALSE()),"")</f>
        <v>Mantención Preventiva Realizada</v>
      </c>
      <c r="L730" s="52" t="n">
        <v>46096</v>
      </c>
      <c r="M730" s="50" t="s">
        <v>353</v>
      </c>
      <c r="N730" s="50" t="s">
        <v>253</v>
      </c>
      <c r="O730" s="50"/>
      <c r="P730" s="50"/>
      <c r="Q730" s="50" t="s">
        <v>362</v>
      </c>
    </row>
    <row r="731" customFormat="false" ht="15" hidden="false" customHeight="true" outlineLevel="0" collapsed="false">
      <c r="A731" s="51" t="s">
        <v>207</v>
      </c>
      <c r="B731" s="50" t="str">
        <f aca="false">IFERROR(VLOOKUP($A731,Equipos!$C$2:$M$967,2,FALSE()),"")</f>
        <v>DEA</v>
      </c>
      <c r="C731" s="50" t="str">
        <f aca="false">IFERROR(VLOOKUP($A731,Equipos!$C$2:$M$967,9,FALSE()),"")</f>
        <v>122002983</v>
      </c>
      <c r="D731" s="50" t="str">
        <f aca="false">IFERROR(VLOOKUP($A731,Equipos!$C$2:$M$967,3,FALSE()),"")</f>
        <v>Prevención de Riesgos</v>
      </c>
      <c r="E731" s="50" t="str">
        <f aca="false">IFERROR(VLOOKUP($A731,Equipos!$C$2:$M$967,7,FALSE()),"")</f>
        <v>DEFIBTECH</v>
      </c>
      <c r="F731" s="50" t="str">
        <f aca="false">IFERROR(VLOOKUP($A731,Equipos!$C$2:$M$967,8,FALSE()),"")</f>
        <v>LIFE LINE </v>
      </c>
      <c r="G731" s="50" t="s">
        <v>691</v>
      </c>
      <c r="H731" s="50" t="s">
        <v>360</v>
      </c>
      <c r="I731" s="50"/>
      <c r="J731" s="50" t="s">
        <v>352</v>
      </c>
      <c r="K731" s="50" t="str">
        <f aca="false">IFERROR(VLOOKUP($J731,Catálogos!$M$4:$N$17,2,FALSE()),"")</f>
        <v>Mantención Preventiva Realizada</v>
      </c>
      <c r="L731" s="52" t="n">
        <v>46096</v>
      </c>
      <c r="M731" s="50" t="s">
        <v>353</v>
      </c>
      <c r="N731" s="50" t="s">
        <v>253</v>
      </c>
      <c r="O731" s="50"/>
      <c r="P731" s="50"/>
      <c r="Q731" s="50" t="s">
        <v>362</v>
      </c>
    </row>
    <row r="732" customFormat="false" ht="15" hidden="false" customHeight="true" outlineLevel="0" collapsed="false">
      <c r="A732" s="51" t="s">
        <v>102</v>
      </c>
      <c r="B732" s="50" t="str">
        <f aca="false">IFERROR(VLOOKUP($A732,Equipos!$C$2:$M$967,2,FALSE()),"")</f>
        <v>DEA</v>
      </c>
      <c r="C732" s="50" t="str">
        <f aca="false">IFERROR(VLOOKUP($A732,Equipos!$C$2:$M$967,9,FALSE()),"")</f>
        <v>122002981</v>
      </c>
      <c r="D732" s="50" t="str">
        <f aca="false">IFERROR(VLOOKUP($A732,Equipos!$C$2:$M$967,3,FALSE()),"")</f>
        <v>Prevención de Riesgos</v>
      </c>
      <c r="E732" s="50" t="str">
        <f aca="false">IFERROR(VLOOKUP($A732,Equipos!$C$2:$M$967,7,FALSE()),"")</f>
        <v>DEFIBTECH</v>
      </c>
      <c r="F732" s="50" t="str">
        <f aca="false">IFERROR(VLOOKUP($A732,Equipos!$C$2:$M$967,8,FALSE()),"")</f>
        <v>LIFE LINE </v>
      </c>
      <c r="G732" s="50" t="s">
        <v>691</v>
      </c>
      <c r="H732" s="50" t="s">
        <v>360</v>
      </c>
      <c r="I732" s="50"/>
      <c r="J732" s="50" t="s">
        <v>352</v>
      </c>
      <c r="K732" s="50" t="str">
        <f aca="false">IFERROR(VLOOKUP($J732,Catálogos!$M$4:$N$17,2,FALSE()),"")</f>
        <v>Mantención Preventiva Realizada</v>
      </c>
      <c r="L732" s="52" t="n">
        <v>46096</v>
      </c>
      <c r="M732" s="50" t="s">
        <v>353</v>
      </c>
      <c r="N732" s="50" t="s">
        <v>253</v>
      </c>
      <c r="O732" s="50"/>
      <c r="P732" s="50"/>
      <c r="Q732" s="50" t="s">
        <v>362</v>
      </c>
    </row>
    <row r="733" customFormat="false" ht="15" hidden="false" customHeight="true" outlineLevel="0" collapsed="false">
      <c r="A733" s="51" t="s">
        <v>99</v>
      </c>
      <c r="B733" s="50" t="str">
        <f aca="false">IFERROR(VLOOKUP($A733,Equipos!$C$2:$M$967,2,FALSE()),"")</f>
        <v>DEA</v>
      </c>
      <c r="C733" s="50" t="str">
        <f aca="false">IFERROR(VLOOKUP($A733,Equipos!$C$2:$M$967,9,FALSE()),"")</f>
        <v>122003000</v>
      </c>
      <c r="D733" s="50" t="str">
        <f aca="false">IFERROR(VLOOKUP($A733,Equipos!$C$2:$M$967,3,FALSE()),"")</f>
        <v>Prevención de Riesgos (Urgencia Adulto)</v>
      </c>
      <c r="E733" s="50" t="str">
        <f aca="false">IFERROR(VLOOKUP($A733,Equipos!$C$2:$M$967,7,FALSE()),"")</f>
        <v>DEFIBTECH</v>
      </c>
      <c r="F733" s="50" t="str">
        <f aca="false">IFERROR(VLOOKUP($A733,Equipos!$C$2:$M$967,8,FALSE()),"")</f>
        <v>LIFE LINE </v>
      </c>
      <c r="G733" s="50" t="s">
        <v>691</v>
      </c>
      <c r="H733" s="50" t="s">
        <v>360</v>
      </c>
      <c r="I733" s="50"/>
      <c r="J733" s="50" t="s">
        <v>352</v>
      </c>
      <c r="K733" s="50" t="str">
        <f aca="false">IFERROR(VLOOKUP($J733,Catálogos!$M$4:$N$17,2,FALSE()),"")</f>
        <v>Mantención Preventiva Realizada</v>
      </c>
      <c r="L733" s="52" t="n">
        <v>46096</v>
      </c>
      <c r="M733" s="50" t="s">
        <v>353</v>
      </c>
      <c r="N733" s="50" t="s">
        <v>253</v>
      </c>
      <c r="O733" s="50"/>
      <c r="P733" s="50"/>
      <c r="Q733" s="50" t="s">
        <v>362</v>
      </c>
    </row>
    <row r="734" customFormat="false" ht="15" hidden="false" customHeight="true" outlineLevel="0" collapsed="false">
      <c r="A734" s="51" t="s">
        <v>95</v>
      </c>
      <c r="B734" s="50" t="str">
        <f aca="false">IFERROR(VLOOKUP($A734,Equipos!$C$2:$M$967,2,FALSE()),"")</f>
        <v>DEA</v>
      </c>
      <c r="C734" s="50" t="str">
        <f aca="false">IFERROR(VLOOKUP($A734,Equipos!$C$2:$M$967,9,FALSE()),"")</f>
        <v>122002995</v>
      </c>
      <c r="D734" s="50" t="str">
        <f aca="false">IFERROR(VLOOKUP($A734,Equipos!$C$2:$M$967,3,FALSE()),"")</f>
        <v>Prevención de Riesgos</v>
      </c>
      <c r="E734" s="50" t="str">
        <f aca="false">IFERROR(VLOOKUP($A734,Equipos!$C$2:$M$967,7,FALSE()),"")</f>
        <v>DEFIBTECH</v>
      </c>
      <c r="F734" s="50" t="str">
        <f aca="false">IFERROR(VLOOKUP($A734,Equipos!$C$2:$M$967,8,FALSE()),"")</f>
        <v>LIFE LINE </v>
      </c>
      <c r="G734" s="50" t="s">
        <v>691</v>
      </c>
      <c r="H734" s="50" t="s">
        <v>360</v>
      </c>
      <c r="I734" s="50"/>
      <c r="J734" s="50" t="s">
        <v>352</v>
      </c>
      <c r="K734" s="50" t="str">
        <f aca="false">IFERROR(VLOOKUP($J734,Catálogos!$M$4:$N$17,2,FALSE()),"")</f>
        <v>Mantención Preventiva Realizada</v>
      </c>
      <c r="L734" s="52" t="n">
        <v>46096</v>
      </c>
      <c r="M734" s="50" t="s">
        <v>353</v>
      </c>
      <c r="N734" s="50" t="s">
        <v>253</v>
      </c>
      <c r="O734" s="50"/>
      <c r="P734" s="50"/>
      <c r="Q734" s="50" t="s">
        <v>362</v>
      </c>
    </row>
    <row r="735" customFormat="false" ht="15" hidden="false" customHeight="true" outlineLevel="0" collapsed="false">
      <c r="A735" s="51" t="s">
        <v>92</v>
      </c>
      <c r="B735" s="50" t="str">
        <f aca="false">IFERROR(VLOOKUP($A735,Equipos!$C$2:$M$967,2,FALSE()),"")</f>
        <v>DEA</v>
      </c>
      <c r="C735" s="50" t="str">
        <f aca="false">IFERROR(VLOOKUP($A735,Equipos!$C$2:$M$967,9,FALSE()),"")</f>
        <v>122003001</v>
      </c>
      <c r="D735" s="50" t="str">
        <f aca="false">IFERROR(VLOOKUP($A735,Equipos!$C$2:$M$967,3,FALSE()),"")</f>
        <v>Prevención de Riesgos</v>
      </c>
      <c r="E735" s="50" t="str">
        <f aca="false">IFERROR(VLOOKUP($A735,Equipos!$C$2:$M$967,7,FALSE()),"")</f>
        <v>DEFIBTECH</v>
      </c>
      <c r="F735" s="50" t="str">
        <f aca="false">IFERROR(VLOOKUP($A735,Equipos!$C$2:$M$967,8,FALSE()),"")</f>
        <v>LIFE LINE </v>
      </c>
      <c r="G735" s="50" t="s">
        <v>691</v>
      </c>
      <c r="H735" s="50" t="s">
        <v>360</v>
      </c>
      <c r="I735" s="50"/>
      <c r="J735" s="50" t="s">
        <v>352</v>
      </c>
      <c r="K735" s="50" t="str">
        <f aca="false">IFERROR(VLOOKUP($J735,Catálogos!$M$4:$N$17,2,FALSE()),"")</f>
        <v>Mantención Preventiva Realizada</v>
      </c>
      <c r="L735" s="52" t="n">
        <v>46096</v>
      </c>
      <c r="M735" s="50" t="s">
        <v>353</v>
      </c>
      <c r="N735" s="50" t="s">
        <v>253</v>
      </c>
      <c r="O735" s="50"/>
      <c r="P735" s="50"/>
      <c r="Q735" s="50" t="s">
        <v>362</v>
      </c>
    </row>
    <row r="736" customFormat="false" ht="15" hidden="false" customHeight="true" outlineLevel="0" collapsed="false">
      <c r="A736" s="51" t="s">
        <v>83</v>
      </c>
      <c r="B736" s="50" t="str">
        <f aca="false">IFERROR(VLOOKUP($A736,Equipos!$C$2:$M$967,2,FALSE()),"")</f>
        <v>DEA</v>
      </c>
      <c r="C736" s="50" t="str">
        <f aca="false">IFERROR(VLOOKUP($A736,Equipos!$C$2:$M$967,9,FALSE()),"")</f>
        <v>122002994</v>
      </c>
      <c r="D736" s="50" t="str">
        <f aca="false">IFERROR(VLOOKUP($A736,Equipos!$C$2:$M$967,3,FALSE()),"")</f>
        <v>Prevención de Riesgos</v>
      </c>
      <c r="E736" s="50" t="str">
        <f aca="false">IFERROR(VLOOKUP($A736,Equipos!$C$2:$M$967,7,FALSE()),"")</f>
        <v>DEFIBTECH</v>
      </c>
      <c r="F736" s="50" t="str">
        <f aca="false">IFERROR(VLOOKUP($A736,Equipos!$C$2:$M$967,8,FALSE()),"")</f>
        <v>LIFE LINE </v>
      </c>
      <c r="G736" s="50" t="s">
        <v>691</v>
      </c>
      <c r="H736" s="50" t="s">
        <v>360</v>
      </c>
      <c r="I736" s="50"/>
      <c r="J736" s="50" t="s">
        <v>352</v>
      </c>
      <c r="K736" s="50" t="str">
        <f aca="false">IFERROR(VLOOKUP($J736,Catálogos!$M$4:$N$17,2,FALSE()),"")</f>
        <v>Mantención Preventiva Realizada</v>
      </c>
      <c r="L736" s="52" t="n">
        <v>46096</v>
      </c>
      <c r="M736" s="50" t="s">
        <v>353</v>
      </c>
      <c r="N736" s="50" t="s">
        <v>253</v>
      </c>
      <c r="O736" s="50"/>
      <c r="P736" s="50"/>
      <c r="Q736" s="50" t="s">
        <v>362</v>
      </c>
    </row>
    <row r="737" customFormat="false" ht="15" hidden="false" customHeight="true" outlineLevel="0" collapsed="false">
      <c r="A737" s="51" t="s">
        <v>89</v>
      </c>
      <c r="B737" s="50" t="str">
        <f aca="false">IFERROR(VLOOKUP($A737,Equipos!$C$2:$M$967,2,FALSE()),"")</f>
        <v>DEA</v>
      </c>
      <c r="C737" s="50" t="str">
        <f aca="false">IFERROR(VLOOKUP($A737,Equipos!$C$2:$M$967,9,FALSE()),"")</f>
        <v>40422</v>
      </c>
      <c r="D737" s="50" t="str">
        <f aca="false">IFERROR(VLOOKUP($A737,Equipos!$C$2:$M$967,3,FALSE()),"")</f>
        <v>CDT</v>
      </c>
      <c r="E737" s="50" t="str">
        <f aca="false">IFERROR(VLOOKUP($A737,Equipos!$C$2:$M$967,7,FALSE()),"")</f>
        <v>Nihon Kohden</v>
      </c>
      <c r="F737" s="50" t="str">
        <f aca="false">IFERROR(VLOOKUP($A737,Equipos!$C$2:$M$967,8,FALSE()),"")</f>
        <v>AED-3100K</v>
      </c>
      <c r="G737" s="50" t="s">
        <v>691</v>
      </c>
      <c r="H737" s="50" t="s">
        <v>360</v>
      </c>
      <c r="I737" s="50"/>
      <c r="J737" s="50" t="s">
        <v>352</v>
      </c>
      <c r="K737" s="50" t="str">
        <f aca="false">IFERROR(VLOOKUP($J737,Catálogos!$M$4:$N$17,2,FALSE()),"")</f>
        <v>Mantención Preventiva Realizada</v>
      </c>
      <c r="L737" s="52" t="n">
        <v>46096</v>
      </c>
      <c r="M737" s="50" t="s">
        <v>353</v>
      </c>
      <c r="N737" s="50" t="s">
        <v>253</v>
      </c>
      <c r="O737" s="50"/>
      <c r="P737" s="50"/>
      <c r="Q737" s="50" t="s">
        <v>362</v>
      </c>
    </row>
    <row r="738" customFormat="false" ht="15" hidden="false" customHeight="true" outlineLevel="0" collapsed="false">
      <c r="A738" s="51" t="s">
        <v>86</v>
      </c>
      <c r="B738" s="50" t="str">
        <f aca="false">IFERROR(VLOOKUP($A738,Equipos!$C$2:$M$967,2,FALSE()),"")</f>
        <v>DEA</v>
      </c>
      <c r="C738" s="50" t="str">
        <f aca="false">IFERROR(VLOOKUP($A738,Equipos!$C$2:$M$967,9,FALSE()),"")</f>
        <v>AE7-24048210</v>
      </c>
      <c r="D738" s="50" t="str">
        <f aca="false">IFERROR(VLOOKUP($A738,Equipos!$C$2:$M$967,3,FALSE()),"")</f>
        <v>Gestión de Pacientes</v>
      </c>
      <c r="E738" s="50" t="str">
        <f aca="false">IFERROR(VLOOKUP($A738,Equipos!$C$2:$M$967,7,FALSE()),"")</f>
        <v>Mindray</v>
      </c>
      <c r="F738" s="50" t="str">
        <f aca="false">IFERROR(VLOOKUP($A738,Equipos!$C$2:$M$967,8,FALSE()),"")</f>
        <v>BeneHeart C2</v>
      </c>
      <c r="G738" s="50" t="s">
        <v>691</v>
      </c>
      <c r="H738" s="50" t="s">
        <v>360</v>
      </c>
      <c r="I738" s="50"/>
      <c r="J738" s="50" t="s">
        <v>352</v>
      </c>
      <c r="K738" s="50" t="str">
        <f aca="false">IFERROR(VLOOKUP($J738,Catálogos!$M$4:$N$17,2,FALSE()),"")</f>
        <v>Mantención Preventiva Realizada</v>
      </c>
      <c r="L738" s="52" t="n">
        <v>46096</v>
      </c>
      <c r="M738" s="50" t="s">
        <v>353</v>
      </c>
      <c r="N738" s="50" t="s">
        <v>253</v>
      </c>
      <c r="O738" s="50"/>
      <c r="P738" s="50"/>
      <c r="Q738" s="50" t="s">
        <v>362</v>
      </c>
    </row>
    <row r="739" customFormat="false" ht="15" hidden="false" customHeight="true" outlineLevel="0" collapsed="false">
      <c r="A739" s="51" t="s">
        <v>58</v>
      </c>
      <c r="B739" s="50" t="str">
        <f aca="false">IFERROR(VLOOKUP($A739,Equipos!$C$2:$M$967,2,FALSE()),"")</f>
        <v>DEA</v>
      </c>
      <c r="C739" s="50" t="str">
        <f aca="false">IFERROR(VLOOKUP($A739,Equipos!$C$2:$M$967,9,FALSE()),"")</f>
        <v>X21J421750</v>
      </c>
      <c r="D739" s="50" t="str">
        <f aca="false">IFERROR(VLOOKUP($A739,Equipos!$C$2:$M$967,3,FALSE()),"")</f>
        <v>SAMU</v>
      </c>
      <c r="E739" s="50" t="str">
        <f aca="false">IFERROR(VLOOKUP($A739,Equipos!$C$2:$M$967,7,FALSE()),"")</f>
        <v>Zoll</v>
      </c>
      <c r="F739" s="50" t="str">
        <f aca="false">IFERROR(VLOOKUP($A739,Equipos!$C$2:$M$967,8,FALSE()),"")</f>
        <v>AEDPLUS</v>
      </c>
      <c r="G739" s="50" t="s">
        <v>691</v>
      </c>
      <c r="H739" s="50" t="s">
        <v>360</v>
      </c>
      <c r="I739" s="50"/>
      <c r="J739" s="50" t="s">
        <v>352</v>
      </c>
      <c r="K739" s="50" t="str">
        <f aca="false">IFERROR(VLOOKUP($J739,Catálogos!$M$4:$N$17,2,FALSE()),"")</f>
        <v>Mantención Preventiva Realizada</v>
      </c>
      <c r="L739" s="52" t="n">
        <v>46096</v>
      </c>
      <c r="M739" s="50" t="s">
        <v>353</v>
      </c>
      <c r="N739" s="50" t="s">
        <v>253</v>
      </c>
      <c r="O739" s="50"/>
      <c r="P739" s="50"/>
      <c r="Q739" s="50" t="s">
        <v>362</v>
      </c>
    </row>
    <row r="740" customFormat="false" ht="15" hidden="false" customHeight="true" outlineLevel="0" collapsed="false">
      <c r="A740" s="51" t="s">
        <v>886</v>
      </c>
      <c r="B740" s="50" t="str">
        <f aca="false">IFERROR(VLOOKUP($A740,Equipos!$C$2:$M$967,2,FALSE()),"")</f>
        <v>Desfibrilador</v>
      </c>
      <c r="C740" s="50" t="str">
        <f aca="false">IFERROR(VLOOKUP($A740,Equipos!$C$2:$M$967,9,FALSE()),"")</f>
        <v>1819</v>
      </c>
      <c r="D740" s="50" t="str">
        <f aca="false">IFERROR(VLOOKUP($A740,Equipos!$C$2:$M$967,3,FALSE()),"")</f>
        <v>Quimioterapia Ambulatoria Adulto</v>
      </c>
      <c r="E740" s="50" t="str">
        <f aca="false">IFERROR(VLOOKUP($A740,Equipos!$C$2:$M$967,7,FALSE()),"")</f>
        <v>Nihon Kohden</v>
      </c>
      <c r="F740" s="50" t="str">
        <f aca="false">IFERROR(VLOOKUP($A740,Equipos!$C$2:$M$967,8,FALSE()),"")</f>
        <v>TEC 5531E</v>
      </c>
      <c r="G740" s="50" t="s">
        <v>691</v>
      </c>
      <c r="H740" s="50" t="s">
        <v>360</v>
      </c>
      <c r="I740" s="50"/>
      <c r="J740" s="50" t="s">
        <v>352</v>
      </c>
      <c r="K740" s="50" t="str">
        <f aca="false">IFERROR(VLOOKUP($J740,Catálogos!$M$4:$N$17,2,FALSE()),"")</f>
        <v>Mantención Preventiva Realizada</v>
      </c>
      <c r="L740" s="52" t="n">
        <v>46096</v>
      </c>
      <c r="M740" s="50" t="s">
        <v>353</v>
      </c>
      <c r="N740" s="50" t="s">
        <v>253</v>
      </c>
      <c r="O740" s="50"/>
      <c r="P740" s="50"/>
      <c r="Q740" s="50" t="s">
        <v>362</v>
      </c>
    </row>
    <row r="741" customFormat="false" ht="15" hidden="false" customHeight="true" outlineLevel="0" collapsed="false">
      <c r="A741" s="51" t="s">
        <v>887</v>
      </c>
      <c r="B741" s="50" t="str">
        <f aca="false">IFERROR(VLOOKUP($A741,Equipos!$C$2:$M$967,2,FALSE()),"")</f>
        <v>Desfibrilador</v>
      </c>
      <c r="C741" s="50" t="str">
        <f aca="false">IFERROR(VLOOKUP($A741,Equipos!$C$2:$M$967,9,FALSE()),"")</f>
        <v>8104</v>
      </c>
      <c r="D741" s="50" t="str">
        <f aca="false">IFERROR(VLOOKUP($A741,Equipos!$C$2:$M$967,3,FALSE()),"")</f>
        <v>Traumatología</v>
      </c>
      <c r="E741" s="50" t="str">
        <f aca="false">IFERROR(VLOOKUP($A741,Equipos!$C$2:$M$967,7,FALSE()),"")</f>
        <v>Nihon Kohden</v>
      </c>
      <c r="F741" s="50" t="str">
        <f aca="false">IFERROR(VLOOKUP($A741,Equipos!$C$2:$M$967,8,FALSE()),"")</f>
        <v>TEC-5632E</v>
      </c>
      <c r="G741" s="50" t="s">
        <v>691</v>
      </c>
      <c r="H741" s="50" t="s">
        <v>360</v>
      </c>
      <c r="I741" s="50"/>
      <c r="J741" s="50" t="s">
        <v>352</v>
      </c>
      <c r="K741" s="50" t="str">
        <f aca="false">IFERROR(VLOOKUP($J741,Catálogos!$M$4:$N$17,2,FALSE()),"")</f>
        <v>Mantención Preventiva Realizada</v>
      </c>
      <c r="L741" s="52" t="n">
        <v>46096</v>
      </c>
      <c r="M741" s="50" t="s">
        <v>353</v>
      </c>
      <c r="N741" s="50" t="s">
        <v>253</v>
      </c>
      <c r="O741" s="50"/>
      <c r="P741" s="50"/>
      <c r="Q741" s="50" t="s">
        <v>362</v>
      </c>
    </row>
    <row r="742" customFormat="false" ht="15" hidden="false" customHeight="true" outlineLevel="0" collapsed="false">
      <c r="A742" s="51" t="s">
        <v>888</v>
      </c>
      <c r="B742" s="50" t="str">
        <f aca="false">IFERROR(VLOOKUP($A742,Equipos!$C$2:$M$967,2,FALSE()),"")</f>
        <v>Desfibrilador</v>
      </c>
      <c r="C742" s="50" t="str">
        <f aca="false">IFERROR(VLOOKUP($A742,Equipos!$C$2:$M$967,9,FALSE()),"")</f>
        <v>AF12B020977</v>
      </c>
      <c r="D742" s="50" t="str">
        <f aca="false">IFERROR(VLOOKUP($A742,Equipos!$C$2:$M$967,3,FALSE()),"")</f>
        <v>Quimioterapia Ambulatoria Adulto</v>
      </c>
      <c r="E742" s="50" t="str">
        <f aca="false">IFERROR(VLOOKUP($A742,Equipos!$C$2:$M$967,7,FALSE()),"")</f>
        <v>Zoll </v>
      </c>
      <c r="F742" s="50" t="str">
        <f aca="false">IFERROR(VLOOKUP($A742,Equipos!$C$2:$M$967,8,FALSE()),"")</f>
        <v>R SERIES ALS</v>
      </c>
      <c r="G742" s="50" t="s">
        <v>691</v>
      </c>
      <c r="H742" s="50" t="s">
        <v>360</v>
      </c>
      <c r="I742" s="50"/>
      <c r="J742" s="50" t="s">
        <v>352</v>
      </c>
      <c r="K742" s="50" t="str">
        <f aca="false">IFERROR(VLOOKUP($J742,Catálogos!$M$4:$N$17,2,FALSE()),"")</f>
        <v>Mantención Preventiva Realizada</v>
      </c>
      <c r="L742" s="52" t="n">
        <v>46096</v>
      </c>
      <c r="M742" s="50" t="s">
        <v>353</v>
      </c>
      <c r="N742" s="50" t="s">
        <v>253</v>
      </c>
      <c r="O742" s="50"/>
      <c r="P742" s="50"/>
      <c r="Q742" s="50" t="s">
        <v>362</v>
      </c>
    </row>
    <row r="743" customFormat="false" ht="15" hidden="false" customHeight="true" outlineLevel="0" collapsed="false">
      <c r="A743" s="51" t="s">
        <v>889</v>
      </c>
      <c r="B743" s="50" t="str">
        <f aca="false">IFERROR(VLOOKUP($A743,Equipos!$C$2:$M$967,2,FALSE()),"")</f>
        <v>Desfibrilador</v>
      </c>
      <c r="C743" s="50" t="str">
        <f aca="false">IFERROR(VLOOKUP($A743,Equipos!$C$2:$M$967,9,FALSE()),"")</f>
        <v>1076</v>
      </c>
      <c r="D743" s="50" t="str">
        <f aca="false">IFERROR(VLOOKUP($A743,Equipos!$C$2:$M$967,3,FALSE()),"")</f>
        <v>Neurocirugía</v>
      </c>
      <c r="E743" s="50" t="str">
        <f aca="false">IFERROR(VLOOKUP($A743,Equipos!$C$2:$M$967,7,FALSE()),"")</f>
        <v>Nihon Kohden</v>
      </c>
      <c r="F743" s="50" t="str">
        <f aca="false">IFERROR(VLOOKUP($A743,Equipos!$C$2:$M$967,8,FALSE()),"")</f>
        <v>TEC 5521E</v>
      </c>
      <c r="G743" s="50" t="s">
        <v>691</v>
      </c>
      <c r="H743" s="50" t="s">
        <v>360</v>
      </c>
      <c r="I743" s="50"/>
      <c r="J743" s="50" t="s">
        <v>352</v>
      </c>
      <c r="K743" s="50" t="str">
        <f aca="false">IFERROR(VLOOKUP($J743,Catálogos!$M$4:$N$17,2,FALSE()),"")</f>
        <v>Mantención Preventiva Realizada</v>
      </c>
      <c r="L743" s="52" t="n">
        <v>46096</v>
      </c>
      <c r="M743" s="50" t="s">
        <v>353</v>
      </c>
      <c r="N743" s="50" t="s">
        <v>253</v>
      </c>
      <c r="O743" s="50"/>
      <c r="P743" s="50"/>
      <c r="Q743" s="50" t="s">
        <v>362</v>
      </c>
    </row>
    <row r="744" customFormat="false" ht="15" hidden="false" customHeight="true" outlineLevel="0" collapsed="false">
      <c r="A744" s="51" t="s">
        <v>890</v>
      </c>
      <c r="B744" s="50" t="str">
        <f aca="false">IFERROR(VLOOKUP($A744,Equipos!$C$2:$M$967,2,FALSE()),"")</f>
        <v>Desfibrilador</v>
      </c>
      <c r="C744" s="50" t="str">
        <f aca="false">IFERROR(VLOOKUP($A744,Equipos!$C$2:$M$967,9,FALSE()),"")</f>
        <v>1811</v>
      </c>
      <c r="D744" s="50" t="str">
        <f aca="false">IFERROR(VLOOKUP($A744,Equipos!$C$2:$M$967,3,FALSE()),"")</f>
        <v>Traumatología</v>
      </c>
      <c r="E744" s="50" t="str">
        <f aca="false">IFERROR(VLOOKUP($A744,Equipos!$C$2:$M$967,7,FALSE()),"")</f>
        <v>Nihon Kohden</v>
      </c>
      <c r="F744" s="50" t="str">
        <f aca="false">IFERROR(VLOOKUP($A744,Equipos!$C$2:$M$967,8,FALSE()),"")</f>
        <v>TEC 5531E</v>
      </c>
      <c r="G744" s="50" t="s">
        <v>691</v>
      </c>
      <c r="H744" s="50" t="s">
        <v>360</v>
      </c>
      <c r="I744" s="50"/>
      <c r="J744" s="50" t="s">
        <v>352</v>
      </c>
      <c r="K744" s="50" t="str">
        <f aca="false">IFERROR(VLOOKUP($J744,Catálogos!$M$4:$N$17,2,FALSE()),"")</f>
        <v>Mantención Preventiva Realizada</v>
      </c>
      <c r="L744" s="52" t="n">
        <v>46096</v>
      </c>
      <c r="M744" s="50" t="s">
        <v>353</v>
      </c>
      <c r="N744" s="50" t="s">
        <v>253</v>
      </c>
      <c r="O744" s="50"/>
      <c r="P744" s="50"/>
      <c r="Q744" s="50" t="s">
        <v>362</v>
      </c>
    </row>
    <row r="745" customFormat="false" ht="15" hidden="false" customHeight="true" outlineLevel="0" collapsed="false">
      <c r="A745" s="51" t="s">
        <v>891</v>
      </c>
      <c r="B745" s="50" t="str">
        <f aca="false">IFERROR(VLOOKUP($A745,Equipos!$C$2:$M$967,2,FALSE()),"")</f>
        <v>Desfibrilador</v>
      </c>
      <c r="C745" s="50" t="str">
        <f aca="false">IFERROR(VLOOKUP($A745,Equipos!$C$2:$M$967,9,FALSE()),"")</f>
        <v>AF12B020988</v>
      </c>
      <c r="D745" s="50" t="str">
        <f aca="false">IFERROR(VLOOKUP($A745,Equipos!$C$2:$M$967,3,FALSE()),"")</f>
        <v>Endoscopía</v>
      </c>
      <c r="E745" s="50" t="str">
        <f aca="false">IFERROR(VLOOKUP($A745,Equipos!$C$2:$M$967,7,FALSE()),"")</f>
        <v>Zoll</v>
      </c>
      <c r="F745" s="50" t="str">
        <f aca="false">IFERROR(VLOOKUP($A745,Equipos!$C$2:$M$967,8,FALSE()),"")</f>
        <v>R SERIES ALS</v>
      </c>
      <c r="G745" s="50" t="s">
        <v>691</v>
      </c>
      <c r="H745" s="50" t="s">
        <v>360</v>
      </c>
      <c r="I745" s="50"/>
      <c r="J745" s="50" t="s">
        <v>352</v>
      </c>
      <c r="K745" s="50" t="str">
        <f aca="false">IFERROR(VLOOKUP($J745,Catálogos!$M$4:$N$17,2,FALSE()),"")</f>
        <v>Mantención Preventiva Realizada</v>
      </c>
      <c r="L745" s="52" t="n">
        <v>46096</v>
      </c>
      <c r="M745" s="50" t="s">
        <v>353</v>
      </c>
      <c r="N745" s="50" t="s">
        <v>253</v>
      </c>
      <c r="O745" s="50"/>
      <c r="P745" s="50"/>
      <c r="Q745" s="50" t="s">
        <v>362</v>
      </c>
    </row>
    <row r="746" customFormat="false" ht="15" hidden="false" customHeight="true" outlineLevel="0" collapsed="false">
      <c r="A746" s="51" t="s">
        <v>892</v>
      </c>
      <c r="B746" s="50" t="str">
        <f aca="false">IFERROR(VLOOKUP($A746,Equipos!$C$2:$M$967,2,FALSE()),"")</f>
        <v>Desfibrilador</v>
      </c>
      <c r="C746" s="50" t="str">
        <f aca="false">IFERROR(VLOOKUP($A746,Equipos!$C$2:$M$967,9,FALSE()),"")</f>
        <v>888</v>
      </c>
      <c r="D746" s="50" t="str">
        <f aca="false">IFERROR(VLOOKUP($A746,Equipos!$C$2:$M$967,3,FALSE()),"")</f>
        <v>Urgencia Infantil</v>
      </c>
      <c r="E746" s="50" t="str">
        <f aca="false">IFERROR(VLOOKUP($A746,Equipos!$C$2:$M$967,7,FALSE()),"")</f>
        <v>Nihon Kohden</v>
      </c>
      <c r="F746" s="50" t="str">
        <f aca="false">IFERROR(VLOOKUP($A746,Equipos!$C$2:$M$967,8,FALSE()),"")</f>
        <v>TEC 5531E</v>
      </c>
      <c r="G746" s="50" t="s">
        <v>691</v>
      </c>
      <c r="H746" s="50" t="s">
        <v>360</v>
      </c>
      <c r="I746" s="50"/>
      <c r="J746" s="50" t="s">
        <v>331</v>
      </c>
      <c r="K746" s="50" t="str">
        <f aca="false">IFERROR(VLOOKUP($J746,Catálogos!$M$4:$N$17,2,FALSE()),"")</f>
        <v>Reprogramada · Equipo no operativo, a la espera de repuestos o accesorios</v>
      </c>
      <c r="L746" s="52" t="n">
        <v>46096</v>
      </c>
      <c r="M746" s="50" t="s">
        <v>355</v>
      </c>
      <c r="N746" s="50" t="s">
        <v>253</v>
      </c>
      <c r="O746" s="50"/>
      <c r="P746" s="50"/>
      <c r="Q746" s="50" t="s">
        <v>362</v>
      </c>
    </row>
    <row r="747" customFormat="false" ht="15" hidden="false" customHeight="true" outlineLevel="0" collapsed="false">
      <c r="A747" s="51" t="s">
        <v>117</v>
      </c>
      <c r="B747" s="50" t="str">
        <f aca="false">IFERROR(VLOOKUP($A747,Equipos!$C$2:$M$967,2,FALSE()),"")</f>
        <v>DEA</v>
      </c>
      <c r="C747" s="50" t="str">
        <f aca="false">IFERROR(VLOOKUP($A747,Equipos!$C$2:$M$967,9,FALSE()),"")</f>
        <v>AF1-48110851</v>
      </c>
      <c r="D747" s="50" t="str">
        <f aca="false">IFERROR(VLOOKUP($A747,Equipos!$C$2:$M$967,3,FALSE()),"")</f>
        <v>SAMU</v>
      </c>
      <c r="E747" s="50" t="str">
        <f aca="false">IFERROR(VLOOKUP($A747,Equipos!$C$2:$M$967,7,FALSE()),"")</f>
        <v>Mindray</v>
      </c>
      <c r="F747" s="50" t="str">
        <f aca="false">IFERROR(VLOOKUP($A747,Equipos!$C$2:$M$967,8,FALSE()),"")</f>
        <v>BeneHeart C1A</v>
      </c>
      <c r="G747" s="50" t="s">
        <v>691</v>
      </c>
      <c r="H747" s="50" t="s">
        <v>360</v>
      </c>
      <c r="I747" s="50"/>
      <c r="J747" s="50" t="s">
        <v>352</v>
      </c>
      <c r="K747" s="50" t="str">
        <f aca="false">IFERROR(VLOOKUP($J747,Catálogos!$M$4:$N$17,2,FALSE()),"")</f>
        <v>Mantención Preventiva Realizada</v>
      </c>
      <c r="L747" s="52" t="n">
        <v>46096</v>
      </c>
      <c r="M747" s="50" t="s">
        <v>353</v>
      </c>
      <c r="N747" s="50" t="s">
        <v>253</v>
      </c>
      <c r="O747" s="50"/>
      <c r="P747" s="50"/>
      <c r="Q747" s="50" t="s">
        <v>362</v>
      </c>
    </row>
    <row r="748" customFormat="false" ht="15" hidden="false" customHeight="true" outlineLevel="0" collapsed="false">
      <c r="A748" s="51" t="s">
        <v>512</v>
      </c>
      <c r="B748" s="50" t="str">
        <f aca="false">IFERROR(VLOOKUP($A748,Equipos!$C$2:$M$967,2,FALSE()),"")</f>
        <v>DEA</v>
      </c>
      <c r="C748" s="50" t="str">
        <f aca="false">IFERROR(VLOOKUP($A748,Equipos!$C$2:$M$967,9,FALSE()),"")</f>
        <v>13042</v>
      </c>
      <c r="D748" s="50" t="str">
        <f aca="false">IFERROR(VLOOKUP($A748,Equipos!$C$2:$M$967,3,FALSE()),"")</f>
        <v>Unidad Evaluación Paciente Imputado</v>
      </c>
      <c r="E748" s="50" t="str">
        <f aca="false">IFERROR(VLOOKUP($A748,Equipos!$C$2:$M$967,7,FALSE()),"")</f>
        <v>Nihon Kohden</v>
      </c>
      <c r="F748" s="50" t="str">
        <f aca="false">IFERROR(VLOOKUP($A748,Equipos!$C$2:$M$967,8,FALSE()),"")</f>
        <v>AED-3100</v>
      </c>
      <c r="G748" s="50" t="s">
        <v>691</v>
      </c>
      <c r="H748" s="50" t="s">
        <v>360</v>
      </c>
      <c r="I748" s="50"/>
      <c r="J748" s="50" t="s">
        <v>352</v>
      </c>
      <c r="K748" s="50" t="str">
        <f aca="false">IFERROR(VLOOKUP($J748,Catálogos!$M$4:$N$17,2,FALSE()),"")</f>
        <v>Mantención Preventiva Realizada</v>
      </c>
      <c r="L748" s="52" t="n">
        <v>46096</v>
      </c>
      <c r="M748" s="50" t="s">
        <v>353</v>
      </c>
      <c r="N748" s="50" t="s">
        <v>253</v>
      </c>
      <c r="O748" s="50"/>
      <c r="P748" s="50"/>
      <c r="Q748" s="50" t="s">
        <v>362</v>
      </c>
    </row>
    <row r="749" customFormat="false" ht="15" hidden="false" customHeight="true" outlineLevel="0" collapsed="false">
      <c r="A749" s="51" t="s">
        <v>120</v>
      </c>
      <c r="B749" s="50" t="str">
        <f aca="false">IFERROR(VLOOKUP($A749,Equipos!$C$2:$M$967,2,FALSE()),"")</f>
        <v>DEA</v>
      </c>
      <c r="C749" s="50" t="str">
        <f aca="false">IFERROR(VLOOKUP($A749,Equipos!$C$2:$M$967,9,FALSE()),"")</f>
        <v>X18E028657</v>
      </c>
      <c r="D749" s="50" t="str">
        <f aca="false">IFERROR(VLOOKUP($A749,Equipos!$C$2:$M$967,3,FALSE()),"")</f>
        <v>Gestión de Pacientes</v>
      </c>
      <c r="E749" s="50" t="str">
        <f aca="false">IFERROR(VLOOKUP($A749,Equipos!$C$2:$M$967,7,FALSE()),"")</f>
        <v>Zoll</v>
      </c>
      <c r="F749" s="50" t="str">
        <f aca="false">IFERROR(VLOOKUP($A749,Equipos!$C$2:$M$967,8,FALSE()),"")</f>
        <v>AEDPLUS</v>
      </c>
      <c r="G749" s="50" t="s">
        <v>691</v>
      </c>
      <c r="H749" s="50" t="s">
        <v>360</v>
      </c>
      <c r="I749" s="50"/>
      <c r="J749" s="50" t="s">
        <v>352</v>
      </c>
      <c r="K749" s="50" t="str">
        <f aca="false">IFERROR(VLOOKUP($J749,Catálogos!$M$4:$N$17,2,FALSE()),"")</f>
        <v>Mantención Preventiva Realizada</v>
      </c>
      <c r="L749" s="52" t="n">
        <v>46096</v>
      </c>
      <c r="M749" s="50" t="s">
        <v>353</v>
      </c>
      <c r="N749" s="50" t="s">
        <v>253</v>
      </c>
      <c r="O749" s="50"/>
      <c r="P749" s="50"/>
      <c r="Q749" s="50" t="s">
        <v>362</v>
      </c>
    </row>
    <row r="750" customFormat="false" ht="15" hidden="false" customHeight="true" outlineLevel="0" collapsed="false">
      <c r="A750" s="51" t="s">
        <v>665</v>
      </c>
      <c r="B750" s="50" t="str">
        <f aca="false">IFERROR(VLOOKUP($A750,Equipos!$C$2:$M$967,2,FALSE()),"")</f>
        <v>Incubadora</v>
      </c>
      <c r="C750" s="50" t="str">
        <f aca="false">IFERROR(VLOOKUP($A750,Equipos!$C$2:$M$967,9,FALSE()),"")</f>
        <v>ASJL-0006</v>
      </c>
      <c r="D750" s="50" t="str">
        <f aca="false">IFERROR(VLOOKUP($A750,Equipos!$C$2:$M$967,3,FALSE()),"")</f>
        <v>Neonatología</v>
      </c>
      <c r="E750" s="50" t="str">
        <f aca="false">IFERROR(VLOOKUP($A750,Equipos!$C$2:$M$967,7,FALSE()),"")</f>
        <v>DRAGER</v>
      </c>
      <c r="F750" s="50" t="str">
        <f aca="false">IFERROR(VLOOKUP($A750,Equipos!$C$2:$M$967,8,FALSE()),"")</f>
        <v>CALEO</v>
      </c>
      <c r="G750" s="50" t="s">
        <v>691</v>
      </c>
      <c r="H750" s="50" t="s">
        <v>360</v>
      </c>
      <c r="I750" s="50"/>
      <c r="J750" s="50" t="s">
        <v>352</v>
      </c>
      <c r="K750" s="50" t="str">
        <f aca="false">IFERROR(VLOOKUP($J750,Catálogos!$M$4:$N$17,2,FALSE()),"")</f>
        <v>Mantención Preventiva Realizada</v>
      </c>
      <c r="L750" s="52" t="n">
        <v>46096</v>
      </c>
      <c r="M750" s="50" t="s">
        <v>353</v>
      </c>
      <c r="N750" s="50" t="s">
        <v>253</v>
      </c>
      <c r="O750" s="50"/>
      <c r="P750" s="50"/>
      <c r="Q750" s="50" t="s">
        <v>362</v>
      </c>
    </row>
    <row r="751" customFormat="false" ht="15" hidden="false" customHeight="true" outlineLevel="0" collapsed="false">
      <c r="A751" s="51" t="s">
        <v>668</v>
      </c>
      <c r="B751" s="50" t="str">
        <f aca="false">IFERROR(VLOOKUP($A751,Equipos!$C$2:$M$967,2,FALSE()),"")</f>
        <v>Incubadora</v>
      </c>
      <c r="C751" s="50" t="str">
        <f aca="false">IFERROR(VLOOKUP($A751,Equipos!$C$2:$M$967,9,FALSE()),"")</f>
        <v>ASJL-0039</v>
      </c>
      <c r="D751" s="50" t="str">
        <f aca="false">IFERROR(VLOOKUP($A751,Equipos!$C$2:$M$967,3,FALSE()),"")</f>
        <v>Neonatología</v>
      </c>
      <c r="E751" s="50" t="str">
        <f aca="false">IFERROR(VLOOKUP($A751,Equipos!$C$2:$M$967,7,FALSE()),"")</f>
        <v>DRAGER</v>
      </c>
      <c r="F751" s="50" t="str">
        <f aca="false">IFERROR(VLOOKUP($A751,Equipos!$C$2:$M$967,8,FALSE()),"")</f>
        <v>CALEO</v>
      </c>
      <c r="G751" s="50" t="s">
        <v>691</v>
      </c>
      <c r="H751" s="50" t="s">
        <v>360</v>
      </c>
      <c r="I751" s="50"/>
      <c r="J751" s="50" t="s">
        <v>352</v>
      </c>
      <c r="K751" s="50" t="str">
        <f aca="false">IFERROR(VLOOKUP($J751,Catálogos!$M$4:$N$17,2,FALSE()),"")</f>
        <v>Mantención Preventiva Realizada</v>
      </c>
      <c r="L751" s="52" t="n">
        <v>46096</v>
      </c>
      <c r="M751" s="50" t="s">
        <v>353</v>
      </c>
      <c r="N751" s="50" t="s">
        <v>253</v>
      </c>
      <c r="O751" s="50"/>
      <c r="P751" s="50"/>
      <c r="Q751" s="50" t="s">
        <v>362</v>
      </c>
    </row>
    <row r="752" customFormat="false" ht="15" hidden="false" customHeight="true" outlineLevel="0" collapsed="false">
      <c r="A752" s="51" t="s">
        <v>675</v>
      </c>
      <c r="B752" s="50" t="str">
        <f aca="false">IFERROR(VLOOKUP($A752,Equipos!$C$2:$M$967,2,FALSE()),"")</f>
        <v>Incubadora</v>
      </c>
      <c r="C752" s="50" t="str">
        <f aca="false">IFERROR(VLOOKUP($A752,Equipos!$C$2:$M$967,9,FALSE()),"")</f>
        <v>ASLB-0010</v>
      </c>
      <c r="D752" s="50" t="str">
        <f aca="false">IFERROR(VLOOKUP($A752,Equipos!$C$2:$M$967,3,FALSE()),"")</f>
        <v>Neonatología</v>
      </c>
      <c r="E752" s="50" t="str">
        <f aca="false">IFERROR(VLOOKUP($A752,Equipos!$C$2:$M$967,7,FALSE()),"")</f>
        <v>DRAGER</v>
      </c>
      <c r="F752" s="50" t="str">
        <f aca="false">IFERROR(VLOOKUP($A752,Equipos!$C$2:$M$967,8,FALSE()),"")</f>
        <v>CALEO</v>
      </c>
      <c r="G752" s="50" t="s">
        <v>691</v>
      </c>
      <c r="H752" s="50" t="s">
        <v>360</v>
      </c>
      <c r="I752" s="50"/>
      <c r="J752" s="50" t="s">
        <v>352</v>
      </c>
      <c r="K752" s="50" t="str">
        <f aca="false">IFERROR(VLOOKUP($J752,Catálogos!$M$4:$N$17,2,FALSE()),"")</f>
        <v>Mantención Preventiva Realizada</v>
      </c>
      <c r="L752" s="52" t="n">
        <v>46096</v>
      </c>
      <c r="M752" s="50" t="s">
        <v>353</v>
      </c>
      <c r="N752" s="50" t="s">
        <v>253</v>
      </c>
      <c r="O752" s="50"/>
      <c r="P752" s="50"/>
      <c r="Q752" s="50" t="s">
        <v>362</v>
      </c>
    </row>
    <row r="753" customFormat="false" ht="15" hidden="false" customHeight="true" outlineLevel="0" collapsed="false">
      <c r="A753" s="51" t="s">
        <v>229</v>
      </c>
      <c r="B753" s="50" t="str">
        <f aca="false">IFERROR(VLOOKUP($A753,Equipos!$C$2:$M$967,2,FALSE()),"")</f>
        <v>Monitor Multiparámetros</v>
      </c>
      <c r="C753" s="50" t="str">
        <f aca="false">IFERROR(VLOOKUP($A753,Equipos!$C$2:$M$967,9,FALSE()),"")</f>
        <v>JH01B910002</v>
      </c>
      <c r="D753" s="50" t="str">
        <f aca="false">IFERROR(VLOOKUP($A753,Equipos!$C$2:$M$967,3,FALSE()),"")</f>
        <v>CDT</v>
      </c>
      <c r="E753" s="50" t="str">
        <f aca="false">IFERROR(VLOOKUP($A753,Equipos!$C$2:$M$967,7,FALSE()),"")</f>
        <v>Northern</v>
      </c>
      <c r="F753" s="50" t="str">
        <f aca="false">IFERROR(VLOOKUP($A753,Equipos!$C$2:$M$967,8,FALSE()),"")</f>
        <v>Aquarius ECG</v>
      </c>
      <c r="G753" s="50" t="s">
        <v>691</v>
      </c>
      <c r="H753" s="50" t="s">
        <v>351</v>
      </c>
      <c r="I753" s="50"/>
      <c r="J753" s="50" t="s">
        <v>364</v>
      </c>
      <c r="K753" s="50" t="str">
        <f aca="false">IFERROR(VLOOKUP($J753,Catálogos!$M$4:$N$17,2,FALSE()),"")</f>
        <v>Reprogramada · No disponibilidad de horas hombre del funcionario SEC por alta carga laboral</v>
      </c>
      <c r="L753" s="52" t="n">
        <v>46112</v>
      </c>
      <c r="M753" s="50"/>
      <c r="N753" s="50" t="s">
        <v>219</v>
      </c>
      <c r="O753" s="50"/>
      <c r="P753" s="50"/>
      <c r="Q753" s="50"/>
    </row>
    <row r="754" customFormat="false" ht="15" hidden="false" customHeight="true" outlineLevel="0" collapsed="false">
      <c r="A754" s="51" t="s">
        <v>227</v>
      </c>
      <c r="B754" s="50" t="str">
        <f aca="false">IFERROR(VLOOKUP($A754,Equipos!$C$2:$M$967,2,FALSE()),"")</f>
        <v>Monitor Multiparámetros</v>
      </c>
      <c r="C754" s="50" t="str">
        <f aca="false">IFERROR(VLOOKUP($A754,Equipos!$C$2:$M$967,9,FALSE()),"")</f>
        <v>JH01B910011</v>
      </c>
      <c r="D754" s="50" t="str">
        <f aca="false">IFERROR(VLOOKUP($A754,Equipos!$C$2:$M$967,3,FALSE()),"")</f>
        <v>CDT</v>
      </c>
      <c r="E754" s="50" t="str">
        <f aca="false">IFERROR(VLOOKUP($A754,Equipos!$C$2:$M$967,7,FALSE()),"")</f>
        <v>Northern</v>
      </c>
      <c r="F754" s="50" t="str">
        <f aca="false">IFERROR(VLOOKUP($A754,Equipos!$C$2:$M$967,8,FALSE()),"")</f>
        <v>Aquarius ECG</v>
      </c>
      <c r="G754" s="50" t="s">
        <v>691</v>
      </c>
      <c r="H754" s="50" t="s">
        <v>351</v>
      </c>
      <c r="I754" s="50"/>
      <c r="J754" s="50" t="s">
        <v>364</v>
      </c>
      <c r="K754" s="50" t="str">
        <f aca="false">IFERROR(VLOOKUP($J754,Catálogos!$M$4:$N$17,2,FALSE()),"")</f>
        <v>Reprogramada · No disponibilidad de horas hombre del funcionario SEC por alta carga laboral</v>
      </c>
      <c r="L754" s="52" t="n">
        <v>46112</v>
      </c>
      <c r="M754" s="50"/>
      <c r="N754" s="50" t="s">
        <v>219</v>
      </c>
      <c r="O754" s="50"/>
      <c r="P754" s="50"/>
      <c r="Q754" s="50"/>
    </row>
    <row r="755" customFormat="false" ht="15" hidden="false" customHeight="true" outlineLevel="0" collapsed="false">
      <c r="A755" s="51" t="s">
        <v>225</v>
      </c>
      <c r="B755" s="50" t="str">
        <f aca="false">IFERROR(VLOOKUP($A755,Equipos!$C$2:$M$967,2,FALSE()),"")</f>
        <v>Monitor Multiparámetros</v>
      </c>
      <c r="C755" s="50" t="str">
        <f aca="false">IFERROR(VLOOKUP($A755,Equipos!$C$2:$M$967,9,FALSE()),"")</f>
        <v>JH01B910020</v>
      </c>
      <c r="D755" s="50" t="str">
        <f aca="false">IFERROR(VLOOKUP($A755,Equipos!$C$2:$M$967,3,FALSE()),"")</f>
        <v>CDT</v>
      </c>
      <c r="E755" s="50" t="str">
        <f aca="false">IFERROR(VLOOKUP($A755,Equipos!$C$2:$M$967,7,FALSE()),"")</f>
        <v>Northern</v>
      </c>
      <c r="F755" s="50" t="str">
        <f aca="false">IFERROR(VLOOKUP($A755,Equipos!$C$2:$M$967,8,FALSE()),"")</f>
        <v>Aquarius ECG</v>
      </c>
      <c r="G755" s="50" t="s">
        <v>691</v>
      </c>
      <c r="H755" s="50" t="s">
        <v>351</v>
      </c>
      <c r="I755" s="50"/>
      <c r="J755" s="50" t="s">
        <v>364</v>
      </c>
      <c r="K755" s="50" t="str">
        <f aca="false">IFERROR(VLOOKUP($J755,Catálogos!$M$4:$N$17,2,FALSE()),"")</f>
        <v>Reprogramada · No disponibilidad de horas hombre del funcionario SEC por alta carga laboral</v>
      </c>
      <c r="L755" s="52" t="n">
        <v>46112</v>
      </c>
      <c r="M755" s="50"/>
      <c r="N755" s="50" t="s">
        <v>219</v>
      </c>
      <c r="O755" s="50"/>
      <c r="P755" s="50"/>
      <c r="Q755" s="50"/>
    </row>
    <row r="756" customFormat="false" ht="15" hidden="false" customHeight="true" outlineLevel="0" collapsed="false">
      <c r="A756" s="51" t="s">
        <v>222</v>
      </c>
      <c r="B756" s="50" t="str">
        <f aca="false">IFERROR(VLOOKUP($A756,Equipos!$C$2:$M$967,2,FALSE()),"")</f>
        <v>Monitor Multiparámetros</v>
      </c>
      <c r="C756" s="50" t="str">
        <f aca="false">IFERROR(VLOOKUP($A756,Equipos!$C$2:$M$967,9,FALSE()),"")</f>
        <v>JH01B910008</v>
      </c>
      <c r="D756" s="50" t="str">
        <f aca="false">IFERROR(VLOOKUP($A756,Equipos!$C$2:$M$967,3,FALSE()),"")</f>
        <v>CDT</v>
      </c>
      <c r="E756" s="50" t="str">
        <f aca="false">IFERROR(VLOOKUP($A756,Equipos!$C$2:$M$967,7,FALSE()),"")</f>
        <v>Northern</v>
      </c>
      <c r="F756" s="50" t="str">
        <f aca="false">IFERROR(VLOOKUP($A756,Equipos!$C$2:$M$967,8,FALSE()),"")</f>
        <v>Aquarius ECG</v>
      </c>
      <c r="G756" s="50" t="s">
        <v>691</v>
      </c>
      <c r="H756" s="50" t="s">
        <v>351</v>
      </c>
      <c r="I756" s="50"/>
      <c r="J756" s="50" t="s">
        <v>364</v>
      </c>
      <c r="K756" s="50" t="str">
        <f aca="false">IFERROR(VLOOKUP($J756,Catálogos!$M$4:$N$17,2,FALSE()),"")</f>
        <v>Reprogramada · No disponibilidad de horas hombre del funcionario SEC por alta carga laboral</v>
      </c>
      <c r="L756" s="52" t="n">
        <v>46112</v>
      </c>
      <c r="M756" s="50"/>
      <c r="N756" s="50" t="s">
        <v>219</v>
      </c>
      <c r="O756" s="50"/>
      <c r="P756" s="50"/>
      <c r="Q756" s="50"/>
    </row>
    <row r="757" customFormat="false" ht="15" hidden="false" customHeight="true" outlineLevel="0" collapsed="false">
      <c r="A757" s="51" t="s">
        <v>218</v>
      </c>
      <c r="B757" s="50" t="str">
        <f aca="false">IFERROR(VLOOKUP($A757,Equipos!$C$2:$M$967,2,FALSE()),"")</f>
        <v>Monitor Multiparámetros</v>
      </c>
      <c r="C757" s="50" t="str">
        <f aca="false">IFERROR(VLOOKUP($A757,Equipos!$C$2:$M$967,9,FALSE()),"")</f>
        <v>CN92392265</v>
      </c>
      <c r="D757" s="50" t="str">
        <f aca="false">IFERROR(VLOOKUP($A757,Equipos!$C$2:$M$967,3,FALSE()),"")</f>
        <v>CDT</v>
      </c>
      <c r="E757" s="50" t="str">
        <f aca="false">IFERROR(VLOOKUP($A757,Equipos!$C$2:$M$967,7,FALSE()),"")</f>
        <v>Philips</v>
      </c>
      <c r="F757" s="50" t="str">
        <f aca="false">IFERROR(VLOOKUP($A757,Equipos!$C$2:$M$967,8,FALSE()),"")</f>
        <v>CM100</v>
      </c>
      <c r="G757" s="50" t="s">
        <v>691</v>
      </c>
      <c r="H757" s="50" t="s">
        <v>351</v>
      </c>
      <c r="I757" s="50"/>
      <c r="J757" s="50" t="s">
        <v>364</v>
      </c>
      <c r="K757" s="50" t="str">
        <f aca="false">IFERROR(VLOOKUP($J757,Catálogos!$M$4:$N$17,2,FALSE()),"")</f>
        <v>Reprogramada · No disponibilidad de horas hombre del funcionario SEC por alta carga laboral</v>
      </c>
      <c r="L757" s="52" t="n">
        <v>46112</v>
      </c>
      <c r="M757" s="50"/>
      <c r="N757" s="50" t="s">
        <v>219</v>
      </c>
      <c r="O757" s="50"/>
      <c r="P757" s="50"/>
      <c r="Q757" s="50"/>
    </row>
    <row r="758" customFormat="false" ht="15" hidden="false" customHeight="true" outlineLevel="0" collapsed="false">
      <c r="A758" s="51" t="s">
        <v>235</v>
      </c>
      <c r="B758" s="50" t="str">
        <f aca="false">IFERROR(VLOOKUP($A758,Equipos!$C$2:$M$967,2,FALSE()),"")</f>
        <v>Monitor Multiparámetros</v>
      </c>
      <c r="C758" s="50" t="str">
        <f aca="false">IFERROR(VLOOKUP($A758,Equipos!$C$2:$M$967,9,FALSE()),"")</f>
        <v>23307030152</v>
      </c>
      <c r="D758" s="50" t="str">
        <f aca="false">IFERROR(VLOOKUP($A758,Equipos!$C$2:$M$967,3,FALSE()),"")</f>
        <v>Cardiología</v>
      </c>
      <c r="E758" s="50" t="str">
        <f aca="false">IFERROR(VLOOKUP($A758,Equipos!$C$2:$M$967,7,FALSE()),"")</f>
        <v>Nellcor</v>
      </c>
      <c r="F758" s="50" t="str">
        <f aca="false">IFERROR(VLOOKUP($A758,Equipos!$C$2:$M$967,8,FALSE()),"")</f>
        <v>M5600-LA</v>
      </c>
      <c r="G758" s="50" t="s">
        <v>691</v>
      </c>
      <c r="H758" s="50" t="s">
        <v>351</v>
      </c>
      <c r="I758" s="50"/>
      <c r="J758" s="50" t="s">
        <v>364</v>
      </c>
      <c r="K758" s="50" t="str">
        <f aca="false">IFERROR(VLOOKUP($J758,Catálogos!$M$4:$N$17,2,FALSE()),"")</f>
        <v>Reprogramada · No disponibilidad de horas hombre del funcionario SEC por alta carga laboral</v>
      </c>
      <c r="L758" s="52" t="n">
        <v>46112</v>
      </c>
      <c r="M758" s="50"/>
      <c r="N758" s="50" t="s">
        <v>219</v>
      </c>
      <c r="O758" s="50"/>
      <c r="P758" s="50"/>
      <c r="Q758" s="50"/>
    </row>
    <row r="759" customFormat="false" ht="15" hidden="false" customHeight="true" outlineLevel="0" collapsed="false">
      <c r="A759" s="51" t="s">
        <v>231</v>
      </c>
      <c r="B759" s="50" t="str">
        <f aca="false">IFERROR(VLOOKUP($A759,Equipos!$C$2:$M$967,2,FALSE()),"")</f>
        <v>Monitor Multiparámetros</v>
      </c>
      <c r="C759" s="50" t="str">
        <f aca="false">IFERROR(VLOOKUP($A759,Equipos!$C$2:$M$967,9,FALSE()),"")</f>
        <v>1029</v>
      </c>
      <c r="D759" s="50" t="str">
        <f aca="false">IFERROR(VLOOKUP($A759,Equipos!$C$2:$M$967,3,FALSE()),"")</f>
        <v>CDT</v>
      </c>
      <c r="E759" s="50" t="str">
        <f aca="false">IFERROR(VLOOKUP($A759,Equipos!$C$2:$M$967,7,FALSE()),"")</f>
        <v>Nihon Kohden </v>
      </c>
      <c r="F759" s="50" t="str">
        <f aca="false">IFERROR(VLOOKUP($A759,Equipos!$C$2:$M$967,8,FALSE()),"")</f>
        <v>BSM-6301K</v>
      </c>
      <c r="G759" s="50" t="s">
        <v>691</v>
      </c>
      <c r="H759" s="50" t="s">
        <v>351</v>
      </c>
      <c r="I759" s="50"/>
      <c r="J759" s="50" t="s">
        <v>364</v>
      </c>
      <c r="K759" s="50" t="str">
        <f aca="false">IFERROR(VLOOKUP($J759,Catálogos!$M$4:$N$17,2,FALSE()),"")</f>
        <v>Reprogramada · No disponibilidad de horas hombre del funcionario SEC por alta carga laboral</v>
      </c>
      <c r="L759" s="52" t="n">
        <v>46112</v>
      </c>
      <c r="M759" s="50"/>
      <c r="N759" s="50" t="s">
        <v>219</v>
      </c>
      <c r="O759" s="50"/>
      <c r="P759" s="50"/>
      <c r="Q759" s="50"/>
    </row>
    <row r="760" customFormat="false" ht="15" hidden="false" customHeight="true" outlineLevel="0" collapsed="false">
      <c r="A760" s="51" t="s">
        <v>233</v>
      </c>
      <c r="B760" s="50" t="str">
        <f aca="false">IFERROR(VLOOKUP($A760,Equipos!$C$2:$M$967,2,FALSE()),"")</f>
        <v>Monitor Multiparámetros</v>
      </c>
      <c r="C760" s="50" t="str">
        <f aca="false">IFERROR(VLOOKUP($A760,Equipos!$C$2:$M$967,9,FALSE()),"")</f>
        <v>5395660070</v>
      </c>
      <c r="D760" s="50" t="str">
        <f aca="false">IFERROR(VLOOKUP($A760,Equipos!$C$2:$M$967,3,FALSE()),"")</f>
        <v>Cardiología</v>
      </c>
      <c r="E760" s="50" t="str">
        <f aca="false">IFERROR(VLOOKUP($A760,Equipos!$C$2:$M$967,7,FALSE()),"")</f>
        <v>Drager </v>
      </c>
      <c r="F760" s="50" t="str">
        <f aca="false">IFERROR(VLOOKUP($A760,Equipos!$C$2:$M$967,8,FALSE()),"")</f>
        <v>Infinity Vista</v>
      </c>
      <c r="G760" s="50" t="s">
        <v>691</v>
      </c>
      <c r="H760" s="50" t="s">
        <v>351</v>
      </c>
      <c r="I760" s="50"/>
      <c r="J760" s="50" t="s">
        <v>364</v>
      </c>
      <c r="K760" s="50" t="str">
        <f aca="false">IFERROR(VLOOKUP($J760,Catálogos!$M$4:$N$17,2,FALSE()),"")</f>
        <v>Reprogramada · No disponibilidad de horas hombre del funcionario SEC por alta carga laboral</v>
      </c>
      <c r="L760" s="52" t="n">
        <v>46112</v>
      </c>
      <c r="M760" s="50"/>
      <c r="N760" s="50" t="s">
        <v>219</v>
      </c>
      <c r="O760" s="50"/>
      <c r="P760" s="50"/>
      <c r="Q760" s="50"/>
    </row>
    <row r="761" customFormat="false" ht="15" hidden="false" customHeight="true" outlineLevel="0" collapsed="false">
      <c r="A761" s="51" t="s">
        <v>127</v>
      </c>
      <c r="B761" s="50" t="str">
        <f aca="false">IFERROR(VLOOKUP($A761,Equipos!$C$2:$M$967,2,FALSE()),"")</f>
        <v>Máquina de Anestesia</v>
      </c>
      <c r="C761" s="50" t="str">
        <f aca="false">IFERROR(VLOOKUP($A761,Equipos!$C$2:$M$967,9,FALSE()),"")</f>
        <v>ASMB-0231</v>
      </c>
      <c r="D761" s="50" t="str">
        <f aca="false">IFERROR(VLOOKUP($A761,Equipos!$C$2:$M$967,3,FALSE()),"")</f>
        <v>Pabellón Quirúrgico</v>
      </c>
      <c r="E761" s="50" t="str">
        <f aca="false">IFERROR(VLOOKUP($A761,Equipos!$C$2:$M$967,7,FALSE()),"")</f>
        <v>Drager</v>
      </c>
      <c r="F761" s="50" t="str">
        <f aca="false">IFERROR(VLOOKUP($A761,Equipos!$C$2:$M$967,8,FALSE()),"")</f>
        <v>Primus IE</v>
      </c>
      <c r="G761" s="50" t="s">
        <v>691</v>
      </c>
      <c r="H761" s="50" t="s">
        <v>351</v>
      </c>
      <c r="I761" s="50"/>
      <c r="J761" s="50" t="s">
        <v>331</v>
      </c>
      <c r="K761" s="50" t="str">
        <f aca="false">IFERROR(VLOOKUP($J761,Catálogos!$M$4:$N$17,2,FALSE()),"")</f>
        <v>Reprogramada · Equipo no operativo, a la espera de repuestos o accesorios</v>
      </c>
      <c r="L761" s="52" t="n">
        <v>46112</v>
      </c>
      <c r="M761" s="50" t="s">
        <v>355</v>
      </c>
      <c r="N761" s="50" t="s">
        <v>128</v>
      </c>
      <c r="O761" s="50"/>
      <c r="P761" s="50"/>
      <c r="Q761" s="50"/>
    </row>
    <row r="762" customFormat="false" ht="15" hidden="false" customHeight="true" outlineLevel="0" collapsed="false">
      <c r="A762" s="51" t="s">
        <v>349</v>
      </c>
      <c r="B762" s="50" t="str">
        <f aca="false">IFERROR(VLOOKUP($A762,Equipos!$C$2:$M$967,2,FALSE()),"")</f>
        <v>Ventilador Mecánico </v>
      </c>
      <c r="C762" s="50" t="str">
        <f aca="false">IFERROR(VLOOKUP($A762,Equipos!$C$2:$M$967,9,FALSE()),"")</f>
        <v>MV2000TA1F0353</v>
      </c>
      <c r="D762" s="50" t="str">
        <f aca="false">IFERROR(VLOOKUP($A762,Equipos!$C$2:$M$967,3,FALSE()),"")</f>
        <v>UPC Adulto</v>
      </c>
      <c r="E762" s="50" t="str">
        <f aca="false">IFERROR(VLOOKUP($A762,Equipos!$C$2:$M$967,7,FALSE()),"")</f>
        <v>MEK ICS</v>
      </c>
      <c r="F762" s="50" t="str">
        <f aca="false">IFERROR(VLOOKUP($A762,Equipos!$C$2:$M$967,8,FALSE()),"")</f>
        <v>MV2000 EVO5</v>
      </c>
      <c r="G762" s="50" t="s">
        <v>893</v>
      </c>
      <c r="H762" s="50" t="s">
        <v>351</v>
      </c>
      <c r="I762" s="50"/>
      <c r="J762" s="50" t="s">
        <v>352</v>
      </c>
      <c r="K762" s="50" t="str">
        <f aca="false">IFERROR(VLOOKUP($J762,Catálogos!$M$4:$N$17,2,FALSE()),"")</f>
        <v>Mantención Preventiva Realizada</v>
      </c>
      <c r="L762" s="52" t="n">
        <v>46113</v>
      </c>
      <c r="M762" s="50" t="s">
        <v>355</v>
      </c>
      <c r="N762" s="50" t="s">
        <v>162</v>
      </c>
      <c r="O762" s="50"/>
      <c r="P762" s="50"/>
      <c r="Q762" s="50" t="s">
        <v>894</v>
      </c>
    </row>
    <row r="763" customFormat="false" ht="15" hidden="false" customHeight="true" outlineLevel="0" collapsed="false">
      <c r="A763" s="51" t="s">
        <v>25</v>
      </c>
      <c r="B763" s="50" t="str">
        <f aca="false">IFERROR(VLOOKUP($A763,Equipos!$C$2:$M$967,2,FALSE()),"")</f>
        <v>Ventilador Mecánico </v>
      </c>
      <c r="C763" s="50" t="str">
        <f aca="false">IFERROR(VLOOKUP($A763,Equipos!$C$2:$M$967,9,FALSE()),"")</f>
        <v>ASFN-0008</v>
      </c>
      <c r="D763" s="50" t="str">
        <f aca="false">IFERROR(VLOOKUP($A763,Equipos!$C$2:$M$967,3,FALSE()),"")</f>
        <v>UPC Adulto</v>
      </c>
      <c r="E763" s="50" t="str">
        <f aca="false">IFERROR(VLOOKUP($A763,Equipos!$C$2:$M$967,7,FALSE()),"")</f>
        <v>Drager</v>
      </c>
      <c r="F763" s="50" t="str">
        <f aca="false">IFERROR(VLOOKUP($A763,Equipos!$C$2:$M$967,8,FALSE()),"")</f>
        <v>Carina </v>
      </c>
      <c r="G763" s="50" t="s">
        <v>893</v>
      </c>
      <c r="H763" s="50" t="s">
        <v>351</v>
      </c>
      <c r="I763" s="50"/>
      <c r="J763" s="50" t="s">
        <v>331</v>
      </c>
      <c r="K763" s="50" t="str">
        <f aca="false">IFERROR(VLOOKUP($J763,Catálogos!$M$4:$N$17,2,FALSE()),"")</f>
        <v>Reprogramada · Equipo no operativo, a la espera de repuestos o accesorios</v>
      </c>
      <c r="L763" s="52" t="n">
        <v>46117</v>
      </c>
      <c r="M763" s="50" t="s">
        <v>355</v>
      </c>
      <c r="N763" s="50" t="s">
        <v>162</v>
      </c>
      <c r="O763" s="50"/>
      <c r="P763" s="50"/>
      <c r="Q763" s="50"/>
    </row>
    <row r="764" customFormat="false" ht="15" hidden="false" customHeight="true" outlineLevel="0" collapsed="false">
      <c r="A764" s="51" t="s">
        <v>123</v>
      </c>
      <c r="B764" s="50" t="str">
        <f aca="false">IFERROR(VLOOKUP($A764,Equipos!$C$2:$M$967,2,FALSE()),"")</f>
        <v>Ventilador Mecánico </v>
      </c>
      <c r="C764" s="50" t="str">
        <f aca="false">IFERROR(VLOOKUP($A764,Equipos!$C$2:$M$967,9,FALSE()),"")</f>
        <v>3512202231</v>
      </c>
      <c r="D764" s="50" t="str">
        <f aca="false">IFERROR(VLOOKUP($A764,Equipos!$C$2:$M$967,3,FALSE()),"")</f>
        <v>UPC 3er Piso</v>
      </c>
      <c r="E764" s="50" t="str">
        <f aca="false">IFERROR(VLOOKUP($A764,Equipos!$C$2:$M$967,7,FALSE()),"")</f>
        <v>Puritan Bennett</v>
      </c>
      <c r="F764" s="50" t="n">
        <f aca="false">IFERROR(VLOOKUP($A764,Equipos!$C$2:$M$967,8,FALSE()),"")</f>
        <v>840</v>
      </c>
      <c r="G764" s="50" t="s">
        <v>893</v>
      </c>
      <c r="H764" s="50" t="s">
        <v>351</v>
      </c>
      <c r="I764" s="50"/>
      <c r="J764" s="50" t="s">
        <v>352</v>
      </c>
      <c r="K764" s="50" t="str">
        <f aca="false">IFERROR(VLOOKUP($J764,Catálogos!$M$4:$N$17,2,FALSE()),"")</f>
        <v>Mantención Preventiva Realizada</v>
      </c>
      <c r="L764" s="52" t="n">
        <v>46118</v>
      </c>
      <c r="M764" s="50" t="s">
        <v>353</v>
      </c>
      <c r="N764" s="50" t="s">
        <v>162</v>
      </c>
      <c r="O764" s="50"/>
      <c r="P764" s="50"/>
      <c r="Q764" s="50"/>
    </row>
    <row r="765" customFormat="false" ht="15" hidden="false" customHeight="true" outlineLevel="0" collapsed="false">
      <c r="A765" s="51" t="s">
        <v>895</v>
      </c>
      <c r="B765" s="50" t="str">
        <f aca="false">IFERROR(VLOOKUP($A765,Equipos!$C$2:$M$967,2,FALSE()),"")</f>
        <v>Monitor Multiparámetros</v>
      </c>
      <c r="C765" s="50" t="str">
        <f aca="false">IFERROR(VLOOKUP($A765,Equipos!$C$2:$M$967,9,FALSE()),"")</f>
        <v>US74915955</v>
      </c>
      <c r="D765" s="50" t="str">
        <f aca="false">IFERROR(VLOOKUP($A765,Equipos!$C$2:$M$967,3,FALSE()),"")</f>
        <v>Hospitalización Domiciliaria</v>
      </c>
      <c r="E765" s="50" t="str">
        <f aca="false">IFERROR(VLOOKUP($A765,Equipos!$C$2:$M$967,7,FALSE()),"")</f>
        <v>Philips</v>
      </c>
      <c r="F765" s="50" t="str">
        <f aca="false">IFERROR(VLOOKUP($A765,Equipos!$C$2:$M$967,8,FALSE()),"")</f>
        <v>VM6</v>
      </c>
      <c r="G765" s="50" t="s">
        <v>893</v>
      </c>
      <c r="H765" s="50" t="s">
        <v>351</v>
      </c>
      <c r="I765" s="50"/>
      <c r="J765" s="50" t="s">
        <v>352</v>
      </c>
      <c r="K765" s="50" t="str">
        <f aca="false">IFERROR(VLOOKUP($J765,Catálogos!$M$4:$N$17,2,FALSE()),"")</f>
        <v>Mantención Preventiva Realizada</v>
      </c>
      <c r="L765" s="52" t="n">
        <v>46121</v>
      </c>
      <c r="M765" s="50" t="s">
        <v>353</v>
      </c>
      <c r="N765" s="50" t="s">
        <v>141</v>
      </c>
      <c r="O765" s="50"/>
      <c r="P765" s="50"/>
      <c r="Q765" s="50"/>
    </row>
    <row r="766" customFormat="false" ht="15" hidden="false" customHeight="true" outlineLevel="0" collapsed="false">
      <c r="A766" s="51" t="s">
        <v>108</v>
      </c>
      <c r="B766" s="50" t="str">
        <f aca="false">IFERROR(VLOOKUP($A766,Equipos!$C$2:$M$967,2,FALSE()),"")</f>
        <v>Desfibrilador</v>
      </c>
      <c r="C766" s="50" t="str">
        <f aca="false">IFERROR(VLOOKUP($A766,Equipos!$C$2:$M$967,9,FALSE()),"")</f>
        <v>40979213</v>
      </c>
      <c r="D766" s="50" t="str">
        <f aca="false">IFERROR(VLOOKUP($A766,Equipos!$C$2:$M$967,3,FALSE()),"")</f>
        <v>Pabellón Quirúrgico</v>
      </c>
      <c r="E766" s="50" t="str">
        <f aca="false">IFERROR(VLOOKUP($A766,Equipos!$C$2:$M$967,7,FALSE()),"")</f>
        <v>Medtronic</v>
      </c>
      <c r="F766" s="50" t="str">
        <f aca="false">IFERROR(VLOOKUP($A766,Equipos!$C$2:$M$967,8,FALSE()),"")</f>
        <v>Lifepack 20</v>
      </c>
      <c r="G766" s="50" t="s">
        <v>893</v>
      </c>
      <c r="H766" s="50" t="s">
        <v>351</v>
      </c>
      <c r="I766" s="50"/>
      <c r="J766" s="50" t="s">
        <v>352</v>
      </c>
      <c r="K766" s="50" t="str">
        <f aca="false">IFERROR(VLOOKUP($J766,Catálogos!$M$4:$N$17,2,FALSE()),"")</f>
        <v>Mantención Preventiva Realizada</v>
      </c>
      <c r="L766" s="52" t="n">
        <v>46123</v>
      </c>
      <c r="M766" s="50" t="s">
        <v>355</v>
      </c>
      <c r="N766" s="50" t="s">
        <v>63</v>
      </c>
      <c r="O766" s="50"/>
      <c r="P766" s="50"/>
      <c r="Q766" s="50" t="s">
        <v>896</v>
      </c>
    </row>
    <row r="767" customFormat="false" ht="15" hidden="false" customHeight="true" outlineLevel="0" collapsed="false">
      <c r="A767" s="51" t="s">
        <v>897</v>
      </c>
      <c r="B767" s="50" t="str">
        <f aca="false">IFERROR(VLOOKUP($A767,Equipos!$C$2:$M$967,2,FALSE()),"")</f>
        <v>Desfibrilador</v>
      </c>
      <c r="C767" s="50" t="str">
        <f aca="false">IFERROR(VLOOKUP($A767,Equipos!$C$2:$M$967,9,FALSE()),"")</f>
        <v>(21)AF19K107388</v>
      </c>
      <c r="D767" s="50" t="str">
        <f aca="false">IFERROR(VLOOKUP($A767,Equipos!$C$2:$M$967,3,FALSE()),"")</f>
        <v>Pabellón Quirúrgico</v>
      </c>
      <c r="E767" s="50" t="str">
        <f aca="false">IFERROR(VLOOKUP($A767,Equipos!$C$2:$M$967,7,FALSE()),"")</f>
        <v>Zoll</v>
      </c>
      <c r="F767" s="50" t="str">
        <f aca="false">IFERROR(VLOOKUP($A767,Equipos!$C$2:$M$967,8,FALSE()),"")</f>
        <v>R SERIES ALS</v>
      </c>
      <c r="G767" s="50" t="s">
        <v>893</v>
      </c>
      <c r="H767" s="50" t="s">
        <v>351</v>
      </c>
      <c r="I767" s="50"/>
      <c r="J767" s="50" t="s">
        <v>352</v>
      </c>
      <c r="K767" s="50" t="str">
        <f aca="false">IFERROR(VLOOKUP($J767,Catálogos!$M$4:$N$17,2,FALSE()),"")</f>
        <v>Mantención Preventiva Realizada</v>
      </c>
      <c r="L767" s="52" t="n">
        <v>46123</v>
      </c>
      <c r="M767" s="50" t="s">
        <v>353</v>
      </c>
      <c r="N767" s="50" t="s">
        <v>63</v>
      </c>
      <c r="O767" s="50"/>
      <c r="P767" s="50"/>
      <c r="Q767" s="50"/>
    </row>
    <row r="768" customFormat="false" ht="15" hidden="false" customHeight="true" outlineLevel="0" collapsed="false">
      <c r="A768" s="51" t="s">
        <v>898</v>
      </c>
      <c r="B768" s="50" t="str">
        <f aca="false">IFERROR(VLOOKUP($A768,Equipos!$C$2:$M$967,2,FALSE()),"")</f>
        <v>Desfibrilador</v>
      </c>
      <c r="C768" s="50" t="str">
        <f aca="false">IFERROR(VLOOKUP($A768,Equipos!$C$2:$M$967,9,FALSE()),"")</f>
        <v>(21)AF19K107393</v>
      </c>
      <c r="D768" s="50" t="str">
        <f aca="false">IFERROR(VLOOKUP($A768,Equipos!$C$2:$M$967,3,FALSE()),"")</f>
        <v>Pabellón Quirúrgico</v>
      </c>
      <c r="E768" s="50" t="str">
        <f aca="false">IFERROR(VLOOKUP($A768,Equipos!$C$2:$M$967,7,FALSE()),"")</f>
        <v>Zoll</v>
      </c>
      <c r="F768" s="50" t="str">
        <f aca="false">IFERROR(VLOOKUP($A768,Equipos!$C$2:$M$967,8,FALSE()),"")</f>
        <v>R SERIES ALS</v>
      </c>
      <c r="G768" s="50" t="s">
        <v>893</v>
      </c>
      <c r="H768" s="50" t="s">
        <v>351</v>
      </c>
      <c r="I768" s="50"/>
      <c r="J768" s="50" t="s">
        <v>352</v>
      </c>
      <c r="K768" s="50" t="str">
        <f aca="false">IFERROR(VLOOKUP($J768,Catálogos!$M$4:$N$17,2,FALSE()),"")</f>
        <v>Mantención Preventiva Realizada</v>
      </c>
      <c r="L768" s="52" t="n">
        <v>46123</v>
      </c>
      <c r="M768" s="50" t="s">
        <v>353</v>
      </c>
      <c r="N768" s="50" t="s">
        <v>63</v>
      </c>
      <c r="O768" s="50"/>
      <c r="P768" s="50"/>
      <c r="Q768" s="50"/>
    </row>
    <row r="769" customFormat="false" ht="15" hidden="false" customHeight="true" outlineLevel="0" collapsed="false">
      <c r="A769" s="51" t="s">
        <v>899</v>
      </c>
      <c r="B769" s="50" t="str">
        <f aca="false">IFERROR(VLOOKUP($A769,Equipos!$C$2:$M$967,2,FALSE()),"")</f>
        <v>Desfibrilador</v>
      </c>
      <c r="C769" s="50" t="str">
        <f aca="false">IFERROR(VLOOKUP($A769,Equipos!$C$2:$M$967,9,FALSE()),"")</f>
        <v>(21)AF19K107390</v>
      </c>
      <c r="D769" s="50" t="str">
        <f aca="false">IFERROR(VLOOKUP($A769,Equipos!$C$2:$M$967,3,FALSE()),"")</f>
        <v>Pabellón (Recuperación)</v>
      </c>
      <c r="E769" s="50" t="str">
        <f aca="false">IFERROR(VLOOKUP($A769,Equipos!$C$2:$M$967,7,FALSE()),"")</f>
        <v>Zoll</v>
      </c>
      <c r="F769" s="50" t="str">
        <f aca="false">IFERROR(VLOOKUP($A769,Equipos!$C$2:$M$967,8,FALSE()),"")</f>
        <v>R SERIES ALS</v>
      </c>
      <c r="G769" s="50" t="s">
        <v>893</v>
      </c>
      <c r="H769" s="50" t="s">
        <v>351</v>
      </c>
      <c r="I769" s="50"/>
      <c r="J769" s="50" t="s">
        <v>352</v>
      </c>
      <c r="K769" s="50" t="str">
        <f aca="false">IFERROR(VLOOKUP($J769,Catálogos!$M$4:$N$17,2,FALSE()),"")</f>
        <v>Mantención Preventiva Realizada</v>
      </c>
      <c r="L769" s="52" t="n">
        <v>46123</v>
      </c>
      <c r="M769" s="50" t="s">
        <v>353</v>
      </c>
      <c r="N769" s="50" t="s">
        <v>63</v>
      </c>
      <c r="O769" s="50"/>
      <c r="P769" s="50"/>
      <c r="Q769" s="50" t="s">
        <v>900</v>
      </c>
    </row>
    <row r="770" customFormat="false" ht="15" hidden="false" customHeight="true" outlineLevel="0" collapsed="false">
      <c r="A770" s="51" t="s">
        <v>901</v>
      </c>
      <c r="B770" s="50" t="str">
        <f aca="false">IFERROR(VLOOKUP($A770,Equipos!$C$2:$M$967,2,FALSE()),"")</f>
        <v>Desfibrilador</v>
      </c>
      <c r="C770" s="50" t="str">
        <f aca="false">IFERROR(VLOOKUP($A770,Equipos!$C$2:$M$967,9,FALSE()),"")</f>
        <v>946</v>
      </c>
      <c r="D770" s="50" t="str">
        <f aca="false">IFERROR(VLOOKUP($A770,Equipos!$C$2:$M$967,3,FALSE()),"")</f>
        <v>Urgencia Adulto</v>
      </c>
      <c r="E770" s="50" t="str">
        <f aca="false">IFERROR(VLOOKUP($A770,Equipos!$C$2:$M$967,7,FALSE()),"")</f>
        <v>NIHON KOHDEN</v>
      </c>
      <c r="F770" s="50" t="str">
        <f aca="false">IFERROR(VLOOKUP($A770,Equipos!$C$2:$M$967,8,FALSE()),"")</f>
        <v>TEC-8352K</v>
      </c>
      <c r="G770" s="50" t="s">
        <v>893</v>
      </c>
      <c r="H770" s="50" t="s">
        <v>351</v>
      </c>
      <c r="I770" s="50"/>
      <c r="J770" s="50" t="s">
        <v>352</v>
      </c>
      <c r="K770" s="50" t="str">
        <f aca="false">IFERROR(VLOOKUP($J770,Catálogos!$M$4:$N$17,2,FALSE()),"")</f>
        <v>Mantención Preventiva Realizada</v>
      </c>
      <c r="L770" s="52" t="n">
        <v>46123</v>
      </c>
      <c r="M770" s="50" t="s">
        <v>353</v>
      </c>
      <c r="N770" s="50" t="s">
        <v>63</v>
      </c>
      <c r="O770" s="50"/>
      <c r="P770" s="50"/>
      <c r="Q770" s="50"/>
    </row>
    <row r="771" customFormat="false" ht="15" hidden="false" customHeight="true" outlineLevel="0" collapsed="false">
      <c r="A771" s="51" t="s">
        <v>653</v>
      </c>
      <c r="B771" s="50" t="str">
        <f aca="false">IFERROR(VLOOKUP($A771,Equipos!$C$2:$M$967,2,FALSE()),"")</f>
        <v>Desfibrilador</v>
      </c>
      <c r="C771" s="50" t="str">
        <f aca="false">IFERROR(VLOOKUP($A771,Equipos!$C$2:$M$967,9,FALSE()),"")</f>
        <v>BA19F000013</v>
      </c>
      <c r="D771" s="50" t="str">
        <f aca="false">IFERROR(VLOOKUP($A771,Equipos!$C$2:$M$967,3,FALSE()),"")</f>
        <v>SAMU</v>
      </c>
      <c r="E771" s="50" t="str">
        <f aca="false">IFERROR(VLOOKUP($A771,Equipos!$C$2:$M$967,7,FALSE()),"")</f>
        <v>Zoll</v>
      </c>
      <c r="F771" s="50" t="str">
        <f aca="false">IFERROR(VLOOKUP($A771,Equipos!$C$2:$M$967,8,FALSE()),"")</f>
        <v>M2</v>
      </c>
      <c r="G771" s="50" t="s">
        <v>893</v>
      </c>
      <c r="H771" s="50" t="s">
        <v>351</v>
      </c>
      <c r="I771" s="50"/>
      <c r="J771" s="50" t="s">
        <v>352</v>
      </c>
      <c r="K771" s="50" t="str">
        <f aca="false">IFERROR(VLOOKUP($J771,Catálogos!$M$4:$N$17,2,FALSE()),"")</f>
        <v>Mantención Preventiva Realizada</v>
      </c>
      <c r="L771" s="52" t="n">
        <v>46125</v>
      </c>
      <c r="M771" s="50" t="s">
        <v>353</v>
      </c>
      <c r="N771" s="50" t="s">
        <v>63</v>
      </c>
      <c r="O771" s="50"/>
      <c r="P771" s="50"/>
      <c r="Q771" s="50"/>
    </row>
    <row r="772" customFormat="false" ht="15" hidden="false" customHeight="true" outlineLevel="0" collapsed="false">
      <c r="A772" s="51" t="s">
        <v>902</v>
      </c>
      <c r="B772" s="50" t="str">
        <f aca="false">IFERROR(VLOOKUP($A772,Equipos!$C$2:$M$967,2,FALSE()),"")</f>
        <v>Desfibrilador</v>
      </c>
      <c r="C772" s="50" t="str">
        <f aca="false">IFERROR(VLOOKUP($A772,Equipos!$C$2:$M$967,9,FALSE()),"")</f>
        <v>41204CM7004</v>
      </c>
      <c r="D772" s="50" t="str">
        <f aca="false">IFERROR(VLOOKUP($A772,Equipos!$C$2:$M$967,3,FALSE()),"")</f>
        <v>SAMU</v>
      </c>
      <c r="E772" s="50" t="str">
        <f aca="false">IFERROR(VLOOKUP($A772,Equipos!$C$2:$M$967,7,FALSE()),"")</f>
        <v>Instramed</v>
      </c>
      <c r="F772" s="50" t="str">
        <f aca="false">IFERROR(VLOOKUP($A772,Equipos!$C$2:$M$967,8,FALSE()),"")</f>
        <v>Cardiomax 8 Series</v>
      </c>
      <c r="G772" s="50" t="s">
        <v>893</v>
      </c>
      <c r="H772" s="50" t="s">
        <v>351</v>
      </c>
      <c r="I772" s="50"/>
      <c r="J772" s="50" t="s">
        <v>352</v>
      </c>
      <c r="K772" s="50" t="str">
        <f aca="false">IFERROR(VLOOKUP($J772,Catálogos!$M$4:$N$17,2,FALSE()),"")</f>
        <v>Mantención Preventiva Realizada</v>
      </c>
      <c r="L772" s="52" t="n">
        <v>46125</v>
      </c>
      <c r="M772" s="50" t="s">
        <v>353</v>
      </c>
      <c r="N772" s="50" t="s">
        <v>63</v>
      </c>
      <c r="O772" s="50"/>
      <c r="P772" s="50"/>
      <c r="Q772" s="50"/>
    </row>
    <row r="773" customFormat="false" ht="15" hidden="false" customHeight="true" outlineLevel="0" collapsed="false">
      <c r="A773" s="51" t="s">
        <v>903</v>
      </c>
      <c r="B773" s="50" t="str">
        <f aca="false">IFERROR(VLOOKUP($A773,Equipos!$C$2:$M$967,2,FALSE()),"")</f>
        <v>Desfibrilador</v>
      </c>
      <c r="C773" s="50" t="str">
        <f aca="false">IFERROR(VLOOKUP($A773,Equipos!$C$2:$M$967,9,FALSE()),"")</f>
        <v>DG-29006896</v>
      </c>
      <c r="D773" s="50" t="str">
        <f aca="false">IFERROR(VLOOKUP($A773,Equipos!$C$2:$M$967,3,FALSE()),"")</f>
        <v>Hemodiálisis (Prestado a SAMU)</v>
      </c>
      <c r="E773" s="50" t="str">
        <f aca="false">IFERROR(VLOOKUP($A773,Equipos!$C$2:$M$967,7,FALSE()),"")</f>
        <v>Mindray</v>
      </c>
      <c r="F773" s="50" t="str">
        <f aca="false">IFERROR(VLOOKUP($A773,Equipos!$C$2:$M$967,8,FALSE()),"")</f>
        <v>BeneHeart D6</v>
      </c>
      <c r="G773" s="50" t="s">
        <v>893</v>
      </c>
      <c r="H773" s="50" t="s">
        <v>351</v>
      </c>
      <c r="I773" s="50"/>
      <c r="J773" s="50" t="s">
        <v>352</v>
      </c>
      <c r="K773" s="50" t="str">
        <f aca="false">IFERROR(VLOOKUP($J773,Catálogos!$M$4:$N$17,2,FALSE()),"")</f>
        <v>Mantención Preventiva Realizada</v>
      </c>
      <c r="L773" s="52" t="n">
        <v>46125</v>
      </c>
      <c r="M773" s="50" t="s">
        <v>353</v>
      </c>
      <c r="N773" s="50" t="s">
        <v>63</v>
      </c>
      <c r="O773" s="50"/>
      <c r="P773" s="50"/>
      <c r="Q773" s="50" t="s">
        <v>904</v>
      </c>
    </row>
    <row r="774" customFormat="false" ht="15" hidden="false" customHeight="true" outlineLevel="0" collapsed="false">
      <c r="A774" s="51" t="s">
        <v>905</v>
      </c>
      <c r="B774" s="50" t="str">
        <f aca="false">IFERROR(VLOOKUP($A774,Equipos!$C$2:$M$967,2,FALSE()),"")</f>
        <v>Desfibrilador</v>
      </c>
      <c r="C774" s="50" t="str">
        <f aca="false">IFERROR(VLOOKUP($A774,Equipos!$C$2:$M$967,9,FALSE()),"")</f>
        <v>932</v>
      </c>
      <c r="D774" s="50" t="str">
        <f aca="false">IFERROR(VLOOKUP($A774,Equipos!$C$2:$M$967,3,FALSE()),"")</f>
        <v>SAMU</v>
      </c>
      <c r="E774" s="50" t="str">
        <f aca="false">IFERROR(VLOOKUP($A774,Equipos!$C$2:$M$967,7,FALSE()),"")</f>
        <v>NIHON KOHDEN</v>
      </c>
      <c r="F774" s="50" t="str">
        <f aca="false">IFERROR(VLOOKUP($A774,Equipos!$C$2:$M$967,8,FALSE()),"")</f>
        <v>TEC-8352K</v>
      </c>
      <c r="G774" s="50" t="s">
        <v>893</v>
      </c>
      <c r="H774" s="50" t="s">
        <v>351</v>
      </c>
      <c r="I774" s="50"/>
      <c r="J774" s="50" t="s">
        <v>352</v>
      </c>
      <c r="K774" s="50" t="str">
        <f aca="false">IFERROR(VLOOKUP($J774,Catálogos!$M$4:$N$17,2,FALSE()),"")</f>
        <v>Mantención Preventiva Realizada</v>
      </c>
      <c r="L774" s="52" t="n">
        <v>46126</v>
      </c>
      <c r="M774" s="50" t="s">
        <v>353</v>
      </c>
      <c r="N774" s="50" t="s">
        <v>63</v>
      </c>
      <c r="O774" s="50"/>
      <c r="P774" s="50"/>
      <c r="Q774" s="50"/>
    </row>
    <row r="775" customFormat="false" ht="15" hidden="false" customHeight="true" outlineLevel="0" collapsed="false">
      <c r="A775" s="51" t="s">
        <v>906</v>
      </c>
      <c r="B775" s="50" t="str">
        <f aca="false">IFERROR(VLOOKUP($A775,Equipos!$C$2:$M$967,2,FALSE()),"")</f>
        <v>Máquina Diálisis</v>
      </c>
      <c r="C775" s="50" t="str">
        <f aca="false">IFERROR(VLOOKUP($A775,Equipos!$C$2:$M$967,9,FALSE()),"")</f>
        <v>5SXAEL58</v>
      </c>
      <c r="D775" s="50" t="str">
        <f aca="false">IFERROR(VLOOKUP($A775,Equipos!$C$2:$M$967,3,FALSE()),"")</f>
        <v>UPC Adulto</v>
      </c>
      <c r="E775" s="50" t="str">
        <f aca="false">IFERROR(VLOOKUP($A775,Equipos!$C$2:$M$967,7,FALSE()),"")</f>
        <v>Fresenius</v>
      </c>
      <c r="F775" s="50" t="str">
        <f aca="false">IFERROR(VLOOKUP($A775,Equipos!$C$2:$M$967,8,FALSE()),"")</f>
        <v>4008S</v>
      </c>
      <c r="G775" s="50" t="s">
        <v>893</v>
      </c>
      <c r="H775" s="50" t="s">
        <v>360</v>
      </c>
      <c r="I775" s="50"/>
      <c r="J775" s="50" t="s">
        <v>352</v>
      </c>
      <c r="K775" s="50" t="str">
        <f aca="false">IFERROR(VLOOKUP($J775,Catálogos!$M$4:$N$17,2,FALSE()),"")</f>
        <v>Mantención Preventiva Realizada</v>
      </c>
      <c r="L775" s="52" t="n">
        <v>46127</v>
      </c>
      <c r="M775" s="50" t="s">
        <v>353</v>
      </c>
      <c r="N775" s="50" t="s">
        <v>253</v>
      </c>
      <c r="O775" s="50"/>
      <c r="P775" s="50"/>
      <c r="Q775" s="50" t="s">
        <v>362</v>
      </c>
    </row>
    <row r="776" customFormat="false" ht="15" hidden="false" customHeight="true" outlineLevel="0" collapsed="false">
      <c r="A776" s="51" t="s">
        <v>907</v>
      </c>
      <c r="B776" s="50" t="str">
        <f aca="false">IFERROR(VLOOKUP($A776,Equipos!$C$2:$M$967,2,FALSE()),"")</f>
        <v>Máquina Diálisis</v>
      </c>
      <c r="C776" s="50" t="str">
        <f aca="false">IFERROR(VLOOKUP($A776,Equipos!$C$2:$M$967,9,FALSE()),"")</f>
        <v>5SXAEL57</v>
      </c>
      <c r="D776" s="50" t="str">
        <f aca="false">IFERROR(VLOOKUP($A776,Equipos!$C$2:$M$967,3,FALSE()),"")</f>
        <v>UPC Adulto</v>
      </c>
      <c r="E776" s="50" t="str">
        <f aca="false">IFERROR(VLOOKUP($A776,Equipos!$C$2:$M$967,7,FALSE()),"")</f>
        <v>Fresenius</v>
      </c>
      <c r="F776" s="50" t="str">
        <f aca="false">IFERROR(VLOOKUP($A776,Equipos!$C$2:$M$967,8,FALSE()),"")</f>
        <v>4008S</v>
      </c>
      <c r="G776" s="50" t="s">
        <v>893</v>
      </c>
      <c r="H776" s="50" t="s">
        <v>360</v>
      </c>
      <c r="I776" s="50"/>
      <c r="J776" s="50" t="s">
        <v>352</v>
      </c>
      <c r="K776" s="50" t="str">
        <f aca="false">IFERROR(VLOOKUP($J776,Catálogos!$M$4:$N$17,2,FALSE()),"")</f>
        <v>Mantención Preventiva Realizada</v>
      </c>
      <c r="L776" s="52" t="n">
        <v>46127</v>
      </c>
      <c r="M776" s="50" t="s">
        <v>353</v>
      </c>
      <c r="N776" s="50" t="s">
        <v>253</v>
      </c>
      <c r="O776" s="50"/>
      <c r="P776" s="50"/>
      <c r="Q776" s="50" t="s">
        <v>362</v>
      </c>
    </row>
    <row r="777" customFormat="false" ht="15" hidden="false" customHeight="true" outlineLevel="0" collapsed="false">
      <c r="A777" s="51" t="s">
        <v>908</v>
      </c>
      <c r="B777" s="50" t="str">
        <f aca="false">IFERROR(VLOOKUP($A777,Equipos!$C$2:$M$967,2,FALSE()),"")</f>
        <v>Máquina Diálisis</v>
      </c>
      <c r="C777" s="50" t="str">
        <f aca="false">IFERROR(VLOOKUP($A777,Equipos!$C$2:$M$967,9,FALSE()),"")</f>
        <v>5SXAEL56</v>
      </c>
      <c r="D777" s="50" t="str">
        <f aca="false">IFERROR(VLOOKUP($A777,Equipos!$C$2:$M$967,3,FALSE()),"")</f>
        <v>UPC Adulto</v>
      </c>
      <c r="E777" s="50" t="str">
        <f aca="false">IFERROR(VLOOKUP($A777,Equipos!$C$2:$M$967,7,FALSE()),"")</f>
        <v>Fresenius</v>
      </c>
      <c r="F777" s="50" t="str">
        <f aca="false">IFERROR(VLOOKUP($A777,Equipos!$C$2:$M$967,8,FALSE()),"")</f>
        <v>4008S</v>
      </c>
      <c r="G777" s="50" t="s">
        <v>893</v>
      </c>
      <c r="H777" s="50" t="s">
        <v>360</v>
      </c>
      <c r="I777" s="50"/>
      <c r="J777" s="50" t="s">
        <v>352</v>
      </c>
      <c r="K777" s="50" t="str">
        <f aca="false">IFERROR(VLOOKUP($J777,Catálogos!$M$4:$N$17,2,FALSE()),"")</f>
        <v>Mantención Preventiva Realizada</v>
      </c>
      <c r="L777" s="52" t="n">
        <v>46127</v>
      </c>
      <c r="M777" s="50" t="s">
        <v>353</v>
      </c>
      <c r="N777" s="50" t="s">
        <v>253</v>
      </c>
      <c r="O777" s="50"/>
      <c r="P777" s="50"/>
      <c r="Q777" s="50" t="s">
        <v>362</v>
      </c>
    </row>
    <row r="778" customFormat="false" ht="15" hidden="false" customHeight="true" outlineLevel="0" collapsed="false">
      <c r="A778" s="51" t="s">
        <v>909</v>
      </c>
      <c r="B778" s="50" t="str">
        <f aca="false">IFERROR(VLOOKUP($A778,Equipos!$C$2:$M$967,2,FALSE()),"")</f>
        <v>Máquina Diálisis</v>
      </c>
      <c r="C778" s="50" t="str">
        <f aca="false">IFERROR(VLOOKUP($A778,Equipos!$C$2:$M$967,9,FALSE()),"")</f>
        <v>PA10283</v>
      </c>
      <c r="D778" s="50" t="str">
        <f aca="false">IFERROR(VLOOKUP($A778,Equipos!$C$2:$M$967,3,FALSE()),"")</f>
        <v>UPC Pediátrica</v>
      </c>
      <c r="E778" s="50" t="str">
        <f aca="false">IFERROR(VLOOKUP($A778,Equipos!$C$2:$M$967,7,FALSE()),"")</f>
        <v>Gambro</v>
      </c>
      <c r="F778" s="50" t="str">
        <f aca="false">IFERROR(VLOOKUP($A778,Equipos!$C$2:$M$967,8,FALSE()),"")</f>
        <v>Prismaflex</v>
      </c>
      <c r="G778" s="50" t="s">
        <v>893</v>
      </c>
      <c r="H778" s="50" t="s">
        <v>360</v>
      </c>
      <c r="I778" s="50"/>
      <c r="J778" s="50" t="s">
        <v>352</v>
      </c>
      <c r="K778" s="50" t="str">
        <f aca="false">IFERROR(VLOOKUP($J778,Catálogos!$M$4:$N$17,2,FALSE()),"")</f>
        <v>Mantención Preventiva Realizada</v>
      </c>
      <c r="L778" s="52" t="n">
        <v>46127</v>
      </c>
      <c r="M778" s="50" t="s">
        <v>353</v>
      </c>
      <c r="N778" s="50" t="s">
        <v>253</v>
      </c>
      <c r="O778" s="50"/>
      <c r="P778" s="50"/>
      <c r="Q778" s="50" t="s">
        <v>362</v>
      </c>
    </row>
    <row r="779" customFormat="false" ht="15" hidden="false" customHeight="true" outlineLevel="0" collapsed="false">
      <c r="A779" s="51" t="s">
        <v>910</v>
      </c>
      <c r="B779" s="50" t="str">
        <f aca="false">IFERROR(VLOOKUP($A779,Equipos!$C$2:$M$967,2,FALSE()),"")</f>
        <v>Máquina Diálisis</v>
      </c>
      <c r="C779" s="50" t="str">
        <f aca="false">IFERROR(VLOOKUP($A779,Equipos!$C$2:$M$967,9,FALSE()),"")</f>
        <v>2FTG6884</v>
      </c>
      <c r="D779" s="50" t="str">
        <f aca="false">IFERROR(VLOOKUP($A779,Equipos!$C$2:$M$967,3,FALSE()),"")</f>
        <v>UPC Adulto</v>
      </c>
      <c r="E779" s="50" t="str">
        <f aca="false">IFERROR(VLOOKUP($A779,Equipos!$C$2:$M$967,7,FALSE()),"")</f>
        <v>Fresenius</v>
      </c>
      <c r="F779" s="50" t="str">
        <f aca="false">IFERROR(VLOOKUP($A779,Equipos!$C$2:$M$967,8,FALSE()),"")</f>
        <v>MultiFiltrate PRO</v>
      </c>
      <c r="G779" s="50" t="s">
        <v>893</v>
      </c>
      <c r="H779" s="50" t="s">
        <v>360</v>
      </c>
      <c r="I779" s="50"/>
      <c r="J779" s="50" t="s">
        <v>352</v>
      </c>
      <c r="K779" s="50" t="str">
        <f aca="false">IFERROR(VLOOKUP($J779,Catálogos!$M$4:$N$17,2,FALSE()),"")</f>
        <v>Mantención Preventiva Realizada</v>
      </c>
      <c r="L779" s="52" t="n">
        <v>46127</v>
      </c>
      <c r="M779" s="50" t="s">
        <v>353</v>
      </c>
      <c r="N779" s="50" t="s">
        <v>253</v>
      </c>
      <c r="O779" s="50"/>
      <c r="P779" s="50"/>
      <c r="Q779" s="50" t="s">
        <v>362</v>
      </c>
    </row>
    <row r="780" customFormat="false" ht="15" hidden="false" customHeight="true" outlineLevel="0" collapsed="false">
      <c r="A780" s="51" t="s">
        <v>911</v>
      </c>
      <c r="B780" s="50" t="str">
        <f aca="false">IFERROR(VLOOKUP($A780,Equipos!$C$2:$M$967,2,FALSE()),"")</f>
        <v>Máquina Diálisis</v>
      </c>
      <c r="C780" s="50" t="str">
        <f aca="false">IFERROR(VLOOKUP($A780,Equipos!$C$2:$M$967,9,FALSE()),"")</f>
        <v>2FTG6885</v>
      </c>
      <c r="D780" s="50" t="str">
        <f aca="false">IFERROR(VLOOKUP($A780,Equipos!$C$2:$M$967,3,FALSE()),"")</f>
        <v>UPC Adulto</v>
      </c>
      <c r="E780" s="50" t="str">
        <f aca="false">IFERROR(VLOOKUP($A780,Equipos!$C$2:$M$967,7,FALSE()),"")</f>
        <v>Fresenius</v>
      </c>
      <c r="F780" s="50" t="str">
        <f aca="false">IFERROR(VLOOKUP($A780,Equipos!$C$2:$M$967,8,FALSE()),"")</f>
        <v>MultiFiltrate PRO</v>
      </c>
      <c r="G780" s="50" t="s">
        <v>893</v>
      </c>
      <c r="H780" s="50" t="s">
        <v>360</v>
      </c>
      <c r="I780" s="50"/>
      <c r="J780" s="50" t="s">
        <v>352</v>
      </c>
      <c r="K780" s="50" t="str">
        <f aca="false">IFERROR(VLOOKUP($J780,Catálogos!$M$4:$N$17,2,FALSE()),"")</f>
        <v>Mantención Preventiva Realizada</v>
      </c>
      <c r="L780" s="52" t="n">
        <v>46127</v>
      </c>
      <c r="M780" s="50" t="s">
        <v>353</v>
      </c>
      <c r="N780" s="50" t="s">
        <v>253</v>
      </c>
      <c r="O780" s="50"/>
      <c r="P780" s="50"/>
      <c r="Q780" s="50" t="s">
        <v>362</v>
      </c>
    </row>
    <row r="781" customFormat="false" ht="15" hidden="false" customHeight="true" outlineLevel="0" collapsed="false">
      <c r="A781" s="51" t="s">
        <v>912</v>
      </c>
      <c r="B781" s="50" t="str">
        <f aca="false">IFERROR(VLOOKUP($A781,Equipos!$C$2:$M$967,2,FALSE()),"")</f>
        <v>Máquina Diálisis</v>
      </c>
      <c r="C781" s="50" t="str">
        <f aca="false">IFERROR(VLOOKUP($A781,Equipos!$C$2:$M$967,9,FALSE()),"")</f>
        <v>2FTG6886</v>
      </c>
      <c r="D781" s="50" t="str">
        <f aca="false">IFERROR(VLOOKUP($A781,Equipos!$C$2:$M$967,3,FALSE()),"")</f>
        <v>UPC Adulto</v>
      </c>
      <c r="E781" s="50" t="str">
        <f aca="false">IFERROR(VLOOKUP($A781,Equipos!$C$2:$M$967,7,FALSE()),"")</f>
        <v>Fresenius</v>
      </c>
      <c r="F781" s="50" t="str">
        <f aca="false">IFERROR(VLOOKUP($A781,Equipos!$C$2:$M$967,8,FALSE()),"")</f>
        <v>MultiFiltrate PRO</v>
      </c>
      <c r="G781" s="50" t="s">
        <v>893</v>
      </c>
      <c r="H781" s="50" t="s">
        <v>360</v>
      </c>
      <c r="I781" s="50"/>
      <c r="J781" s="50" t="s">
        <v>352</v>
      </c>
      <c r="K781" s="50" t="str">
        <f aca="false">IFERROR(VLOOKUP($J781,Catálogos!$M$4:$N$17,2,FALSE()),"")</f>
        <v>Mantención Preventiva Realizada</v>
      </c>
      <c r="L781" s="52" t="n">
        <v>46127</v>
      </c>
      <c r="M781" s="50" t="s">
        <v>353</v>
      </c>
      <c r="N781" s="50" t="s">
        <v>253</v>
      </c>
      <c r="O781" s="50"/>
      <c r="P781" s="50"/>
      <c r="Q781" s="50" t="s">
        <v>362</v>
      </c>
    </row>
    <row r="782" customFormat="false" ht="15" hidden="false" customHeight="true" outlineLevel="0" collapsed="false">
      <c r="A782" s="51" t="s">
        <v>713</v>
      </c>
      <c r="B782" s="50" t="str">
        <f aca="false">IFERROR(VLOOKUP($A782,Equipos!$C$2:$M$967,2,FALSE()),"")</f>
        <v>Monitor Multiparámetros</v>
      </c>
      <c r="C782" s="50" t="str">
        <f aca="false">IFERROR(VLOOKUP($A782,Equipos!$C$2:$M$967,9,FALSE()),"")</f>
        <v>CN92395203</v>
      </c>
      <c r="D782" s="50" t="str">
        <f aca="false">IFERROR(VLOOKUP($A782,Equipos!$C$2:$M$967,3,FALSE()),"")</f>
        <v>Endoscopía</v>
      </c>
      <c r="E782" s="50" t="str">
        <f aca="false">IFERROR(VLOOKUP($A782,Equipos!$C$2:$M$967,7,FALSE()),"")</f>
        <v>Philips</v>
      </c>
      <c r="F782" s="50" t="str">
        <f aca="false">IFERROR(VLOOKUP($A782,Equipos!$C$2:$M$967,8,FALSE()),"")</f>
        <v>CM120</v>
      </c>
      <c r="G782" s="50" t="s">
        <v>893</v>
      </c>
      <c r="H782" s="50" t="s">
        <v>360</v>
      </c>
      <c r="I782" s="50"/>
      <c r="J782" s="50" t="s">
        <v>352</v>
      </c>
      <c r="K782" s="50" t="str">
        <f aca="false">IFERROR(VLOOKUP($J782,Catálogos!$M$4:$N$17,2,FALSE()),"")</f>
        <v>Mantención Preventiva Realizada</v>
      </c>
      <c r="L782" s="52" t="n">
        <v>46127</v>
      </c>
      <c r="M782" s="50" t="s">
        <v>353</v>
      </c>
      <c r="N782" s="50" t="s">
        <v>253</v>
      </c>
      <c r="O782" s="50"/>
      <c r="P782" s="50"/>
      <c r="Q782" s="50" t="s">
        <v>362</v>
      </c>
    </row>
    <row r="783" customFormat="false" ht="15" hidden="false" customHeight="true" outlineLevel="0" collapsed="false">
      <c r="A783" s="51" t="s">
        <v>714</v>
      </c>
      <c r="B783" s="50" t="str">
        <f aca="false">IFERROR(VLOOKUP($A783,Equipos!$C$2:$M$967,2,FALSE()),"")</f>
        <v>Monitor Multiparámetros</v>
      </c>
      <c r="C783" s="50" t="str">
        <f aca="false">IFERROR(VLOOKUP($A783,Equipos!$C$2:$M$967,9,FALSE()),"")</f>
        <v>CN92395201</v>
      </c>
      <c r="D783" s="50" t="str">
        <f aca="false">IFERROR(VLOOKUP($A783,Equipos!$C$2:$M$967,3,FALSE()),"")</f>
        <v>Endoscopía</v>
      </c>
      <c r="E783" s="50" t="str">
        <f aca="false">IFERROR(VLOOKUP($A783,Equipos!$C$2:$M$967,7,FALSE()),"")</f>
        <v>Philips</v>
      </c>
      <c r="F783" s="50" t="str">
        <f aca="false">IFERROR(VLOOKUP($A783,Equipos!$C$2:$M$967,8,FALSE()),"")</f>
        <v>CM120</v>
      </c>
      <c r="G783" s="50" t="s">
        <v>893</v>
      </c>
      <c r="H783" s="50" t="s">
        <v>360</v>
      </c>
      <c r="I783" s="50"/>
      <c r="J783" s="50" t="s">
        <v>352</v>
      </c>
      <c r="K783" s="50" t="str">
        <f aca="false">IFERROR(VLOOKUP($J783,Catálogos!$M$4:$N$17,2,FALSE()),"")</f>
        <v>Mantención Preventiva Realizada</v>
      </c>
      <c r="L783" s="52" t="n">
        <v>46127</v>
      </c>
      <c r="M783" s="50" t="s">
        <v>353</v>
      </c>
      <c r="N783" s="50" t="s">
        <v>253</v>
      </c>
      <c r="O783" s="50"/>
      <c r="P783" s="50"/>
      <c r="Q783" s="50" t="s">
        <v>362</v>
      </c>
    </row>
    <row r="784" customFormat="false" ht="15" hidden="false" customHeight="true" outlineLevel="0" collapsed="false">
      <c r="A784" s="51" t="s">
        <v>715</v>
      </c>
      <c r="B784" s="50" t="str">
        <f aca="false">IFERROR(VLOOKUP($A784,Equipos!$C$2:$M$967,2,FALSE()),"")</f>
        <v>Monitor Multiparámetros</v>
      </c>
      <c r="C784" s="50" t="str">
        <f aca="false">IFERROR(VLOOKUP($A784,Equipos!$C$2:$M$967,9,FALSE()),"")</f>
        <v>CN92392264</v>
      </c>
      <c r="D784" s="50" t="str">
        <f aca="false">IFERROR(VLOOKUP($A784,Equipos!$C$2:$M$967,3,FALSE()),"")</f>
        <v>Quimioterapia Ambulatoria Adulto</v>
      </c>
      <c r="E784" s="50" t="str">
        <f aca="false">IFERROR(VLOOKUP($A784,Equipos!$C$2:$M$967,7,FALSE()),"")</f>
        <v>Philips</v>
      </c>
      <c r="F784" s="50" t="str">
        <f aca="false">IFERROR(VLOOKUP($A784,Equipos!$C$2:$M$967,8,FALSE()),"")</f>
        <v>CM100</v>
      </c>
      <c r="G784" s="50" t="s">
        <v>893</v>
      </c>
      <c r="H784" s="50" t="s">
        <v>360</v>
      </c>
      <c r="I784" s="50"/>
      <c r="J784" s="50" t="s">
        <v>352</v>
      </c>
      <c r="K784" s="50" t="str">
        <f aca="false">IFERROR(VLOOKUP($J784,Catálogos!$M$4:$N$17,2,FALSE()),"")</f>
        <v>Mantención Preventiva Realizada</v>
      </c>
      <c r="L784" s="52" t="n">
        <v>46127</v>
      </c>
      <c r="M784" s="50" t="s">
        <v>353</v>
      </c>
      <c r="N784" s="50" t="s">
        <v>253</v>
      </c>
      <c r="O784" s="50"/>
      <c r="P784" s="50"/>
      <c r="Q784" s="50" t="s">
        <v>362</v>
      </c>
    </row>
    <row r="785" customFormat="false" ht="15" hidden="false" customHeight="true" outlineLevel="0" collapsed="false">
      <c r="A785" s="51" t="s">
        <v>716</v>
      </c>
      <c r="B785" s="50" t="str">
        <f aca="false">IFERROR(VLOOKUP($A785,Equipos!$C$2:$M$967,2,FALSE()),"")</f>
        <v>Monitor Multiparámetros</v>
      </c>
      <c r="C785" s="50" t="str">
        <f aca="false">IFERROR(VLOOKUP($A785,Equipos!$C$2:$M$967,9,FALSE()),"")</f>
        <v>CN92392230</v>
      </c>
      <c r="D785" s="50" t="str">
        <f aca="false">IFERROR(VLOOKUP($A785,Equipos!$C$2:$M$967,3,FALSE()),"")</f>
        <v>Quimioterapia Ambulatoria Adulto</v>
      </c>
      <c r="E785" s="50" t="str">
        <f aca="false">IFERROR(VLOOKUP($A785,Equipos!$C$2:$M$967,7,FALSE()),"")</f>
        <v>Philips</v>
      </c>
      <c r="F785" s="50" t="str">
        <f aca="false">IFERROR(VLOOKUP($A785,Equipos!$C$2:$M$967,8,FALSE()),"")</f>
        <v>CM100</v>
      </c>
      <c r="G785" s="50" t="s">
        <v>893</v>
      </c>
      <c r="H785" s="50" t="s">
        <v>360</v>
      </c>
      <c r="I785" s="50"/>
      <c r="J785" s="50" t="s">
        <v>352</v>
      </c>
      <c r="K785" s="50" t="str">
        <f aca="false">IFERROR(VLOOKUP($J785,Catálogos!$M$4:$N$17,2,FALSE()),"")</f>
        <v>Mantención Preventiva Realizada</v>
      </c>
      <c r="L785" s="52" t="n">
        <v>46127</v>
      </c>
      <c r="M785" s="50" t="s">
        <v>353</v>
      </c>
      <c r="N785" s="50" t="s">
        <v>253</v>
      </c>
      <c r="O785" s="50"/>
      <c r="P785" s="50"/>
      <c r="Q785" s="50" t="s">
        <v>362</v>
      </c>
    </row>
    <row r="786" customFormat="false" ht="15" hidden="false" customHeight="true" outlineLevel="0" collapsed="false">
      <c r="A786" s="51" t="s">
        <v>717</v>
      </c>
      <c r="B786" s="50" t="str">
        <f aca="false">IFERROR(VLOOKUP($A786,Equipos!$C$2:$M$967,2,FALSE()),"")</f>
        <v>Monitor Multiparámetros</v>
      </c>
      <c r="C786" s="50" t="str">
        <f aca="false">IFERROR(VLOOKUP($A786,Equipos!$C$2:$M$967,9,FALSE()),"")</f>
        <v>CN92392229</v>
      </c>
      <c r="D786" s="50" t="str">
        <f aca="false">IFERROR(VLOOKUP($A786,Equipos!$C$2:$M$967,3,FALSE()),"")</f>
        <v>Quimioterapia Ambulatoria Adulto</v>
      </c>
      <c r="E786" s="50" t="str">
        <f aca="false">IFERROR(VLOOKUP($A786,Equipos!$C$2:$M$967,7,FALSE()),"")</f>
        <v>Philips</v>
      </c>
      <c r="F786" s="50" t="str">
        <f aca="false">IFERROR(VLOOKUP($A786,Equipos!$C$2:$M$967,8,FALSE()),"")</f>
        <v>CM100</v>
      </c>
      <c r="G786" s="50" t="s">
        <v>893</v>
      </c>
      <c r="H786" s="50" t="s">
        <v>360</v>
      </c>
      <c r="I786" s="50"/>
      <c r="J786" s="50" t="s">
        <v>352</v>
      </c>
      <c r="K786" s="50" t="str">
        <f aca="false">IFERROR(VLOOKUP($J786,Catálogos!$M$4:$N$17,2,FALSE()),"")</f>
        <v>Mantención Preventiva Realizada</v>
      </c>
      <c r="L786" s="52" t="n">
        <v>46127</v>
      </c>
      <c r="M786" s="50" t="s">
        <v>353</v>
      </c>
      <c r="N786" s="50" t="s">
        <v>253</v>
      </c>
      <c r="O786" s="50"/>
      <c r="P786" s="50"/>
      <c r="Q786" s="50" t="s">
        <v>362</v>
      </c>
    </row>
    <row r="787" customFormat="false" ht="15" hidden="false" customHeight="true" outlineLevel="0" collapsed="false">
      <c r="A787" s="51" t="s">
        <v>718</v>
      </c>
      <c r="B787" s="50" t="str">
        <f aca="false">IFERROR(VLOOKUP($A787,Equipos!$C$2:$M$967,2,FALSE()),"")</f>
        <v>Monitor Multiparámetros</v>
      </c>
      <c r="C787" s="50" t="str">
        <f aca="false">IFERROR(VLOOKUP($A787,Equipos!$C$2:$M$967,9,FALSE()),"")</f>
        <v>CN92392228</v>
      </c>
      <c r="D787" s="50" t="str">
        <f aca="false">IFERROR(VLOOKUP($A787,Equipos!$C$2:$M$967,3,FALSE()),"")</f>
        <v>Quimioterapia Ambulatoria Adulto</v>
      </c>
      <c r="E787" s="50" t="str">
        <f aca="false">IFERROR(VLOOKUP($A787,Equipos!$C$2:$M$967,7,FALSE()),"")</f>
        <v>Philips</v>
      </c>
      <c r="F787" s="50" t="str">
        <f aca="false">IFERROR(VLOOKUP($A787,Equipos!$C$2:$M$967,8,FALSE()),"")</f>
        <v>CM100</v>
      </c>
      <c r="G787" s="50" t="s">
        <v>893</v>
      </c>
      <c r="H787" s="50" t="s">
        <v>360</v>
      </c>
      <c r="I787" s="50"/>
      <c r="J787" s="50" t="s">
        <v>352</v>
      </c>
      <c r="K787" s="50" t="str">
        <f aca="false">IFERROR(VLOOKUP($J787,Catálogos!$M$4:$N$17,2,FALSE()),"")</f>
        <v>Mantención Preventiva Realizada</v>
      </c>
      <c r="L787" s="52" t="n">
        <v>46127</v>
      </c>
      <c r="M787" s="50" t="s">
        <v>353</v>
      </c>
      <c r="N787" s="50" t="s">
        <v>253</v>
      </c>
      <c r="O787" s="50"/>
      <c r="P787" s="50"/>
      <c r="Q787" s="50" t="s">
        <v>362</v>
      </c>
    </row>
    <row r="788" customFormat="false" ht="15" hidden="false" customHeight="true" outlineLevel="0" collapsed="false">
      <c r="A788" s="51" t="s">
        <v>719</v>
      </c>
      <c r="B788" s="50" t="str">
        <f aca="false">IFERROR(VLOOKUP($A788,Equipos!$C$2:$M$967,2,FALSE()),"")</f>
        <v>Monitor Multiparámetros</v>
      </c>
      <c r="C788" s="50" t="str">
        <f aca="false">IFERROR(VLOOKUP($A788,Equipos!$C$2:$M$967,9,FALSE()),"")</f>
        <v>CN92373992</v>
      </c>
      <c r="D788" s="50" t="str">
        <f aca="false">IFERROR(VLOOKUP($A788,Equipos!$C$2:$M$967,3,FALSE()),"")</f>
        <v>Quimioterapia Ambulatoria Adulto</v>
      </c>
      <c r="E788" s="50" t="str">
        <f aca="false">IFERROR(VLOOKUP($A788,Equipos!$C$2:$M$967,7,FALSE()),"")</f>
        <v>Philips</v>
      </c>
      <c r="F788" s="50" t="str">
        <f aca="false">IFERROR(VLOOKUP($A788,Equipos!$C$2:$M$967,8,FALSE()),"")</f>
        <v>CM100</v>
      </c>
      <c r="G788" s="50" t="s">
        <v>893</v>
      </c>
      <c r="H788" s="50" t="s">
        <v>360</v>
      </c>
      <c r="I788" s="50"/>
      <c r="J788" s="50" t="s">
        <v>352</v>
      </c>
      <c r="K788" s="50" t="str">
        <f aca="false">IFERROR(VLOOKUP($J788,Catálogos!$M$4:$N$17,2,FALSE()),"")</f>
        <v>Mantención Preventiva Realizada</v>
      </c>
      <c r="L788" s="52" t="n">
        <v>46127</v>
      </c>
      <c r="M788" s="50" t="s">
        <v>353</v>
      </c>
      <c r="N788" s="50" t="s">
        <v>253</v>
      </c>
      <c r="O788" s="50"/>
      <c r="P788" s="50"/>
      <c r="Q788" s="50" t="s">
        <v>362</v>
      </c>
    </row>
    <row r="789" customFormat="false" ht="15" hidden="false" customHeight="true" outlineLevel="0" collapsed="false">
      <c r="A789" s="51" t="s">
        <v>720</v>
      </c>
      <c r="B789" s="50" t="str">
        <f aca="false">IFERROR(VLOOKUP($A789,Equipos!$C$2:$M$967,2,FALSE()),"")</f>
        <v>Monitor Multiparámetros</v>
      </c>
      <c r="C789" s="50" t="str">
        <f aca="false">IFERROR(VLOOKUP($A789,Equipos!$C$2:$M$967,9,FALSE()),"")</f>
        <v>02922.</v>
      </c>
      <c r="D789" s="50" t="str">
        <f aca="false">IFERROR(VLOOKUP($A789,Equipos!$C$2:$M$967,3,FALSE()),"")</f>
        <v>Hemato Oncología Adulto</v>
      </c>
      <c r="E789" s="50" t="str">
        <f aca="false">IFERROR(VLOOKUP($A789,Equipos!$C$2:$M$967,7,FALSE()),"")</f>
        <v>Nihon Kohden </v>
      </c>
      <c r="F789" s="50" t="str">
        <f aca="false">IFERROR(VLOOKUP($A789,Equipos!$C$2:$M$967,8,FALSE()),"")</f>
        <v>PVM-4763K</v>
      </c>
      <c r="G789" s="50" t="s">
        <v>893</v>
      </c>
      <c r="H789" s="50" t="s">
        <v>360</v>
      </c>
      <c r="I789" s="50"/>
      <c r="J789" s="50" t="s">
        <v>352</v>
      </c>
      <c r="K789" s="50" t="str">
        <f aca="false">IFERROR(VLOOKUP($J789,Catálogos!$M$4:$N$17,2,FALSE()),"")</f>
        <v>Mantención Preventiva Realizada</v>
      </c>
      <c r="L789" s="52" t="n">
        <v>46127</v>
      </c>
      <c r="M789" s="50" t="s">
        <v>353</v>
      </c>
      <c r="N789" s="50" t="s">
        <v>253</v>
      </c>
      <c r="O789" s="50"/>
      <c r="P789" s="50"/>
      <c r="Q789" s="50" t="s">
        <v>362</v>
      </c>
    </row>
    <row r="790" customFormat="false" ht="15" hidden="false" customHeight="true" outlineLevel="0" collapsed="false">
      <c r="A790" s="51" t="s">
        <v>722</v>
      </c>
      <c r="B790" s="50" t="str">
        <f aca="false">IFERROR(VLOOKUP($A790,Equipos!$C$2:$M$967,2,FALSE()),"")</f>
        <v>Monitor Multiparámetros</v>
      </c>
      <c r="C790" s="50" t="str">
        <f aca="false">IFERROR(VLOOKUP($A790,Equipos!$C$2:$M$967,9,FALSE()),"")</f>
        <v>2943</v>
      </c>
      <c r="D790" s="50" t="str">
        <f aca="false">IFERROR(VLOOKUP($A790,Equipos!$C$2:$M$967,3,FALSE()),"")</f>
        <v>Hemato Oncología Adulto</v>
      </c>
      <c r="E790" s="50" t="str">
        <f aca="false">IFERROR(VLOOKUP($A790,Equipos!$C$2:$M$967,7,FALSE()),"")</f>
        <v>Nihon Kohden </v>
      </c>
      <c r="F790" s="50" t="str">
        <f aca="false">IFERROR(VLOOKUP($A790,Equipos!$C$2:$M$967,8,FALSE()),"")</f>
        <v>PVM-4763K</v>
      </c>
      <c r="G790" s="50" t="s">
        <v>893</v>
      </c>
      <c r="H790" s="50" t="s">
        <v>360</v>
      </c>
      <c r="I790" s="50"/>
      <c r="J790" s="50" t="s">
        <v>352</v>
      </c>
      <c r="K790" s="50" t="str">
        <f aca="false">IFERROR(VLOOKUP($J790,Catálogos!$M$4:$N$17,2,FALSE()),"")</f>
        <v>Mantención Preventiva Realizada</v>
      </c>
      <c r="L790" s="52" t="n">
        <v>46127</v>
      </c>
      <c r="M790" s="50" t="s">
        <v>353</v>
      </c>
      <c r="N790" s="50" t="s">
        <v>253</v>
      </c>
      <c r="O790" s="50"/>
      <c r="P790" s="50"/>
      <c r="Q790" s="50" t="s">
        <v>362</v>
      </c>
    </row>
    <row r="791" customFormat="false" ht="15" hidden="false" customHeight="true" outlineLevel="0" collapsed="false">
      <c r="A791" s="51" t="s">
        <v>723</v>
      </c>
      <c r="B791" s="50" t="str">
        <f aca="false">IFERROR(VLOOKUP($A791,Equipos!$C$2:$M$967,2,FALSE()),"")</f>
        <v>Monitor Multiparámetros</v>
      </c>
      <c r="C791" s="50" t="str">
        <f aca="false">IFERROR(VLOOKUP($A791,Equipos!$C$2:$M$967,9,FALSE()),"")</f>
        <v>DGM40018</v>
      </c>
      <c r="D791" s="50" t="str">
        <f aca="false">IFERROR(VLOOKUP($A791,Equipos!$C$2:$M$967,3,FALSE()),"")</f>
        <v>Endoscopía</v>
      </c>
      <c r="E791" s="50" t="str">
        <f aca="false">IFERROR(VLOOKUP($A791,Equipos!$C$2:$M$967,7,FALSE()),"")</f>
        <v>Bistos</v>
      </c>
      <c r="F791" s="50" t="str">
        <f aca="false">IFERROR(VLOOKUP($A791,Equipos!$C$2:$M$967,8,FALSE()),"")</f>
        <v>BT-770</v>
      </c>
      <c r="G791" s="50" t="s">
        <v>893</v>
      </c>
      <c r="H791" s="50" t="s">
        <v>360</v>
      </c>
      <c r="I791" s="50"/>
      <c r="J791" s="50" t="s">
        <v>352</v>
      </c>
      <c r="K791" s="50" t="str">
        <f aca="false">IFERROR(VLOOKUP($J791,Catálogos!$M$4:$N$17,2,FALSE()),"")</f>
        <v>Mantención Preventiva Realizada</v>
      </c>
      <c r="L791" s="52" t="n">
        <v>46127</v>
      </c>
      <c r="M791" s="50" t="s">
        <v>353</v>
      </c>
      <c r="N791" s="50" t="s">
        <v>253</v>
      </c>
      <c r="O791" s="50"/>
      <c r="P791" s="50"/>
      <c r="Q791" s="50" t="s">
        <v>362</v>
      </c>
    </row>
    <row r="792" customFormat="false" ht="15" hidden="false" customHeight="true" outlineLevel="0" collapsed="false">
      <c r="A792" s="51" t="s">
        <v>724</v>
      </c>
      <c r="B792" s="50" t="str">
        <f aca="false">IFERROR(VLOOKUP($A792,Equipos!$C$2:$M$967,2,FALSE()),"")</f>
        <v>Monitor Multiparámetros</v>
      </c>
      <c r="C792" s="50" t="str">
        <f aca="false">IFERROR(VLOOKUP($A792,Equipos!$C$2:$M$967,9,FALSE()),"")</f>
        <v>DGM40020</v>
      </c>
      <c r="D792" s="50" t="str">
        <f aca="false">IFERROR(VLOOKUP($A792,Equipos!$C$2:$M$967,3,FALSE()),"")</f>
        <v>Endoscopía</v>
      </c>
      <c r="E792" s="50" t="str">
        <f aca="false">IFERROR(VLOOKUP($A792,Equipos!$C$2:$M$967,7,FALSE()),"")</f>
        <v>Bistos</v>
      </c>
      <c r="F792" s="50" t="str">
        <f aca="false">IFERROR(VLOOKUP($A792,Equipos!$C$2:$M$967,8,FALSE()),"")</f>
        <v>BT-770</v>
      </c>
      <c r="G792" s="50" t="s">
        <v>893</v>
      </c>
      <c r="H792" s="50" t="s">
        <v>360</v>
      </c>
      <c r="I792" s="50"/>
      <c r="J792" s="50" t="s">
        <v>352</v>
      </c>
      <c r="K792" s="50" t="str">
        <f aca="false">IFERROR(VLOOKUP($J792,Catálogos!$M$4:$N$17,2,FALSE()),"")</f>
        <v>Mantención Preventiva Realizada</v>
      </c>
      <c r="L792" s="52" t="n">
        <v>46127</v>
      </c>
      <c r="M792" s="50" t="s">
        <v>353</v>
      </c>
      <c r="N792" s="50" t="s">
        <v>253</v>
      </c>
      <c r="O792" s="50"/>
      <c r="P792" s="50"/>
      <c r="Q792" s="50" t="s">
        <v>362</v>
      </c>
    </row>
    <row r="793" customFormat="false" ht="15" hidden="false" customHeight="true" outlineLevel="0" collapsed="false">
      <c r="A793" s="51" t="s">
        <v>734</v>
      </c>
      <c r="B793" s="50" t="str">
        <f aca="false">IFERROR(VLOOKUP($A793,Equipos!$C$2:$M$967,2,FALSE()),"")</f>
        <v>Monitor Multiparámetros</v>
      </c>
      <c r="C793" s="50" t="str">
        <f aca="false">IFERROR(VLOOKUP($A793,Equipos!$C$2:$M$967,9,FALSE()),"")</f>
        <v>F2-04008204</v>
      </c>
      <c r="D793" s="50" t="str">
        <f aca="false">IFERROR(VLOOKUP($A793,Equipos!$C$2:$M$967,3,FALSE()),"")</f>
        <v>Urgencia Adulto</v>
      </c>
      <c r="E793" s="50" t="str">
        <f aca="false">IFERROR(VLOOKUP($A793,Equipos!$C$2:$M$967,7,FALSE()),"")</f>
        <v>Mindray</v>
      </c>
      <c r="F793" s="50" t="str">
        <f aca="false">IFERROR(VLOOKUP($A793,Equipos!$C$2:$M$967,8,FALSE()),"")</f>
        <v>BeneVision N17</v>
      </c>
      <c r="G793" s="50" t="s">
        <v>893</v>
      </c>
      <c r="H793" s="50" t="s">
        <v>360</v>
      </c>
      <c r="I793" s="50"/>
      <c r="J793" s="50" t="s">
        <v>352</v>
      </c>
      <c r="K793" s="50" t="str">
        <f aca="false">IFERROR(VLOOKUP($J793,Catálogos!$M$4:$N$17,2,FALSE()),"")</f>
        <v>Mantención Preventiva Realizada</v>
      </c>
      <c r="L793" s="52" t="n">
        <v>46127</v>
      </c>
      <c r="M793" s="50" t="s">
        <v>353</v>
      </c>
      <c r="N793" s="50" t="s">
        <v>253</v>
      </c>
      <c r="O793" s="50"/>
      <c r="P793" s="50"/>
      <c r="Q793" s="50" t="s">
        <v>362</v>
      </c>
    </row>
    <row r="794" customFormat="false" ht="15" hidden="false" customHeight="true" outlineLevel="0" collapsed="false">
      <c r="A794" s="51" t="s">
        <v>741</v>
      </c>
      <c r="B794" s="50" t="str">
        <f aca="false">IFERROR(VLOOKUP($A794,Equipos!$C$2:$M$967,2,FALSE()),"")</f>
        <v>Monitor Multiparámetros</v>
      </c>
      <c r="C794" s="50" t="str">
        <f aca="false">IFERROR(VLOOKUP($A794,Equipos!$C$2:$M$967,9,FALSE()),"")</f>
        <v>SQE19510024SA</v>
      </c>
      <c r="D794" s="50" t="str">
        <f aca="false">IFERROR(VLOOKUP($A794,Equipos!$C$2:$M$967,3,FALSE()),"")</f>
        <v>Electrofisiología</v>
      </c>
      <c r="E794" s="50" t="str">
        <f aca="false">IFERROR(VLOOKUP($A794,Equipos!$C$2:$M$967,7,FALSE()),"")</f>
        <v>General Electric</v>
      </c>
      <c r="F794" s="50" t="str">
        <f aca="false">IFERROR(VLOOKUP($A794,Equipos!$C$2:$M$967,8,FALSE()),"")</f>
        <v>B105</v>
      </c>
      <c r="G794" s="50" t="s">
        <v>893</v>
      </c>
      <c r="H794" s="50" t="s">
        <v>360</v>
      </c>
      <c r="I794" s="50"/>
      <c r="J794" s="50" t="s">
        <v>352</v>
      </c>
      <c r="K794" s="50" t="str">
        <f aca="false">IFERROR(VLOOKUP($J794,Catálogos!$M$4:$N$17,2,FALSE()),"")</f>
        <v>Mantención Preventiva Realizada</v>
      </c>
      <c r="L794" s="52" t="n">
        <v>46127</v>
      </c>
      <c r="M794" s="50" t="s">
        <v>353</v>
      </c>
      <c r="N794" s="50" t="s">
        <v>253</v>
      </c>
      <c r="O794" s="50"/>
      <c r="P794" s="50"/>
      <c r="Q794" s="50" t="s">
        <v>362</v>
      </c>
    </row>
    <row r="795" customFormat="false" ht="15" hidden="false" customHeight="true" outlineLevel="0" collapsed="false">
      <c r="A795" s="51" t="s">
        <v>913</v>
      </c>
      <c r="B795" s="50" t="str">
        <f aca="false">IFERROR(VLOOKUP($A795,Equipos!$C$2:$M$967,2,FALSE()),"")</f>
        <v>Monitor Multiparámetros</v>
      </c>
      <c r="C795" s="50" t="str">
        <f aca="false">IFERROR(VLOOKUP($A795,Equipos!$C$2:$M$967,9,FALSE()),"")</f>
        <v>5613354870</v>
      </c>
      <c r="D795" s="50" t="str">
        <f aca="false">IFERROR(VLOOKUP($A795,Equipos!$C$2:$M$967,3,FALSE()),"")</f>
        <v>Pabellón Quirúrgico</v>
      </c>
      <c r="E795" s="50" t="str">
        <f aca="false">IFERROR(VLOOKUP($A795,Equipos!$C$2:$M$967,7,FALSE()),"")</f>
        <v>Drager</v>
      </c>
      <c r="F795" s="50" t="str">
        <f aca="false">IFERROR(VLOOKUP($A795,Equipos!$C$2:$M$967,8,FALSE()),"")</f>
        <v>M540</v>
      </c>
      <c r="G795" s="50" t="s">
        <v>893</v>
      </c>
      <c r="H795" s="50" t="s">
        <v>360</v>
      </c>
      <c r="I795" s="50"/>
      <c r="J795" s="50" t="s">
        <v>352</v>
      </c>
      <c r="K795" s="50" t="str">
        <f aca="false">IFERROR(VLOOKUP($J795,Catálogos!$M$4:$N$17,2,FALSE()),"")</f>
        <v>Mantención Preventiva Realizada</v>
      </c>
      <c r="L795" s="52" t="n">
        <v>46127</v>
      </c>
      <c r="M795" s="50" t="s">
        <v>353</v>
      </c>
      <c r="N795" s="50" t="s">
        <v>253</v>
      </c>
      <c r="O795" s="50"/>
      <c r="P795" s="50"/>
      <c r="Q795" s="50" t="s">
        <v>362</v>
      </c>
    </row>
    <row r="796" customFormat="false" ht="15" hidden="false" customHeight="true" outlineLevel="0" collapsed="false">
      <c r="A796" s="51" t="s">
        <v>747</v>
      </c>
      <c r="B796" s="50" t="str">
        <f aca="false">IFERROR(VLOOKUP($A796,Equipos!$C$2:$M$967,2,FALSE()),"")</f>
        <v>Monitor Multiparámetros</v>
      </c>
      <c r="C796" s="50" t="str">
        <f aca="false">IFERROR(VLOOKUP($A796,Equipos!$C$2:$M$967,9,FALSE()),"")</f>
        <v>VQSHF0100</v>
      </c>
      <c r="D796" s="50" t="str">
        <f aca="false">IFERROR(VLOOKUP($A796,Equipos!$C$2:$M$967,3,FALSE()),"")</f>
        <v>Electrofisiología</v>
      </c>
      <c r="E796" s="50" t="str">
        <f aca="false">IFERROR(VLOOKUP($A796,Equipos!$C$2:$M$967,7,FALSE()),"")</f>
        <v>Drager</v>
      </c>
      <c r="F796" s="50" t="str">
        <f aca="false">IFERROR(VLOOKUP($A796,Equipos!$C$2:$M$967,8,FALSE()),"")</f>
        <v>Vista 120</v>
      </c>
      <c r="G796" s="50" t="s">
        <v>893</v>
      </c>
      <c r="H796" s="50" t="s">
        <v>360</v>
      </c>
      <c r="I796" s="50"/>
      <c r="J796" s="50" t="s">
        <v>352</v>
      </c>
      <c r="K796" s="50" t="str">
        <f aca="false">IFERROR(VLOOKUP($J796,Catálogos!$M$4:$N$17,2,FALSE()),"")</f>
        <v>Mantención Preventiva Realizada</v>
      </c>
      <c r="L796" s="52" t="n">
        <v>46127</v>
      </c>
      <c r="M796" s="50" t="s">
        <v>353</v>
      </c>
      <c r="N796" s="50" t="s">
        <v>253</v>
      </c>
      <c r="O796" s="50"/>
      <c r="P796" s="50"/>
      <c r="Q796" s="50" t="s">
        <v>362</v>
      </c>
    </row>
    <row r="797" customFormat="false" ht="15" hidden="false" customHeight="true" outlineLevel="0" collapsed="false">
      <c r="A797" s="51" t="s">
        <v>748</v>
      </c>
      <c r="B797" s="50" t="str">
        <f aca="false">IFERROR(VLOOKUP($A797,Equipos!$C$2:$M$967,2,FALSE()),"")</f>
        <v>Monitor Multiparámetros</v>
      </c>
      <c r="C797" s="50" t="str">
        <f aca="false">IFERROR(VLOOKUP($A797,Equipos!$C$2:$M$967,9,FALSE()),"")</f>
        <v>3648</v>
      </c>
      <c r="D797" s="50" t="str">
        <f aca="false">IFERROR(VLOOKUP($A797,Equipos!$C$2:$M$967,3,FALSE()),"")</f>
        <v>Quimioterapia Ambulatoria Adulto</v>
      </c>
      <c r="E797" s="50" t="str">
        <f aca="false">IFERROR(VLOOKUP($A797,Equipos!$C$2:$M$967,7,FALSE()),"")</f>
        <v>Nihon Kohden </v>
      </c>
      <c r="F797" s="50" t="str">
        <f aca="false">IFERROR(VLOOKUP($A797,Equipos!$C$2:$M$967,8,FALSE()),"")</f>
        <v>BSM-2351K</v>
      </c>
      <c r="G797" s="50" t="s">
        <v>893</v>
      </c>
      <c r="H797" s="50" t="s">
        <v>360</v>
      </c>
      <c r="I797" s="50"/>
      <c r="J797" s="50" t="s">
        <v>352</v>
      </c>
      <c r="K797" s="50" t="str">
        <f aca="false">IFERROR(VLOOKUP($J797,Catálogos!$M$4:$N$17,2,FALSE()),"")</f>
        <v>Mantención Preventiva Realizada</v>
      </c>
      <c r="L797" s="52" t="n">
        <v>46127</v>
      </c>
      <c r="M797" s="50" t="s">
        <v>353</v>
      </c>
      <c r="N797" s="50" t="s">
        <v>253</v>
      </c>
      <c r="O797" s="50"/>
      <c r="P797" s="50"/>
      <c r="Q797" s="50" t="s">
        <v>362</v>
      </c>
    </row>
    <row r="798" customFormat="false" ht="15" hidden="false" customHeight="true" outlineLevel="0" collapsed="false">
      <c r="A798" s="51" t="s">
        <v>914</v>
      </c>
      <c r="B798" s="50" t="str">
        <f aca="false">IFERROR(VLOOKUP($A798,Equipos!$C$2:$M$967,2,FALSE()),"")</f>
        <v>Monitor Multiparámetros</v>
      </c>
      <c r="C798" s="50" t="str">
        <f aca="false">IFERROR(VLOOKUP($A798,Equipos!$C$2:$M$967,9,FALSE()),"")</f>
        <v>5495196658</v>
      </c>
      <c r="D798" s="50" t="str">
        <f aca="false">IFERROR(VLOOKUP($A798,Equipos!$C$2:$M$967,3,FALSE()),"")</f>
        <v>Pabellón Quirúrgico (Prestado a Imagenología)</v>
      </c>
      <c r="E798" s="50" t="str">
        <f aca="false">IFERROR(VLOOKUP($A798,Equipos!$C$2:$M$967,7,FALSE()),"")</f>
        <v>Drager</v>
      </c>
      <c r="F798" s="50" t="str">
        <f aca="false">IFERROR(VLOOKUP($A798,Equipos!$C$2:$M$967,8,FALSE()),"")</f>
        <v>Infinity Kappa</v>
      </c>
      <c r="G798" s="50" t="s">
        <v>893</v>
      </c>
      <c r="H798" s="50" t="s">
        <v>360</v>
      </c>
      <c r="I798" s="50"/>
      <c r="J798" s="50" t="s">
        <v>352</v>
      </c>
      <c r="K798" s="50" t="str">
        <f aca="false">IFERROR(VLOOKUP($J798,Catálogos!$M$4:$N$17,2,FALSE()),"")</f>
        <v>Mantención Preventiva Realizada</v>
      </c>
      <c r="L798" s="52" t="n">
        <v>46127</v>
      </c>
      <c r="M798" s="50" t="s">
        <v>353</v>
      </c>
      <c r="N798" s="50" t="s">
        <v>253</v>
      </c>
      <c r="O798" s="50"/>
      <c r="P798" s="50"/>
      <c r="Q798" s="50" t="s">
        <v>362</v>
      </c>
    </row>
    <row r="799" customFormat="false" ht="15" hidden="false" customHeight="true" outlineLevel="0" collapsed="false">
      <c r="A799" s="51" t="s">
        <v>915</v>
      </c>
      <c r="B799" s="50" t="str">
        <f aca="false">IFERROR(VLOOKUP($A799,Equipos!$C$2:$M$967,2,FALSE()),"")</f>
        <v>Monitor Multiparámetros</v>
      </c>
      <c r="C799" s="50" t="str">
        <f aca="false">IFERROR(VLOOKUP($A799,Equipos!$C$2:$M$967,9,FALSE()),"")</f>
        <v>5495192163</v>
      </c>
      <c r="D799" s="50" t="str">
        <f aca="false">IFERROR(VLOOKUP($A799,Equipos!$C$2:$M$967,3,FALSE()),"")</f>
        <v>Pabellón Quirúrgico</v>
      </c>
      <c r="E799" s="50" t="str">
        <f aca="false">IFERROR(VLOOKUP($A799,Equipos!$C$2:$M$967,7,FALSE()),"")</f>
        <v>Drager</v>
      </c>
      <c r="F799" s="50" t="str">
        <f aca="false">IFERROR(VLOOKUP($A799,Equipos!$C$2:$M$967,8,FALSE()),"")</f>
        <v>Infinity Kappa</v>
      </c>
      <c r="G799" s="50" t="s">
        <v>893</v>
      </c>
      <c r="H799" s="50" t="s">
        <v>360</v>
      </c>
      <c r="I799" s="50"/>
      <c r="J799" s="50" t="s">
        <v>352</v>
      </c>
      <c r="K799" s="50" t="str">
        <f aca="false">IFERROR(VLOOKUP($J799,Catálogos!$M$4:$N$17,2,FALSE()),"")</f>
        <v>Mantención Preventiva Realizada</v>
      </c>
      <c r="L799" s="52" t="n">
        <v>46127</v>
      </c>
      <c r="M799" s="50" t="s">
        <v>353</v>
      </c>
      <c r="N799" s="50" t="s">
        <v>253</v>
      </c>
      <c r="O799" s="50"/>
      <c r="P799" s="50"/>
      <c r="Q799" s="50" t="s">
        <v>362</v>
      </c>
    </row>
    <row r="800" customFormat="false" ht="15" hidden="false" customHeight="true" outlineLevel="0" collapsed="false">
      <c r="A800" s="51" t="s">
        <v>916</v>
      </c>
      <c r="B800" s="50" t="str">
        <f aca="false">IFERROR(VLOOKUP($A800,Equipos!$C$2:$M$967,2,FALSE()),"")</f>
        <v>Monitor Multiparámetros</v>
      </c>
      <c r="C800" s="50" t="str">
        <f aca="false">IFERROR(VLOOKUP($A800,Equipos!$C$2:$M$967,9,FALSE()),"")</f>
        <v>5495326456</v>
      </c>
      <c r="D800" s="50" t="str">
        <f aca="false">IFERROR(VLOOKUP($A800,Equipos!$C$2:$M$967,3,FALSE()),"")</f>
        <v>UPC Adulto</v>
      </c>
      <c r="E800" s="50" t="str">
        <f aca="false">IFERROR(VLOOKUP($A800,Equipos!$C$2:$M$967,7,FALSE()),"")</f>
        <v>Drager</v>
      </c>
      <c r="F800" s="50" t="str">
        <f aca="false">IFERROR(VLOOKUP($A800,Equipos!$C$2:$M$967,8,FALSE()),"")</f>
        <v>Infinity Kappa </v>
      </c>
      <c r="G800" s="50" t="s">
        <v>893</v>
      </c>
      <c r="H800" s="50" t="s">
        <v>360</v>
      </c>
      <c r="I800" s="50"/>
      <c r="J800" s="50" t="s">
        <v>352</v>
      </c>
      <c r="K800" s="50" t="str">
        <f aca="false">IFERROR(VLOOKUP($J800,Catálogos!$M$4:$N$17,2,FALSE()),"")</f>
        <v>Mantención Preventiva Realizada</v>
      </c>
      <c r="L800" s="52" t="n">
        <v>46127</v>
      </c>
      <c r="M800" s="50" t="s">
        <v>353</v>
      </c>
      <c r="N800" s="50" t="s">
        <v>253</v>
      </c>
      <c r="O800" s="50"/>
      <c r="P800" s="50"/>
      <c r="Q800" s="50" t="s">
        <v>362</v>
      </c>
    </row>
    <row r="801" customFormat="false" ht="15" hidden="false" customHeight="true" outlineLevel="0" collapsed="false">
      <c r="A801" s="51" t="s">
        <v>917</v>
      </c>
      <c r="B801" s="50" t="str">
        <f aca="false">IFERROR(VLOOKUP($A801,Equipos!$C$2:$M$967,2,FALSE()),"")</f>
        <v>Monitor Multiparámetros</v>
      </c>
      <c r="C801" s="50" t="str">
        <f aca="false">IFERROR(VLOOKUP($A801,Equipos!$C$2:$M$967,9,FALSE()),"")</f>
        <v>5495324565</v>
      </c>
      <c r="D801" s="50" t="str">
        <f aca="false">IFERROR(VLOOKUP($A801,Equipos!$C$2:$M$967,3,FALSE()),"")</f>
        <v>UPC Adulto</v>
      </c>
      <c r="E801" s="50" t="str">
        <f aca="false">IFERROR(VLOOKUP($A801,Equipos!$C$2:$M$967,7,FALSE()),"")</f>
        <v>Drager</v>
      </c>
      <c r="F801" s="50" t="str">
        <f aca="false">IFERROR(VLOOKUP($A801,Equipos!$C$2:$M$967,8,FALSE()),"")</f>
        <v>Infinity Kappa </v>
      </c>
      <c r="G801" s="50" t="s">
        <v>893</v>
      </c>
      <c r="H801" s="50" t="s">
        <v>360</v>
      </c>
      <c r="I801" s="50"/>
      <c r="J801" s="50" t="s">
        <v>352</v>
      </c>
      <c r="K801" s="50" t="str">
        <f aca="false">IFERROR(VLOOKUP($J801,Catálogos!$M$4:$N$17,2,FALSE()),"")</f>
        <v>Mantención Preventiva Realizada</v>
      </c>
      <c r="L801" s="52" t="n">
        <v>46127</v>
      </c>
      <c r="M801" s="50" t="s">
        <v>353</v>
      </c>
      <c r="N801" s="50" t="s">
        <v>253</v>
      </c>
      <c r="O801" s="50"/>
      <c r="P801" s="50"/>
      <c r="Q801" s="50" t="s">
        <v>362</v>
      </c>
    </row>
    <row r="802" customFormat="false" ht="15" hidden="false" customHeight="true" outlineLevel="0" collapsed="false">
      <c r="A802" s="51" t="s">
        <v>918</v>
      </c>
      <c r="B802" s="50" t="str">
        <f aca="false">IFERROR(VLOOKUP($A802,Equipos!$C$2:$M$967,2,FALSE()),"")</f>
        <v>Monitor Multiparámetros</v>
      </c>
      <c r="C802" s="50" t="str">
        <f aca="false">IFERROR(VLOOKUP($A802,Equipos!$C$2:$M$967,9,FALSE()),"")</f>
        <v>5495324458</v>
      </c>
      <c r="D802" s="50" t="str">
        <f aca="false">IFERROR(VLOOKUP($A802,Equipos!$C$2:$M$967,3,FALSE()),"")</f>
        <v>UPC Adulto</v>
      </c>
      <c r="E802" s="50" t="str">
        <f aca="false">IFERROR(VLOOKUP($A802,Equipos!$C$2:$M$967,7,FALSE()),"")</f>
        <v>Drager</v>
      </c>
      <c r="F802" s="50" t="str">
        <f aca="false">IFERROR(VLOOKUP($A802,Equipos!$C$2:$M$967,8,FALSE()),"")</f>
        <v>Infinity Kappa </v>
      </c>
      <c r="G802" s="50" t="s">
        <v>893</v>
      </c>
      <c r="H802" s="50" t="s">
        <v>360</v>
      </c>
      <c r="I802" s="50"/>
      <c r="J802" s="50" t="s">
        <v>352</v>
      </c>
      <c r="K802" s="50" t="str">
        <f aca="false">IFERROR(VLOOKUP($J802,Catálogos!$M$4:$N$17,2,FALSE()),"")</f>
        <v>Mantención Preventiva Realizada</v>
      </c>
      <c r="L802" s="52" t="n">
        <v>46127</v>
      </c>
      <c r="M802" s="50" t="s">
        <v>353</v>
      </c>
      <c r="N802" s="50" t="s">
        <v>253</v>
      </c>
      <c r="O802" s="50"/>
      <c r="P802" s="50"/>
      <c r="Q802" s="50" t="s">
        <v>362</v>
      </c>
    </row>
    <row r="803" customFormat="false" ht="15" hidden="false" customHeight="true" outlineLevel="0" collapsed="false">
      <c r="A803" s="51" t="s">
        <v>919</v>
      </c>
      <c r="B803" s="50" t="str">
        <f aca="false">IFERROR(VLOOKUP($A803,Equipos!$C$2:$M$967,2,FALSE()),"")</f>
        <v>Monitor Multiparámetros</v>
      </c>
      <c r="C803" s="50" t="str">
        <f aca="false">IFERROR(VLOOKUP($A803,Equipos!$C$2:$M$967,9,FALSE()),"")</f>
        <v>5495324164</v>
      </c>
      <c r="D803" s="50" t="str">
        <f aca="false">IFERROR(VLOOKUP($A803,Equipos!$C$2:$M$967,3,FALSE()),"")</f>
        <v>UPC Adulto</v>
      </c>
      <c r="E803" s="50" t="str">
        <f aca="false">IFERROR(VLOOKUP($A803,Equipos!$C$2:$M$967,7,FALSE()),"")</f>
        <v>Drager</v>
      </c>
      <c r="F803" s="50" t="str">
        <f aca="false">IFERROR(VLOOKUP($A803,Equipos!$C$2:$M$967,8,FALSE()),"")</f>
        <v>Infinity Kappa </v>
      </c>
      <c r="G803" s="50" t="s">
        <v>893</v>
      </c>
      <c r="H803" s="50" t="s">
        <v>360</v>
      </c>
      <c r="I803" s="50"/>
      <c r="J803" s="50" t="s">
        <v>352</v>
      </c>
      <c r="K803" s="50" t="str">
        <f aca="false">IFERROR(VLOOKUP($J803,Catálogos!$M$4:$N$17,2,FALSE()),"")</f>
        <v>Mantención Preventiva Realizada</v>
      </c>
      <c r="L803" s="52" t="n">
        <v>46127</v>
      </c>
      <c r="M803" s="50" t="s">
        <v>353</v>
      </c>
      <c r="N803" s="50" t="s">
        <v>253</v>
      </c>
      <c r="O803" s="50"/>
      <c r="P803" s="50"/>
      <c r="Q803" s="50" t="s">
        <v>362</v>
      </c>
    </row>
    <row r="804" customFormat="false" ht="15" hidden="false" customHeight="true" outlineLevel="0" collapsed="false">
      <c r="A804" s="51" t="s">
        <v>920</v>
      </c>
      <c r="B804" s="50" t="str">
        <f aca="false">IFERROR(VLOOKUP($A804,Equipos!$C$2:$M$967,2,FALSE()),"")</f>
        <v>Monitor Multiparámetros</v>
      </c>
      <c r="C804" s="50" t="str">
        <f aca="false">IFERROR(VLOOKUP($A804,Equipos!$C$2:$M$967,9,FALSE()),"")</f>
        <v>5495323165</v>
      </c>
      <c r="D804" s="50" t="str">
        <f aca="false">IFERROR(VLOOKUP($A804,Equipos!$C$2:$M$967,3,FALSE()),"")</f>
        <v>UPC Adulto</v>
      </c>
      <c r="E804" s="50" t="str">
        <f aca="false">IFERROR(VLOOKUP($A804,Equipos!$C$2:$M$967,7,FALSE()),"")</f>
        <v>Drager</v>
      </c>
      <c r="F804" s="50" t="str">
        <f aca="false">IFERROR(VLOOKUP($A804,Equipos!$C$2:$M$967,8,FALSE()),"")</f>
        <v>Infinity Kappa </v>
      </c>
      <c r="G804" s="50" t="s">
        <v>893</v>
      </c>
      <c r="H804" s="50" t="s">
        <v>360</v>
      </c>
      <c r="I804" s="50"/>
      <c r="J804" s="50" t="s">
        <v>352</v>
      </c>
      <c r="K804" s="50" t="str">
        <f aca="false">IFERROR(VLOOKUP($J804,Catálogos!$M$4:$N$17,2,FALSE()),"")</f>
        <v>Mantención Preventiva Realizada</v>
      </c>
      <c r="L804" s="52" t="n">
        <v>46127</v>
      </c>
      <c r="M804" s="50" t="s">
        <v>353</v>
      </c>
      <c r="N804" s="50" t="s">
        <v>253</v>
      </c>
      <c r="O804" s="50"/>
      <c r="P804" s="50"/>
      <c r="Q804" s="50" t="s">
        <v>362</v>
      </c>
    </row>
    <row r="805" customFormat="false" ht="15" hidden="false" customHeight="true" outlineLevel="0" collapsed="false">
      <c r="A805" s="51" t="s">
        <v>921</v>
      </c>
      <c r="B805" s="50" t="str">
        <f aca="false">IFERROR(VLOOKUP($A805,Equipos!$C$2:$M$967,2,FALSE()),"")</f>
        <v>Monitor Multiparámetros</v>
      </c>
      <c r="C805" s="50" t="str">
        <f aca="false">IFERROR(VLOOKUP($A805,Equipos!$C$2:$M$967,9,FALSE()),"")</f>
        <v>5495322460</v>
      </c>
      <c r="D805" s="50" t="str">
        <f aca="false">IFERROR(VLOOKUP($A805,Equipos!$C$2:$M$967,3,FALSE()),"")</f>
        <v>UPC Adulto</v>
      </c>
      <c r="E805" s="50" t="str">
        <f aca="false">IFERROR(VLOOKUP($A805,Equipos!$C$2:$M$967,7,FALSE()),"")</f>
        <v>Drager</v>
      </c>
      <c r="F805" s="50" t="str">
        <f aca="false">IFERROR(VLOOKUP($A805,Equipos!$C$2:$M$967,8,FALSE()),"")</f>
        <v>Infinity Kappa </v>
      </c>
      <c r="G805" s="50" t="s">
        <v>893</v>
      </c>
      <c r="H805" s="50" t="s">
        <v>360</v>
      </c>
      <c r="I805" s="50"/>
      <c r="J805" s="50" t="s">
        <v>352</v>
      </c>
      <c r="K805" s="50" t="str">
        <f aca="false">IFERROR(VLOOKUP($J805,Catálogos!$M$4:$N$17,2,FALSE()),"")</f>
        <v>Mantención Preventiva Realizada</v>
      </c>
      <c r="L805" s="52" t="n">
        <v>46127</v>
      </c>
      <c r="M805" s="50" t="s">
        <v>353</v>
      </c>
      <c r="N805" s="50" t="s">
        <v>253</v>
      </c>
      <c r="O805" s="50"/>
      <c r="P805" s="50"/>
      <c r="Q805" s="50" t="s">
        <v>362</v>
      </c>
    </row>
    <row r="806" customFormat="false" ht="15" hidden="false" customHeight="true" outlineLevel="0" collapsed="false">
      <c r="A806" s="51" t="s">
        <v>922</v>
      </c>
      <c r="B806" s="50" t="str">
        <f aca="false">IFERROR(VLOOKUP($A806,Equipos!$C$2:$M$967,2,FALSE()),"")</f>
        <v>Monitor Multiparámetros</v>
      </c>
      <c r="C806" s="50" t="str">
        <f aca="false">IFERROR(VLOOKUP($A806,Equipos!$C$2:$M$967,9,FALSE()),"")</f>
        <v>5495320364</v>
      </c>
      <c r="D806" s="50" t="str">
        <f aca="false">IFERROR(VLOOKUP($A806,Equipos!$C$2:$M$967,3,FALSE()),"")</f>
        <v>UPC Adulto</v>
      </c>
      <c r="E806" s="50" t="str">
        <f aca="false">IFERROR(VLOOKUP($A806,Equipos!$C$2:$M$967,7,FALSE()),"")</f>
        <v>Drager</v>
      </c>
      <c r="F806" s="50" t="str">
        <f aca="false">IFERROR(VLOOKUP($A806,Equipos!$C$2:$M$967,8,FALSE()),"")</f>
        <v>Infinity Kappa </v>
      </c>
      <c r="G806" s="50" t="s">
        <v>893</v>
      </c>
      <c r="H806" s="50" t="s">
        <v>360</v>
      </c>
      <c r="I806" s="50"/>
      <c r="J806" s="50" t="s">
        <v>352</v>
      </c>
      <c r="K806" s="50" t="str">
        <f aca="false">IFERROR(VLOOKUP($J806,Catálogos!$M$4:$N$17,2,FALSE()),"")</f>
        <v>Mantención Preventiva Realizada</v>
      </c>
      <c r="L806" s="52" t="n">
        <v>46127</v>
      </c>
      <c r="M806" s="50" t="s">
        <v>353</v>
      </c>
      <c r="N806" s="50" t="s">
        <v>253</v>
      </c>
      <c r="O806" s="50"/>
      <c r="P806" s="50"/>
      <c r="Q806" s="50" t="s">
        <v>362</v>
      </c>
    </row>
    <row r="807" customFormat="false" ht="15" hidden="false" customHeight="true" outlineLevel="0" collapsed="false">
      <c r="A807" s="51" t="s">
        <v>923</v>
      </c>
      <c r="B807" s="50" t="str">
        <f aca="false">IFERROR(VLOOKUP($A807,Equipos!$C$2:$M$967,2,FALSE()),"")</f>
        <v>Monitor Multiparámetros</v>
      </c>
      <c r="C807" s="50" t="str">
        <f aca="false">IFERROR(VLOOKUP($A807,Equipos!$C$2:$M$967,9,FALSE()),"")</f>
        <v>5495319063</v>
      </c>
      <c r="D807" s="50" t="str">
        <f aca="false">IFERROR(VLOOKUP($A807,Equipos!$C$2:$M$967,3,FALSE()),"")</f>
        <v>UPC Adulto</v>
      </c>
      <c r="E807" s="50" t="str">
        <f aca="false">IFERROR(VLOOKUP($A807,Equipos!$C$2:$M$967,7,FALSE()),"")</f>
        <v>Drager</v>
      </c>
      <c r="F807" s="50" t="str">
        <f aca="false">IFERROR(VLOOKUP($A807,Equipos!$C$2:$M$967,8,FALSE()),"")</f>
        <v>Infinity Kappa </v>
      </c>
      <c r="G807" s="50" t="s">
        <v>893</v>
      </c>
      <c r="H807" s="50" t="s">
        <v>360</v>
      </c>
      <c r="I807" s="50"/>
      <c r="J807" s="50" t="s">
        <v>352</v>
      </c>
      <c r="K807" s="50" t="str">
        <f aca="false">IFERROR(VLOOKUP($J807,Catálogos!$M$4:$N$17,2,FALSE()),"")</f>
        <v>Mantención Preventiva Realizada</v>
      </c>
      <c r="L807" s="52" t="n">
        <v>46127</v>
      </c>
      <c r="M807" s="50" t="s">
        <v>353</v>
      </c>
      <c r="N807" s="50" t="s">
        <v>253</v>
      </c>
      <c r="O807" s="50"/>
      <c r="P807" s="50"/>
      <c r="Q807" s="50" t="s">
        <v>362</v>
      </c>
    </row>
    <row r="808" customFormat="false" ht="15" hidden="false" customHeight="true" outlineLevel="0" collapsed="false">
      <c r="A808" s="51" t="s">
        <v>924</v>
      </c>
      <c r="B808" s="50" t="str">
        <f aca="false">IFERROR(VLOOKUP($A808,Equipos!$C$2:$M$967,2,FALSE()),"")</f>
        <v>Monitor Multiparámetros</v>
      </c>
      <c r="C808" s="50" t="str">
        <f aca="false">IFERROR(VLOOKUP($A808,Equipos!$C$2:$M$967,9,FALSE()),"")</f>
        <v>5495313764</v>
      </c>
      <c r="D808" s="50" t="str">
        <f aca="false">IFERROR(VLOOKUP($A808,Equipos!$C$2:$M$967,3,FALSE()),"")</f>
        <v>UPC Adulto</v>
      </c>
      <c r="E808" s="50" t="str">
        <f aca="false">IFERROR(VLOOKUP($A808,Equipos!$C$2:$M$967,7,FALSE()),"")</f>
        <v>Drager</v>
      </c>
      <c r="F808" s="50" t="str">
        <f aca="false">IFERROR(VLOOKUP($A808,Equipos!$C$2:$M$967,8,FALSE()),"")</f>
        <v>Infinity Kappa </v>
      </c>
      <c r="G808" s="50" t="s">
        <v>893</v>
      </c>
      <c r="H808" s="50" t="s">
        <v>360</v>
      </c>
      <c r="I808" s="50"/>
      <c r="J808" s="50" t="s">
        <v>352</v>
      </c>
      <c r="K808" s="50" t="str">
        <f aca="false">IFERROR(VLOOKUP($J808,Catálogos!$M$4:$N$17,2,FALSE()),"")</f>
        <v>Mantención Preventiva Realizada</v>
      </c>
      <c r="L808" s="52" t="n">
        <v>46127</v>
      </c>
      <c r="M808" s="50" t="s">
        <v>353</v>
      </c>
      <c r="N808" s="50" t="s">
        <v>253</v>
      </c>
      <c r="O808" s="50"/>
      <c r="P808" s="50"/>
      <c r="Q808" s="50" t="s">
        <v>362</v>
      </c>
    </row>
    <row r="809" customFormat="false" ht="15" hidden="false" customHeight="true" outlineLevel="0" collapsed="false">
      <c r="A809" s="51" t="s">
        <v>925</v>
      </c>
      <c r="B809" s="50" t="str">
        <f aca="false">IFERROR(VLOOKUP($A809,Equipos!$C$2:$M$967,2,FALSE()),"")</f>
        <v>Monitor Multiparámetros</v>
      </c>
      <c r="C809" s="50" t="str">
        <f aca="false">IFERROR(VLOOKUP($A809,Equipos!$C$2:$M$967,9,FALSE()),"")</f>
        <v>5495311962</v>
      </c>
      <c r="D809" s="50" t="str">
        <f aca="false">IFERROR(VLOOKUP($A809,Equipos!$C$2:$M$967,3,FALSE()),"")</f>
        <v>UPC Adulto</v>
      </c>
      <c r="E809" s="50" t="str">
        <f aca="false">IFERROR(VLOOKUP($A809,Equipos!$C$2:$M$967,7,FALSE()),"")</f>
        <v>Drager</v>
      </c>
      <c r="F809" s="50" t="str">
        <f aca="false">IFERROR(VLOOKUP($A809,Equipos!$C$2:$M$967,8,FALSE()),"")</f>
        <v>Infinity Kappa </v>
      </c>
      <c r="G809" s="50" t="s">
        <v>893</v>
      </c>
      <c r="H809" s="50" t="s">
        <v>360</v>
      </c>
      <c r="I809" s="50"/>
      <c r="J809" s="50" t="s">
        <v>352</v>
      </c>
      <c r="K809" s="50" t="str">
        <f aca="false">IFERROR(VLOOKUP($J809,Catálogos!$M$4:$N$17,2,FALSE()),"")</f>
        <v>Mantención Preventiva Realizada</v>
      </c>
      <c r="L809" s="52" t="n">
        <v>46127</v>
      </c>
      <c r="M809" s="50" t="s">
        <v>353</v>
      </c>
      <c r="N809" s="50" t="s">
        <v>253</v>
      </c>
      <c r="O809" s="50"/>
      <c r="P809" s="50"/>
      <c r="Q809" s="50" t="s">
        <v>362</v>
      </c>
    </row>
    <row r="810" customFormat="false" ht="15" hidden="false" customHeight="true" outlineLevel="0" collapsed="false">
      <c r="A810" s="51" t="s">
        <v>926</v>
      </c>
      <c r="B810" s="50" t="str">
        <f aca="false">IFERROR(VLOOKUP($A810,Equipos!$C$2:$M$967,2,FALSE()),"")</f>
        <v>Monitor Multiparámetros</v>
      </c>
      <c r="C810" s="50" t="str">
        <f aca="false">IFERROR(VLOOKUP($A810,Equipos!$C$2:$M$967,9,FALSE()),"")</f>
        <v>5495310865</v>
      </c>
      <c r="D810" s="50" t="str">
        <f aca="false">IFERROR(VLOOKUP($A810,Equipos!$C$2:$M$967,3,FALSE()),"")</f>
        <v>UPC Adulto</v>
      </c>
      <c r="E810" s="50" t="str">
        <f aca="false">IFERROR(VLOOKUP($A810,Equipos!$C$2:$M$967,7,FALSE()),"")</f>
        <v>Drager</v>
      </c>
      <c r="F810" s="50" t="str">
        <f aca="false">IFERROR(VLOOKUP($A810,Equipos!$C$2:$M$967,8,FALSE()),"")</f>
        <v>Infinity Kappa </v>
      </c>
      <c r="G810" s="50" t="s">
        <v>893</v>
      </c>
      <c r="H810" s="50" t="s">
        <v>360</v>
      </c>
      <c r="I810" s="50"/>
      <c r="J810" s="50" t="s">
        <v>352</v>
      </c>
      <c r="K810" s="50" t="str">
        <f aca="false">IFERROR(VLOOKUP($J810,Catálogos!$M$4:$N$17,2,FALSE()),"")</f>
        <v>Mantención Preventiva Realizada</v>
      </c>
      <c r="L810" s="52" t="n">
        <v>46127</v>
      </c>
      <c r="M810" s="50" t="s">
        <v>353</v>
      </c>
      <c r="N810" s="50" t="s">
        <v>253</v>
      </c>
      <c r="O810" s="50"/>
      <c r="P810" s="50"/>
      <c r="Q810" s="50" t="s">
        <v>362</v>
      </c>
    </row>
    <row r="811" customFormat="false" ht="15" hidden="false" customHeight="true" outlineLevel="0" collapsed="false">
      <c r="A811" s="51" t="s">
        <v>927</v>
      </c>
      <c r="B811" s="50" t="str">
        <f aca="false">IFERROR(VLOOKUP($A811,Equipos!$C$2:$M$967,2,FALSE()),"")</f>
        <v>Monitor Multiparámetros</v>
      </c>
      <c r="C811" s="50" t="str">
        <f aca="false">IFERROR(VLOOKUP($A811,Equipos!$C$2:$M$967,9,FALSE()),"")</f>
        <v>5495307762</v>
      </c>
      <c r="D811" s="50" t="str">
        <f aca="false">IFERROR(VLOOKUP($A811,Equipos!$C$2:$M$967,3,FALSE()),"")</f>
        <v>UPC Adulto</v>
      </c>
      <c r="E811" s="50" t="str">
        <f aca="false">IFERROR(VLOOKUP($A811,Equipos!$C$2:$M$967,7,FALSE()),"")</f>
        <v>Drager</v>
      </c>
      <c r="F811" s="50" t="str">
        <f aca="false">IFERROR(VLOOKUP($A811,Equipos!$C$2:$M$967,8,FALSE()),"")</f>
        <v>Infinity Kappa </v>
      </c>
      <c r="G811" s="50" t="s">
        <v>893</v>
      </c>
      <c r="H811" s="50" t="s">
        <v>360</v>
      </c>
      <c r="I811" s="50"/>
      <c r="J811" s="50" t="s">
        <v>352</v>
      </c>
      <c r="K811" s="50" t="str">
        <f aca="false">IFERROR(VLOOKUP($J811,Catálogos!$M$4:$N$17,2,FALSE()),"")</f>
        <v>Mantención Preventiva Realizada</v>
      </c>
      <c r="L811" s="52" t="n">
        <v>46127</v>
      </c>
      <c r="M811" s="50" t="s">
        <v>353</v>
      </c>
      <c r="N811" s="50" t="s">
        <v>253</v>
      </c>
      <c r="O811" s="50"/>
      <c r="P811" s="50"/>
      <c r="Q811" s="50" t="s">
        <v>362</v>
      </c>
    </row>
    <row r="812" customFormat="false" ht="15" hidden="false" customHeight="true" outlineLevel="0" collapsed="false">
      <c r="A812" s="51" t="s">
        <v>928</v>
      </c>
      <c r="B812" s="50" t="str">
        <f aca="false">IFERROR(VLOOKUP($A812,Equipos!$C$2:$M$967,2,FALSE()),"")</f>
        <v>Monitor Multiparámetros</v>
      </c>
      <c r="C812" s="50" t="str">
        <f aca="false">IFERROR(VLOOKUP($A812,Equipos!$C$2:$M$967,9,FALSE()),"")</f>
        <v>5495307263</v>
      </c>
      <c r="D812" s="50" t="str">
        <f aca="false">IFERROR(VLOOKUP($A812,Equipos!$C$2:$M$967,3,FALSE()),"")</f>
        <v>UPC Adulto</v>
      </c>
      <c r="E812" s="50" t="str">
        <f aca="false">IFERROR(VLOOKUP($A812,Equipos!$C$2:$M$967,7,FALSE()),"")</f>
        <v>Drager</v>
      </c>
      <c r="F812" s="50" t="str">
        <f aca="false">IFERROR(VLOOKUP($A812,Equipos!$C$2:$M$967,8,FALSE()),"")</f>
        <v>Infinity Kappa </v>
      </c>
      <c r="G812" s="50" t="s">
        <v>893</v>
      </c>
      <c r="H812" s="50" t="s">
        <v>360</v>
      </c>
      <c r="I812" s="50"/>
      <c r="J812" s="50" t="s">
        <v>352</v>
      </c>
      <c r="K812" s="50" t="str">
        <f aca="false">IFERROR(VLOOKUP($J812,Catálogos!$M$4:$N$17,2,FALSE()),"")</f>
        <v>Mantención Preventiva Realizada</v>
      </c>
      <c r="L812" s="52" t="n">
        <v>46127</v>
      </c>
      <c r="M812" s="50" t="s">
        <v>353</v>
      </c>
      <c r="N812" s="50" t="s">
        <v>253</v>
      </c>
      <c r="O812" s="50"/>
      <c r="P812" s="50"/>
      <c r="Q812" s="50" t="s">
        <v>362</v>
      </c>
    </row>
    <row r="813" customFormat="false" ht="15" hidden="false" customHeight="true" outlineLevel="0" collapsed="false">
      <c r="A813" s="51" t="s">
        <v>929</v>
      </c>
      <c r="B813" s="50" t="str">
        <f aca="false">IFERROR(VLOOKUP($A813,Equipos!$C$2:$M$967,2,FALSE()),"")</f>
        <v>Monitor Multiparámetros</v>
      </c>
      <c r="C813" s="50" t="str">
        <f aca="false">IFERROR(VLOOKUP($A813,Equipos!$C$2:$M$967,9,FALSE()),"")</f>
        <v>5495305167</v>
      </c>
      <c r="D813" s="50" t="str">
        <f aca="false">IFERROR(VLOOKUP($A813,Equipos!$C$2:$M$967,3,FALSE()),"")</f>
        <v>UPC Adulto</v>
      </c>
      <c r="E813" s="50" t="str">
        <f aca="false">IFERROR(VLOOKUP($A813,Equipos!$C$2:$M$967,7,FALSE()),"")</f>
        <v>Drager</v>
      </c>
      <c r="F813" s="50" t="str">
        <f aca="false">IFERROR(VLOOKUP($A813,Equipos!$C$2:$M$967,8,FALSE()),"")</f>
        <v>Infinity Kappa </v>
      </c>
      <c r="G813" s="50" t="s">
        <v>893</v>
      </c>
      <c r="H813" s="50" t="s">
        <v>360</v>
      </c>
      <c r="I813" s="50"/>
      <c r="J813" s="50" t="s">
        <v>352</v>
      </c>
      <c r="K813" s="50" t="str">
        <f aca="false">IFERROR(VLOOKUP($J813,Catálogos!$M$4:$N$17,2,FALSE()),"")</f>
        <v>Mantención Preventiva Realizada</v>
      </c>
      <c r="L813" s="52" t="n">
        <v>46127</v>
      </c>
      <c r="M813" s="50" t="s">
        <v>353</v>
      </c>
      <c r="N813" s="50" t="s">
        <v>253</v>
      </c>
      <c r="O813" s="50"/>
      <c r="P813" s="50"/>
      <c r="Q813" s="50" t="s">
        <v>362</v>
      </c>
    </row>
    <row r="814" customFormat="false" ht="15" hidden="false" customHeight="true" outlineLevel="0" collapsed="false">
      <c r="A814" s="51" t="s">
        <v>749</v>
      </c>
      <c r="B814" s="50" t="str">
        <f aca="false">IFERROR(VLOOKUP($A814,Equipos!$C$2:$M$967,2,FALSE()),"")</f>
        <v>Monitor Multiparámetros</v>
      </c>
      <c r="C814" s="50" t="str">
        <f aca="false">IFERROR(VLOOKUP($A814,Equipos!$C$2:$M$967,9,FALSE()),"")</f>
        <v>VTSHD0066</v>
      </c>
      <c r="D814" s="50" t="str">
        <f aca="false">IFERROR(VLOOKUP($A814,Equipos!$C$2:$M$967,3,FALSE()),"")</f>
        <v>Neurocirugía</v>
      </c>
      <c r="E814" s="50" t="str">
        <f aca="false">IFERROR(VLOOKUP($A814,Equipos!$C$2:$M$967,7,FALSE()),"")</f>
        <v>Drager</v>
      </c>
      <c r="F814" s="50" t="str">
        <f aca="false">IFERROR(VLOOKUP($A814,Equipos!$C$2:$M$967,8,FALSE()),"")</f>
        <v>Vista 120</v>
      </c>
      <c r="G814" s="50" t="s">
        <v>893</v>
      </c>
      <c r="H814" s="50" t="s">
        <v>360</v>
      </c>
      <c r="I814" s="50"/>
      <c r="J814" s="50" t="s">
        <v>352</v>
      </c>
      <c r="K814" s="50" t="str">
        <f aca="false">IFERROR(VLOOKUP($J814,Catálogos!$M$4:$N$17,2,FALSE()),"")</f>
        <v>Mantención Preventiva Realizada</v>
      </c>
      <c r="L814" s="52" t="n">
        <v>46127</v>
      </c>
      <c r="M814" s="50" t="s">
        <v>353</v>
      </c>
      <c r="N814" s="50" t="s">
        <v>253</v>
      </c>
      <c r="O814" s="50"/>
      <c r="P814" s="50"/>
      <c r="Q814" s="50" t="s">
        <v>362</v>
      </c>
    </row>
    <row r="815" customFormat="false" ht="15" hidden="false" customHeight="true" outlineLevel="0" collapsed="false">
      <c r="A815" s="51" t="s">
        <v>750</v>
      </c>
      <c r="B815" s="50" t="str">
        <f aca="false">IFERROR(VLOOKUP($A815,Equipos!$C$2:$M$967,2,FALSE()),"")</f>
        <v>Monitor Multiparámetros</v>
      </c>
      <c r="C815" s="50" t="str">
        <f aca="false">IFERROR(VLOOKUP($A815,Equipos!$C$2:$M$967,9,FALSE()),"")</f>
        <v>VTSHD0111</v>
      </c>
      <c r="D815" s="50" t="str">
        <f aca="false">IFERROR(VLOOKUP($A815,Equipos!$C$2:$M$967,3,FALSE()),"")</f>
        <v>Neurocirugía</v>
      </c>
      <c r="E815" s="50" t="str">
        <f aca="false">IFERROR(VLOOKUP($A815,Equipos!$C$2:$M$967,7,FALSE()),"")</f>
        <v>Drager</v>
      </c>
      <c r="F815" s="50" t="str">
        <f aca="false">IFERROR(VLOOKUP($A815,Equipos!$C$2:$M$967,8,FALSE()),"")</f>
        <v>Vista 120</v>
      </c>
      <c r="G815" s="50" t="s">
        <v>893</v>
      </c>
      <c r="H815" s="50" t="s">
        <v>360</v>
      </c>
      <c r="I815" s="50"/>
      <c r="J815" s="50" t="s">
        <v>352</v>
      </c>
      <c r="K815" s="50" t="str">
        <f aca="false">IFERROR(VLOOKUP($J815,Catálogos!$M$4:$N$17,2,FALSE()),"")</f>
        <v>Mantención Preventiva Realizada</v>
      </c>
      <c r="L815" s="52" t="n">
        <v>46127</v>
      </c>
      <c r="M815" s="50" t="s">
        <v>353</v>
      </c>
      <c r="N815" s="50" t="s">
        <v>253</v>
      </c>
      <c r="O815" s="50"/>
      <c r="P815" s="50"/>
      <c r="Q815" s="50" t="s">
        <v>362</v>
      </c>
    </row>
    <row r="816" customFormat="false" ht="15" hidden="false" customHeight="true" outlineLevel="0" collapsed="false">
      <c r="A816" s="51" t="s">
        <v>751</v>
      </c>
      <c r="B816" s="50" t="str">
        <f aca="false">IFERROR(VLOOKUP($A816,Equipos!$C$2:$M$967,2,FALSE()),"")</f>
        <v>Monitor Multiparámetros</v>
      </c>
      <c r="C816" s="50" t="str">
        <f aca="false">IFERROR(VLOOKUP($A816,Equipos!$C$2:$M$967,9,FALSE()),"")</f>
        <v>VTSHD0107</v>
      </c>
      <c r="D816" s="50" t="str">
        <f aca="false">IFERROR(VLOOKUP($A816,Equipos!$C$2:$M$967,3,FALSE()),"")</f>
        <v>Neurocirugía</v>
      </c>
      <c r="E816" s="50" t="str">
        <f aca="false">IFERROR(VLOOKUP($A816,Equipos!$C$2:$M$967,7,FALSE()),"")</f>
        <v>Drager</v>
      </c>
      <c r="F816" s="50" t="str">
        <f aca="false">IFERROR(VLOOKUP($A816,Equipos!$C$2:$M$967,8,FALSE()),"")</f>
        <v>Vista 120</v>
      </c>
      <c r="G816" s="50" t="s">
        <v>893</v>
      </c>
      <c r="H816" s="50" t="s">
        <v>360</v>
      </c>
      <c r="I816" s="50"/>
      <c r="J816" s="50" t="s">
        <v>352</v>
      </c>
      <c r="K816" s="50" t="str">
        <f aca="false">IFERROR(VLOOKUP($J816,Catálogos!$M$4:$N$17,2,FALSE()),"")</f>
        <v>Mantención Preventiva Realizada</v>
      </c>
      <c r="L816" s="52" t="n">
        <v>46127</v>
      </c>
      <c r="M816" s="50" t="s">
        <v>353</v>
      </c>
      <c r="N816" s="50" t="s">
        <v>253</v>
      </c>
      <c r="O816" s="50"/>
      <c r="P816" s="50"/>
      <c r="Q816" s="50" t="s">
        <v>362</v>
      </c>
    </row>
    <row r="817" customFormat="false" ht="15" hidden="false" customHeight="true" outlineLevel="0" collapsed="false">
      <c r="A817" s="51" t="s">
        <v>753</v>
      </c>
      <c r="B817" s="50" t="str">
        <f aca="false">IFERROR(VLOOKUP($A817,Equipos!$C$2:$M$967,2,FALSE()),"")</f>
        <v>Monitor Multiparámetros</v>
      </c>
      <c r="C817" s="50" t="str">
        <f aca="false">IFERROR(VLOOKUP($A817,Equipos!$C$2:$M$967,9,FALSE()),"")</f>
        <v>VTSHD0089</v>
      </c>
      <c r="D817" s="50" t="str">
        <f aca="false">IFERROR(VLOOKUP($A817,Equipos!$C$2:$M$967,3,FALSE()),"")</f>
        <v>Neurocirugía</v>
      </c>
      <c r="E817" s="50" t="str">
        <f aca="false">IFERROR(VLOOKUP($A817,Equipos!$C$2:$M$967,7,FALSE()),"")</f>
        <v>Drager</v>
      </c>
      <c r="F817" s="50" t="str">
        <f aca="false">IFERROR(VLOOKUP($A817,Equipos!$C$2:$M$967,8,FALSE()),"")</f>
        <v>Vista 120</v>
      </c>
      <c r="G817" s="50" t="s">
        <v>893</v>
      </c>
      <c r="H817" s="50" t="s">
        <v>360</v>
      </c>
      <c r="I817" s="50"/>
      <c r="J817" s="50" t="s">
        <v>352</v>
      </c>
      <c r="K817" s="50" t="str">
        <f aca="false">IFERROR(VLOOKUP($J817,Catálogos!$M$4:$N$17,2,FALSE()),"")</f>
        <v>Mantención Preventiva Realizada</v>
      </c>
      <c r="L817" s="52" t="n">
        <v>46127</v>
      </c>
      <c r="M817" s="50" t="s">
        <v>353</v>
      </c>
      <c r="N817" s="50" t="s">
        <v>253</v>
      </c>
      <c r="O817" s="50"/>
      <c r="P817" s="50"/>
      <c r="Q817" s="50" t="s">
        <v>362</v>
      </c>
    </row>
    <row r="818" customFormat="false" ht="15" hidden="false" customHeight="true" outlineLevel="0" collapsed="false">
      <c r="A818" s="51" t="s">
        <v>754</v>
      </c>
      <c r="B818" s="50" t="str">
        <f aca="false">IFERROR(VLOOKUP($A818,Equipos!$C$2:$M$967,2,FALSE()),"")</f>
        <v>Monitor Multiparámetros</v>
      </c>
      <c r="C818" s="50" t="str">
        <f aca="false">IFERROR(VLOOKUP($A818,Equipos!$C$2:$M$967,9,FALSE()),"")</f>
        <v>VTSHD0102</v>
      </c>
      <c r="D818" s="50" t="str">
        <f aca="false">IFERROR(VLOOKUP($A818,Equipos!$C$2:$M$967,3,FALSE()),"")</f>
        <v>Neurocirugía</v>
      </c>
      <c r="E818" s="50" t="str">
        <f aca="false">IFERROR(VLOOKUP($A818,Equipos!$C$2:$M$967,7,FALSE()),"")</f>
        <v>Drager</v>
      </c>
      <c r="F818" s="50" t="str">
        <f aca="false">IFERROR(VLOOKUP($A818,Equipos!$C$2:$M$967,8,FALSE()),"")</f>
        <v>Vista 120</v>
      </c>
      <c r="G818" s="50" t="s">
        <v>893</v>
      </c>
      <c r="H818" s="50" t="s">
        <v>360</v>
      </c>
      <c r="I818" s="50"/>
      <c r="J818" s="50" t="s">
        <v>352</v>
      </c>
      <c r="K818" s="50" t="str">
        <f aca="false">IFERROR(VLOOKUP($J818,Catálogos!$M$4:$N$17,2,FALSE()),"")</f>
        <v>Mantención Preventiva Realizada</v>
      </c>
      <c r="L818" s="52" t="n">
        <v>46127</v>
      </c>
      <c r="M818" s="50" t="s">
        <v>353</v>
      </c>
      <c r="N818" s="50" t="s">
        <v>253</v>
      </c>
      <c r="O818" s="50"/>
      <c r="P818" s="50"/>
      <c r="Q818" s="50" t="s">
        <v>362</v>
      </c>
    </row>
    <row r="819" customFormat="false" ht="15" hidden="false" customHeight="true" outlineLevel="0" collapsed="false">
      <c r="A819" s="51" t="s">
        <v>598</v>
      </c>
      <c r="B819" s="50" t="str">
        <f aca="false">IFERROR(VLOOKUP($A819,Equipos!$C$2:$M$967,2,FALSE()),"")</f>
        <v>Monitor Multiparámetros</v>
      </c>
      <c r="C819" s="50" t="str">
        <f aca="false">IFERROR(VLOOKUP($A819,Equipos!$C$2:$M$967,9,FALSE()),"")</f>
        <v>V2SFH0035</v>
      </c>
      <c r="D819" s="50" t="str">
        <f aca="false">IFERROR(VLOOKUP($A819,Equipos!$C$2:$M$967,3,FALSE()),"")</f>
        <v>Pabellón (Recuperación)</v>
      </c>
      <c r="E819" s="50" t="str">
        <f aca="false">IFERROR(VLOOKUP($A819,Equipos!$C$2:$M$967,7,FALSE()),"")</f>
        <v>Drager</v>
      </c>
      <c r="F819" s="50" t="str">
        <f aca="false">IFERROR(VLOOKUP($A819,Equipos!$C$2:$M$967,8,FALSE()),"")</f>
        <v>Vista 120</v>
      </c>
      <c r="G819" s="50" t="s">
        <v>893</v>
      </c>
      <c r="H819" s="50" t="s">
        <v>360</v>
      </c>
      <c r="I819" s="50"/>
      <c r="J819" s="50" t="s">
        <v>352</v>
      </c>
      <c r="K819" s="50" t="str">
        <f aca="false">IFERROR(VLOOKUP($J819,Catálogos!$M$4:$N$17,2,FALSE()),"")</f>
        <v>Mantención Preventiva Realizada</v>
      </c>
      <c r="L819" s="52" t="n">
        <v>46127</v>
      </c>
      <c r="M819" s="50" t="s">
        <v>353</v>
      </c>
      <c r="N819" s="50" t="s">
        <v>253</v>
      </c>
      <c r="O819" s="50"/>
      <c r="P819" s="50"/>
      <c r="Q819" s="50" t="s">
        <v>362</v>
      </c>
    </row>
    <row r="820" customFormat="false" ht="15" hidden="false" customHeight="true" outlineLevel="0" collapsed="false">
      <c r="A820" s="51" t="s">
        <v>930</v>
      </c>
      <c r="B820" s="50" t="str">
        <f aca="false">IFERROR(VLOOKUP($A820,Equipos!$C$2:$M$967,2,FALSE()),"")</f>
        <v>Monitor Multiparámetros</v>
      </c>
      <c r="C820" s="50" t="str">
        <f aca="false">IFERROR(VLOOKUP($A820,Equipos!$C$2:$M$967,9,FALSE()),"")</f>
        <v>5495042762</v>
      </c>
      <c r="D820" s="50" t="str">
        <f aca="false">IFERROR(VLOOKUP($A820,Equipos!$C$2:$M$967,3,FALSE()),"")</f>
        <v>UPC Adulto</v>
      </c>
      <c r="E820" s="50" t="str">
        <f aca="false">IFERROR(VLOOKUP($A820,Equipos!$C$2:$M$967,7,FALSE()),"")</f>
        <v>Drager</v>
      </c>
      <c r="F820" s="50" t="str">
        <f aca="false">IFERROR(VLOOKUP($A820,Equipos!$C$2:$M$967,8,FALSE()),"")</f>
        <v>Infinity Kappa</v>
      </c>
      <c r="G820" s="50" t="s">
        <v>893</v>
      </c>
      <c r="H820" s="50" t="s">
        <v>360</v>
      </c>
      <c r="I820" s="50"/>
      <c r="J820" s="50" t="s">
        <v>352</v>
      </c>
      <c r="K820" s="50" t="str">
        <f aca="false">IFERROR(VLOOKUP($J820,Catálogos!$M$4:$N$17,2,FALSE()),"")</f>
        <v>Mantención Preventiva Realizada</v>
      </c>
      <c r="L820" s="52" t="n">
        <v>46127</v>
      </c>
      <c r="M820" s="50" t="s">
        <v>353</v>
      </c>
      <c r="N820" s="50" t="s">
        <v>253</v>
      </c>
      <c r="O820" s="50"/>
      <c r="P820" s="50"/>
      <c r="Q820" s="50" t="s">
        <v>362</v>
      </c>
    </row>
    <row r="821" customFormat="false" ht="15" hidden="false" customHeight="true" outlineLevel="0" collapsed="false">
      <c r="A821" s="51" t="s">
        <v>931</v>
      </c>
      <c r="B821" s="50" t="str">
        <f aca="false">IFERROR(VLOOKUP($A821,Equipos!$C$2:$M$967,2,FALSE()),"")</f>
        <v>Monitor Multiparámetros</v>
      </c>
      <c r="C821" s="50" t="str">
        <f aca="false">IFERROR(VLOOKUP($A821,Equipos!$C$2:$M$967,9,FALSE()),"")</f>
        <v>5613542961</v>
      </c>
      <c r="D821" s="50" t="str">
        <f aca="false">IFERROR(VLOOKUP($A821,Equipos!$C$2:$M$967,3,FALSE()),"")</f>
        <v>Pabellón Quirúrgico</v>
      </c>
      <c r="E821" s="50" t="str">
        <f aca="false">IFERROR(VLOOKUP($A821,Equipos!$C$2:$M$967,7,FALSE()),"")</f>
        <v>Drager</v>
      </c>
      <c r="F821" s="50" t="str">
        <f aca="false">IFERROR(VLOOKUP($A821,Equipos!$C$2:$M$967,8,FALSE()),"")</f>
        <v>M540</v>
      </c>
      <c r="G821" s="50" t="s">
        <v>893</v>
      </c>
      <c r="H821" s="50" t="s">
        <v>360</v>
      </c>
      <c r="I821" s="50"/>
      <c r="J821" s="50" t="s">
        <v>352</v>
      </c>
      <c r="K821" s="50" t="str">
        <f aca="false">IFERROR(VLOOKUP($J821,Catálogos!$M$4:$N$17,2,FALSE()),"")</f>
        <v>Mantención Preventiva Realizada</v>
      </c>
      <c r="L821" s="52" t="n">
        <v>46127</v>
      </c>
      <c r="M821" s="50" t="s">
        <v>353</v>
      </c>
      <c r="N821" s="50" t="s">
        <v>253</v>
      </c>
      <c r="O821" s="50"/>
      <c r="P821" s="50"/>
      <c r="Q821" s="50" t="s">
        <v>362</v>
      </c>
    </row>
    <row r="822" customFormat="false" ht="15" hidden="false" customHeight="true" outlineLevel="0" collapsed="false">
      <c r="A822" s="51" t="s">
        <v>932</v>
      </c>
      <c r="B822" s="50" t="str">
        <f aca="false">IFERROR(VLOOKUP($A822,Equipos!$C$2:$M$967,2,FALSE()),"")</f>
        <v>Monitor Multiparámetros</v>
      </c>
      <c r="C822" s="50" t="str">
        <f aca="false">IFERROR(VLOOKUP($A822,Equipos!$C$2:$M$967,9,FALSE()),"")</f>
        <v>5613540865</v>
      </c>
      <c r="D822" s="50" t="str">
        <f aca="false">IFERROR(VLOOKUP($A822,Equipos!$C$2:$M$967,3,FALSE()),"")</f>
        <v>Pabellón Quirúrgico</v>
      </c>
      <c r="E822" s="50" t="str">
        <f aca="false">IFERROR(VLOOKUP($A822,Equipos!$C$2:$M$967,7,FALSE()),"")</f>
        <v>Drager</v>
      </c>
      <c r="F822" s="50" t="str">
        <f aca="false">IFERROR(VLOOKUP($A822,Equipos!$C$2:$M$967,8,FALSE()),"")</f>
        <v>M540</v>
      </c>
      <c r="G822" s="50" t="s">
        <v>893</v>
      </c>
      <c r="H822" s="50" t="s">
        <v>360</v>
      </c>
      <c r="I822" s="50"/>
      <c r="J822" s="50" t="s">
        <v>352</v>
      </c>
      <c r="K822" s="50" t="str">
        <f aca="false">IFERROR(VLOOKUP($J822,Catálogos!$M$4:$N$17,2,FALSE()),"")</f>
        <v>Mantención Preventiva Realizada</v>
      </c>
      <c r="L822" s="52" t="n">
        <v>46127</v>
      </c>
      <c r="M822" s="50" t="s">
        <v>353</v>
      </c>
      <c r="N822" s="50" t="s">
        <v>253</v>
      </c>
      <c r="O822" s="50"/>
      <c r="P822" s="50"/>
      <c r="Q822" s="50" t="s">
        <v>362</v>
      </c>
    </row>
    <row r="823" customFormat="false" ht="15" hidden="false" customHeight="true" outlineLevel="0" collapsed="false">
      <c r="A823" s="51" t="s">
        <v>933</v>
      </c>
      <c r="B823" s="50" t="str">
        <f aca="false">IFERROR(VLOOKUP($A823,Equipos!$C$2:$M$967,2,FALSE()),"")</f>
        <v>Monitor Multiparámetros</v>
      </c>
      <c r="C823" s="50" t="str">
        <f aca="false">IFERROR(VLOOKUP($A823,Equipos!$C$2:$M$967,9,FALSE()),"")</f>
        <v>VSSTE0190</v>
      </c>
      <c r="D823" s="50" t="str">
        <f aca="false">IFERROR(VLOOKUP($A823,Equipos!$C$2:$M$967,3,FALSE()),"")</f>
        <v>TROI</v>
      </c>
      <c r="E823" s="50" t="str">
        <f aca="false">IFERROR(VLOOKUP($A823,Equipos!$C$2:$M$967,7,FALSE()),"")</f>
        <v>Drager</v>
      </c>
      <c r="F823" s="50" t="str">
        <f aca="false">IFERROR(VLOOKUP($A823,Equipos!$C$2:$M$967,8,FALSE()),"")</f>
        <v>Vista 300</v>
      </c>
      <c r="G823" s="50" t="s">
        <v>893</v>
      </c>
      <c r="H823" s="50" t="s">
        <v>360</v>
      </c>
      <c r="I823" s="50"/>
      <c r="J823" s="50" t="s">
        <v>352</v>
      </c>
      <c r="K823" s="50" t="str">
        <f aca="false">IFERROR(VLOOKUP($J823,Catálogos!$M$4:$N$17,2,FALSE()),"")</f>
        <v>Mantención Preventiva Realizada</v>
      </c>
      <c r="L823" s="52" t="n">
        <v>46127</v>
      </c>
      <c r="M823" s="50" t="s">
        <v>353</v>
      </c>
      <c r="N823" s="50" t="s">
        <v>253</v>
      </c>
      <c r="O823" s="50"/>
      <c r="P823" s="50"/>
      <c r="Q823" s="50" t="s">
        <v>362</v>
      </c>
    </row>
    <row r="824" customFormat="false" ht="15" hidden="false" customHeight="true" outlineLevel="0" collapsed="false">
      <c r="A824" s="51" t="s">
        <v>934</v>
      </c>
      <c r="B824" s="50" t="str">
        <f aca="false">IFERROR(VLOOKUP($A824,Equipos!$C$2:$M$967,2,FALSE()),"")</f>
        <v>Monitor Multiparámetros</v>
      </c>
      <c r="C824" s="50" t="str">
        <f aca="false">IFERROR(VLOOKUP($A824,Equipos!$C$2:$M$967,9,FALSE()),"")</f>
        <v>VSSUM0052</v>
      </c>
      <c r="D824" s="50" t="str">
        <f aca="false">IFERROR(VLOOKUP($A824,Equipos!$C$2:$M$967,3,FALSE()),"")</f>
        <v>TROI</v>
      </c>
      <c r="E824" s="50" t="str">
        <f aca="false">IFERROR(VLOOKUP($A824,Equipos!$C$2:$M$967,7,FALSE()),"")</f>
        <v>Drager</v>
      </c>
      <c r="F824" s="50" t="str">
        <f aca="false">IFERROR(VLOOKUP($A824,Equipos!$C$2:$M$967,8,FALSE()),"")</f>
        <v>Vista 300</v>
      </c>
      <c r="G824" s="50" t="s">
        <v>893</v>
      </c>
      <c r="H824" s="50" t="s">
        <v>360</v>
      </c>
      <c r="I824" s="50"/>
      <c r="J824" s="50" t="s">
        <v>352</v>
      </c>
      <c r="K824" s="50" t="str">
        <f aca="false">IFERROR(VLOOKUP($J824,Catálogos!$M$4:$N$17,2,FALSE()),"")</f>
        <v>Mantención Preventiva Realizada</v>
      </c>
      <c r="L824" s="52" t="n">
        <v>46127</v>
      </c>
      <c r="M824" s="50" t="s">
        <v>353</v>
      </c>
      <c r="N824" s="50" t="s">
        <v>253</v>
      </c>
      <c r="O824" s="50"/>
      <c r="P824" s="50"/>
      <c r="Q824" s="50" t="s">
        <v>362</v>
      </c>
    </row>
    <row r="825" customFormat="false" ht="15" hidden="false" customHeight="true" outlineLevel="0" collapsed="false">
      <c r="A825" s="51" t="s">
        <v>935</v>
      </c>
      <c r="B825" s="50" t="str">
        <f aca="false">IFERROR(VLOOKUP($A825,Equipos!$C$2:$M$967,2,FALSE()),"")</f>
        <v>Monitor Multiparámetros</v>
      </c>
      <c r="C825" s="50" t="str">
        <f aca="false">IFERROR(VLOOKUP($A825,Equipos!$C$2:$M$967,9,FALSE()),"")</f>
        <v>5494305160</v>
      </c>
      <c r="D825" s="50" t="str">
        <f aca="false">IFERROR(VLOOKUP($A825,Equipos!$C$2:$M$967,3,FALSE()),"")</f>
        <v>Pabellón Quirúrgico</v>
      </c>
      <c r="E825" s="50" t="str">
        <f aca="false">IFERROR(VLOOKUP($A825,Equipos!$C$2:$M$967,7,FALSE()),"")</f>
        <v>Drager </v>
      </c>
      <c r="F825" s="50" t="str">
        <f aca="false">IFERROR(VLOOKUP($A825,Equipos!$C$2:$M$967,8,FALSE()),"")</f>
        <v>Infinity Kappa</v>
      </c>
      <c r="G825" s="50" t="s">
        <v>893</v>
      </c>
      <c r="H825" s="50" t="s">
        <v>360</v>
      </c>
      <c r="I825" s="50"/>
      <c r="J825" s="50" t="s">
        <v>352</v>
      </c>
      <c r="K825" s="50" t="str">
        <f aca="false">IFERROR(VLOOKUP($J825,Catálogos!$M$4:$N$17,2,FALSE()),"")</f>
        <v>Mantención Preventiva Realizada</v>
      </c>
      <c r="L825" s="52" t="n">
        <v>46127</v>
      </c>
      <c r="M825" s="50" t="s">
        <v>353</v>
      </c>
      <c r="N825" s="50" t="s">
        <v>253</v>
      </c>
      <c r="O825" s="50"/>
      <c r="P825" s="50"/>
      <c r="Q825" s="50" t="s">
        <v>362</v>
      </c>
    </row>
    <row r="826" customFormat="false" ht="15" hidden="false" customHeight="true" outlineLevel="0" collapsed="false">
      <c r="A826" s="51" t="s">
        <v>769</v>
      </c>
      <c r="B826" s="50" t="str">
        <f aca="false">IFERROR(VLOOKUP($A826,Equipos!$C$2:$M$967,2,FALSE()),"")</f>
        <v>Monitor Multiparámetros</v>
      </c>
      <c r="C826" s="50" t="str">
        <f aca="false">IFERROR(VLOOKUP($A826,Equipos!$C$2:$M$967,9,FALSE()),"")</f>
        <v>01059.</v>
      </c>
      <c r="D826" s="50" t="str">
        <f aca="false">IFERROR(VLOOKUP($A826,Equipos!$C$2:$M$967,3,FALSE()),"")</f>
        <v>Traumatología</v>
      </c>
      <c r="E826" s="50" t="str">
        <f aca="false">IFERROR(VLOOKUP($A826,Equipos!$C$2:$M$967,7,FALSE()),"")</f>
        <v>Nihon Kohden </v>
      </c>
      <c r="F826" s="50" t="str">
        <f aca="false">IFERROR(VLOOKUP($A826,Equipos!$C$2:$M$967,8,FALSE()),"")</f>
        <v>BSM-6301K</v>
      </c>
      <c r="G826" s="50" t="s">
        <v>893</v>
      </c>
      <c r="H826" s="50" t="s">
        <v>360</v>
      </c>
      <c r="I826" s="50"/>
      <c r="J826" s="50" t="s">
        <v>352</v>
      </c>
      <c r="K826" s="50" t="str">
        <f aca="false">IFERROR(VLOOKUP($J826,Catálogos!$M$4:$N$17,2,FALSE()),"")</f>
        <v>Mantención Preventiva Realizada</v>
      </c>
      <c r="L826" s="52" t="n">
        <v>46127</v>
      </c>
      <c r="M826" s="50" t="s">
        <v>353</v>
      </c>
      <c r="N826" s="50" t="s">
        <v>253</v>
      </c>
      <c r="O826" s="50"/>
      <c r="P826" s="50"/>
      <c r="Q826" s="50" t="s">
        <v>362</v>
      </c>
    </row>
    <row r="827" customFormat="false" ht="15" hidden="false" customHeight="true" outlineLevel="0" collapsed="false">
      <c r="A827" s="51" t="s">
        <v>770</v>
      </c>
      <c r="B827" s="50" t="str">
        <f aca="false">IFERROR(VLOOKUP($A827,Equipos!$C$2:$M$967,2,FALSE()),"")</f>
        <v>Monitor Multiparámetros</v>
      </c>
      <c r="C827" s="50" t="str">
        <f aca="false">IFERROR(VLOOKUP($A827,Equipos!$C$2:$M$967,9,FALSE()),"")</f>
        <v>01046.</v>
      </c>
      <c r="D827" s="50" t="str">
        <f aca="false">IFERROR(VLOOKUP($A827,Equipos!$C$2:$M$967,3,FALSE()),"")</f>
        <v>Traumatología</v>
      </c>
      <c r="E827" s="50" t="str">
        <f aca="false">IFERROR(VLOOKUP($A827,Equipos!$C$2:$M$967,7,FALSE()),"")</f>
        <v>Nihon Kohden </v>
      </c>
      <c r="F827" s="50" t="str">
        <f aca="false">IFERROR(VLOOKUP($A827,Equipos!$C$2:$M$967,8,FALSE()),"")</f>
        <v>BSM-6301K</v>
      </c>
      <c r="G827" s="50" t="s">
        <v>893</v>
      </c>
      <c r="H827" s="50" t="s">
        <v>360</v>
      </c>
      <c r="I827" s="50"/>
      <c r="J827" s="50" t="s">
        <v>352</v>
      </c>
      <c r="K827" s="50" t="str">
        <f aca="false">IFERROR(VLOOKUP($J827,Catálogos!$M$4:$N$17,2,FALSE()),"")</f>
        <v>Mantención Preventiva Realizada</v>
      </c>
      <c r="L827" s="52" t="n">
        <v>46127</v>
      </c>
      <c r="M827" s="50" t="s">
        <v>353</v>
      </c>
      <c r="N827" s="50" t="s">
        <v>253</v>
      </c>
      <c r="O827" s="50"/>
      <c r="P827" s="50"/>
      <c r="Q827" s="50" t="s">
        <v>362</v>
      </c>
    </row>
    <row r="828" customFormat="false" ht="15" hidden="false" customHeight="true" outlineLevel="0" collapsed="false">
      <c r="A828" s="51" t="s">
        <v>771</v>
      </c>
      <c r="B828" s="50" t="str">
        <f aca="false">IFERROR(VLOOKUP($A828,Equipos!$C$2:$M$967,2,FALSE()),"")</f>
        <v>Monitor Multiparámetros</v>
      </c>
      <c r="C828" s="50" t="str">
        <f aca="false">IFERROR(VLOOKUP($A828,Equipos!$C$2:$M$967,9,FALSE()),"")</f>
        <v>01052.</v>
      </c>
      <c r="D828" s="50" t="str">
        <f aca="false">IFERROR(VLOOKUP($A828,Equipos!$C$2:$M$967,3,FALSE()),"")</f>
        <v>Traumatología</v>
      </c>
      <c r="E828" s="50" t="str">
        <f aca="false">IFERROR(VLOOKUP($A828,Equipos!$C$2:$M$967,7,FALSE()),"")</f>
        <v>Nihon Kohden </v>
      </c>
      <c r="F828" s="50" t="str">
        <f aca="false">IFERROR(VLOOKUP($A828,Equipos!$C$2:$M$967,8,FALSE()),"")</f>
        <v>BSM-6301K</v>
      </c>
      <c r="G828" s="50" t="s">
        <v>893</v>
      </c>
      <c r="H828" s="50" t="s">
        <v>360</v>
      </c>
      <c r="I828" s="50"/>
      <c r="J828" s="50" t="s">
        <v>352</v>
      </c>
      <c r="K828" s="50" t="str">
        <f aca="false">IFERROR(VLOOKUP($J828,Catálogos!$M$4:$N$17,2,FALSE()),"")</f>
        <v>Mantención Preventiva Realizada</v>
      </c>
      <c r="L828" s="52" t="n">
        <v>46127</v>
      </c>
      <c r="M828" s="50" t="s">
        <v>353</v>
      </c>
      <c r="N828" s="50" t="s">
        <v>253</v>
      </c>
      <c r="O828" s="50"/>
      <c r="P828" s="50"/>
      <c r="Q828" s="50" t="s">
        <v>362</v>
      </c>
    </row>
    <row r="829" customFormat="false" ht="15" hidden="false" customHeight="true" outlineLevel="0" collapsed="false">
      <c r="A829" s="51" t="s">
        <v>772</v>
      </c>
      <c r="B829" s="50" t="str">
        <f aca="false">IFERROR(VLOOKUP($A829,Equipos!$C$2:$M$967,2,FALSE()),"")</f>
        <v>Monitor Multiparámetros</v>
      </c>
      <c r="C829" s="50" t="str">
        <f aca="false">IFERROR(VLOOKUP($A829,Equipos!$C$2:$M$967,9,FALSE()),"")</f>
        <v>1056</v>
      </c>
      <c r="D829" s="50" t="str">
        <f aca="false">IFERROR(VLOOKUP($A829,Equipos!$C$2:$M$967,3,FALSE()),"")</f>
        <v>Quimioterapia Ambulatoria Adulto</v>
      </c>
      <c r="E829" s="50" t="str">
        <f aca="false">IFERROR(VLOOKUP($A829,Equipos!$C$2:$M$967,7,FALSE()),"")</f>
        <v>Nihon Kohden </v>
      </c>
      <c r="F829" s="50" t="str">
        <f aca="false">IFERROR(VLOOKUP($A829,Equipos!$C$2:$M$967,8,FALSE()),"")</f>
        <v>BSM-6301K</v>
      </c>
      <c r="G829" s="50" t="s">
        <v>893</v>
      </c>
      <c r="H829" s="50" t="s">
        <v>360</v>
      </c>
      <c r="I829" s="50"/>
      <c r="J829" s="50" t="s">
        <v>352</v>
      </c>
      <c r="K829" s="50" t="str">
        <f aca="false">IFERROR(VLOOKUP($J829,Catálogos!$M$4:$N$17,2,FALSE()),"")</f>
        <v>Mantención Preventiva Realizada</v>
      </c>
      <c r="L829" s="52" t="n">
        <v>46127</v>
      </c>
      <c r="M829" s="50" t="s">
        <v>353</v>
      </c>
      <c r="N829" s="50" t="s">
        <v>253</v>
      </c>
      <c r="O829" s="50"/>
      <c r="P829" s="50"/>
      <c r="Q829" s="50" t="s">
        <v>362</v>
      </c>
    </row>
    <row r="830" customFormat="false" ht="15" hidden="false" customHeight="true" outlineLevel="0" collapsed="false">
      <c r="A830" s="51" t="s">
        <v>773</v>
      </c>
      <c r="B830" s="50" t="str">
        <f aca="false">IFERROR(VLOOKUP($A830,Equipos!$C$2:$M$967,2,FALSE()),"")</f>
        <v>Monitor Multiparámetros</v>
      </c>
      <c r="C830" s="50" t="str">
        <f aca="false">IFERROR(VLOOKUP($A830,Equipos!$C$2:$M$967,9,FALSE()),"")</f>
        <v>1072</v>
      </c>
      <c r="D830" s="50" t="str">
        <f aca="false">IFERROR(VLOOKUP($A830,Equipos!$C$2:$M$967,3,FALSE()),"")</f>
        <v>Quimioterapia Ambulatoria Adulto</v>
      </c>
      <c r="E830" s="50" t="str">
        <f aca="false">IFERROR(VLOOKUP($A830,Equipos!$C$2:$M$967,7,FALSE()),"")</f>
        <v>Nihon Kohden </v>
      </c>
      <c r="F830" s="50" t="str">
        <f aca="false">IFERROR(VLOOKUP($A830,Equipos!$C$2:$M$967,8,FALSE()),"")</f>
        <v>BSM-6301K</v>
      </c>
      <c r="G830" s="50" t="s">
        <v>893</v>
      </c>
      <c r="H830" s="50" t="s">
        <v>360</v>
      </c>
      <c r="I830" s="50"/>
      <c r="J830" s="50" t="s">
        <v>352</v>
      </c>
      <c r="K830" s="50" t="str">
        <f aca="false">IFERROR(VLOOKUP($J830,Catálogos!$M$4:$N$17,2,FALSE()),"")</f>
        <v>Mantención Preventiva Realizada</v>
      </c>
      <c r="L830" s="52" t="n">
        <v>46127</v>
      </c>
      <c r="M830" s="50" t="s">
        <v>353</v>
      </c>
      <c r="N830" s="50" t="s">
        <v>253</v>
      </c>
      <c r="O830" s="50"/>
      <c r="P830" s="50"/>
      <c r="Q830" s="50" t="s">
        <v>362</v>
      </c>
    </row>
    <row r="831" customFormat="false" ht="15" hidden="false" customHeight="true" outlineLevel="0" collapsed="false">
      <c r="A831" s="51" t="s">
        <v>936</v>
      </c>
      <c r="B831" s="50" t="str">
        <f aca="false">IFERROR(VLOOKUP($A831,Equipos!$C$2:$M$967,2,FALSE()),"")</f>
        <v>Monitor Multiparámetros</v>
      </c>
      <c r="C831" s="50" t="str">
        <f aca="false">IFERROR(VLOOKUP($A831,Equipos!$C$2:$M$967,9,FALSE()),"")</f>
        <v>VSSUM0046</v>
      </c>
      <c r="D831" s="50" t="str">
        <f aca="false">IFERROR(VLOOKUP($A831,Equipos!$C$2:$M$967,3,FALSE()),"")</f>
        <v>TROI</v>
      </c>
      <c r="E831" s="50" t="str">
        <f aca="false">IFERROR(VLOOKUP($A831,Equipos!$C$2:$M$967,7,FALSE()),"")</f>
        <v>Drager</v>
      </c>
      <c r="F831" s="50" t="str">
        <f aca="false">IFERROR(VLOOKUP($A831,Equipos!$C$2:$M$967,8,FALSE()),"")</f>
        <v>Vista 300</v>
      </c>
      <c r="G831" s="50" t="s">
        <v>893</v>
      </c>
      <c r="H831" s="50" t="s">
        <v>360</v>
      </c>
      <c r="I831" s="50"/>
      <c r="J831" s="50" t="s">
        <v>352</v>
      </c>
      <c r="K831" s="50" t="str">
        <f aca="false">IFERROR(VLOOKUP($J831,Catálogos!$M$4:$N$17,2,FALSE()),"")</f>
        <v>Mantención Preventiva Realizada</v>
      </c>
      <c r="L831" s="52" t="n">
        <v>46127</v>
      </c>
      <c r="M831" s="50" t="s">
        <v>353</v>
      </c>
      <c r="N831" s="50" t="s">
        <v>253</v>
      </c>
      <c r="O831" s="50"/>
      <c r="P831" s="50"/>
      <c r="Q831" s="50" t="s">
        <v>362</v>
      </c>
    </row>
    <row r="832" customFormat="false" ht="15" hidden="false" customHeight="true" outlineLevel="0" collapsed="false">
      <c r="A832" s="51" t="s">
        <v>776</v>
      </c>
      <c r="B832" s="50" t="str">
        <f aca="false">IFERROR(VLOOKUP($A832,Equipos!$C$2:$M$967,2,FALSE()),"")</f>
        <v>Monitor Multiparámetros</v>
      </c>
      <c r="C832" s="50" t="str">
        <f aca="false">IFERROR(VLOOKUP($A832,Equipos!$C$2:$M$967,9,FALSE()),"")</f>
        <v>6001029471</v>
      </c>
      <c r="D832" s="50" t="str">
        <f aca="false">IFERROR(VLOOKUP($A832,Equipos!$C$2:$M$967,3,FALSE()),"")</f>
        <v>Neurocirugía</v>
      </c>
      <c r="E832" s="50" t="str">
        <f aca="false">IFERROR(VLOOKUP($A832,Equipos!$C$2:$M$967,7,FALSE()),"")</f>
        <v>Drager </v>
      </c>
      <c r="F832" s="50" t="str">
        <f aca="false">IFERROR(VLOOKUP($A832,Equipos!$C$2:$M$967,8,FALSE()),"")</f>
        <v>Infinity Vista XL </v>
      </c>
      <c r="G832" s="50" t="s">
        <v>893</v>
      </c>
      <c r="H832" s="50" t="s">
        <v>360</v>
      </c>
      <c r="I832" s="50"/>
      <c r="J832" s="50" t="s">
        <v>352</v>
      </c>
      <c r="K832" s="50" t="str">
        <f aca="false">IFERROR(VLOOKUP($J832,Catálogos!$M$4:$N$17,2,FALSE()),"")</f>
        <v>Mantención Preventiva Realizada</v>
      </c>
      <c r="L832" s="52" t="n">
        <v>46127</v>
      </c>
      <c r="M832" s="50" t="s">
        <v>353</v>
      </c>
      <c r="N832" s="50" t="s">
        <v>253</v>
      </c>
      <c r="O832" s="50"/>
      <c r="P832" s="50"/>
      <c r="Q832" s="50" t="s">
        <v>362</v>
      </c>
    </row>
    <row r="833" customFormat="false" ht="15" hidden="false" customHeight="true" outlineLevel="0" collapsed="false">
      <c r="A833" s="51" t="s">
        <v>777</v>
      </c>
      <c r="B833" s="50" t="str">
        <f aca="false">IFERROR(VLOOKUP($A833,Equipos!$C$2:$M$967,2,FALSE()),"")</f>
        <v>Monitor Multiparámetros</v>
      </c>
      <c r="C833" s="50" t="str">
        <f aca="false">IFERROR(VLOOKUP($A833,Equipos!$C$2:$M$967,9,FALSE()),"")</f>
        <v>6001128079</v>
      </c>
      <c r="D833" s="50" t="str">
        <f aca="false">IFERROR(VLOOKUP($A833,Equipos!$C$2:$M$967,3,FALSE()),"")</f>
        <v>Neurocirugía</v>
      </c>
      <c r="E833" s="50" t="str">
        <f aca="false">IFERROR(VLOOKUP($A833,Equipos!$C$2:$M$967,7,FALSE()),"")</f>
        <v>Drager </v>
      </c>
      <c r="F833" s="50" t="str">
        <f aca="false">IFERROR(VLOOKUP($A833,Equipos!$C$2:$M$967,8,FALSE()),"")</f>
        <v>Infinity Vista XL </v>
      </c>
      <c r="G833" s="50" t="s">
        <v>893</v>
      </c>
      <c r="H833" s="50" t="s">
        <v>360</v>
      </c>
      <c r="I833" s="50"/>
      <c r="J833" s="50" t="s">
        <v>352</v>
      </c>
      <c r="K833" s="50" t="str">
        <f aca="false">IFERROR(VLOOKUP($J833,Catálogos!$M$4:$N$17,2,FALSE()),"")</f>
        <v>Mantención Preventiva Realizada</v>
      </c>
      <c r="L833" s="52" t="n">
        <v>46127</v>
      </c>
      <c r="M833" s="50" t="s">
        <v>353</v>
      </c>
      <c r="N833" s="50" t="s">
        <v>253</v>
      </c>
      <c r="O833" s="50"/>
      <c r="P833" s="50"/>
      <c r="Q833" s="50" t="s">
        <v>362</v>
      </c>
    </row>
    <row r="834" customFormat="false" ht="15" hidden="false" customHeight="true" outlineLevel="0" collapsed="false">
      <c r="A834" s="51" t="s">
        <v>778</v>
      </c>
      <c r="B834" s="50" t="str">
        <f aca="false">IFERROR(VLOOKUP($A834,Equipos!$C$2:$M$967,2,FALSE()),"")</f>
        <v>Monitor Multiparámetros</v>
      </c>
      <c r="C834" s="50" t="str">
        <f aca="false">IFERROR(VLOOKUP($A834,Equipos!$C$2:$M$967,9,FALSE()),"")</f>
        <v>212726117</v>
      </c>
      <c r="D834" s="50" t="str">
        <f aca="false">IFERROR(VLOOKUP($A834,Equipos!$C$2:$M$967,3,FALSE()),"")</f>
        <v>Quimioterapia Ambulatoria Adulto</v>
      </c>
      <c r="E834" s="50" t="str">
        <f aca="false">IFERROR(VLOOKUP($A834,Equipos!$C$2:$M$967,7,FALSE()),"")</f>
        <v>Criticare </v>
      </c>
      <c r="F834" s="50" t="str">
        <f aca="false">IFERROR(VLOOKUP($A834,Equipos!$C$2:$M$967,8,FALSE()),"")</f>
        <v>8100E-S</v>
      </c>
      <c r="G834" s="50" t="s">
        <v>893</v>
      </c>
      <c r="H834" s="50" t="s">
        <v>360</v>
      </c>
      <c r="I834" s="50"/>
      <c r="J834" s="50" t="s">
        <v>352</v>
      </c>
      <c r="K834" s="50" t="str">
        <f aca="false">IFERROR(VLOOKUP($J834,Catálogos!$M$4:$N$17,2,FALSE()),"")</f>
        <v>Mantención Preventiva Realizada</v>
      </c>
      <c r="L834" s="52" t="n">
        <v>46127</v>
      </c>
      <c r="M834" s="50" t="s">
        <v>353</v>
      </c>
      <c r="N834" s="50" t="s">
        <v>253</v>
      </c>
      <c r="O834" s="50"/>
      <c r="P834" s="50"/>
      <c r="Q834" s="50" t="s">
        <v>362</v>
      </c>
    </row>
    <row r="835" customFormat="false" ht="15" hidden="false" customHeight="true" outlineLevel="0" collapsed="false">
      <c r="A835" s="51" t="s">
        <v>779</v>
      </c>
      <c r="B835" s="50" t="str">
        <f aca="false">IFERROR(VLOOKUP($A835,Equipos!$C$2:$M$967,2,FALSE()),"")</f>
        <v>Monitor Multiparámetros</v>
      </c>
      <c r="C835" s="50" t="str">
        <f aca="false">IFERROR(VLOOKUP($A835,Equipos!$C$2:$M$967,9,FALSE()),"")</f>
        <v>1043</v>
      </c>
      <c r="D835" s="50" t="str">
        <f aca="false">IFERROR(VLOOKUP($A835,Equipos!$C$2:$M$967,3,FALSE()),"")</f>
        <v>Hemato Oncología Adulto</v>
      </c>
      <c r="E835" s="50" t="str">
        <f aca="false">IFERROR(VLOOKUP($A835,Equipos!$C$2:$M$967,7,FALSE()),"")</f>
        <v>Nihon Kohden </v>
      </c>
      <c r="F835" s="50" t="str">
        <f aca="false">IFERROR(VLOOKUP($A835,Equipos!$C$2:$M$967,8,FALSE()),"")</f>
        <v>BSM-6301K</v>
      </c>
      <c r="G835" s="50" t="s">
        <v>893</v>
      </c>
      <c r="H835" s="50" t="s">
        <v>360</v>
      </c>
      <c r="I835" s="50"/>
      <c r="J835" s="50" t="s">
        <v>352</v>
      </c>
      <c r="K835" s="50" t="str">
        <f aca="false">IFERROR(VLOOKUP($J835,Catálogos!$M$4:$N$17,2,FALSE()),"")</f>
        <v>Mantención Preventiva Realizada</v>
      </c>
      <c r="L835" s="52" t="n">
        <v>46127</v>
      </c>
      <c r="M835" s="50" t="s">
        <v>353</v>
      </c>
      <c r="N835" s="50" t="s">
        <v>253</v>
      </c>
      <c r="O835" s="50"/>
      <c r="P835" s="50"/>
      <c r="Q835" s="50" t="s">
        <v>362</v>
      </c>
    </row>
    <row r="836" customFormat="false" ht="15" hidden="false" customHeight="true" outlineLevel="0" collapsed="false">
      <c r="A836" s="51" t="s">
        <v>780</v>
      </c>
      <c r="B836" s="50" t="str">
        <f aca="false">IFERROR(VLOOKUP($A836,Equipos!$C$2:$M$967,2,FALSE()),"")</f>
        <v>Monitor Multiparámetros</v>
      </c>
      <c r="C836" s="50" t="str">
        <f aca="false">IFERROR(VLOOKUP($A836,Equipos!$C$2:$M$967,9,FALSE()),"")</f>
        <v>1063</v>
      </c>
      <c r="D836" s="50" t="str">
        <f aca="false">IFERROR(VLOOKUP($A836,Equipos!$C$2:$M$967,3,FALSE()),"")</f>
        <v>Hemato Oncología Adulto</v>
      </c>
      <c r="E836" s="50" t="str">
        <f aca="false">IFERROR(VLOOKUP($A836,Equipos!$C$2:$M$967,7,FALSE()),"")</f>
        <v>Nihon Kohden </v>
      </c>
      <c r="F836" s="50" t="str">
        <f aca="false">IFERROR(VLOOKUP($A836,Equipos!$C$2:$M$967,8,FALSE()),"")</f>
        <v>BSM-6301K</v>
      </c>
      <c r="G836" s="50" t="s">
        <v>893</v>
      </c>
      <c r="H836" s="50" t="s">
        <v>360</v>
      </c>
      <c r="I836" s="50"/>
      <c r="J836" s="50" t="s">
        <v>352</v>
      </c>
      <c r="K836" s="50" t="str">
        <f aca="false">IFERROR(VLOOKUP($J836,Catálogos!$M$4:$N$17,2,FALSE()),"")</f>
        <v>Mantención Preventiva Realizada</v>
      </c>
      <c r="L836" s="52" t="n">
        <v>46127</v>
      </c>
      <c r="M836" s="50" t="s">
        <v>353</v>
      </c>
      <c r="N836" s="50" t="s">
        <v>253</v>
      </c>
      <c r="O836" s="50"/>
      <c r="P836" s="50"/>
      <c r="Q836" s="50" t="s">
        <v>362</v>
      </c>
    </row>
    <row r="837" customFormat="false" ht="15" hidden="false" customHeight="true" outlineLevel="0" collapsed="false">
      <c r="A837" s="51" t="s">
        <v>781</v>
      </c>
      <c r="B837" s="50" t="str">
        <f aca="false">IFERROR(VLOOKUP($A837,Equipos!$C$2:$M$967,2,FALSE()),"")</f>
        <v>Monitor Multiparámetros</v>
      </c>
      <c r="C837" s="50" t="str">
        <f aca="false">IFERROR(VLOOKUP($A837,Equipos!$C$2:$M$967,9,FALSE()),"")</f>
        <v>1074</v>
      </c>
      <c r="D837" s="50" t="str">
        <f aca="false">IFERROR(VLOOKUP($A837,Equipos!$C$2:$M$967,3,FALSE()),"")</f>
        <v>Hemato Oncología Adulto</v>
      </c>
      <c r="E837" s="50" t="str">
        <f aca="false">IFERROR(VLOOKUP($A837,Equipos!$C$2:$M$967,7,FALSE()),"")</f>
        <v>Nihon Kohden </v>
      </c>
      <c r="F837" s="50" t="str">
        <f aca="false">IFERROR(VLOOKUP($A837,Equipos!$C$2:$M$967,8,FALSE()),"")</f>
        <v>BSM-6301K</v>
      </c>
      <c r="G837" s="50" t="s">
        <v>893</v>
      </c>
      <c r="H837" s="50" t="s">
        <v>360</v>
      </c>
      <c r="I837" s="50"/>
      <c r="J837" s="50" t="s">
        <v>352</v>
      </c>
      <c r="K837" s="50" t="str">
        <f aca="false">IFERROR(VLOOKUP($J837,Catálogos!$M$4:$N$17,2,FALSE()),"")</f>
        <v>Mantención Preventiva Realizada</v>
      </c>
      <c r="L837" s="52" t="n">
        <v>46127</v>
      </c>
      <c r="M837" s="50" t="s">
        <v>353</v>
      </c>
      <c r="N837" s="50" t="s">
        <v>253</v>
      </c>
      <c r="O837" s="50"/>
      <c r="P837" s="50"/>
      <c r="Q837" s="50" t="s">
        <v>362</v>
      </c>
    </row>
    <row r="838" customFormat="false" ht="15" hidden="false" customHeight="true" outlineLevel="0" collapsed="false">
      <c r="A838" s="51" t="s">
        <v>782</v>
      </c>
      <c r="B838" s="50" t="str">
        <f aca="false">IFERROR(VLOOKUP($A838,Equipos!$C$2:$M$967,2,FALSE()),"")</f>
        <v>Monitor Multiparámetros</v>
      </c>
      <c r="C838" s="50" t="str">
        <f aca="false">IFERROR(VLOOKUP($A838,Equipos!$C$2:$M$967,9,FALSE()),"")</f>
        <v>212726171</v>
      </c>
      <c r="D838" s="50" t="str">
        <f aca="false">IFERROR(VLOOKUP($A838,Equipos!$C$2:$M$967,3,FALSE()),"")</f>
        <v>Hemato Oncología Adulto</v>
      </c>
      <c r="E838" s="50" t="str">
        <f aca="false">IFERROR(VLOOKUP($A838,Equipos!$C$2:$M$967,7,FALSE()),"")</f>
        <v>Criticare </v>
      </c>
      <c r="F838" s="50" t="str">
        <f aca="false">IFERROR(VLOOKUP($A838,Equipos!$C$2:$M$967,8,FALSE()),"")</f>
        <v>8100E-S</v>
      </c>
      <c r="G838" s="50" t="s">
        <v>893</v>
      </c>
      <c r="H838" s="50" t="s">
        <v>360</v>
      </c>
      <c r="I838" s="50"/>
      <c r="J838" s="50" t="s">
        <v>352</v>
      </c>
      <c r="K838" s="50" t="str">
        <f aca="false">IFERROR(VLOOKUP($J838,Catálogos!$M$4:$N$17,2,FALSE()),"")</f>
        <v>Mantención Preventiva Realizada</v>
      </c>
      <c r="L838" s="52" t="n">
        <v>46127</v>
      </c>
      <c r="M838" s="50" t="s">
        <v>353</v>
      </c>
      <c r="N838" s="50" t="s">
        <v>253</v>
      </c>
      <c r="O838" s="50"/>
      <c r="P838" s="50"/>
      <c r="Q838" s="50" t="s">
        <v>362</v>
      </c>
    </row>
    <row r="839" customFormat="false" ht="15" hidden="false" customHeight="true" outlineLevel="0" collapsed="false">
      <c r="A839" s="51" t="s">
        <v>783</v>
      </c>
      <c r="B839" s="50" t="str">
        <f aca="false">IFERROR(VLOOKUP($A839,Equipos!$C$2:$M$967,2,FALSE()),"")</f>
        <v>Monitor Multiparámetros</v>
      </c>
      <c r="C839" s="50" t="str">
        <f aca="false">IFERROR(VLOOKUP($A839,Equipos!$C$2:$M$967,9,FALSE()),"")</f>
        <v>1039</v>
      </c>
      <c r="D839" s="50" t="str">
        <f aca="false">IFERROR(VLOOKUP($A839,Equipos!$C$2:$M$967,3,FALSE()),"")</f>
        <v>Hemato Oncología Adulto</v>
      </c>
      <c r="E839" s="50" t="str">
        <f aca="false">IFERROR(VLOOKUP($A839,Equipos!$C$2:$M$967,7,FALSE()),"")</f>
        <v>Nihon Kohden </v>
      </c>
      <c r="F839" s="50" t="str">
        <f aca="false">IFERROR(VLOOKUP($A839,Equipos!$C$2:$M$967,8,FALSE()),"")</f>
        <v>BSM-6301K</v>
      </c>
      <c r="G839" s="50" t="s">
        <v>893</v>
      </c>
      <c r="H839" s="50" t="s">
        <v>360</v>
      </c>
      <c r="I839" s="50"/>
      <c r="J839" s="50" t="s">
        <v>352</v>
      </c>
      <c r="K839" s="50" t="str">
        <f aca="false">IFERROR(VLOOKUP($J839,Catálogos!$M$4:$N$17,2,FALSE()),"")</f>
        <v>Mantención Preventiva Realizada</v>
      </c>
      <c r="L839" s="52" t="n">
        <v>46127</v>
      </c>
      <c r="M839" s="50" t="s">
        <v>353</v>
      </c>
      <c r="N839" s="50" t="s">
        <v>253</v>
      </c>
      <c r="O839" s="50"/>
      <c r="P839" s="50"/>
      <c r="Q839" s="50" t="s">
        <v>362</v>
      </c>
    </row>
    <row r="840" customFormat="false" ht="15" hidden="false" customHeight="true" outlineLevel="0" collapsed="false">
      <c r="A840" s="51" t="s">
        <v>784</v>
      </c>
      <c r="B840" s="50" t="str">
        <f aca="false">IFERROR(VLOOKUP($A840,Equipos!$C$2:$M$967,2,FALSE()),"")</f>
        <v>Monitor Multiparámetros</v>
      </c>
      <c r="C840" s="50" t="str">
        <f aca="false">IFERROR(VLOOKUP($A840,Equipos!$C$2:$M$967,9,FALSE()),"")</f>
        <v>01036.</v>
      </c>
      <c r="D840" s="50" t="str">
        <f aca="false">IFERROR(VLOOKUP($A840,Equipos!$C$2:$M$967,3,FALSE()),"")</f>
        <v>Traumatología</v>
      </c>
      <c r="E840" s="50" t="str">
        <f aca="false">IFERROR(VLOOKUP($A840,Equipos!$C$2:$M$967,7,FALSE()),"")</f>
        <v>Nihon Kohden </v>
      </c>
      <c r="F840" s="50" t="str">
        <f aca="false">IFERROR(VLOOKUP($A840,Equipos!$C$2:$M$967,8,FALSE()),"")</f>
        <v>BSM-6301K</v>
      </c>
      <c r="G840" s="50" t="s">
        <v>893</v>
      </c>
      <c r="H840" s="50" t="s">
        <v>360</v>
      </c>
      <c r="I840" s="50"/>
      <c r="J840" s="50" t="s">
        <v>352</v>
      </c>
      <c r="K840" s="50" t="str">
        <f aca="false">IFERROR(VLOOKUP($J840,Catálogos!$M$4:$N$17,2,FALSE()),"")</f>
        <v>Mantención Preventiva Realizada</v>
      </c>
      <c r="L840" s="52" t="n">
        <v>46127</v>
      </c>
      <c r="M840" s="50" t="s">
        <v>353</v>
      </c>
      <c r="N840" s="50" t="s">
        <v>253</v>
      </c>
      <c r="O840" s="50"/>
      <c r="P840" s="50"/>
      <c r="Q840" s="50" t="s">
        <v>362</v>
      </c>
    </row>
    <row r="841" customFormat="false" ht="15" hidden="false" customHeight="true" outlineLevel="0" collapsed="false">
      <c r="A841" s="51" t="s">
        <v>785</v>
      </c>
      <c r="B841" s="50" t="str">
        <f aca="false">IFERROR(VLOOKUP($A841,Equipos!$C$2:$M$967,2,FALSE()),"")</f>
        <v>Monitor Multiparámetros</v>
      </c>
      <c r="C841" s="50" t="str">
        <f aca="false">IFERROR(VLOOKUP($A841,Equipos!$C$2:$M$967,9,FALSE()),"")</f>
        <v>01035.</v>
      </c>
      <c r="D841" s="50" t="str">
        <f aca="false">IFERROR(VLOOKUP($A841,Equipos!$C$2:$M$967,3,FALSE()),"")</f>
        <v>Traumatología</v>
      </c>
      <c r="E841" s="50" t="str">
        <f aca="false">IFERROR(VLOOKUP($A841,Equipos!$C$2:$M$967,7,FALSE()),"")</f>
        <v>Nihon Kohden </v>
      </c>
      <c r="F841" s="50" t="str">
        <f aca="false">IFERROR(VLOOKUP($A841,Equipos!$C$2:$M$967,8,FALSE()),"")</f>
        <v>BSM-6301K</v>
      </c>
      <c r="G841" s="50" t="s">
        <v>893</v>
      </c>
      <c r="H841" s="50" t="s">
        <v>360</v>
      </c>
      <c r="I841" s="50"/>
      <c r="J841" s="50" t="s">
        <v>352</v>
      </c>
      <c r="K841" s="50" t="str">
        <f aca="false">IFERROR(VLOOKUP($J841,Catálogos!$M$4:$N$17,2,FALSE()),"")</f>
        <v>Mantención Preventiva Realizada</v>
      </c>
      <c r="L841" s="52" t="n">
        <v>46127</v>
      </c>
      <c r="M841" s="50" t="s">
        <v>353</v>
      </c>
      <c r="N841" s="50" t="s">
        <v>253</v>
      </c>
      <c r="O841" s="50"/>
      <c r="P841" s="50"/>
      <c r="Q841" s="50" t="s">
        <v>362</v>
      </c>
    </row>
    <row r="842" customFormat="false" ht="15" hidden="false" customHeight="true" outlineLevel="0" collapsed="false">
      <c r="A842" s="51" t="s">
        <v>937</v>
      </c>
      <c r="B842" s="50" t="str">
        <f aca="false">IFERROR(VLOOKUP($A842,Equipos!$C$2:$M$967,2,FALSE()),"")</f>
        <v>Monitor Multiparámetros</v>
      </c>
      <c r="C842" s="50" t="str">
        <f aca="false">IFERROR(VLOOKUP($A842,Equipos!$C$2:$M$967,9,FALSE()),"")</f>
        <v>5494782651</v>
      </c>
      <c r="D842" s="50" t="str">
        <f aca="false">IFERROR(VLOOKUP($A842,Equipos!$C$2:$M$967,3,FALSE()),"")</f>
        <v>Pabellón Quirúrgico</v>
      </c>
      <c r="E842" s="50" t="str">
        <f aca="false">IFERROR(VLOOKUP($A842,Equipos!$C$2:$M$967,7,FALSE()),"")</f>
        <v>Drager </v>
      </c>
      <c r="F842" s="50" t="str">
        <f aca="false">IFERROR(VLOOKUP($A842,Equipos!$C$2:$M$967,8,FALSE()),"")</f>
        <v>Infinity Kappa</v>
      </c>
      <c r="G842" s="50" t="s">
        <v>893</v>
      </c>
      <c r="H842" s="50" t="s">
        <v>360</v>
      </c>
      <c r="I842" s="50"/>
      <c r="J842" s="50" t="s">
        <v>352</v>
      </c>
      <c r="K842" s="50" t="str">
        <f aca="false">IFERROR(VLOOKUP($J842,Catálogos!$M$4:$N$17,2,FALSE()),"")</f>
        <v>Mantención Preventiva Realizada</v>
      </c>
      <c r="L842" s="52" t="n">
        <v>46127</v>
      </c>
      <c r="M842" s="50" t="s">
        <v>353</v>
      </c>
      <c r="N842" s="50" t="s">
        <v>253</v>
      </c>
      <c r="O842" s="50"/>
      <c r="P842" s="50"/>
      <c r="Q842" s="50" t="s">
        <v>362</v>
      </c>
    </row>
    <row r="843" customFormat="false" ht="15" hidden="false" customHeight="true" outlineLevel="0" collapsed="false">
      <c r="A843" s="51" t="s">
        <v>786</v>
      </c>
      <c r="B843" s="50" t="str">
        <f aca="false">IFERROR(VLOOKUP($A843,Equipos!$C$2:$M$967,2,FALSE()),"")</f>
        <v>Monitor Multiparámetros</v>
      </c>
      <c r="C843" s="50" t="str">
        <f aca="false">IFERROR(VLOOKUP($A843,Equipos!$C$2:$M$967,9,FALSE()),"")</f>
        <v>KN-25140948</v>
      </c>
      <c r="D843" s="50" t="str">
        <f aca="false">IFERROR(VLOOKUP($A843,Equipos!$C$2:$M$967,3,FALSE()),"")</f>
        <v>Quimioterapia Ambulatoria Adulto</v>
      </c>
      <c r="E843" s="50" t="str">
        <f aca="false">IFERROR(VLOOKUP($A843,Equipos!$C$2:$M$967,7,FALSE()),"")</f>
        <v>Mindray</v>
      </c>
      <c r="F843" s="50" t="str">
        <f aca="false">IFERROR(VLOOKUP($A843,Equipos!$C$2:$M$967,8,FALSE()),"")</f>
        <v>UMEC10</v>
      </c>
      <c r="G843" s="50" t="s">
        <v>893</v>
      </c>
      <c r="H843" s="50" t="s">
        <v>360</v>
      </c>
      <c r="I843" s="50"/>
      <c r="J843" s="50" t="s">
        <v>352</v>
      </c>
      <c r="K843" s="50" t="str">
        <f aca="false">IFERROR(VLOOKUP($J843,Catálogos!$M$4:$N$17,2,FALSE()),"")</f>
        <v>Mantención Preventiva Realizada</v>
      </c>
      <c r="L843" s="52" t="n">
        <v>46127</v>
      </c>
      <c r="M843" s="50" t="s">
        <v>353</v>
      </c>
      <c r="N843" s="50" t="s">
        <v>253</v>
      </c>
      <c r="O843" s="50"/>
      <c r="P843" s="50"/>
      <c r="Q843" s="50" t="s">
        <v>362</v>
      </c>
    </row>
    <row r="844" customFormat="false" ht="15" hidden="false" customHeight="true" outlineLevel="0" collapsed="false">
      <c r="A844" s="51" t="s">
        <v>938</v>
      </c>
      <c r="B844" s="50" t="str">
        <f aca="false">IFERROR(VLOOKUP($A844,Equipos!$C$2:$M$967,2,FALSE()),"")</f>
        <v>Monitor Multiparámetros</v>
      </c>
      <c r="C844" s="50" t="str">
        <f aca="false">IFERROR(VLOOKUP($A844,Equipos!$C$2:$M$967,9,FALSE()),"")</f>
        <v>VSSUM0044</v>
      </c>
      <c r="D844" s="50" t="str">
        <f aca="false">IFERROR(VLOOKUP($A844,Equipos!$C$2:$M$967,3,FALSE()),"")</f>
        <v>TROI</v>
      </c>
      <c r="E844" s="50" t="str">
        <f aca="false">IFERROR(VLOOKUP($A844,Equipos!$C$2:$M$967,7,FALSE()),"")</f>
        <v>Drager</v>
      </c>
      <c r="F844" s="50" t="str">
        <f aca="false">IFERROR(VLOOKUP($A844,Equipos!$C$2:$M$967,8,FALSE()),"")</f>
        <v>Vista 300</v>
      </c>
      <c r="G844" s="50" t="s">
        <v>893</v>
      </c>
      <c r="H844" s="50" t="s">
        <v>360</v>
      </c>
      <c r="I844" s="50"/>
      <c r="J844" s="50" t="s">
        <v>352</v>
      </c>
      <c r="K844" s="50" t="str">
        <f aca="false">IFERROR(VLOOKUP($J844,Catálogos!$M$4:$N$17,2,FALSE()),"")</f>
        <v>Mantención Preventiva Realizada</v>
      </c>
      <c r="L844" s="52" t="n">
        <v>46127</v>
      </c>
      <c r="M844" s="50" t="s">
        <v>353</v>
      </c>
      <c r="N844" s="50" t="s">
        <v>253</v>
      </c>
      <c r="O844" s="50"/>
      <c r="P844" s="50"/>
      <c r="Q844" s="50" t="s">
        <v>362</v>
      </c>
    </row>
    <row r="845" customFormat="false" ht="15" hidden="false" customHeight="true" outlineLevel="0" collapsed="false">
      <c r="A845" s="51" t="s">
        <v>939</v>
      </c>
      <c r="B845" s="50" t="str">
        <f aca="false">IFERROR(VLOOKUP($A845,Equipos!$C$2:$M$967,2,FALSE()),"")</f>
        <v>Monitor Multiparámetros</v>
      </c>
      <c r="C845" s="50" t="str">
        <f aca="false">IFERROR(VLOOKUP($A845,Equipos!$C$2:$M$967,9,FALSE()),"")</f>
        <v>5493757948</v>
      </c>
      <c r="D845" s="50" t="str">
        <f aca="false">IFERROR(VLOOKUP($A845,Equipos!$C$2:$M$967,3,FALSE()),"")</f>
        <v>Pabellón Quirúrgico</v>
      </c>
      <c r="E845" s="50" t="str">
        <f aca="false">IFERROR(VLOOKUP($A845,Equipos!$C$2:$M$967,7,FALSE()),"")</f>
        <v>Drager </v>
      </c>
      <c r="F845" s="50" t="str">
        <f aca="false">IFERROR(VLOOKUP($A845,Equipos!$C$2:$M$967,8,FALSE()),"")</f>
        <v>Infinity Kappa</v>
      </c>
      <c r="G845" s="50" t="s">
        <v>893</v>
      </c>
      <c r="H845" s="50" t="s">
        <v>360</v>
      </c>
      <c r="I845" s="50"/>
      <c r="J845" s="50" t="s">
        <v>352</v>
      </c>
      <c r="K845" s="50" t="str">
        <f aca="false">IFERROR(VLOOKUP($J845,Catálogos!$M$4:$N$17,2,FALSE()),"")</f>
        <v>Mantención Preventiva Realizada</v>
      </c>
      <c r="L845" s="52" t="n">
        <v>46127</v>
      </c>
      <c r="M845" s="50" t="s">
        <v>353</v>
      </c>
      <c r="N845" s="50" t="s">
        <v>253</v>
      </c>
      <c r="O845" s="50"/>
      <c r="P845" s="50"/>
      <c r="Q845" s="50" t="s">
        <v>362</v>
      </c>
    </row>
    <row r="846" customFormat="false" ht="15" hidden="false" customHeight="true" outlineLevel="0" collapsed="false">
      <c r="A846" s="51" t="s">
        <v>940</v>
      </c>
      <c r="B846" s="50" t="str">
        <f aca="false">IFERROR(VLOOKUP($A846,Equipos!$C$2:$M$967,2,FALSE()),"")</f>
        <v>Monitor Multiparámetros</v>
      </c>
      <c r="C846" s="50" t="str">
        <f aca="false">IFERROR(VLOOKUP($A846,Equipos!$C$2:$M$967,9,FALSE()),"")</f>
        <v>5494287054</v>
      </c>
      <c r="D846" s="50" t="str">
        <f aca="false">IFERROR(VLOOKUP($A846,Equipos!$C$2:$M$967,3,FALSE()),"")</f>
        <v>Imagenología (Prestado a Pabellón Quirúrgico)</v>
      </c>
      <c r="E846" s="50" t="str">
        <f aca="false">IFERROR(VLOOKUP($A846,Equipos!$C$2:$M$967,7,FALSE()),"")</f>
        <v>Drager </v>
      </c>
      <c r="F846" s="50" t="str">
        <f aca="false">IFERROR(VLOOKUP($A846,Equipos!$C$2:$M$967,8,FALSE()),"")</f>
        <v>Infinity Kappa</v>
      </c>
      <c r="G846" s="50" t="s">
        <v>893</v>
      </c>
      <c r="H846" s="50" t="s">
        <v>360</v>
      </c>
      <c r="I846" s="50"/>
      <c r="J846" s="50" t="s">
        <v>352</v>
      </c>
      <c r="K846" s="50" t="str">
        <f aca="false">IFERROR(VLOOKUP($J846,Catálogos!$M$4:$N$17,2,FALSE()),"")</f>
        <v>Mantención Preventiva Realizada</v>
      </c>
      <c r="L846" s="52" t="n">
        <v>46127</v>
      </c>
      <c r="M846" s="50" t="s">
        <v>353</v>
      </c>
      <c r="N846" s="50" t="s">
        <v>253</v>
      </c>
      <c r="O846" s="50"/>
      <c r="P846" s="50"/>
      <c r="Q846" s="50" t="s">
        <v>362</v>
      </c>
    </row>
    <row r="847" customFormat="false" ht="15" hidden="false" customHeight="true" outlineLevel="0" collapsed="false">
      <c r="A847" s="51" t="s">
        <v>941</v>
      </c>
      <c r="B847" s="50" t="str">
        <f aca="false">IFERROR(VLOOKUP($A847,Equipos!$C$2:$M$967,2,FALSE()),"")</f>
        <v>Monitor Multiparámetros</v>
      </c>
      <c r="C847" s="50" t="str">
        <f aca="false">IFERROR(VLOOKUP($A847,Equipos!$C$2:$M$967,9,FALSE()),"")</f>
        <v>5493642252</v>
      </c>
      <c r="D847" s="50" t="str">
        <f aca="false">IFERROR(VLOOKUP($A847,Equipos!$C$2:$M$967,3,FALSE()),"")</f>
        <v>Pabellón Quirúrgico</v>
      </c>
      <c r="E847" s="50" t="str">
        <f aca="false">IFERROR(VLOOKUP($A847,Equipos!$C$2:$M$967,7,FALSE()),"")</f>
        <v>Drager </v>
      </c>
      <c r="F847" s="50" t="str">
        <f aca="false">IFERROR(VLOOKUP($A847,Equipos!$C$2:$M$967,8,FALSE()),"")</f>
        <v>Infinity Kappa</v>
      </c>
      <c r="G847" s="50" t="s">
        <v>893</v>
      </c>
      <c r="H847" s="50" t="s">
        <v>360</v>
      </c>
      <c r="I847" s="50"/>
      <c r="J847" s="50" t="s">
        <v>352</v>
      </c>
      <c r="K847" s="50" t="str">
        <f aca="false">IFERROR(VLOOKUP($J847,Catálogos!$M$4:$N$17,2,FALSE()),"")</f>
        <v>Mantención Preventiva Realizada</v>
      </c>
      <c r="L847" s="52" t="n">
        <v>46127</v>
      </c>
      <c r="M847" s="50" t="s">
        <v>353</v>
      </c>
      <c r="N847" s="50" t="s">
        <v>253</v>
      </c>
      <c r="O847" s="50"/>
      <c r="P847" s="50"/>
      <c r="Q847" s="50" t="s">
        <v>362</v>
      </c>
    </row>
    <row r="848" customFormat="false" ht="15" hidden="false" customHeight="true" outlineLevel="0" collapsed="false">
      <c r="A848" s="51" t="s">
        <v>942</v>
      </c>
      <c r="B848" s="50" t="str">
        <f aca="false">IFERROR(VLOOKUP($A848,Equipos!$C$2:$M$967,2,FALSE()),"")</f>
        <v>Monitor Multiparámetros</v>
      </c>
      <c r="C848" s="50" t="str">
        <f aca="false">IFERROR(VLOOKUP($A848,Equipos!$C$2:$M$967,9,FALSE()),"")</f>
        <v>5493645944</v>
      </c>
      <c r="D848" s="50" t="str">
        <f aca="false">IFERROR(VLOOKUP($A848,Equipos!$C$2:$M$967,3,FALSE()),"")</f>
        <v>Pabellón Quirúrgico</v>
      </c>
      <c r="E848" s="50" t="str">
        <f aca="false">IFERROR(VLOOKUP($A848,Equipos!$C$2:$M$967,7,FALSE()),"")</f>
        <v>Drager </v>
      </c>
      <c r="F848" s="50" t="str">
        <f aca="false">IFERROR(VLOOKUP($A848,Equipos!$C$2:$M$967,8,FALSE()),"")</f>
        <v>Infinity Kappa</v>
      </c>
      <c r="G848" s="50" t="s">
        <v>893</v>
      </c>
      <c r="H848" s="50" t="s">
        <v>360</v>
      </c>
      <c r="I848" s="50"/>
      <c r="J848" s="50" t="s">
        <v>352</v>
      </c>
      <c r="K848" s="50" t="str">
        <f aca="false">IFERROR(VLOOKUP($J848,Catálogos!$M$4:$N$17,2,FALSE()),"")</f>
        <v>Mantención Preventiva Realizada</v>
      </c>
      <c r="L848" s="52" t="n">
        <v>46127</v>
      </c>
      <c r="M848" s="50" t="s">
        <v>353</v>
      </c>
      <c r="N848" s="50" t="s">
        <v>253</v>
      </c>
      <c r="O848" s="50"/>
      <c r="P848" s="50"/>
      <c r="Q848" s="50" t="s">
        <v>362</v>
      </c>
    </row>
    <row r="849" customFormat="false" ht="15" hidden="false" customHeight="true" outlineLevel="0" collapsed="false">
      <c r="A849" s="51" t="s">
        <v>943</v>
      </c>
      <c r="B849" s="50" t="str">
        <f aca="false">IFERROR(VLOOKUP($A849,Equipos!$C$2:$M$967,2,FALSE()),"")</f>
        <v>Monitor Multiparámetros</v>
      </c>
      <c r="C849" s="50" t="str">
        <f aca="false">IFERROR(VLOOKUP($A849,Equipos!$C$2:$M$967,9,FALSE()),"")</f>
        <v>5494537845</v>
      </c>
      <c r="D849" s="50" t="str">
        <f aca="false">IFERROR(VLOOKUP($A849,Equipos!$C$2:$M$967,3,FALSE()),"")</f>
        <v>Pabellón Quirúrgico</v>
      </c>
      <c r="E849" s="50" t="str">
        <f aca="false">IFERROR(VLOOKUP($A849,Equipos!$C$2:$M$967,7,FALSE()),"")</f>
        <v>Drager </v>
      </c>
      <c r="F849" s="50" t="str">
        <f aca="false">IFERROR(VLOOKUP($A849,Equipos!$C$2:$M$967,8,FALSE()),"")</f>
        <v>Infinity Kappa</v>
      </c>
      <c r="G849" s="50" t="s">
        <v>893</v>
      </c>
      <c r="H849" s="50" t="s">
        <v>360</v>
      </c>
      <c r="I849" s="50"/>
      <c r="J849" s="50" t="s">
        <v>352</v>
      </c>
      <c r="K849" s="50" t="str">
        <f aca="false">IFERROR(VLOOKUP($J849,Catálogos!$M$4:$N$17,2,FALSE()),"")</f>
        <v>Mantención Preventiva Realizada</v>
      </c>
      <c r="L849" s="52" t="n">
        <v>46127</v>
      </c>
      <c r="M849" s="50" t="s">
        <v>353</v>
      </c>
      <c r="N849" s="50" t="s">
        <v>253</v>
      </c>
      <c r="O849" s="50"/>
      <c r="P849" s="50"/>
      <c r="Q849" s="50" t="s">
        <v>362</v>
      </c>
    </row>
    <row r="850" customFormat="false" ht="15" hidden="false" customHeight="true" outlineLevel="0" collapsed="false">
      <c r="A850" s="51" t="s">
        <v>944</v>
      </c>
      <c r="B850" s="50" t="str">
        <f aca="false">IFERROR(VLOOKUP($A850,Equipos!$C$2:$M$967,2,FALSE()),"")</f>
        <v>Monitor Multiparámetros</v>
      </c>
      <c r="C850" s="50" t="str">
        <f aca="false">IFERROR(VLOOKUP($A850,Equipos!$C$2:$M$967,9,FALSE()),"")</f>
        <v>5494757898</v>
      </c>
      <c r="D850" s="50" t="str">
        <f aca="false">IFERROR(VLOOKUP($A850,Equipos!$C$2:$M$967,3,FALSE()),"")</f>
        <v>Pabellón Quirúrgico (Prestado a Imagenología)</v>
      </c>
      <c r="E850" s="50" t="str">
        <f aca="false">IFERROR(VLOOKUP($A850,Equipos!$C$2:$M$967,7,FALSE()),"")</f>
        <v>Drager </v>
      </c>
      <c r="F850" s="50" t="str">
        <f aca="false">IFERROR(VLOOKUP($A850,Equipos!$C$2:$M$967,8,FALSE()),"")</f>
        <v>Infinity Kappa</v>
      </c>
      <c r="G850" s="50" t="s">
        <v>893</v>
      </c>
      <c r="H850" s="50" t="s">
        <v>360</v>
      </c>
      <c r="I850" s="50"/>
      <c r="J850" s="50" t="s">
        <v>352</v>
      </c>
      <c r="K850" s="50" t="str">
        <f aca="false">IFERROR(VLOOKUP($J850,Catálogos!$M$4:$N$17,2,FALSE()),"")</f>
        <v>Mantención Preventiva Realizada</v>
      </c>
      <c r="L850" s="52" t="n">
        <v>46127</v>
      </c>
      <c r="M850" s="50" t="s">
        <v>353</v>
      </c>
      <c r="N850" s="50" t="s">
        <v>253</v>
      </c>
      <c r="O850" s="50"/>
      <c r="P850" s="50"/>
      <c r="Q850" s="50" t="s">
        <v>362</v>
      </c>
    </row>
    <row r="851" customFormat="false" ht="15" hidden="false" customHeight="true" outlineLevel="0" collapsed="false">
      <c r="A851" s="51" t="s">
        <v>787</v>
      </c>
      <c r="B851" s="50" t="str">
        <f aca="false">IFERROR(VLOOKUP($A851,Equipos!$C$2:$M$967,2,FALSE()),"")</f>
        <v>Monitor Multiparámetros</v>
      </c>
      <c r="C851" s="50" t="str">
        <f aca="false">IFERROR(VLOOKUP($A851,Equipos!$C$2:$M$967,9,FALSE()),"")</f>
        <v>S2SRF0975</v>
      </c>
      <c r="D851" s="50" t="str">
        <f aca="false">IFERROR(VLOOKUP($A851,Equipos!$C$2:$M$967,3,FALSE()),"")</f>
        <v>Hemato Oncología Adulto</v>
      </c>
      <c r="E851" s="50" t="str">
        <f aca="false">IFERROR(VLOOKUP($A851,Equipos!$C$2:$M$967,7,FALSE()),"")</f>
        <v>Drager</v>
      </c>
      <c r="F851" s="50" t="str">
        <f aca="false">IFERROR(VLOOKUP($A851,Equipos!$C$2:$M$967,8,FALSE()),"")</f>
        <v>Vista 120 S</v>
      </c>
      <c r="G851" s="50" t="s">
        <v>893</v>
      </c>
      <c r="H851" s="50" t="s">
        <v>360</v>
      </c>
      <c r="I851" s="50"/>
      <c r="J851" s="50" t="s">
        <v>331</v>
      </c>
      <c r="K851" s="50" t="str">
        <f aca="false">IFERROR(VLOOKUP($J851,Catálogos!$M$4:$N$17,2,FALSE()),"")</f>
        <v>Reprogramada · Equipo no operativo, a la espera de repuestos o accesorios</v>
      </c>
      <c r="L851" s="52" t="n">
        <v>46127</v>
      </c>
      <c r="M851" s="50" t="s">
        <v>355</v>
      </c>
      <c r="N851" s="50" t="s">
        <v>253</v>
      </c>
      <c r="O851" s="50"/>
      <c r="P851" s="50"/>
      <c r="Q851" s="50" t="s">
        <v>362</v>
      </c>
    </row>
    <row r="852" customFormat="false" ht="15" hidden="false" customHeight="true" outlineLevel="0" collapsed="false">
      <c r="A852" s="51" t="s">
        <v>788</v>
      </c>
      <c r="B852" s="50" t="str">
        <f aca="false">IFERROR(VLOOKUP($A852,Equipos!$C$2:$M$967,2,FALSE()),"")</f>
        <v>Monitor Multiparámetros</v>
      </c>
      <c r="C852" s="50" t="str">
        <f aca="false">IFERROR(VLOOKUP($A852,Equipos!$C$2:$M$967,9,FALSE()),"")</f>
        <v>S2SRF0978</v>
      </c>
      <c r="D852" s="50" t="str">
        <f aca="false">IFERROR(VLOOKUP($A852,Equipos!$C$2:$M$967,3,FALSE()),"")</f>
        <v>Hemato Oncología Adulto</v>
      </c>
      <c r="E852" s="50" t="str">
        <f aca="false">IFERROR(VLOOKUP($A852,Equipos!$C$2:$M$967,7,FALSE()),"")</f>
        <v>Drager</v>
      </c>
      <c r="F852" s="50" t="str">
        <f aca="false">IFERROR(VLOOKUP($A852,Equipos!$C$2:$M$967,8,FALSE()),"")</f>
        <v>Vista 120 S</v>
      </c>
      <c r="G852" s="50" t="s">
        <v>893</v>
      </c>
      <c r="H852" s="50" t="s">
        <v>360</v>
      </c>
      <c r="I852" s="50"/>
      <c r="J852" s="50" t="s">
        <v>331</v>
      </c>
      <c r="K852" s="50" t="str">
        <f aca="false">IFERROR(VLOOKUP($J852,Catálogos!$M$4:$N$17,2,FALSE()),"")</f>
        <v>Reprogramada · Equipo no operativo, a la espera de repuestos o accesorios</v>
      </c>
      <c r="L852" s="52" t="n">
        <v>46127</v>
      </c>
      <c r="M852" s="50" t="s">
        <v>355</v>
      </c>
      <c r="N852" s="50" t="s">
        <v>253</v>
      </c>
      <c r="O852" s="50"/>
      <c r="P852" s="50"/>
      <c r="Q852" s="50" t="s">
        <v>362</v>
      </c>
    </row>
    <row r="853" customFormat="false" ht="15" hidden="false" customHeight="true" outlineLevel="0" collapsed="false">
      <c r="A853" s="51" t="s">
        <v>789</v>
      </c>
      <c r="B853" s="50" t="str">
        <f aca="false">IFERROR(VLOOKUP($A853,Equipos!$C$2:$M$967,2,FALSE()),"")</f>
        <v>Monitor Multiparámetros</v>
      </c>
      <c r="C853" s="50" t="str">
        <f aca="false">IFERROR(VLOOKUP($A853,Equipos!$C$2:$M$967,9,FALSE()),"")</f>
        <v>S2SRF0969</v>
      </c>
      <c r="D853" s="50" t="str">
        <f aca="false">IFERROR(VLOOKUP($A853,Equipos!$C$2:$M$967,3,FALSE()),"")</f>
        <v>Hemato Oncología Adulto</v>
      </c>
      <c r="E853" s="50" t="str">
        <f aca="false">IFERROR(VLOOKUP($A853,Equipos!$C$2:$M$967,7,FALSE()),"")</f>
        <v>Drager</v>
      </c>
      <c r="F853" s="50" t="str">
        <f aca="false">IFERROR(VLOOKUP($A853,Equipos!$C$2:$M$967,8,FALSE()),"")</f>
        <v>Vista 120 S</v>
      </c>
      <c r="G853" s="50" t="s">
        <v>893</v>
      </c>
      <c r="H853" s="50" t="s">
        <v>360</v>
      </c>
      <c r="I853" s="50"/>
      <c r="J853" s="50" t="s">
        <v>352</v>
      </c>
      <c r="K853" s="50" t="str">
        <f aca="false">IFERROR(VLOOKUP($J853,Catálogos!$M$4:$N$17,2,FALSE()),"")</f>
        <v>Mantención Preventiva Realizada</v>
      </c>
      <c r="L853" s="52" t="n">
        <v>46127</v>
      </c>
      <c r="M853" s="50" t="s">
        <v>353</v>
      </c>
      <c r="N853" s="50" t="s">
        <v>253</v>
      </c>
      <c r="O853" s="50"/>
      <c r="P853" s="50"/>
      <c r="Q853" s="50" t="s">
        <v>362</v>
      </c>
    </row>
    <row r="854" customFormat="false" ht="15" hidden="false" customHeight="true" outlineLevel="0" collapsed="false">
      <c r="A854" s="51" t="s">
        <v>945</v>
      </c>
      <c r="B854" s="50" t="str">
        <f aca="false">IFERROR(VLOOKUP($A854,Equipos!$C$2:$M$967,2,FALSE()),"")</f>
        <v>Monitor Multiparámetros</v>
      </c>
      <c r="C854" s="50" t="str">
        <f aca="false">IFERROR(VLOOKUP($A854,Equipos!$C$2:$M$967,9,FALSE()),"")</f>
        <v>5613541864</v>
      </c>
      <c r="D854" s="50" t="str">
        <f aca="false">IFERROR(VLOOKUP($A854,Equipos!$C$2:$M$967,3,FALSE()),"")</f>
        <v>Pabellón Quirúrgico</v>
      </c>
      <c r="E854" s="50" t="str">
        <f aca="false">IFERROR(VLOOKUP($A854,Equipos!$C$2:$M$967,7,FALSE()),"")</f>
        <v>Drager</v>
      </c>
      <c r="F854" s="50" t="str">
        <f aca="false">IFERROR(VLOOKUP($A854,Equipos!$C$2:$M$967,8,FALSE()),"")</f>
        <v>M540</v>
      </c>
      <c r="G854" s="50" t="s">
        <v>893</v>
      </c>
      <c r="H854" s="50" t="s">
        <v>360</v>
      </c>
      <c r="I854" s="50"/>
      <c r="J854" s="50" t="s">
        <v>352</v>
      </c>
      <c r="K854" s="50" t="str">
        <f aca="false">IFERROR(VLOOKUP($J854,Catálogos!$M$4:$N$17,2,FALSE()),"")</f>
        <v>Mantención Preventiva Realizada</v>
      </c>
      <c r="L854" s="52" t="n">
        <v>46127</v>
      </c>
      <c r="M854" s="50" t="s">
        <v>353</v>
      </c>
      <c r="N854" s="50" t="s">
        <v>253</v>
      </c>
      <c r="O854" s="50"/>
      <c r="P854" s="50"/>
      <c r="Q854" s="50" t="s">
        <v>362</v>
      </c>
    </row>
    <row r="855" customFormat="false" ht="15" hidden="false" customHeight="true" outlineLevel="0" collapsed="false">
      <c r="A855" s="51" t="s">
        <v>946</v>
      </c>
      <c r="B855" s="50" t="str">
        <f aca="false">IFERROR(VLOOKUP($A855,Equipos!$C$2:$M$967,2,FALSE()),"")</f>
        <v>Monitor Multiparámetros</v>
      </c>
      <c r="C855" s="50" t="str">
        <f aca="false">IFERROR(VLOOKUP($A855,Equipos!$C$2:$M$967,9,FALSE()),"")</f>
        <v>VSSUM0041</v>
      </c>
      <c r="D855" s="50" t="str">
        <f aca="false">IFERROR(VLOOKUP($A855,Equipos!$C$2:$M$967,3,FALSE()),"")</f>
        <v>TROI</v>
      </c>
      <c r="E855" s="50" t="str">
        <f aca="false">IFERROR(VLOOKUP($A855,Equipos!$C$2:$M$967,7,FALSE()),"")</f>
        <v>Drager</v>
      </c>
      <c r="F855" s="50" t="str">
        <f aca="false">IFERROR(VLOOKUP($A855,Equipos!$C$2:$M$967,8,FALSE()),"")</f>
        <v>Vista 300</v>
      </c>
      <c r="G855" s="50" t="s">
        <v>893</v>
      </c>
      <c r="H855" s="50" t="s">
        <v>360</v>
      </c>
      <c r="I855" s="50"/>
      <c r="J855" s="50" t="s">
        <v>352</v>
      </c>
      <c r="K855" s="50" t="str">
        <f aca="false">IFERROR(VLOOKUP($J855,Catálogos!$M$4:$N$17,2,FALSE()),"")</f>
        <v>Mantención Preventiva Realizada</v>
      </c>
      <c r="L855" s="52" t="n">
        <v>46127</v>
      </c>
      <c r="M855" s="50" t="s">
        <v>353</v>
      </c>
      <c r="N855" s="50" t="s">
        <v>253</v>
      </c>
      <c r="O855" s="50"/>
      <c r="P855" s="50"/>
      <c r="Q855" s="50" t="s">
        <v>362</v>
      </c>
    </row>
    <row r="856" customFormat="false" ht="15" hidden="false" customHeight="true" outlineLevel="0" collapsed="false">
      <c r="A856" s="51" t="s">
        <v>947</v>
      </c>
      <c r="B856" s="50" t="str">
        <f aca="false">IFERROR(VLOOKUP($A856,Equipos!$C$2:$M$967,2,FALSE()),"")</f>
        <v>Monitor Multiparámetros</v>
      </c>
      <c r="C856" s="50" t="str">
        <f aca="false">IFERROR(VLOOKUP($A856,Equipos!$C$2:$M$967,9,FALSE()),"")</f>
        <v>VSSUC0199</v>
      </c>
      <c r="D856" s="50" t="str">
        <f aca="false">IFERROR(VLOOKUP($A856,Equipos!$C$2:$M$967,3,FALSE()),"")</f>
        <v>TROI</v>
      </c>
      <c r="E856" s="50" t="str">
        <f aca="false">IFERROR(VLOOKUP($A856,Equipos!$C$2:$M$967,7,FALSE()),"")</f>
        <v>Drager</v>
      </c>
      <c r="F856" s="50" t="str">
        <f aca="false">IFERROR(VLOOKUP($A856,Equipos!$C$2:$M$967,8,FALSE()),"")</f>
        <v>Vista 300</v>
      </c>
      <c r="G856" s="50" t="s">
        <v>893</v>
      </c>
      <c r="H856" s="50" t="s">
        <v>360</v>
      </c>
      <c r="I856" s="50"/>
      <c r="J856" s="50" t="s">
        <v>352</v>
      </c>
      <c r="K856" s="50" t="str">
        <f aca="false">IFERROR(VLOOKUP($J856,Catálogos!$M$4:$N$17,2,FALSE()),"")</f>
        <v>Mantención Preventiva Realizada</v>
      </c>
      <c r="L856" s="52" t="n">
        <v>46127</v>
      </c>
      <c r="M856" s="50" t="s">
        <v>353</v>
      </c>
      <c r="N856" s="50" t="s">
        <v>253</v>
      </c>
      <c r="O856" s="50"/>
      <c r="P856" s="50"/>
      <c r="Q856" s="50" t="s">
        <v>362</v>
      </c>
    </row>
    <row r="857" customFormat="false" ht="15" hidden="false" customHeight="true" outlineLevel="0" collapsed="false">
      <c r="A857" s="51" t="s">
        <v>948</v>
      </c>
      <c r="B857" s="50" t="str">
        <f aca="false">IFERROR(VLOOKUP($A857,Equipos!$C$2:$M$967,2,FALSE()),"")</f>
        <v>Monitor Multiparámetros</v>
      </c>
      <c r="C857" s="50" t="str">
        <f aca="false">IFERROR(VLOOKUP($A857,Equipos!$C$2:$M$967,9,FALSE()),"")</f>
        <v>5613541766</v>
      </c>
      <c r="D857" s="50" t="str">
        <f aca="false">IFERROR(VLOOKUP($A857,Equipos!$C$2:$M$967,3,FALSE()),"")</f>
        <v>Pabellón Quirúrgico</v>
      </c>
      <c r="E857" s="50" t="str">
        <f aca="false">IFERROR(VLOOKUP($A857,Equipos!$C$2:$M$967,7,FALSE()),"")</f>
        <v>Drager</v>
      </c>
      <c r="F857" s="50" t="str">
        <f aca="false">IFERROR(VLOOKUP($A857,Equipos!$C$2:$M$967,8,FALSE()),"")</f>
        <v>M540</v>
      </c>
      <c r="G857" s="50" t="s">
        <v>893</v>
      </c>
      <c r="H857" s="50" t="s">
        <v>360</v>
      </c>
      <c r="I857" s="50"/>
      <c r="J857" s="50" t="s">
        <v>352</v>
      </c>
      <c r="K857" s="50" t="str">
        <f aca="false">IFERROR(VLOOKUP($J857,Catálogos!$M$4:$N$17,2,FALSE()),"")</f>
        <v>Mantención Preventiva Realizada</v>
      </c>
      <c r="L857" s="52" t="n">
        <v>46127</v>
      </c>
      <c r="M857" s="50" t="s">
        <v>353</v>
      </c>
      <c r="N857" s="50" t="s">
        <v>253</v>
      </c>
      <c r="O857" s="50"/>
      <c r="P857" s="50"/>
      <c r="Q857" s="50" t="s">
        <v>362</v>
      </c>
    </row>
    <row r="858" customFormat="false" ht="15" hidden="false" customHeight="true" outlineLevel="0" collapsed="false">
      <c r="A858" s="51" t="s">
        <v>264</v>
      </c>
      <c r="B858" s="50" t="str">
        <f aca="false">IFERROR(VLOOKUP($A858,Equipos!$C$2:$M$967,2,FALSE()),"")</f>
        <v>Monitor Multiparámetros</v>
      </c>
      <c r="C858" s="50" t="str">
        <f aca="false">IFERROR(VLOOKUP($A858,Equipos!$C$2:$M$967,9,FALSE()),"")</f>
        <v>5613543568</v>
      </c>
      <c r="D858" s="50" t="str">
        <f aca="false">IFERROR(VLOOKUP($A858,Equipos!$C$2:$M$967,3,FALSE()),"")</f>
        <v>Pabellón Quirúrgico</v>
      </c>
      <c r="E858" s="50" t="str">
        <f aca="false">IFERROR(VLOOKUP($A858,Equipos!$C$2:$M$967,7,FALSE()),"")</f>
        <v>Drager</v>
      </c>
      <c r="F858" s="50" t="str">
        <f aca="false">IFERROR(VLOOKUP($A858,Equipos!$C$2:$M$967,8,FALSE()),"")</f>
        <v>M540</v>
      </c>
      <c r="G858" s="50" t="s">
        <v>893</v>
      </c>
      <c r="H858" s="50" t="s">
        <v>360</v>
      </c>
      <c r="I858" s="50"/>
      <c r="J858" s="50" t="s">
        <v>352</v>
      </c>
      <c r="K858" s="50" t="str">
        <f aca="false">IFERROR(VLOOKUP($J858,Catálogos!$M$4:$N$17,2,FALSE()),"")</f>
        <v>Mantención Preventiva Realizada</v>
      </c>
      <c r="L858" s="52" t="n">
        <v>46127</v>
      </c>
      <c r="M858" s="50" t="s">
        <v>353</v>
      </c>
      <c r="N858" s="50" t="s">
        <v>253</v>
      </c>
      <c r="O858" s="50"/>
      <c r="P858" s="50"/>
      <c r="Q858" s="50" t="s">
        <v>362</v>
      </c>
    </row>
    <row r="859" customFormat="false" ht="15" hidden="false" customHeight="true" outlineLevel="0" collapsed="false">
      <c r="A859" s="51" t="s">
        <v>949</v>
      </c>
      <c r="B859" s="50" t="str">
        <f aca="false">IFERROR(VLOOKUP($A859,Equipos!$C$2:$M$967,2,FALSE()),"")</f>
        <v>Monitor Multiparámetros</v>
      </c>
      <c r="C859" s="50" t="str">
        <f aca="false">IFERROR(VLOOKUP($A859,Equipos!$C$2:$M$967,9,FALSE()),"")</f>
        <v>96000115</v>
      </c>
      <c r="D859" s="50" t="str">
        <f aca="false">IFERROR(VLOOKUP($A859,Equipos!$C$2:$M$967,3,FALSE()),"")</f>
        <v>Pabellón Quirúrgico</v>
      </c>
      <c r="E859" s="50" t="str">
        <f aca="false">IFERROR(VLOOKUP($A859,Equipos!$C$2:$M$967,7,FALSE()),"")</f>
        <v>Mindray</v>
      </c>
      <c r="F859" s="50" t="str">
        <f aca="false">IFERROR(VLOOKUP($A859,Equipos!$C$2:$M$967,8,FALSE()),"")</f>
        <v>EPM 10</v>
      </c>
      <c r="G859" s="50" t="s">
        <v>893</v>
      </c>
      <c r="H859" s="50" t="s">
        <v>360</v>
      </c>
      <c r="I859" s="50"/>
      <c r="J859" s="50" t="s">
        <v>352</v>
      </c>
      <c r="K859" s="50" t="str">
        <f aca="false">IFERROR(VLOOKUP($J859,Catálogos!$M$4:$N$17,2,FALSE()),"")</f>
        <v>Mantención Preventiva Realizada</v>
      </c>
      <c r="L859" s="52" t="n">
        <v>46127</v>
      </c>
      <c r="M859" s="50" t="s">
        <v>353</v>
      </c>
      <c r="N859" s="50" t="s">
        <v>253</v>
      </c>
      <c r="O859" s="50"/>
      <c r="P859" s="50"/>
      <c r="Q859" s="50" t="s">
        <v>362</v>
      </c>
    </row>
    <row r="860" customFormat="false" ht="15" hidden="false" customHeight="true" outlineLevel="0" collapsed="false">
      <c r="A860" s="51" t="s">
        <v>950</v>
      </c>
      <c r="B860" s="50" t="str">
        <f aca="false">IFERROR(VLOOKUP($A860,Equipos!$C$2:$M$967,2,FALSE()),"")</f>
        <v>Monitor Multiparámetros</v>
      </c>
      <c r="C860" s="50" t="str">
        <f aca="false">IFERROR(VLOOKUP($A860,Equipos!$C$2:$M$967,9,FALSE()),"")</f>
        <v>5494264854</v>
      </c>
      <c r="D860" s="50" t="str">
        <f aca="false">IFERROR(VLOOKUP($A860,Equipos!$C$2:$M$967,3,FALSE()),"")</f>
        <v>UPC Adulto</v>
      </c>
      <c r="E860" s="50" t="str">
        <f aca="false">IFERROR(VLOOKUP($A860,Equipos!$C$2:$M$967,7,FALSE()),"")</f>
        <v>Drager </v>
      </c>
      <c r="F860" s="50" t="str">
        <f aca="false">IFERROR(VLOOKUP($A860,Equipos!$C$2:$M$967,8,FALSE()),"")</f>
        <v>Infinity Kappa </v>
      </c>
      <c r="G860" s="50" t="s">
        <v>893</v>
      </c>
      <c r="H860" s="50" t="s">
        <v>360</v>
      </c>
      <c r="I860" s="50"/>
      <c r="J860" s="50" t="s">
        <v>352</v>
      </c>
      <c r="K860" s="50" t="str">
        <f aca="false">IFERROR(VLOOKUP($J860,Catálogos!$M$4:$N$17,2,FALSE()),"")</f>
        <v>Mantención Preventiva Realizada</v>
      </c>
      <c r="L860" s="52" t="n">
        <v>46127</v>
      </c>
      <c r="M860" s="50" t="s">
        <v>353</v>
      </c>
      <c r="N860" s="50" t="s">
        <v>253</v>
      </c>
      <c r="O860" s="50"/>
      <c r="P860" s="50"/>
      <c r="Q860" s="50" t="s">
        <v>362</v>
      </c>
    </row>
    <row r="861" customFormat="false" ht="15" hidden="false" customHeight="true" outlineLevel="0" collapsed="false">
      <c r="A861" s="51" t="s">
        <v>804</v>
      </c>
      <c r="B861" s="50" t="str">
        <f aca="false">IFERROR(VLOOKUP($A861,Equipos!$C$2:$M$967,2,FALSE()),"")</f>
        <v>Ventilador Mecánico </v>
      </c>
      <c r="C861" s="50" t="str">
        <f aca="false">IFERROR(VLOOKUP($A861,Equipos!$C$2:$M$967,9,FALSE()),"")</f>
        <v>H27247766FFE4</v>
      </c>
      <c r="D861" s="50" t="str">
        <f aca="false">IFERROR(VLOOKUP($A861,Equipos!$C$2:$M$967,3,FALSE()),"")</f>
        <v>Hospitalización Domiciliaria</v>
      </c>
      <c r="E861" s="50" t="str">
        <f aca="false">IFERROR(VLOOKUP($A861,Equipos!$C$2:$M$967,7,FALSE()),"")</f>
        <v>Philips</v>
      </c>
      <c r="F861" s="50" t="str">
        <f aca="false">IFERROR(VLOOKUP($A861,Equipos!$C$2:$M$967,8,FALSE()),"")</f>
        <v>Trilogy EVO</v>
      </c>
      <c r="G861" s="50" t="s">
        <v>893</v>
      </c>
      <c r="H861" s="50" t="s">
        <v>360</v>
      </c>
      <c r="I861" s="50"/>
      <c r="J861" s="50" t="s">
        <v>352</v>
      </c>
      <c r="K861" s="50" t="str">
        <f aca="false">IFERROR(VLOOKUP($J861,Catálogos!$M$4:$N$17,2,FALSE()),"")</f>
        <v>Mantención Preventiva Realizada</v>
      </c>
      <c r="L861" s="52" t="n">
        <v>46127</v>
      </c>
      <c r="M861" s="50" t="s">
        <v>353</v>
      </c>
      <c r="N861" s="50" t="s">
        <v>253</v>
      </c>
      <c r="O861" s="50"/>
      <c r="P861" s="50"/>
      <c r="Q861" s="50" t="s">
        <v>362</v>
      </c>
    </row>
    <row r="862" customFormat="false" ht="15" hidden="false" customHeight="true" outlineLevel="0" collapsed="false">
      <c r="A862" s="51" t="s">
        <v>806</v>
      </c>
      <c r="B862" s="50" t="str">
        <f aca="false">IFERROR(VLOOKUP($A862,Equipos!$C$2:$M$967,2,FALSE()),"")</f>
        <v>Ventilador Mecánico </v>
      </c>
      <c r="C862" s="50" t="str">
        <f aca="false">IFERROR(VLOOKUP($A862,Equipos!$C$2:$M$967,9,FALSE()),"")</f>
        <v>TV01802190C</v>
      </c>
      <c r="D862" s="50" t="str">
        <f aca="false">IFERROR(VLOOKUP($A862,Equipos!$C$2:$M$967,3,FALSE()),"")</f>
        <v>UPC Pediátrica</v>
      </c>
      <c r="E862" s="50" t="str">
        <f aca="false">IFERROR(VLOOKUP($A862,Equipos!$C$2:$M$967,7,FALSE()),"")</f>
        <v>Philips</v>
      </c>
      <c r="F862" s="50" t="str">
        <f aca="false">IFERROR(VLOOKUP($A862,Equipos!$C$2:$M$967,8,FALSE()),"")</f>
        <v>Trilogy 202</v>
      </c>
      <c r="G862" s="50" t="s">
        <v>893</v>
      </c>
      <c r="H862" s="50" t="s">
        <v>360</v>
      </c>
      <c r="I862" s="50"/>
      <c r="J862" s="50" t="s">
        <v>352</v>
      </c>
      <c r="K862" s="50" t="str">
        <f aca="false">IFERROR(VLOOKUP($J862,Catálogos!$M$4:$N$17,2,FALSE()),"")</f>
        <v>Mantención Preventiva Realizada</v>
      </c>
      <c r="L862" s="52" t="n">
        <v>46127</v>
      </c>
      <c r="M862" s="50" t="s">
        <v>353</v>
      </c>
      <c r="N862" s="50" t="s">
        <v>253</v>
      </c>
      <c r="O862" s="50"/>
      <c r="P862" s="50"/>
      <c r="Q862" s="50" t="s">
        <v>362</v>
      </c>
    </row>
    <row r="863" customFormat="false" ht="15" hidden="false" customHeight="true" outlineLevel="0" collapsed="false">
      <c r="A863" s="51" t="s">
        <v>808</v>
      </c>
      <c r="B863" s="50" t="str">
        <f aca="false">IFERROR(VLOOKUP($A863,Equipos!$C$2:$M$967,2,FALSE()),"")</f>
        <v>Ventilador Mecánico </v>
      </c>
      <c r="C863" s="50" t="str">
        <f aca="false">IFERROR(VLOOKUP($A863,Equipos!$C$2:$M$967,9,FALSE()),"")</f>
        <v>TV01802190A</v>
      </c>
      <c r="D863" s="50" t="str">
        <f aca="false">IFERROR(VLOOKUP($A863,Equipos!$C$2:$M$967,3,FALSE()),"")</f>
        <v>UPC Pediátrica</v>
      </c>
      <c r="E863" s="50" t="str">
        <f aca="false">IFERROR(VLOOKUP($A863,Equipos!$C$2:$M$967,7,FALSE()),"")</f>
        <v>Philips</v>
      </c>
      <c r="F863" s="50" t="str">
        <f aca="false">IFERROR(VLOOKUP($A863,Equipos!$C$2:$M$967,8,FALSE()),"")</f>
        <v>Trilogy 202</v>
      </c>
      <c r="G863" s="50" t="s">
        <v>893</v>
      </c>
      <c r="H863" s="50" t="s">
        <v>360</v>
      </c>
      <c r="I863" s="50"/>
      <c r="J863" s="50" t="s">
        <v>352</v>
      </c>
      <c r="K863" s="50" t="str">
        <f aca="false">IFERROR(VLOOKUP($J863,Catálogos!$M$4:$N$17,2,FALSE()),"")</f>
        <v>Mantención Preventiva Realizada</v>
      </c>
      <c r="L863" s="52" t="n">
        <v>46127</v>
      </c>
      <c r="M863" s="50" t="s">
        <v>353</v>
      </c>
      <c r="N863" s="50" t="s">
        <v>253</v>
      </c>
      <c r="O863" s="50"/>
      <c r="P863" s="50"/>
      <c r="Q863" s="50" t="s">
        <v>362</v>
      </c>
    </row>
    <row r="864" customFormat="false" ht="15" hidden="false" customHeight="true" outlineLevel="0" collapsed="false">
      <c r="A864" s="51" t="s">
        <v>951</v>
      </c>
      <c r="B864" s="50" t="str">
        <f aca="false">IFERROR(VLOOKUP($A864,Equipos!$C$2:$M$967,2,FALSE()),"")</f>
        <v>Ventilador Mecánico </v>
      </c>
      <c r="C864" s="50" t="str">
        <f aca="false">IFERROR(VLOOKUP($A864,Equipos!$C$2:$M$967,9,FALSE()),"")</f>
        <v>VG70(E)XZZT15424</v>
      </c>
      <c r="D864" s="50" t="str">
        <f aca="false">IFERROR(VLOOKUP($A864,Equipos!$C$2:$M$967,3,FALSE()),"")</f>
        <v>UPC 3er Piso</v>
      </c>
      <c r="E864" s="50" t="str">
        <f aca="false">IFERROR(VLOOKUP($A864,Equipos!$C$2:$M$967,7,FALSE()),"")</f>
        <v>Aeonmed</v>
      </c>
      <c r="F864" s="50" t="str">
        <f aca="false">IFERROR(VLOOKUP($A864,Equipos!$C$2:$M$967,8,FALSE()),"")</f>
        <v>VG70</v>
      </c>
      <c r="G864" s="50" t="s">
        <v>893</v>
      </c>
      <c r="H864" s="50" t="s">
        <v>360</v>
      </c>
      <c r="I864" s="50"/>
      <c r="J864" s="50" t="s">
        <v>352</v>
      </c>
      <c r="K864" s="50" t="str">
        <f aca="false">IFERROR(VLOOKUP($J864,Catálogos!$M$4:$N$17,2,FALSE()),"")</f>
        <v>Mantención Preventiva Realizada</v>
      </c>
      <c r="L864" s="52" t="n">
        <v>46127</v>
      </c>
      <c r="M864" s="50" t="s">
        <v>353</v>
      </c>
      <c r="N864" s="50" t="s">
        <v>253</v>
      </c>
      <c r="O864" s="50"/>
      <c r="P864" s="50"/>
      <c r="Q864" s="50" t="s">
        <v>362</v>
      </c>
    </row>
    <row r="865" customFormat="false" ht="15" hidden="false" customHeight="true" outlineLevel="0" collapsed="false">
      <c r="A865" s="51" t="s">
        <v>816</v>
      </c>
      <c r="B865" s="50" t="str">
        <f aca="false">IFERROR(VLOOKUP($A865,Equipos!$C$2:$M$967,2,FALSE()),"")</f>
        <v>Ventilador Mecánico </v>
      </c>
      <c r="C865" s="50" t="str">
        <f aca="false">IFERROR(VLOOKUP($A865,Equipos!$C$2:$M$967,9,FALSE()),"")</f>
        <v>3512202272</v>
      </c>
      <c r="D865" s="50" t="str">
        <f aca="false">IFERROR(VLOOKUP($A865,Equipos!$C$2:$M$967,3,FALSE()),"")</f>
        <v>UPC 3er Piso</v>
      </c>
      <c r="E865" s="50" t="str">
        <f aca="false">IFERROR(VLOOKUP($A865,Equipos!$C$2:$M$967,7,FALSE()),"")</f>
        <v>Puritan Bennett</v>
      </c>
      <c r="F865" s="50" t="n">
        <f aca="false">IFERROR(VLOOKUP($A865,Equipos!$C$2:$M$967,8,FALSE()),"")</f>
        <v>840</v>
      </c>
      <c r="G865" s="50" t="s">
        <v>893</v>
      </c>
      <c r="H865" s="50" t="s">
        <v>360</v>
      </c>
      <c r="I865" s="50"/>
      <c r="J865" s="50" t="s">
        <v>352</v>
      </c>
      <c r="K865" s="50" t="str">
        <f aca="false">IFERROR(VLOOKUP($J865,Catálogos!$M$4:$N$17,2,FALSE()),"")</f>
        <v>Mantención Preventiva Realizada</v>
      </c>
      <c r="L865" s="52" t="n">
        <v>46127</v>
      </c>
      <c r="M865" s="50" t="s">
        <v>353</v>
      </c>
      <c r="N865" s="50" t="s">
        <v>253</v>
      </c>
      <c r="O865" s="50"/>
      <c r="P865" s="50"/>
      <c r="Q865" s="50" t="s">
        <v>362</v>
      </c>
    </row>
    <row r="866" customFormat="false" ht="15" hidden="false" customHeight="true" outlineLevel="0" collapsed="false">
      <c r="A866" s="51" t="s">
        <v>817</v>
      </c>
      <c r="B866" s="50" t="str">
        <f aca="false">IFERROR(VLOOKUP($A866,Equipos!$C$2:$M$967,2,FALSE()),"")</f>
        <v>Ventilador Mecánico </v>
      </c>
      <c r="C866" s="50" t="str">
        <f aca="false">IFERROR(VLOOKUP($A866,Equipos!$C$2:$M$967,9,FALSE()),"")</f>
        <v>35B2101446</v>
      </c>
      <c r="D866" s="50" t="str">
        <f aca="false">IFERROR(VLOOKUP($A866,Equipos!$C$2:$M$967,3,FALSE()),"")</f>
        <v>UPC Cardiovascular</v>
      </c>
      <c r="E866" s="50" t="str">
        <f aca="false">IFERROR(VLOOKUP($A866,Equipos!$C$2:$M$967,7,FALSE()),"")</f>
        <v>Puritan Bennett</v>
      </c>
      <c r="F866" s="50" t="n">
        <f aca="false">IFERROR(VLOOKUP($A866,Equipos!$C$2:$M$967,8,FALSE()),"")</f>
        <v>980</v>
      </c>
      <c r="G866" s="50" t="s">
        <v>893</v>
      </c>
      <c r="H866" s="50" t="s">
        <v>360</v>
      </c>
      <c r="I866" s="50"/>
      <c r="J866" s="50" t="s">
        <v>352</v>
      </c>
      <c r="K866" s="50" t="str">
        <f aca="false">IFERROR(VLOOKUP($J866,Catálogos!$M$4:$N$17,2,FALSE()),"")</f>
        <v>Mantención Preventiva Realizada</v>
      </c>
      <c r="L866" s="52" t="n">
        <v>46127</v>
      </c>
      <c r="M866" s="50" t="s">
        <v>353</v>
      </c>
      <c r="N866" s="50" t="s">
        <v>253</v>
      </c>
      <c r="O866" s="50"/>
      <c r="P866" s="50"/>
      <c r="Q866" s="50" t="s">
        <v>362</v>
      </c>
    </row>
    <row r="867" customFormat="false" ht="15" hidden="false" customHeight="true" outlineLevel="0" collapsed="false">
      <c r="A867" s="51" t="s">
        <v>819</v>
      </c>
      <c r="B867" s="50" t="str">
        <f aca="false">IFERROR(VLOOKUP($A867,Equipos!$C$2:$M$967,2,FALSE()),"")</f>
        <v>Ventilador Mecánico </v>
      </c>
      <c r="C867" s="50" t="str">
        <f aca="false">IFERROR(VLOOKUP($A867,Equipos!$C$2:$M$967,9,FALSE()),"")</f>
        <v>35B2101527</v>
      </c>
      <c r="D867" s="50" t="str">
        <f aca="false">IFERROR(VLOOKUP($A867,Equipos!$C$2:$M$967,3,FALSE()),"")</f>
        <v>UPC Cardiovascular (Prestado a Urgencia Adulto)</v>
      </c>
      <c r="E867" s="50" t="str">
        <f aca="false">IFERROR(VLOOKUP($A867,Equipos!$C$2:$M$967,7,FALSE()),"")</f>
        <v>Puritan Bennett</v>
      </c>
      <c r="F867" s="50" t="str">
        <f aca="false">IFERROR(VLOOKUP($A867,Equipos!$C$2:$M$967,8,FALSE()),"")</f>
        <v>980/cc</v>
      </c>
      <c r="G867" s="50" t="s">
        <v>893</v>
      </c>
      <c r="H867" s="50" t="s">
        <v>360</v>
      </c>
      <c r="I867" s="50"/>
      <c r="J867" s="50" t="s">
        <v>352</v>
      </c>
      <c r="K867" s="50" t="str">
        <f aca="false">IFERROR(VLOOKUP($J867,Catálogos!$M$4:$N$17,2,FALSE()),"")</f>
        <v>Mantención Preventiva Realizada</v>
      </c>
      <c r="L867" s="52" t="n">
        <v>46127</v>
      </c>
      <c r="M867" s="50" t="s">
        <v>353</v>
      </c>
      <c r="N867" s="50" t="s">
        <v>253</v>
      </c>
      <c r="O867" s="50"/>
      <c r="P867" s="50"/>
      <c r="Q867" s="50" t="s">
        <v>362</v>
      </c>
    </row>
    <row r="868" customFormat="false" ht="15" hidden="false" customHeight="true" outlineLevel="0" collapsed="false">
      <c r="A868" s="51" t="s">
        <v>952</v>
      </c>
      <c r="B868" s="50" t="str">
        <f aca="false">IFERROR(VLOOKUP($A868,Equipos!$C$2:$M$967,2,FALSE()),"")</f>
        <v>Ventilador Mecánico </v>
      </c>
      <c r="C868" s="50" t="str">
        <f aca="false">IFERROR(VLOOKUP($A868,Equipos!$C$2:$M$967,9,FALSE()),"")</f>
        <v>MTV1KUA1B0051</v>
      </c>
      <c r="D868" s="50" t="str">
        <f aca="false">IFERROR(VLOOKUP($A868,Equipos!$C$2:$M$967,3,FALSE()),"")</f>
        <v>UPC 3er Piso</v>
      </c>
      <c r="E868" s="50" t="str">
        <f aca="false">IFERROR(VLOOKUP($A868,Equipos!$C$2:$M$967,7,FALSE()),"")</f>
        <v>MEK ICS</v>
      </c>
      <c r="F868" s="50" t="str">
        <f aca="false">IFERROR(VLOOKUP($A868,Equipos!$C$2:$M$967,8,FALSE()),"")</f>
        <v>MTV1000</v>
      </c>
      <c r="G868" s="50" t="s">
        <v>893</v>
      </c>
      <c r="H868" s="50" t="s">
        <v>360</v>
      </c>
      <c r="I868" s="50"/>
      <c r="J868" s="50" t="s">
        <v>352</v>
      </c>
      <c r="K868" s="50" t="str">
        <f aca="false">IFERROR(VLOOKUP($J868,Catálogos!$M$4:$N$17,2,FALSE()),"")</f>
        <v>Mantención Preventiva Realizada</v>
      </c>
      <c r="L868" s="52" t="n">
        <v>46127</v>
      </c>
      <c r="M868" s="50" t="s">
        <v>353</v>
      </c>
      <c r="N868" s="50" t="s">
        <v>253</v>
      </c>
      <c r="O868" s="50"/>
      <c r="P868" s="50"/>
      <c r="Q868" s="50" t="s">
        <v>362</v>
      </c>
    </row>
    <row r="869" customFormat="false" ht="15" hidden="false" customHeight="true" outlineLevel="0" collapsed="false">
      <c r="A869" s="51" t="s">
        <v>496</v>
      </c>
      <c r="B869" s="50" t="str">
        <f aca="false">IFERROR(VLOOKUP($A869,Equipos!$C$2:$M$967,2,FALSE()),"")</f>
        <v>Ventilador Mecánico </v>
      </c>
      <c r="C869" s="50" t="str">
        <f aca="false">IFERROR(VLOOKUP($A869,Equipos!$C$2:$M$967,9,FALSE()),"")</f>
        <v>MTV1KUA1B0031</v>
      </c>
      <c r="D869" s="50" t="str">
        <f aca="false">IFERROR(VLOOKUP($A869,Equipos!$C$2:$M$967,3,FALSE()),"")</f>
        <v>UPC 3er Piso</v>
      </c>
      <c r="E869" s="50" t="str">
        <f aca="false">IFERROR(VLOOKUP($A869,Equipos!$C$2:$M$967,7,FALSE()),"")</f>
        <v>MEK ICS</v>
      </c>
      <c r="F869" s="50" t="str">
        <f aca="false">IFERROR(VLOOKUP($A869,Equipos!$C$2:$M$967,8,FALSE()),"")</f>
        <v>MTV1000</v>
      </c>
      <c r="G869" s="50" t="s">
        <v>893</v>
      </c>
      <c r="H869" s="50" t="s">
        <v>360</v>
      </c>
      <c r="I869" s="50"/>
      <c r="J869" s="50" t="s">
        <v>352</v>
      </c>
      <c r="K869" s="50" t="str">
        <f aca="false">IFERROR(VLOOKUP($J869,Catálogos!$M$4:$N$17,2,FALSE()),"")</f>
        <v>Mantención Preventiva Realizada</v>
      </c>
      <c r="L869" s="52" t="n">
        <v>46127</v>
      </c>
      <c r="M869" s="50" t="s">
        <v>353</v>
      </c>
      <c r="N869" s="50" t="s">
        <v>253</v>
      </c>
      <c r="O869" s="50"/>
      <c r="P869" s="50"/>
      <c r="Q869" s="50" t="s">
        <v>362</v>
      </c>
    </row>
    <row r="870" customFormat="false" ht="15" hidden="false" customHeight="true" outlineLevel="0" collapsed="false">
      <c r="A870" s="51" t="s">
        <v>953</v>
      </c>
      <c r="B870" s="50" t="str">
        <f aca="false">IFERROR(VLOOKUP($A870,Equipos!$C$2:$M$967,2,FALSE()),"")</f>
        <v>Ventilador Mecánico </v>
      </c>
      <c r="C870" s="50" t="str">
        <f aca="false">IFERROR(VLOOKUP($A870,Equipos!$C$2:$M$967,9,FALSE()),"")</f>
        <v>MTV1KUA1B0082</v>
      </c>
      <c r="D870" s="50" t="str">
        <f aca="false">IFERROR(VLOOKUP($A870,Equipos!$C$2:$M$967,3,FALSE()),"")</f>
        <v>UPC 3er Piso</v>
      </c>
      <c r="E870" s="50" t="str">
        <f aca="false">IFERROR(VLOOKUP($A870,Equipos!$C$2:$M$967,7,FALSE()),"")</f>
        <v>MEK ICS</v>
      </c>
      <c r="F870" s="50" t="str">
        <f aca="false">IFERROR(VLOOKUP($A870,Equipos!$C$2:$M$967,8,FALSE()),"")</f>
        <v>MTV1000</v>
      </c>
      <c r="G870" s="50" t="s">
        <v>893</v>
      </c>
      <c r="H870" s="50" t="s">
        <v>360</v>
      </c>
      <c r="I870" s="50"/>
      <c r="J870" s="50" t="s">
        <v>352</v>
      </c>
      <c r="K870" s="50" t="str">
        <f aca="false">IFERROR(VLOOKUP($J870,Catálogos!$M$4:$N$17,2,FALSE()),"")</f>
        <v>Mantención Preventiva Realizada</v>
      </c>
      <c r="L870" s="52" t="n">
        <v>46127</v>
      </c>
      <c r="M870" s="50" t="s">
        <v>353</v>
      </c>
      <c r="N870" s="50" t="s">
        <v>253</v>
      </c>
      <c r="O870" s="50"/>
      <c r="P870" s="50"/>
      <c r="Q870" s="50" t="s">
        <v>362</v>
      </c>
    </row>
    <row r="871" customFormat="false" ht="15" hidden="false" customHeight="true" outlineLevel="0" collapsed="false">
      <c r="A871" s="51" t="s">
        <v>820</v>
      </c>
      <c r="B871" s="50" t="str">
        <f aca="false">IFERROR(VLOOKUP($A871,Equipos!$C$2:$M$967,2,FALSE()),"")</f>
        <v>Ventilador Mecánico </v>
      </c>
      <c r="C871" s="50" t="str">
        <f aca="false">IFERROR(VLOOKUP($A871,Equipos!$C$2:$M$967,9,FALSE()),"")</f>
        <v>3512202219</v>
      </c>
      <c r="D871" s="50" t="str">
        <f aca="false">IFERROR(VLOOKUP($A871,Equipos!$C$2:$M$967,3,FALSE()),"")</f>
        <v>UPC Adulto</v>
      </c>
      <c r="E871" s="50" t="str">
        <f aca="false">IFERROR(VLOOKUP($A871,Equipos!$C$2:$M$967,7,FALSE()),"")</f>
        <v>Puritan Bennett</v>
      </c>
      <c r="F871" s="50" t="n">
        <f aca="false">IFERROR(VLOOKUP($A871,Equipos!$C$2:$M$967,8,FALSE()),"")</f>
        <v>840</v>
      </c>
      <c r="G871" s="50" t="s">
        <v>893</v>
      </c>
      <c r="H871" s="50" t="s">
        <v>360</v>
      </c>
      <c r="I871" s="50"/>
      <c r="J871" s="50" t="s">
        <v>352</v>
      </c>
      <c r="K871" s="50" t="str">
        <f aca="false">IFERROR(VLOOKUP($J871,Catálogos!$M$4:$N$17,2,FALSE()),"")</f>
        <v>Mantención Preventiva Realizada</v>
      </c>
      <c r="L871" s="52" t="n">
        <v>46127</v>
      </c>
      <c r="M871" s="50" t="s">
        <v>353</v>
      </c>
      <c r="N871" s="50" t="s">
        <v>253</v>
      </c>
      <c r="O871" s="50"/>
      <c r="P871" s="50"/>
      <c r="Q871" s="50" t="s">
        <v>362</v>
      </c>
    </row>
    <row r="872" customFormat="false" ht="15" hidden="false" customHeight="true" outlineLevel="0" collapsed="false">
      <c r="A872" s="51" t="s">
        <v>821</v>
      </c>
      <c r="B872" s="50" t="str">
        <f aca="false">IFERROR(VLOOKUP($A872,Equipos!$C$2:$M$967,2,FALSE()),"")</f>
        <v>Ventilador Mecánico </v>
      </c>
      <c r="C872" s="50" t="str">
        <f aca="false">IFERROR(VLOOKUP($A872,Equipos!$C$2:$M$967,9,FALSE()),"")</f>
        <v>3512202261</v>
      </c>
      <c r="D872" s="50" t="str">
        <f aca="false">IFERROR(VLOOKUP($A872,Equipos!$C$2:$M$967,3,FALSE()),"")</f>
        <v>UPC Adulto</v>
      </c>
      <c r="E872" s="50" t="str">
        <f aca="false">IFERROR(VLOOKUP($A872,Equipos!$C$2:$M$967,7,FALSE()),"")</f>
        <v>Puritan Bennett</v>
      </c>
      <c r="F872" s="50" t="n">
        <f aca="false">IFERROR(VLOOKUP($A872,Equipos!$C$2:$M$967,8,FALSE()),"")</f>
        <v>840</v>
      </c>
      <c r="G872" s="50" t="s">
        <v>893</v>
      </c>
      <c r="H872" s="50" t="s">
        <v>360</v>
      </c>
      <c r="I872" s="50"/>
      <c r="J872" s="50" t="s">
        <v>352</v>
      </c>
      <c r="K872" s="50" t="str">
        <f aca="false">IFERROR(VLOOKUP($J872,Catálogos!$M$4:$N$17,2,FALSE()),"")</f>
        <v>Mantención Preventiva Realizada</v>
      </c>
      <c r="L872" s="52" t="n">
        <v>46127</v>
      </c>
      <c r="M872" s="50" t="s">
        <v>353</v>
      </c>
      <c r="N872" s="50" t="s">
        <v>253</v>
      </c>
      <c r="O872" s="50"/>
      <c r="P872" s="50"/>
      <c r="Q872" s="50" t="s">
        <v>362</v>
      </c>
    </row>
    <row r="873" customFormat="false" ht="15" hidden="false" customHeight="true" outlineLevel="0" collapsed="false">
      <c r="A873" s="51" t="s">
        <v>822</v>
      </c>
      <c r="B873" s="50" t="str">
        <f aca="false">IFERROR(VLOOKUP($A873,Equipos!$C$2:$M$967,2,FALSE()),"")</f>
        <v>Ventilador Mecánico </v>
      </c>
      <c r="C873" s="50" t="str">
        <f aca="false">IFERROR(VLOOKUP($A873,Equipos!$C$2:$M$967,9,FALSE()),"")</f>
        <v>35B2004447</v>
      </c>
      <c r="D873" s="50" t="str">
        <f aca="false">IFERROR(VLOOKUP($A873,Equipos!$C$2:$M$967,3,FALSE()),"")</f>
        <v>UPC Adulto</v>
      </c>
      <c r="E873" s="50" t="str">
        <f aca="false">IFERROR(VLOOKUP($A873,Equipos!$C$2:$M$967,7,FALSE()),"")</f>
        <v>Puritan Bennett</v>
      </c>
      <c r="F873" s="50" t="str">
        <f aca="false">IFERROR(VLOOKUP($A873,Equipos!$C$2:$M$967,8,FALSE()),"")</f>
        <v>980/Sin Comp.</v>
      </c>
      <c r="G873" s="50" t="s">
        <v>893</v>
      </c>
      <c r="H873" s="50" t="s">
        <v>360</v>
      </c>
      <c r="I873" s="50"/>
      <c r="J873" s="50" t="s">
        <v>352</v>
      </c>
      <c r="K873" s="50" t="str">
        <f aca="false">IFERROR(VLOOKUP($J873,Catálogos!$M$4:$N$17,2,FALSE()),"")</f>
        <v>Mantención Preventiva Realizada</v>
      </c>
      <c r="L873" s="52" t="n">
        <v>46127</v>
      </c>
      <c r="M873" s="50" t="s">
        <v>353</v>
      </c>
      <c r="N873" s="50" t="s">
        <v>253</v>
      </c>
      <c r="O873" s="50"/>
      <c r="P873" s="50"/>
      <c r="Q873" s="50" t="s">
        <v>362</v>
      </c>
    </row>
    <row r="874" customFormat="false" ht="15" hidden="false" customHeight="true" outlineLevel="0" collapsed="false">
      <c r="A874" s="51" t="s">
        <v>823</v>
      </c>
      <c r="B874" s="50" t="str">
        <f aca="false">IFERROR(VLOOKUP($A874,Equipos!$C$2:$M$967,2,FALSE()),"")</f>
        <v>Ventilador Mecánico </v>
      </c>
      <c r="C874" s="50" t="str">
        <f aca="false">IFERROR(VLOOKUP($A874,Equipos!$C$2:$M$967,9,FALSE()),"")</f>
        <v>35B2004449</v>
      </c>
      <c r="D874" s="50" t="str">
        <f aca="false">IFERROR(VLOOKUP($A874,Equipos!$C$2:$M$967,3,FALSE()),"")</f>
        <v>UPC Cardiovascular</v>
      </c>
      <c r="E874" s="50" t="str">
        <f aca="false">IFERROR(VLOOKUP($A874,Equipos!$C$2:$M$967,7,FALSE()),"")</f>
        <v>Puritan Bennett</v>
      </c>
      <c r="F874" s="50" t="str">
        <f aca="false">IFERROR(VLOOKUP($A874,Equipos!$C$2:$M$967,8,FALSE()),"")</f>
        <v>980/Sin Comp.</v>
      </c>
      <c r="G874" s="50" t="s">
        <v>893</v>
      </c>
      <c r="H874" s="50" t="s">
        <v>360</v>
      </c>
      <c r="I874" s="50"/>
      <c r="J874" s="50" t="s">
        <v>352</v>
      </c>
      <c r="K874" s="50" t="str">
        <f aca="false">IFERROR(VLOOKUP($J874,Catálogos!$M$4:$N$17,2,FALSE()),"")</f>
        <v>Mantención Preventiva Realizada</v>
      </c>
      <c r="L874" s="52" t="n">
        <v>46127</v>
      </c>
      <c r="M874" s="50" t="s">
        <v>353</v>
      </c>
      <c r="N874" s="50" t="s">
        <v>253</v>
      </c>
      <c r="O874" s="50"/>
      <c r="P874" s="50"/>
      <c r="Q874" s="50" t="s">
        <v>362</v>
      </c>
    </row>
    <row r="875" customFormat="false" ht="15" hidden="false" customHeight="true" outlineLevel="0" collapsed="false">
      <c r="A875" s="51" t="s">
        <v>824</v>
      </c>
      <c r="B875" s="50" t="str">
        <f aca="false">IFERROR(VLOOKUP($A875,Equipos!$C$2:$M$967,2,FALSE()),"")</f>
        <v>Ventilador Mecánico </v>
      </c>
      <c r="C875" s="50" t="str">
        <f aca="false">IFERROR(VLOOKUP($A875,Equipos!$C$2:$M$967,9,FALSE()),"")</f>
        <v>35B2004413</v>
      </c>
      <c r="D875" s="50" t="str">
        <f aca="false">IFERROR(VLOOKUP($A875,Equipos!$C$2:$M$967,3,FALSE()),"")</f>
        <v>UPC Cardiovascular</v>
      </c>
      <c r="E875" s="50" t="str">
        <f aca="false">IFERROR(VLOOKUP($A875,Equipos!$C$2:$M$967,7,FALSE()),"")</f>
        <v>Puritan Bennett</v>
      </c>
      <c r="F875" s="50" t="str">
        <f aca="false">IFERROR(VLOOKUP($A875,Equipos!$C$2:$M$967,8,FALSE()),"")</f>
        <v>980/Sin Comp.</v>
      </c>
      <c r="G875" s="50" t="s">
        <v>893</v>
      </c>
      <c r="H875" s="50" t="s">
        <v>360</v>
      </c>
      <c r="I875" s="50"/>
      <c r="J875" s="50" t="s">
        <v>352</v>
      </c>
      <c r="K875" s="50" t="str">
        <f aca="false">IFERROR(VLOOKUP($J875,Catálogos!$M$4:$N$17,2,FALSE()),"")</f>
        <v>Mantención Preventiva Realizada</v>
      </c>
      <c r="L875" s="52" t="n">
        <v>46127</v>
      </c>
      <c r="M875" s="50" t="s">
        <v>353</v>
      </c>
      <c r="N875" s="50" t="s">
        <v>253</v>
      </c>
      <c r="O875" s="50"/>
      <c r="P875" s="50"/>
      <c r="Q875" s="50" t="s">
        <v>362</v>
      </c>
    </row>
    <row r="876" customFormat="false" ht="15" hidden="false" customHeight="true" outlineLevel="0" collapsed="false">
      <c r="A876" s="51" t="s">
        <v>825</v>
      </c>
      <c r="B876" s="50" t="str">
        <f aca="false">IFERROR(VLOOKUP($A876,Equipos!$C$2:$M$967,2,FALSE()),"")</f>
        <v>Ventilador Mecánico </v>
      </c>
      <c r="C876" s="50" t="str">
        <f aca="false">IFERROR(VLOOKUP($A876,Equipos!$C$2:$M$967,9,FALSE()),"")</f>
        <v>3512202265</v>
      </c>
      <c r="D876" s="50" t="str">
        <f aca="false">IFERROR(VLOOKUP($A876,Equipos!$C$2:$M$967,3,FALSE()),"")</f>
        <v>Urgencia Adulto (Prestado a UPC Cardiovascular)</v>
      </c>
      <c r="E876" s="50" t="str">
        <f aca="false">IFERROR(VLOOKUP($A876,Equipos!$C$2:$M$967,7,FALSE()),"")</f>
        <v>Puritan Bennett</v>
      </c>
      <c r="F876" s="50" t="n">
        <f aca="false">IFERROR(VLOOKUP($A876,Equipos!$C$2:$M$967,8,FALSE()),"")</f>
        <v>840</v>
      </c>
      <c r="G876" s="50" t="s">
        <v>893</v>
      </c>
      <c r="H876" s="50" t="s">
        <v>360</v>
      </c>
      <c r="I876" s="50"/>
      <c r="J876" s="50" t="s">
        <v>352</v>
      </c>
      <c r="K876" s="50" t="str">
        <f aca="false">IFERROR(VLOOKUP($J876,Catálogos!$M$4:$N$17,2,FALSE()),"")</f>
        <v>Mantención Preventiva Realizada</v>
      </c>
      <c r="L876" s="52" t="n">
        <v>46127</v>
      </c>
      <c r="M876" s="50" t="s">
        <v>353</v>
      </c>
      <c r="N876" s="50" t="s">
        <v>253</v>
      </c>
      <c r="O876" s="50"/>
      <c r="P876" s="50"/>
      <c r="Q876" s="50" t="s">
        <v>362</v>
      </c>
    </row>
    <row r="877" customFormat="false" ht="15" hidden="false" customHeight="true" outlineLevel="0" collapsed="false">
      <c r="A877" s="51" t="s">
        <v>826</v>
      </c>
      <c r="B877" s="50" t="str">
        <f aca="false">IFERROR(VLOOKUP($A877,Equipos!$C$2:$M$967,2,FALSE()),"")</f>
        <v>Ventilador Mecánico </v>
      </c>
      <c r="C877" s="50" t="str">
        <f aca="false">IFERROR(VLOOKUP($A877,Equipos!$C$2:$M$967,9,FALSE()),"")</f>
        <v>35B2004521</v>
      </c>
      <c r="D877" s="50" t="str">
        <f aca="false">IFERROR(VLOOKUP($A877,Equipos!$C$2:$M$967,3,FALSE()),"")</f>
        <v>UPC Adulto</v>
      </c>
      <c r="E877" s="50" t="str">
        <f aca="false">IFERROR(VLOOKUP($A877,Equipos!$C$2:$M$967,7,FALSE()),"")</f>
        <v>Puritan Bennett</v>
      </c>
      <c r="F877" s="50" t="str">
        <f aca="false">IFERROR(VLOOKUP($A877,Equipos!$C$2:$M$967,8,FALSE()),"")</f>
        <v>980/Sin Comp.</v>
      </c>
      <c r="G877" s="50" t="s">
        <v>893</v>
      </c>
      <c r="H877" s="50" t="s">
        <v>360</v>
      </c>
      <c r="I877" s="50"/>
      <c r="J877" s="50" t="s">
        <v>352</v>
      </c>
      <c r="K877" s="50" t="str">
        <f aca="false">IFERROR(VLOOKUP($J877,Catálogos!$M$4:$N$17,2,FALSE()),"")</f>
        <v>Mantención Preventiva Realizada</v>
      </c>
      <c r="L877" s="52" t="n">
        <v>46127</v>
      </c>
      <c r="M877" s="50" t="s">
        <v>353</v>
      </c>
      <c r="N877" s="50" t="s">
        <v>253</v>
      </c>
      <c r="O877" s="50"/>
      <c r="P877" s="50"/>
      <c r="Q877" s="50" t="s">
        <v>362</v>
      </c>
    </row>
    <row r="878" customFormat="false" ht="15" hidden="false" customHeight="true" outlineLevel="0" collapsed="false">
      <c r="A878" s="51" t="s">
        <v>954</v>
      </c>
      <c r="B878" s="50" t="str">
        <f aca="false">IFERROR(VLOOKUP($A878,Equipos!$C$2:$M$967,2,FALSE()),"")</f>
        <v>Ventilador Mecánico </v>
      </c>
      <c r="C878" s="50" t="str">
        <f aca="false">IFERROR(VLOOKUP($A878,Equipos!$C$2:$M$967,9,FALSE()),"")</f>
        <v>VG70(E)XZZU7934</v>
      </c>
      <c r="D878" s="50" t="str">
        <f aca="false">IFERROR(VLOOKUP($A878,Equipos!$C$2:$M$967,3,FALSE()),"")</f>
        <v>Urgencia Adulto</v>
      </c>
      <c r="E878" s="50" t="str">
        <f aca="false">IFERROR(VLOOKUP($A878,Equipos!$C$2:$M$967,7,FALSE()),"")</f>
        <v>Aeonmed</v>
      </c>
      <c r="F878" s="50" t="str">
        <f aca="false">IFERROR(VLOOKUP($A878,Equipos!$C$2:$M$967,8,FALSE()),"")</f>
        <v>VG70</v>
      </c>
      <c r="G878" s="50" t="s">
        <v>893</v>
      </c>
      <c r="H878" s="50" t="s">
        <v>360</v>
      </c>
      <c r="I878" s="50"/>
      <c r="J878" s="50" t="s">
        <v>352</v>
      </c>
      <c r="K878" s="50" t="str">
        <f aca="false">IFERROR(VLOOKUP($J878,Catálogos!$M$4:$N$17,2,FALSE()),"")</f>
        <v>Mantención Preventiva Realizada</v>
      </c>
      <c r="L878" s="52" t="n">
        <v>46127</v>
      </c>
      <c r="M878" s="50" t="s">
        <v>353</v>
      </c>
      <c r="N878" s="50" t="s">
        <v>253</v>
      </c>
      <c r="O878" s="50"/>
      <c r="P878" s="50"/>
      <c r="Q878" s="50" t="s">
        <v>362</v>
      </c>
    </row>
    <row r="879" customFormat="false" ht="15" hidden="false" customHeight="true" outlineLevel="0" collapsed="false">
      <c r="A879" s="51" t="s">
        <v>955</v>
      </c>
      <c r="B879" s="50" t="str">
        <f aca="false">IFERROR(VLOOKUP($A879,Equipos!$C$2:$M$967,2,FALSE()),"")</f>
        <v>Ventilador Mecánico </v>
      </c>
      <c r="C879" s="50" t="str">
        <f aca="false">IFERROR(VLOOKUP($A879,Equipos!$C$2:$M$967,9,FALSE()),"")</f>
        <v>VG70(E)XZZU7932</v>
      </c>
      <c r="D879" s="50" t="str">
        <f aca="false">IFERROR(VLOOKUP($A879,Equipos!$C$2:$M$967,3,FALSE()),"")</f>
        <v>Urgencia Adulto</v>
      </c>
      <c r="E879" s="50" t="str">
        <f aca="false">IFERROR(VLOOKUP($A879,Equipos!$C$2:$M$967,7,FALSE()),"")</f>
        <v>Aeonmed</v>
      </c>
      <c r="F879" s="50" t="str">
        <f aca="false">IFERROR(VLOOKUP($A879,Equipos!$C$2:$M$967,8,FALSE()),"")</f>
        <v>VG70</v>
      </c>
      <c r="G879" s="50" t="s">
        <v>893</v>
      </c>
      <c r="H879" s="50" t="s">
        <v>360</v>
      </c>
      <c r="I879" s="50"/>
      <c r="J879" s="50" t="s">
        <v>352</v>
      </c>
      <c r="K879" s="50" t="str">
        <f aca="false">IFERROR(VLOOKUP($J879,Catálogos!$M$4:$N$17,2,FALSE()),"")</f>
        <v>Mantención Preventiva Realizada</v>
      </c>
      <c r="L879" s="52" t="n">
        <v>46127</v>
      </c>
      <c r="M879" s="50" t="s">
        <v>353</v>
      </c>
      <c r="N879" s="50" t="s">
        <v>253</v>
      </c>
      <c r="O879" s="50"/>
      <c r="P879" s="50"/>
      <c r="Q879" s="50" t="s">
        <v>362</v>
      </c>
    </row>
    <row r="880" customFormat="false" ht="15" hidden="false" customHeight="true" outlineLevel="0" collapsed="false">
      <c r="A880" s="51" t="s">
        <v>827</v>
      </c>
      <c r="B880" s="50" t="str">
        <f aca="false">IFERROR(VLOOKUP($A880,Equipos!$C$2:$M$967,2,FALSE()),"")</f>
        <v>Ventilador Mecánico </v>
      </c>
      <c r="C880" s="50" t="str">
        <f aca="false">IFERROR(VLOOKUP($A880,Equipos!$C$2:$M$967,9,FALSE()),"")</f>
        <v>35B2002482</v>
      </c>
      <c r="D880" s="50" t="str">
        <f aca="false">IFERROR(VLOOKUP($A880,Equipos!$C$2:$M$967,3,FALSE()),"")</f>
        <v>UPC Cardiovascular</v>
      </c>
      <c r="E880" s="50" t="str">
        <f aca="false">IFERROR(VLOOKUP($A880,Equipos!$C$2:$M$967,7,FALSE()),"")</f>
        <v>Puritan Bennett</v>
      </c>
      <c r="F880" s="50" t="n">
        <f aca="false">IFERROR(VLOOKUP($A880,Equipos!$C$2:$M$967,8,FALSE()),"")</f>
        <v>980</v>
      </c>
      <c r="G880" s="50" t="s">
        <v>893</v>
      </c>
      <c r="H880" s="50" t="s">
        <v>360</v>
      </c>
      <c r="I880" s="50"/>
      <c r="J880" s="50" t="s">
        <v>352</v>
      </c>
      <c r="K880" s="50" t="str">
        <f aca="false">IFERROR(VLOOKUP($J880,Catálogos!$M$4:$N$17,2,FALSE()),"")</f>
        <v>Mantención Preventiva Realizada</v>
      </c>
      <c r="L880" s="52" t="n">
        <v>46127</v>
      </c>
      <c r="M880" s="50" t="s">
        <v>353</v>
      </c>
      <c r="N880" s="50" t="s">
        <v>253</v>
      </c>
      <c r="O880" s="50"/>
      <c r="P880" s="50"/>
      <c r="Q880" s="50" t="s">
        <v>362</v>
      </c>
    </row>
    <row r="881" customFormat="false" ht="15" hidden="false" customHeight="true" outlineLevel="0" collapsed="false">
      <c r="A881" s="51" t="s">
        <v>956</v>
      </c>
      <c r="B881" s="50" t="str">
        <f aca="false">IFERROR(VLOOKUP($A881,Equipos!$C$2:$M$967,2,FALSE()),"")</f>
        <v>Ventilador Mecánico </v>
      </c>
      <c r="C881" s="50" t="str">
        <f aca="false">IFERROR(VLOOKUP($A881,Equipos!$C$2:$M$967,9,FALSE()),"")</f>
        <v>MV2000TA2F0745</v>
      </c>
      <c r="D881" s="50" t="str">
        <f aca="false">IFERROR(VLOOKUP($A881,Equipos!$C$2:$M$967,3,FALSE()),"")</f>
        <v>UPC 3er Piso</v>
      </c>
      <c r="E881" s="50" t="str">
        <f aca="false">IFERROR(VLOOKUP($A881,Equipos!$C$2:$M$967,7,FALSE()),"")</f>
        <v>MEK ICS</v>
      </c>
      <c r="F881" s="50" t="str">
        <f aca="false">IFERROR(VLOOKUP($A881,Equipos!$C$2:$M$967,8,FALSE()),"")</f>
        <v>MV2000 EVO5</v>
      </c>
      <c r="G881" s="50" t="s">
        <v>893</v>
      </c>
      <c r="H881" s="50" t="s">
        <v>360</v>
      </c>
      <c r="I881" s="50"/>
      <c r="J881" s="50" t="s">
        <v>352</v>
      </c>
      <c r="K881" s="50" t="str">
        <f aca="false">IFERROR(VLOOKUP($J881,Catálogos!$M$4:$N$17,2,FALSE()),"")</f>
        <v>Mantención Preventiva Realizada</v>
      </c>
      <c r="L881" s="52" t="n">
        <v>46127</v>
      </c>
      <c r="M881" s="50" t="s">
        <v>353</v>
      </c>
      <c r="N881" s="50" t="s">
        <v>253</v>
      </c>
      <c r="O881" s="50"/>
      <c r="P881" s="50"/>
      <c r="Q881" s="50" t="s">
        <v>362</v>
      </c>
    </row>
    <row r="882" customFormat="false" ht="15" hidden="false" customHeight="true" outlineLevel="0" collapsed="false">
      <c r="A882" s="51" t="s">
        <v>957</v>
      </c>
      <c r="B882" s="50" t="str">
        <f aca="false">IFERROR(VLOOKUP($A882,Equipos!$C$2:$M$967,2,FALSE()),"")</f>
        <v>Ventilador Mecánico </v>
      </c>
      <c r="C882" s="50" t="str">
        <f aca="false">IFERROR(VLOOKUP($A882,Equipos!$C$2:$M$967,9,FALSE()),"")</f>
        <v>MV2000TA2F0735</v>
      </c>
      <c r="D882" s="50" t="str">
        <f aca="false">IFERROR(VLOOKUP($A882,Equipos!$C$2:$M$967,3,FALSE()),"")</f>
        <v>UPC 3er Piso</v>
      </c>
      <c r="E882" s="50" t="str">
        <f aca="false">IFERROR(VLOOKUP($A882,Equipos!$C$2:$M$967,7,FALSE()),"")</f>
        <v>MEK ICS</v>
      </c>
      <c r="F882" s="50" t="str">
        <f aca="false">IFERROR(VLOOKUP($A882,Equipos!$C$2:$M$967,8,FALSE()),"")</f>
        <v>MV2000 EVO5</v>
      </c>
      <c r="G882" s="50" t="s">
        <v>893</v>
      </c>
      <c r="H882" s="50" t="s">
        <v>360</v>
      </c>
      <c r="I882" s="50"/>
      <c r="J882" s="50" t="s">
        <v>352</v>
      </c>
      <c r="K882" s="50" t="str">
        <f aca="false">IFERROR(VLOOKUP($J882,Catálogos!$M$4:$N$17,2,FALSE()),"")</f>
        <v>Mantención Preventiva Realizada</v>
      </c>
      <c r="L882" s="52" t="n">
        <v>46127</v>
      </c>
      <c r="M882" s="50" t="s">
        <v>353</v>
      </c>
      <c r="N882" s="50" t="s">
        <v>253</v>
      </c>
      <c r="O882" s="50"/>
      <c r="P882" s="50"/>
      <c r="Q882" s="50" t="s">
        <v>362</v>
      </c>
    </row>
    <row r="883" customFormat="false" ht="15" hidden="false" customHeight="true" outlineLevel="0" collapsed="false">
      <c r="A883" s="51" t="s">
        <v>958</v>
      </c>
      <c r="B883" s="50" t="str">
        <f aca="false">IFERROR(VLOOKUP($A883,Equipos!$C$2:$M$967,2,FALSE()),"")</f>
        <v>Ventilador Mecánico </v>
      </c>
      <c r="C883" s="50" t="str">
        <f aca="false">IFERROR(VLOOKUP($A883,Equipos!$C$2:$M$967,9,FALSE()),"")</f>
        <v>MV2000TA2F0740</v>
      </c>
      <c r="D883" s="50" t="str">
        <f aca="false">IFERROR(VLOOKUP($A883,Equipos!$C$2:$M$967,3,FALSE()),"")</f>
        <v>UPC 3er Piso</v>
      </c>
      <c r="E883" s="50" t="str">
        <f aca="false">IFERROR(VLOOKUP($A883,Equipos!$C$2:$M$967,7,FALSE()),"")</f>
        <v>MEK ICS</v>
      </c>
      <c r="F883" s="50" t="str">
        <f aca="false">IFERROR(VLOOKUP($A883,Equipos!$C$2:$M$967,8,FALSE()),"")</f>
        <v>MV2000 EVO5</v>
      </c>
      <c r="G883" s="50" t="s">
        <v>893</v>
      </c>
      <c r="H883" s="50" t="s">
        <v>360</v>
      </c>
      <c r="I883" s="50"/>
      <c r="J883" s="50" t="s">
        <v>352</v>
      </c>
      <c r="K883" s="50" t="str">
        <f aca="false">IFERROR(VLOOKUP($J883,Catálogos!$M$4:$N$17,2,FALSE()),"")</f>
        <v>Mantención Preventiva Realizada</v>
      </c>
      <c r="L883" s="52" t="n">
        <v>46127</v>
      </c>
      <c r="M883" s="50" t="s">
        <v>353</v>
      </c>
      <c r="N883" s="50" t="s">
        <v>253</v>
      </c>
      <c r="O883" s="50"/>
      <c r="P883" s="50"/>
      <c r="Q883" s="50" t="s">
        <v>362</v>
      </c>
    </row>
    <row r="884" customFormat="false" ht="15" hidden="false" customHeight="true" outlineLevel="0" collapsed="false">
      <c r="A884" s="51" t="s">
        <v>959</v>
      </c>
      <c r="B884" s="50" t="str">
        <f aca="false">IFERROR(VLOOKUP($A884,Equipos!$C$2:$M$967,2,FALSE()),"")</f>
        <v>Ventilador Mecánico </v>
      </c>
      <c r="C884" s="50" t="str">
        <f aca="false">IFERROR(VLOOKUP($A884,Equipos!$C$2:$M$967,9,FALSE()),"")</f>
        <v>MV2000TA2F0736</v>
      </c>
      <c r="D884" s="50" t="str">
        <f aca="false">IFERROR(VLOOKUP($A884,Equipos!$C$2:$M$967,3,FALSE()),"")</f>
        <v>UPC Adulto</v>
      </c>
      <c r="E884" s="50" t="str">
        <f aca="false">IFERROR(VLOOKUP($A884,Equipos!$C$2:$M$967,7,FALSE()),"")</f>
        <v>MEK ICS</v>
      </c>
      <c r="F884" s="50" t="str">
        <f aca="false">IFERROR(VLOOKUP($A884,Equipos!$C$2:$M$967,8,FALSE()),"")</f>
        <v>MV2000 EVO5</v>
      </c>
      <c r="G884" s="50" t="s">
        <v>893</v>
      </c>
      <c r="H884" s="50" t="s">
        <v>360</v>
      </c>
      <c r="I884" s="50"/>
      <c r="J884" s="50" t="s">
        <v>352</v>
      </c>
      <c r="K884" s="50" t="str">
        <f aca="false">IFERROR(VLOOKUP($J884,Catálogos!$M$4:$N$17,2,FALSE()),"")</f>
        <v>Mantención Preventiva Realizada</v>
      </c>
      <c r="L884" s="52" t="n">
        <v>46127</v>
      </c>
      <c r="M884" s="50" t="s">
        <v>353</v>
      </c>
      <c r="N884" s="50" t="s">
        <v>253</v>
      </c>
      <c r="O884" s="50"/>
      <c r="P884" s="50"/>
      <c r="Q884" s="50" t="s">
        <v>362</v>
      </c>
    </row>
    <row r="885" customFormat="false" ht="15" hidden="false" customHeight="true" outlineLevel="0" collapsed="false">
      <c r="A885" s="51" t="s">
        <v>960</v>
      </c>
      <c r="B885" s="50" t="str">
        <f aca="false">IFERROR(VLOOKUP($A885,Equipos!$C$2:$M$967,2,FALSE()),"")</f>
        <v>Ventilador Mecánico </v>
      </c>
      <c r="C885" s="50" t="str">
        <f aca="false">IFERROR(VLOOKUP($A885,Equipos!$C$2:$M$967,9,FALSE()),"")</f>
        <v>VG70(E)XZZU8032</v>
      </c>
      <c r="D885" s="50" t="str">
        <f aca="false">IFERROR(VLOOKUP($A885,Equipos!$C$2:$M$967,3,FALSE()),"")</f>
        <v>UPC 3er Piso</v>
      </c>
      <c r="E885" s="50" t="str">
        <f aca="false">IFERROR(VLOOKUP($A885,Equipos!$C$2:$M$967,7,FALSE()),"")</f>
        <v>Aeonmed</v>
      </c>
      <c r="F885" s="50" t="str">
        <f aca="false">IFERROR(VLOOKUP($A885,Equipos!$C$2:$M$967,8,FALSE()),"")</f>
        <v>VG70</v>
      </c>
      <c r="G885" s="50" t="s">
        <v>893</v>
      </c>
      <c r="H885" s="50" t="s">
        <v>360</v>
      </c>
      <c r="I885" s="50"/>
      <c r="J885" s="50" t="s">
        <v>352</v>
      </c>
      <c r="K885" s="50" t="str">
        <f aca="false">IFERROR(VLOOKUP($J885,Catálogos!$M$4:$N$17,2,FALSE()),"")</f>
        <v>Mantención Preventiva Realizada</v>
      </c>
      <c r="L885" s="52" t="n">
        <v>46127</v>
      </c>
      <c r="M885" s="50" t="s">
        <v>353</v>
      </c>
      <c r="N885" s="50" t="s">
        <v>253</v>
      </c>
      <c r="O885" s="50"/>
      <c r="P885" s="50"/>
      <c r="Q885" s="50" t="s">
        <v>362</v>
      </c>
    </row>
    <row r="886" customFormat="false" ht="15" hidden="false" customHeight="true" outlineLevel="0" collapsed="false">
      <c r="A886" s="51" t="s">
        <v>961</v>
      </c>
      <c r="B886" s="50" t="str">
        <f aca="false">IFERROR(VLOOKUP($A886,Equipos!$C$2:$M$967,2,FALSE()),"")</f>
        <v>Ventilador Mecánico </v>
      </c>
      <c r="C886" s="50" t="str">
        <f aca="false">IFERROR(VLOOKUP($A886,Equipos!$C$2:$M$967,9,FALSE()),"")</f>
        <v>VG70(E)XZZU9473</v>
      </c>
      <c r="D886" s="50" t="str">
        <f aca="false">IFERROR(VLOOKUP($A886,Equipos!$C$2:$M$967,3,FALSE()),"")</f>
        <v>UPC 3er Piso</v>
      </c>
      <c r="E886" s="50" t="str">
        <f aca="false">IFERROR(VLOOKUP($A886,Equipos!$C$2:$M$967,7,FALSE()),"")</f>
        <v>Aeonmed</v>
      </c>
      <c r="F886" s="50" t="str">
        <f aca="false">IFERROR(VLOOKUP($A886,Equipos!$C$2:$M$967,8,FALSE()),"")</f>
        <v>VG70</v>
      </c>
      <c r="G886" s="50" t="s">
        <v>893</v>
      </c>
      <c r="H886" s="50" t="s">
        <v>360</v>
      </c>
      <c r="I886" s="50"/>
      <c r="J886" s="50" t="s">
        <v>352</v>
      </c>
      <c r="K886" s="50" t="str">
        <f aca="false">IFERROR(VLOOKUP($J886,Catálogos!$M$4:$N$17,2,FALSE()),"")</f>
        <v>Mantención Preventiva Realizada</v>
      </c>
      <c r="L886" s="52" t="n">
        <v>46127</v>
      </c>
      <c r="M886" s="50" t="s">
        <v>353</v>
      </c>
      <c r="N886" s="50" t="s">
        <v>253</v>
      </c>
      <c r="O886" s="50"/>
      <c r="P886" s="50"/>
      <c r="Q886" s="50" t="s">
        <v>362</v>
      </c>
    </row>
    <row r="887" customFormat="false" ht="15" hidden="false" customHeight="true" outlineLevel="0" collapsed="false">
      <c r="A887" s="51" t="s">
        <v>962</v>
      </c>
      <c r="B887" s="50" t="str">
        <f aca="false">IFERROR(VLOOKUP($A887,Equipos!$C$2:$M$967,2,FALSE()),"")</f>
        <v>Ventilador Mecánico </v>
      </c>
      <c r="C887" s="50" t="str">
        <f aca="false">IFERROR(VLOOKUP($A887,Equipos!$C$2:$M$967,9,FALSE()),"")</f>
        <v>VG70(E)XZZU3360</v>
      </c>
      <c r="D887" s="50" t="str">
        <f aca="false">IFERROR(VLOOKUP($A887,Equipos!$C$2:$M$967,3,FALSE()),"")</f>
        <v>UPC 3er Piso (Prestado a Urgencia Adulto)</v>
      </c>
      <c r="E887" s="50" t="str">
        <f aca="false">IFERROR(VLOOKUP($A887,Equipos!$C$2:$M$967,7,FALSE()),"")</f>
        <v>Aeonmed</v>
      </c>
      <c r="F887" s="50" t="str">
        <f aca="false">IFERROR(VLOOKUP($A887,Equipos!$C$2:$M$967,8,FALSE()),"")</f>
        <v>VG70</v>
      </c>
      <c r="G887" s="50" t="s">
        <v>893</v>
      </c>
      <c r="H887" s="50" t="s">
        <v>360</v>
      </c>
      <c r="I887" s="50"/>
      <c r="J887" s="50" t="s">
        <v>352</v>
      </c>
      <c r="K887" s="50" t="str">
        <f aca="false">IFERROR(VLOOKUP($J887,Catálogos!$M$4:$N$17,2,FALSE()),"")</f>
        <v>Mantención Preventiva Realizada</v>
      </c>
      <c r="L887" s="52" t="n">
        <v>46127</v>
      </c>
      <c r="M887" s="50" t="s">
        <v>353</v>
      </c>
      <c r="N887" s="50" t="s">
        <v>253</v>
      </c>
      <c r="O887" s="50"/>
      <c r="P887" s="50"/>
      <c r="Q887" s="50" t="s">
        <v>362</v>
      </c>
    </row>
    <row r="888" customFormat="false" ht="15" hidden="false" customHeight="true" outlineLevel="0" collapsed="false">
      <c r="A888" s="51" t="s">
        <v>963</v>
      </c>
      <c r="B888" s="50" t="str">
        <f aca="false">IFERROR(VLOOKUP($A888,Equipos!$C$2:$M$967,2,FALSE()),"")</f>
        <v>Ventilador Mecánico </v>
      </c>
      <c r="C888" s="50" t="str">
        <f aca="false">IFERROR(VLOOKUP($A888,Equipos!$C$2:$M$967,9,FALSE()),"")</f>
        <v>VG70(E)XZZU6636</v>
      </c>
      <c r="D888" s="50" t="str">
        <f aca="false">IFERROR(VLOOKUP($A888,Equipos!$C$2:$M$967,3,FALSE()),"")</f>
        <v>UPC 3er Piso (Prestado a Urgencia Adulto)</v>
      </c>
      <c r="E888" s="50" t="str">
        <f aca="false">IFERROR(VLOOKUP($A888,Equipos!$C$2:$M$967,7,FALSE()),"")</f>
        <v>Aeonmed</v>
      </c>
      <c r="F888" s="50" t="str">
        <f aca="false">IFERROR(VLOOKUP($A888,Equipos!$C$2:$M$967,8,FALSE()),"")</f>
        <v>VG70</v>
      </c>
      <c r="G888" s="50" t="s">
        <v>893</v>
      </c>
      <c r="H888" s="50" t="s">
        <v>360</v>
      </c>
      <c r="I888" s="50"/>
      <c r="J888" s="50" t="s">
        <v>352</v>
      </c>
      <c r="K888" s="50" t="str">
        <f aca="false">IFERROR(VLOOKUP($J888,Catálogos!$M$4:$N$17,2,FALSE()),"")</f>
        <v>Mantención Preventiva Realizada</v>
      </c>
      <c r="L888" s="52" t="n">
        <v>46127</v>
      </c>
      <c r="M888" s="50" t="s">
        <v>353</v>
      </c>
      <c r="N888" s="50" t="s">
        <v>253</v>
      </c>
      <c r="O888" s="50"/>
      <c r="P888" s="50"/>
      <c r="Q888" s="50" t="s">
        <v>362</v>
      </c>
    </row>
    <row r="889" customFormat="false" ht="15" hidden="false" customHeight="true" outlineLevel="0" collapsed="false">
      <c r="A889" s="51" t="s">
        <v>828</v>
      </c>
      <c r="B889" s="50" t="str">
        <f aca="false">IFERROR(VLOOKUP($A889,Equipos!$C$2:$M$967,2,FALSE()),"")</f>
        <v>Ventilador Mecánico </v>
      </c>
      <c r="C889" s="50" t="str">
        <f aca="false">IFERROR(VLOOKUP($A889,Equipos!$C$2:$M$967,9,FALSE()),"")</f>
        <v>HT7P200197</v>
      </c>
      <c r="D889" s="50" t="str">
        <f aca="false">IFERROR(VLOOKUP($A889,Equipos!$C$2:$M$967,3,FALSE()),"")</f>
        <v>UPC Cardiovascular</v>
      </c>
      <c r="E889" s="50" t="str">
        <f aca="false">IFERROR(VLOOKUP($A889,Equipos!$C$2:$M$967,7,FALSE()),"")</f>
        <v>Newport</v>
      </c>
      <c r="F889" s="50" t="str">
        <f aca="false">IFERROR(VLOOKUP($A889,Equipos!$C$2:$M$967,8,FALSE()),"")</f>
        <v>HT70 PLUS</v>
      </c>
      <c r="G889" s="50" t="s">
        <v>893</v>
      </c>
      <c r="H889" s="50" t="s">
        <v>360</v>
      </c>
      <c r="I889" s="50"/>
      <c r="J889" s="50" t="s">
        <v>352</v>
      </c>
      <c r="K889" s="50" t="str">
        <f aca="false">IFERROR(VLOOKUP($J889,Catálogos!$M$4:$N$17,2,FALSE()),"")</f>
        <v>Mantención Preventiva Realizada</v>
      </c>
      <c r="L889" s="52" t="n">
        <v>46127</v>
      </c>
      <c r="M889" s="50" t="s">
        <v>353</v>
      </c>
      <c r="N889" s="50" t="s">
        <v>253</v>
      </c>
      <c r="O889" s="50"/>
      <c r="P889" s="50"/>
      <c r="Q889" s="50" t="s">
        <v>362</v>
      </c>
    </row>
    <row r="890" customFormat="false" ht="15" hidden="false" customHeight="true" outlineLevel="0" collapsed="false">
      <c r="A890" s="51" t="s">
        <v>829</v>
      </c>
      <c r="B890" s="50" t="str">
        <f aca="false">IFERROR(VLOOKUP($A890,Equipos!$C$2:$M$967,2,FALSE()),"")</f>
        <v>Ventilador Mecánico </v>
      </c>
      <c r="C890" s="50" t="str">
        <f aca="false">IFERROR(VLOOKUP($A890,Equipos!$C$2:$M$967,9,FALSE()),"")</f>
        <v>40966N0126</v>
      </c>
      <c r="D890" s="50" t="str">
        <f aca="false">IFERROR(VLOOKUP($A890,Equipos!$C$2:$M$967,3,FALSE()),"")</f>
        <v>Urgencia Adulto (Prestado a UPC 3er piso)</v>
      </c>
      <c r="E890" s="50" t="str">
        <f aca="false">IFERROR(VLOOKUP($A890,Equipos!$C$2:$M$967,7,FALSE()),"")</f>
        <v>Puritan Bennett</v>
      </c>
      <c r="F890" s="50" t="n">
        <f aca="false">IFERROR(VLOOKUP($A890,Equipos!$C$2:$M$967,8,FALSE()),"")</f>
        <v>560</v>
      </c>
      <c r="G890" s="50" t="s">
        <v>893</v>
      </c>
      <c r="H890" s="50" t="s">
        <v>360</v>
      </c>
      <c r="I890" s="50"/>
      <c r="J890" s="50" t="s">
        <v>352</v>
      </c>
      <c r="K890" s="50" t="str">
        <f aca="false">IFERROR(VLOOKUP($J890,Catálogos!$M$4:$N$17,2,FALSE()),"")</f>
        <v>Mantención Preventiva Realizada</v>
      </c>
      <c r="L890" s="52" t="n">
        <v>46127</v>
      </c>
      <c r="M890" s="50" t="s">
        <v>353</v>
      </c>
      <c r="N890" s="50" t="s">
        <v>253</v>
      </c>
      <c r="O890" s="50"/>
      <c r="P890" s="50"/>
      <c r="Q890" s="50" t="s">
        <v>362</v>
      </c>
    </row>
    <row r="891" customFormat="false" ht="15" hidden="false" customHeight="true" outlineLevel="0" collapsed="false">
      <c r="A891" s="51" t="s">
        <v>830</v>
      </c>
      <c r="B891" s="50" t="str">
        <f aca="false">IFERROR(VLOOKUP($A891,Equipos!$C$2:$M$967,2,FALSE()),"")</f>
        <v>Ventilador Mecánico </v>
      </c>
      <c r="C891" s="50" t="str">
        <f aca="false">IFERROR(VLOOKUP($A891,Equipos!$C$2:$M$967,9,FALSE()),"")</f>
        <v>40966N0133</v>
      </c>
      <c r="D891" s="50" t="str">
        <f aca="false">IFERROR(VLOOKUP($A891,Equipos!$C$2:$M$967,3,FALSE()),"")</f>
        <v>Urgencia Adulto (Prestado a UPC Cardiovascular)</v>
      </c>
      <c r="E891" s="50" t="str">
        <f aca="false">IFERROR(VLOOKUP($A891,Equipos!$C$2:$M$967,7,FALSE()),"")</f>
        <v>Puritan Bennett</v>
      </c>
      <c r="F891" s="50" t="n">
        <f aca="false">IFERROR(VLOOKUP($A891,Equipos!$C$2:$M$967,8,FALSE()),"")</f>
        <v>560</v>
      </c>
      <c r="G891" s="50" t="s">
        <v>893</v>
      </c>
      <c r="H891" s="50" t="s">
        <v>360</v>
      </c>
      <c r="I891" s="50"/>
      <c r="J891" s="50" t="s">
        <v>352</v>
      </c>
      <c r="K891" s="50" t="str">
        <f aca="false">IFERROR(VLOOKUP($J891,Catálogos!$M$4:$N$17,2,FALSE()),"")</f>
        <v>Mantención Preventiva Realizada</v>
      </c>
      <c r="L891" s="52" t="n">
        <v>46127</v>
      </c>
      <c r="M891" s="50" t="s">
        <v>353</v>
      </c>
      <c r="N891" s="50" t="s">
        <v>253</v>
      </c>
      <c r="O891" s="50"/>
      <c r="P891" s="50"/>
      <c r="Q891" s="50" t="s">
        <v>362</v>
      </c>
    </row>
    <row r="892" customFormat="false" ht="15" hidden="false" customHeight="true" outlineLevel="0" collapsed="false">
      <c r="A892" s="51" t="s">
        <v>28</v>
      </c>
      <c r="B892" s="50" t="str">
        <f aca="false">IFERROR(VLOOKUP($A892,Equipos!$C$2:$M$967,2,FALSE()),"")</f>
        <v>Ventilador Mecánico </v>
      </c>
      <c r="C892" s="50" t="str">
        <f aca="false">IFERROR(VLOOKUP($A892,Equipos!$C$2:$M$967,9,FALSE()),"")</f>
        <v>40966N0118</v>
      </c>
      <c r="D892" s="50" t="str">
        <f aca="false">IFERROR(VLOOKUP($A892,Equipos!$C$2:$M$967,3,FALSE()),"")</f>
        <v>UPC 3er Piso</v>
      </c>
      <c r="E892" s="50" t="str">
        <f aca="false">IFERROR(VLOOKUP($A892,Equipos!$C$2:$M$967,7,FALSE()),"")</f>
        <v>Puritan Bennett</v>
      </c>
      <c r="F892" s="50" t="n">
        <f aca="false">IFERROR(VLOOKUP($A892,Equipos!$C$2:$M$967,8,FALSE()),"")</f>
        <v>560</v>
      </c>
      <c r="G892" s="50" t="s">
        <v>893</v>
      </c>
      <c r="H892" s="50" t="s">
        <v>360</v>
      </c>
      <c r="I892" s="50"/>
      <c r="J892" s="50" t="s">
        <v>352</v>
      </c>
      <c r="K892" s="50" t="str">
        <f aca="false">IFERROR(VLOOKUP($J892,Catálogos!$M$4:$N$17,2,FALSE()),"")</f>
        <v>Mantención Preventiva Realizada</v>
      </c>
      <c r="L892" s="52" t="n">
        <v>46127</v>
      </c>
      <c r="M892" s="50" t="s">
        <v>353</v>
      </c>
      <c r="N892" s="50" t="s">
        <v>253</v>
      </c>
      <c r="O892" s="50"/>
      <c r="P892" s="50"/>
      <c r="Q892" s="50" t="s">
        <v>362</v>
      </c>
    </row>
    <row r="893" customFormat="false" ht="15" hidden="false" customHeight="true" outlineLevel="0" collapsed="false">
      <c r="A893" s="51" t="s">
        <v>832</v>
      </c>
      <c r="B893" s="50" t="str">
        <f aca="false">IFERROR(VLOOKUP($A893,Equipos!$C$2:$M$967,2,FALSE()),"")</f>
        <v>Ventilador Mecánico </v>
      </c>
      <c r="C893" s="50" t="str">
        <f aca="false">IFERROR(VLOOKUP($A893,Equipos!$C$2:$M$967,9,FALSE()),"")</f>
        <v>40966N0156</v>
      </c>
      <c r="D893" s="50" t="str">
        <f aca="false">IFERROR(VLOOKUP($A893,Equipos!$C$2:$M$967,3,FALSE()),"")</f>
        <v>UPC 3er Piso</v>
      </c>
      <c r="E893" s="50" t="str">
        <f aca="false">IFERROR(VLOOKUP($A893,Equipos!$C$2:$M$967,7,FALSE()),"")</f>
        <v>Puritan Bennett</v>
      </c>
      <c r="F893" s="50" t="n">
        <f aca="false">IFERROR(VLOOKUP($A893,Equipos!$C$2:$M$967,8,FALSE()),"")</f>
        <v>560</v>
      </c>
      <c r="G893" s="50" t="s">
        <v>893</v>
      </c>
      <c r="H893" s="50" t="s">
        <v>360</v>
      </c>
      <c r="I893" s="50"/>
      <c r="J893" s="50" t="s">
        <v>352</v>
      </c>
      <c r="K893" s="50" t="str">
        <f aca="false">IFERROR(VLOOKUP($J893,Catálogos!$M$4:$N$17,2,FALSE()),"")</f>
        <v>Mantención Preventiva Realizada</v>
      </c>
      <c r="L893" s="52" t="n">
        <v>46127</v>
      </c>
      <c r="M893" s="50" t="s">
        <v>353</v>
      </c>
      <c r="N893" s="50" t="s">
        <v>253</v>
      </c>
      <c r="O893" s="50"/>
      <c r="P893" s="50"/>
      <c r="Q893" s="50" t="s">
        <v>362</v>
      </c>
    </row>
    <row r="894" customFormat="false" ht="15" hidden="false" customHeight="true" outlineLevel="0" collapsed="false">
      <c r="A894" s="51" t="s">
        <v>964</v>
      </c>
      <c r="B894" s="50" t="str">
        <f aca="false">IFERROR(VLOOKUP($A894,Equipos!$C$2:$M$967,2,FALSE()),"")</f>
        <v>Ventilador Mecánico </v>
      </c>
      <c r="C894" s="50" t="str">
        <f aca="false">IFERROR(VLOOKUP($A894,Equipos!$C$2:$M$967,9,FALSE()),"")</f>
        <v>MV2000UA1D0775</v>
      </c>
      <c r="D894" s="50" t="str">
        <f aca="false">IFERROR(VLOOKUP($A894,Equipos!$C$2:$M$967,3,FALSE()),"")</f>
        <v>UPC Adulto</v>
      </c>
      <c r="E894" s="50" t="str">
        <f aca="false">IFERROR(VLOOKUP($A894,Equipos!$C$2:$M$967,7,FALSE()),"")</f>
        <v>MEK ICS</v>
      </c>
      <c r="F894" s="50" t="str">
        <f aca="false">IFERROR(VLOOKUP($A894,Equipos!$C$2:$M$967,8,FALSE()),"")</f>
        <v>MV2000 EVO5</v>
      </c>
      <c r="G894" s="50" t="s">
        <v>893</v>
      </c>
      <c r="H894" s="50" t="s">
        <v>360</v>
      </c>
      <c r="I894" s="50"/>
      <c r="J894" s="50" t="s">
        <v>352</v>
      </c>
      <c r="K894" s="50" t="str">
        <f aca="false">IFERROR(VLOOKUP($J894,Catálogos!$M$4:$N$17,2,FALSE()),"")</f>
        <v>Mantención Preventiva Realizada</v>
      </c>
      <c r="L894" s="52" t="n">
        <v>46127</v>
      </c>
      <c r="M894" s="50" t="s">
        <v>353</v>
      </c>
      <c r="N894" s="50" t="s">
        <v>253</v>
      </c>
      <c r="O894" s="50"/>
      <c r="P894" s="50"/>
      <c r="Q894" s="50" t="s">
        <v>362</v>
      </c>
    </row>
    <row r="895" customFormat="false" ht="15" hidden="false" customHeight="true" outlineLevel="0" collapsed="false">
      <c r="A895" s="51" t="s">
        <v>834</v>
      </c>
      <c r="B895" s="50" t="str">
        <f aca="false">IFERROR(VLOOKUP($A895,Equipos!$C$2:$M$967,2,FALSE()),"")</f>
        <v>Ventilador Mecánico </v>
      </c>
      <c r="C895" s="50" t="str">
        <f aca="false">IFERROR(VLOOKUP($A895,Equipos!$C$2:$M$967,9,FALSE()),"")</f>
        <v>N17HT720120041</v>
      </c>
      <c r="D895" s="50" t="str">
        <f aca="false">IFERROR(VLOOKUP($A895,Equipos!$C$2:$M$967,3,FALSE()),"")</f>
        <v>SAMU</v>
      </c>
      <c r="E895" s="50" t="str">
        <f aca="false">IFERROR(VLOOKUP($A895,Equipos!$C$2:$M$967,7,FALSE()),"")</f>
        <v>Newport </v>
      </c>
      <c r="F895" s="50" t="str">
        <f aca="false">IFERROR(VLOOKUP($A895,Equipos!$C$2:$M$967,8,FALSE()),"")</f>
        <v>HT70 PLUS</v>
      </c>
      <c r="G895" s="50" t="s">
        <v>893</v>
      </c>
      <c r="H895" s="50" t="s">
        <v>360</v>
      </c>
      <c r="I895" s="50"/>
      <c r="J895" s="50" t="s">
        <v>352</v>
      </c>
      <c r="K895" s="50" t="str">
        <f aca="false">IFERROR(VLOOKUP($J895,Catálogos!$M$4:$N$17,2,FALSE()),"")</f>
        <v>Mantención Preventiva Realizada</v>
      </c>
      <c r="L895" s="52" t="n">
        <v>46127</v>
      </c>
      <c r="M895" s="50" t="s">
        <v>353</v>
      </c>
      <c r="N895" s="50" t="s">
        <v>253</v>
      </c>
      <c r="O895" s="50"/>
      <c r="P895" s="50"/>
      <c r="Q895" s="50" t="s">
        <v>362</v>
      </c>
    </row>
    <row r="896" customFormat="false" ht="15" hidden="false" customHeight="true" outlineLevel="0" collapsed="false">
      <c r="A896" s="51" t="s">
        <v>835</v>
      </c>
      <c r="B896" s="50" t="str">
        <f aca="false">IFERROR(VLOOKUP($A896,Equipos!$C$2:$M$967,2,FALSE()),"")</f>
        <v>Ventilador Mecánico </v>
      </c>
      <c r="C896" s="50" t="str">
        <f aca="false">IFERROR(VLOOKUP($A896,Equipos!$C$2:$M$967,9,FALSE()),"")</f>
        <v>N14HT720413504</v>
      </c>
      <c r="D896" s="50" t="str">
        <f aca="false">IFERROR(VLOOKUP($A896,Equipos!$C$2:$M$967,3,FALSE()),"")</f>
        <v>Urgencia Adulto (Prestado a UPC Cardiovascular)</v>
      </c>
      <c r="E896" s="50" t="str">
        <f aca="false">IFERROR(VLOOKUP($A896,Equipos!$C$2:$M$967,7,FALSE()),"")</f>
        <v>Newport </v>
      </c>
      <c r="F896" s="50" t="str">
        <f aca="false">IFERROR(VLOOKUP($A896,Equipos!$C$2:$M$967,8,FALSE()),"")</f>
        <v>HT70 PLUS</v>
      </c>
      <c r="G896" s="50" t="s">
        <v>893</v>
      </c>
      <c r="H896" s="50" t="s">
        <v>360</v>
      </c>
      <c r="I896" s="50"/>
      <c r="J896" s="50" t="s">
        <v>352</v>
      </c>
      <c r="K896" s="50" t="str">
        <f aca="false">IFERROR(VLOOKUP($J896,Catálogos!$M$4:$N$17,2,FALSE()),"")</f>
        <v>Mantención Preventiva Realizada</v>
      </c>
      <c r="L896" s="52" t="n">
        <v>46127</v>
      </c>
      <c r="M896" s="50" t="s">
        <v>353</v>
      </c>
      <c r="N896" s="50" t="s">
        <v>253</v>
      </c>
      <c r="O896" s="50"/>
      <c r="P896" s="50"/>
      <c r="Q896" s="50" t="s">
        <v>362</v>
      </c>
    </row>
    <row r="897" customFormat="false" ht="15" hidden="false" customHeight="true" outlineLevel="0" collapsed="false">
      <c r="A897" s="51" t="s">
        <v>965</v>
      </c>
      <c r="B897" s="50" t="str">
        <f aca="false">IFERROR(VLOOKUP($A897,Equipos!$C$2:$M$967,2,FALSE()),"")</f>
        <v>Ventilador Mecánico </v>
      </c>
      <c r="C897" s="50" t="str">
        <f aca="false">IFERROR(VLOOKUP($A897,Equipos!$C$2:$M$967,9,FALSE()),"")</f>
        <v>MV2000UA1D0987</v>
      </c>
      <c r="D897" s="50" t="str">
        <f aca="false">IFERROR(VLOOKUP($A897,Equipos!$C$2:$M$967,3,FALSE()),"")</f>
        <v>UPC Adulto</v>
      </c>
      <c r="E897" s="50" t="str">
        <f aca="false">IFERROR(VLOOKUP($A897,Equipos!$C$2:$M$967,7,FALSE()),"")</f>
        <v>MEK ICS</v>
      </c>
      <c r="F897" s="50" t="str">
        <f aca="false">IFERROR(VLOOKUP($A897,Equipos!$C$2:$M$967,8,FALSE()),"")</f>
        <v>MV2000 EVO5</v>
      </c>
      <c r="G897" s="50" t="s">
        <v>893</v>
      </c>
      <c r="H897" s="50" t="s">
        <v>360</v>
      </c>
      <c r="I897" s="50"/>
      <c r="J897" s="50" t="s">
        <v>352</v>
      </c>
      <c r="K897" s="50" t="str">
        <f aca="false">IFERROR(VLOOKUP($J897,Catálogos!$M$4:$N$17,2,FALSE()),"")</f>
        <v>Mantención Preventiva Realizada</v>
      </c>
      <c r="L897" s="52" t="n">
        <v>46127</v>
      </c>
      <c r="M897" s="50" t="s">
        <v>353</v>
      </c>
      <c r="N897" s="50" t="s">
        <v>253</v>
      </c>
      <c r="O897" s="50"/>
      <c r="P897" s="50"/>
      <c r="Q897" s="50" t="s">
        <v>362</v>
      </c>
    </row>
    <row r="898" customFormat="false" ht="15" hidden="false" customHeight="true" outlineLevel="0" collapsed="false">
      <c r="A898" s="51" t="s">
        <v>836</v>
      </c>
      <c r="B898" s="50" t="str">
        <f aca="false">IFERROR(VLOOKUP($A898,Equipos!$C$2:$M$967,2,FALSE()),"")</f>
        <v>Ventilador Mecánico </v>
      </c>
      <c r="C898" s="50" t="str">
        <f aca="false">IFERROR(VLOOKUP($A898,Equipos!$C$2:$M$967,9,FALSE()),"")</f>
        <v>79510</v>
      </c>
      <c r="D898" s="50" t="str">
        <f aca="false">IFERROR(VLOOKUP($A898,Equipos!$C$2:$M$967,3,FALSE()),"")</f>
        <v>UPC Adulto</v>
      </c>
      <c r="E898" s="50" t="str">
        <f aca="false">IFERROR(VLOOKUP($A898,Equipos!$C$2:$M$967,7,FALSE()),"")</f>
        <v>Maquet</v>
      </c>
      <c r="F898" s="50" t="str">
        <f aca="false">IFERROR(VLOOKUP($A898,Equipos!$C$2:$M$967,8,FALSE()),"")</f>
        <v>Servo i RM</v>
      </c>
      <c r="G898" s="50" t="s">
        <v>893</v>
      </c>
      <c r="H898" s="50" t="s">
        <v>360</v>
      </c>
      <c r="I898" s="50"/>
      <c r="J898" s="50" t="s">
        <v>352</v>
      </c>
      <c r="K898" s="50" t="str">
        <f aca="false">IFERROR(VLOOKUP($J898,Catálogos!$M$4:$N$17,2,FALSE()),"")</f>
        <v>Mantención Preventiva Realizada</v>
      </c>
      <c r="L898" s="52" t="n">
        <v>46127</v>
      </c>
      <c r="M898" s="50" t="s">
        <v>353</v>
      </c>
      <c r="N898" s="50" t="s">
        <v>253</v>
      </c>
      <c r="O898" s="50"/>
      <c r="P898" s="50"/>
      <c r="Q898" s="50" t="s">
        <v>362</v>
      </c>
    </row>
    <row r="899" customFormat="false" ht="15" hidden="false" customHeight="true" outlineLevel="0" collapsed="false">
      <c r="A899" s="51" t="s">
        <v>966</v>
      </c>
      <c r="B899" s="50" t="str">
        <f aca="false">IFERROR(VLOOKUP($A899,Equipos!$C$2:$M$967,2,FALSE()),"")</f>
        <v>Ventilador Mecánico </v>
      </c>
      <c r="C899" s="50" t="str">
        <f aca="false">IFERROR(VLOOKUP($A899,Equipos!$C$2:$M$967,9,FALSE()),"")</f>
        <v>MV2000UA1D0984</v>
      </c>
      <c r="D899" s="50" t="str">
        <f aca="false">IFERROR(VLOOKUP($A899,Equipos!$C$2:$M$967,3,FALSE()),"")</f>
        <v>UPC Adulto</v>
      </c>
      <c r="E899" s="50" t="str">
        <f aca="false">IFERROR(VLOOKUP($A899,Equipos!$C$2:$M$967,7,FALSE()),"")</f>
        <v>MEK ICS</v>
      </c>
      <c r="F899" s="50" t="str">
        <f aca="false">IFERROR(VLOOKUP($A899,Equipos!$C$2:$M$967,8,FALSE()),"")</f>
        <v>MV2000 EVO5</v>
      </c>
      <c r="G899" s="50" t="s">
        <v>893</v>
      </c>
      <c r="H899" s="50" t="s">
        <v>360</v>
      </c>
      <c r="I899" s="50"/>
      <c r="J899" s="50" t="s">
        <v>352</v>
      </c>
      <c r="K899" s="50" t="str">
        <f aca="false">IFERROR(VLOOKUP($J899,Catálogos!$M$4:$N$17,2,FALSE()),"")</f>
        <v>Mantención Preventiva Realizada</v>
      </c>
      <c r="L899" s="52" t="n">
        <v>46127</v>
      </c>
      <c r="M899" s="50" t="s">
        <v>353</v>
      </c>
      <c r="N899" s="50" t="s">
        <v>253</v>
      </c>
      <c r="O899" s="50"/>
      <c r="P899" s="50"/>
      <c r="Q899" s="50" t="s">
        <v>362</v>
      </c>
    </row>
    <row r="900" customFormat="false" ht="15" hidden="false" customHeight="true" outlineLevel="0" collapsed="false">
      <c r="A900" s="51" t="s">
        <v>837</v>
      </c>
      <c r="B900" s="50" t="str">
        <f aca="false">IFERROR(VLOOKUP($A900,Equipos!$C$2:$M$967,2,FALSE()),"")</f>
        <v>Ventilador Mecánico </v>
      </c>
      <c r="C900" s="50" t="str">
        <f aca="false">IFERROR(VLOOKUP($A900,Equipos!$C$2:$M$967,9,FALSE()),"")</f>
        <v>3512141901</v>
      </c>
      <c r="D900" s="50" t="str">
        <f aca="false">IFERROR(VLOOKUP($A900,Equipos!$C$2:$M$967,3,FALSE()),"")</f>
        <v>Urgencia Adulto (Prestado a UPC Cardiovascular)</v>
      </c>
      <c r="E900" s="50" t="str">
        <f aca="false">IFERROR(VLOOKUP($A900,Equipos!$C$2:$M$967,7,FALSE()),"")</f>
        <v>Puritan Bennett</v>
      </c>
      <c r="F900" s="50" t="str">
        <f aca="false">IFERROR(VLOOKUP($A900,Equipos!$C$2:$M$967,8,FALSE()),"")</f>
        <v>840/Sin Comp.</v>
      </c>
      <c r="G900" s="50" t="s">
        <v>893</v>
      </c>
      <c r="H900" s="50" t="s">
        <v>360</v>
      </c>
      <c r="I900" s="50"/>
      <c r="J900" s="50" t="s">
        <v>352</v>
      </c>
      <c r="K900" s="50" t="str">
        <f aca="false">IFERROR(VLOOKUP($J900,Catálogos!$M$4:$N$17,2,FALSE()),"")</f>
        <v>Mantención Preventiva Realizada</v>
      </c>
      <c r="L900" s="52" t="n">
        <v>46127</v>
      </c>
      <c r="M900" s="50" t="s">
        <v>353</v>
      </c>
      <c r="N900" s="50" t="s">
        <v>253</v>
      </c>
      <c r="O900" s="50"/>
      <c r="P900" s="50"/>
      <c r="Q900" s="50" t="s">
        <v>362</v>
      </c>
    </row>
    <row r="901" customFormat="false" ht="15" hidden="false" customHeight="true" outlineLevel="0" collapsed="false">
      <c r="A901" s="51" t="s">
        <v>839</v>
      </c>
      <c r="B901" s="50" t="str">
        <f aca="false">IFERROR(VLOOKUP($A901,Equipos!$C$2:$M$967,2,FALSE()),"")</f>
        <v>Ventilador Mecánico </v>
      </c>
      <c r="C901" s="50" t="str">
        <f aca="false">IFERROR(VLOOKUP($A901,Equipos!$C$2:$M$967,9,FALSE()),"")</f>
        <v>35B2100833</v>
      </c>
      <c r="D901" s="50" t="str">
        <f aca="false">IFERROR(VLOOKUP($A901,Equipos!$C$2:$M$967,3,FALSE()),"")</f>
        <v>UPC Cardiovascular</v>
      </c>
      <c r="E901" s="50" t="str">
        <f aca="false">IFERROR(VLOOKUP($A901,Equipos!$C$2:$M$967,7,FALSE()),"")</f>
        <v>Puritan Bennett</v>
      </c>
      <c r="F901" s="50" t="str">
        <f aca="false">IFERROR(VLOOKUP($A901,Equipos!$C$2:$M$967,8,FALSE()),"")</f>
        <v>980/cc</v>
      </c>
      <c r="G901" s="50" t="s">
        <v>893</v>
      </c>
      <c r="H901" s="50" t="s">
        <v>360</v>
      </c>
      <c r="I901" s="50"/>
      <c r="J901" s="50" t="s">
        <v>352</v>
      </c>
      <c r="K901" s="50" t="str">
        <f aca="false">IFERROR(VLOOKUP($J901,Catálogos!$M$4:$N$17,2,FALSE()),"")</f>
        <v>Mantención Preventiva Realizada</v>
      </c>
      <c r="L901" s="52" t="n">
        <v>46127</v>
      </c>
      <c r="M901" s="50" t="s">
        <v>353</v>
      </c>
      <c r="N901" s="50" t="s">
        <v>253</v>
      </c>
      <c r="O901" s="50"/>
      <c r="P901" s="50"/>
      <c r="Q901" s="50" t="s">
        <v>362</v>
      </c>
    </row>
    <row r="902" customFormat="false" ht="15" hidden="false" customHeight="true" outlineLevel="0" collapsed="false">
      <c r="A902" s="51" t="s">
        <v>845</v>
      </c>
      <c r="B902" s="50" t="str">
        <f aca="false">IFERROR(VLOOKUP($A902,Equipos!$C$2:$M$967,2,FALSE()),"")</f>
        <v>Ventilador Mecánico </v>
      </c>
      <c r="C902" s="50" t="str">
        <f aca="false">IFERROR(VLOOKUP($A902,Equipos!$C$2:$M$967,9,FALSE()),"")</f>
        <v>TV019111203</v>
      </c>
      <c r="D902" s="50" t="str">
        <f aca="false">IFERROR(VLOOKUP($A902,Equipos!$C$2:$M$967,3,FALSE()),"")</f>
        <v>Urgencia Adulto (Prestado a Urgencia Infantil)</v>
      </c>
      <c r="E902" s="50" t="str">
        <f aca="false">IFERROR(VLOOKUP($A902,Equipos!$C$2:$M$967,7,FALSE()),"")</f>
        <v>Philips</v>
      </c>
      <c r="F902" s="50" t="str">
        <f aca="false">IFERROR(VLOOKUP($A902,Equipos!$C$2:$M$967,8,FALSE()),"")</f>
        <v>Trilogy 202</v>
      </c>
      <c r="G902" s="50" t="s">
        <v>893</v>
      </c>
      <c r="H902" s="50" t="s">
        <v>360</v>
      </c>
      <c r="I902" s="50"/>
      <c r="J902" s="50" t="s">
        <v>352</v>
      </c>
      <c r="K902" s="50" t="str">
        <f aca="false">IFERROR(VLOOKUP($J902,Catálogos!$M$4:$N$17,2,FALSE()),"")</f>
        <v>Mantención Preventiva Realizada</v>
      </c>
      <c r="L902" s="52" t="n">
        <v>46127</v>
      </c>
      <c r="M902" s="50" t="s">
        <v>353</v>
      </c>
      <c r="N902" s="50" t="s">
        <v>253</v>
      </c>
      <c r="O902" s="50"/>
      <c r="P902" s="50"/>
      <c r="Q902" s="50" t="s">
        <v>362</v>
      </c>
    </row>
    <row r="903" customFormat="false" ht="15" hidden="false" customHeight="true" outlineLevel="0" collapsed="false">
      <c r="A903" s="51" t="s">
        <v>967</v>
      </c>
      <c r="B903" s="50" t="str">
        <f aca="false">IFERROR(VLOOKUP($A903,Equipos!$C$2:$M$967,2,FALSE()),"")</f>
        <v>Ventilador Alta Frecuencia</v>
      </c>
      <c r="C903" s="50" t="str">
        <f aca="false">IFERROR(VLOOKUP($A903,Equipos!$C$2:$M$967,9,FALSE()),"")</f>
        <v>BBW01018</v>
      </c>
      <c r="D903" s="50" t="str">
        <f aca="false">IFERROR(VLOOKUP($A903,Equipos!$C$2:$M$967,3,FALSE()),"")</f>
        <v>UPC Pediátrica</v>
      </c>
      <c r="E903" s="50" t="str">
        <f aca="false">IFERROR(VLOOKUP($A903,Equipos!$C$2:$M$967,7,FALSE()),"")</f>
        <v>CareFusion</v>
      </c>
      <c r="F903" s="50" t="str">
        <f aca="false">IFERROR(VLOOKUP($A903,Equipos!$C$2:$M$967,8,FALSE()),"")</f>
        <v>Sensormedics 3100B</v>
      </c>
      <c r="G903" s="50" t="s">
        <v>893</v>
      </c>
      <c r="H903" s="50" t="s">
        <v>360</v>
      </c>
      <c r="I903" s="50"/>
      <c r="J903" s="50" t="s">
        <v>352</v>
      </c>
      <c r="K903" s="50" t="str">
        <f aca="false">IFERROR(VLOOKUP($J903,Catálogos!$M$4:$N$17,2,FALSE()),"")</f>
        <v>Mantención Preventiva Realizada</v>
      </c>
      <c r="L903" s="52" t="n">
        <v>46127</v>
      </c>
      <c r="M903" s="50" t="s">
        <v>353</v>
      </c>
      <c r="N903" s="50" t="s">
        <v>253</v>
      </c>
      <c r="O903" s="50"/>
      <c r="P903" s="50"/>
      <c r="Q903" s="50" t="s">
        <v>362</v>
      </c>
    </row>
    <row r="904" customFormat="false" ht="15" hidden="false" customHeight="true" outlineLevel="0" collapsed="false">
      <c r="A904" s="51" t="s">
        <v>968</v>
      </c>
      <c r="B904" s="50" t="str">
        <f aca="false">IFERROR(VLOOKUP($A904,Equipos!$C$2:$M$967,2,FALSE()),"")</f>
        <v>Ventilador Alta Frecuencia</v>
      </c>
      <c r="C904" s="50" t="str">
        <f aca="false">IFERROR(VLOOKUP($A904,Equipos!$C$2:$M$967,9,FALSE()),"")</f>
        <v>TMA24453</v>
      </c>
      <c r="D904" s="50" t="str">
        <f aca="false">IFERROR(VLOOKUP($A904,Equipos!$C$2:$M$967,3,FALSE()),"")</f>
        <v>Neonatología</v>
      </c>
      <c r="E904" s="50" t="str">
        <f aca="false">IFERROR(VLOOKUP($A904,Equipos!$C$2:$M$967,7,FALSE()),"")</f>
        <v>CareFusion</v>
      </c>
      <c r="F904" s="50" t="str">
        <f aca="false">IFERROR(VLOOKUP($A904,Equipos!$C$2:$M$967,8,FALSE()),"")</f>
        <v>Sensormedics 3100A</v>
      </c>
      <c r="G904" s="50" t="s">
        <v>893</v>
      </c>
      <c r="H904" s="50" t="s">
        <v>360</v>
      </c>
      <c r="I904" s="50"/>
      <c r="J904" s="50" t="s">
        <v>352</v>
      </c>
      <c r="K904" s="50" t="str">
        <f aca="false">IFERROR(VLOOKUP($J904,Catálogos!$M$4:$N$17,2,FALSE()),"")</f>
        <v>Mantención Preventiva Realizada</v>
      </c>
      <c r="L904" s="52" t="n">
        <v>46127</v>
      </c>
      <c r="M904" s="50" t="s">
        <v>353</v>
      </c>
      <c r="N904" s="50" t="s">
        <v>253</v>
      </c>
      <c r="O904" s="50"/>
      <c r="P904" s="50"/>
      <c r="Q904" s="50" t="s">
        <v>362</v>
      </c>
    </row>
    <row r="905" customFormat="false" ht="15" hidden="false" customHeight="true" outlineLevel="0" collapsed="false">
      <c r="A905" s="51" t="s">
        <v>849</v>
      </c>
      <c r="B905" s="50" t="str">
        <f aca="false">IFERROR(VLOOKUP($A905,Equipos!$C$2:$M$967,2,FALSE()),"")</f>
        <v>Ventilador Mecánico </v>
      </c>
      <c r="C905" s="50" t="str">
        <f aca="false">IFERROR(VLOOKUP($A905,Equipos!$C$2:$M$967,9,FALSE()),"")</f>
        <v>27409</v>
      </c>
      <c r="D905" s="50" t="str">
        <f aca="false">IFERROR(VLOOKUP($A905,Equipos!$C$2:$M$967,3,FALSE()),"")</f>
        <v>UPC Pediátrica </v>
      </c>
      <c r="E905" s="50" t="str">
        <f aca="false">IFERROR(VLOOKUP($A905,Equipos!$C$2:$M$967,7,FALSE()),"")</f>
        <v>Maquet</v>
      </c>
      <c r="F905" s="50" t="str">
        <f aca="false">IFERROR(VLOOKUP($A905,Equipos!$C$2:$M$967,8,FALSE()),"")</f>
        <v>Servo i</v>
      </c>
      <c r="G905" s="50" t="s">
        <v>893</v>
      </c>
      <c r="H905" s="50" t="s">
        <v>360</v>
      </c>
      <c r="I905" s="50"/>
      <c r="J905" s="50" t="s">
        <v>352</v>
      </c>
      <c r="K905" s="50" t="str">
        <f aca="false">IFERROR(VLOOKUP($J905,Catálogos!$M$4:$N$17,2,FALSE()),"")</f>
        <v>Mantención Preventiva Realizada</v>
      </c>
      <c r="L905" s="52" t="n">
        <v>46127</v>
      </c>
      <c r="M905" s="50" t="s">
        <v>353</v>
      </c>
      <c r="N905" s="50" t="s">
        <v>253</v>
      </c>
      <c r="O905" s="50"/>
      <c r="P905" s="50"/>
      <c r="Q905" s="50" t="s">
        <v>362</v>
      </c>
    </row>
    <row r="906" customFormat="false" ht="15" hidden="false" customHeight="true" outlineLevel="0" collapsed="false">
      <c r="A906" s="51" t="s">
        <v>850</v>
      </c>
      <c r="B906" s="50" t="str">
        <f aca="false">IFERROR(VLOOKUP($A906,Equipos!$C$2:$M$967,2,FALSE()),"")</f>
        <v>Ventilador Mecánico </v>
      </c>
      <c r="C906" s="50" t="str">
        <f aca="false">IFERROR(VLOOKUP($A906,Equipos!$C$2:$M$967,9,FALSE()),"")</f>
        <v>15062</v>
      </c>
      <c r="D906" s="50" t="str">
        <f aca="false">IFERROR(VLOOKUP($A906,Equipos!$C$2:$M$967,3,FALSE()),"")</f>
        <v>UPC Pediátrica </v>
      </c>
      <c r="E906" s="50" t="str">
        <f aca="false">IFERROR(VLOOKUP($A906,Equipos!$C$2:$M$967,7,FALSE()),"")</f>
        <v>Maquet</v>
      </c>
      <c r="F906" s="50" t="str">
        <f aca="false">IFERROR(VLOOKUP($A906,Equipos!$C$2:$M$967,8,FALSE()),"")</f>
        <v>Servo i</v>
      </c>
      <c r="G906" s="50" t="s">
        <v>893</v>
      </c>
      <c r="H906" s="50" t="s">
        <v>360</v>
      </c>
      <c r="I906" s="50"/>
      <c r="J906" s="50" t="s">
        <v>352</v>
      </c>
      <c r="K906" s="50" t="str">
        <f aca="false">IFERROR(VLOOKUP($J906,Catálogos!$M$4:$N$17,2,FALSE()),"")</f>
        <v>Mantención Preventiva Realizada</v>
      </c>
      <c r="L906" s="52" t="n">
        <v>46127</v>
      </c>
      <c r="M906" s="50" t="s">
        <v>353</v>
      </c>
      <c r="N906" s="50" t="s">
        <v>253</v>
      </c>
      <c r="O906" s="50"/>
      <c r="P906" s="50"/>
      <c r="Q906" s="50" t="s">
        <v>362</v>
      </c>
    </row>
    <row r="907" customFormat="false" ht="15" hidden="false" customHeight="true" outlineLevel="0" collapsed="false">
      <c r="A907" s="51" t="s">
        <v>969</v>
      </c>
      <c r="B907" s="50" t="str">
        <f aca="false">IFERROR(VLOOKUP($A907,Equipos!$C$2:$M$967,2,FALSE()),"")</f>
        <v>Ventilador Mecánico </v>
      </c>
      <c r="C907" s="50" t="str">
        <f aca="false">IFERROR(VLOOKUP($A907,Equipos!$C$2:$M$967,9,FALSE()),"")</f>
        <v>MV2000UA1D0803</v>
      </c>
      <c r="D907" s="50" t="str">
        <f aca="false">IFERROR(VLOOKUP($A907,Equipos!$C$2:$M$967,3,FALSE()),"")</f>
        <v>UPC Adulto</v>
      </c>
      <c r="E907" s="50" t="str">
        <f aca="false">IFERROR(VLOOKUP($A907,Equipos!$C$2:$M$967,7,FALSE()),"")</f>
        <v>MEK ICS</v>
      </c>
      <c r="F907" s="50" t="str">
        <f aca="false">IFERROR(VLOOKUP($A907,Equipos!$C$2:$M$967,8,FALSE()),"")</f>
        <v>MV2000 EVO5</v>
      </c>
      <c r="G907" s="50" t="s">
        <v>893</v>
      </c>
      <c r="H907" s="50" t="s">
        <v>360</v>
      </c>
      <c r="I907" s="50"/>
      <c r="J907" s="50" t="s">
        <v>352</v>
      </c>
      <c r="K907" s="50" t="str">
        <f aca="false">IFERROR(VLOOKUP($J907,Catálogos!$M$4:$N$17,2,FALSE()),"")</f>
        <v>Mantención Preventiva Realizada</v>
      </c>
      <c r="L907" s="52" t="n">
        <v>46127</v>
      </c>
      <c r="M907" s="50" t="s">
        <v>353</v>
      </c>
      <c r="N907" s="50" t="s">
        <v>253</v>
      </c>
      <c r="O907" s="50"/>
      <c r="P907" s="50"/>
      <c r="Q907" s="50" t="s">
        <v>362</v>
      </c>
    </row>
    <row r="908" customFormat="false" ht="15" hidden="false" customHeight="true" outlineLevel="0" collapsed="false">
      <c r="A908" s="51" t="s">
        <v>970</v>
      </c>
      <c r="B908" s="50" t="str">
        <f aca="false">IFERROR(VLOOKUP($A908,Equipos!$C$2:$M$967,2,FALSE()),"")</f>
        <v>Ventilador Alta Frecuencia</v>
      </c>
      <c r="C908" s="50" t="str">
        <f aca="false">IFERROR(VLOOKUP($A908,Equipos!$C$2:$M$967,9,FALSE()),"")</f>
        <v>AJW01025</v>
      </c>
      <c r="D908" s="50" t="str">
        <f aca="false">IFERROR(VLOOKUP($A908,Equipos!$C$2:$M$967,3,FALSE()),"")</f>
        <v>UPC Pediátrica </v>
      </c>
      <c r="E908" s="50" t="str">
        <f aca="false">IFERROR(VLOOKUP($A908,Equipos!$C$2:$M$967,7,FALSE()),"")</f>
        <v>CareFusion</v>
      </c>
      <c r="F908" s="50" t="str">
        <f aca="false">IFERROR(VLOOKUP($A908,Equipos!$C$2:$M$967,8,FALSE()),"")</f>
        <v>Sensormedics 3100A </v>
      </c>
      <c r="G908" s="50" t="s">
        <v>893</v>
      </c>
      <c r="H908" s="50" t="s">
        <v>360</v>
      </c>
      <c r="I908" s="50"/>
      <c r="J908" s="50" t="s">
        <v>352</v>
      </c>
      <c r="K908" s="50" t="str">
        <f aca="false">IFERROR(VLOOKUP($J908,Catálogos!$M$4:$N$17,2,FALSE()),"")</f>
        <v>Mantención Preventiva Realizada</v>
      </c>
      <c r="L908" s="52" t="n">
        <v>46127</v>
      </c>
      <c r="M908" s="50" t="s">
        <v>353</v>
      </c>
      <c r="N908" s="50" t="s">
        <v>253</v>
      </c>
      <c r="O908" s="50"/>
      <c r="P908" s="50"/>
      <c r="Q908" s="50" t="s">
        <v>362</v>
      </c>
    </row>
    <row r="909" customFormat="false" ht="15" hidden="false" customHeight="true" outlineLevel="0" collapsed="false">
      <c r="A909" s="51" t="s">
        <v>851</v>
      </c>
      <c r="B909" s="50" t="str">
        <f aca="false">IFERROR(VLOOKUP($A909,Equipos!$C$2:$M$967,2,FALSE()),"")</f>
        <v>Ventilador Mecánico </v>
      </c>
      <c r="C909" s="50" t="str">
        <f aca="false">IFERROR(VLOOKUP($A909,Equipos!$C$2:$M$967,9,FALSE()),"")</f>
        <v>3510053070</v>
      </c>
      <c r="D909" s="50" t="str">
        <f aca="false">IFERROR(VLOOKUP($A909,Equipos!$C$2:$M$967,3,FALSE()),"")</f>
        <v>UPC Cardiovascular</v>
      </c>
      <c r="E909" s="50" t="str">
        <f aca="false">IFERROR(VLOOKUP($A909,Equipos!$C$2:$M$967,7,FALSE()),"")</f>
        <v>Puritan Bennett</v>
      </c>
      <c r="F909" s="50" t="n">
        <f aca="false">IFERROR(VLOOKUP($A909,Equipos!$C$2:$M$967,8,FALSE()),"")</f>
        <v>840</v>
      </c>
      <c r="G909" s="50" t="s">
        <v>893</v>
      </c>
      <c r="H909" s="50" t="s">
        <v>360</v>
      </c>
      <c r="I909" s="50"/>
      <c r="J909" s="50" t="s">
        <v>352</v>
      </c>
      <c r="K909" s="50" t="str">
        <f aca="false">IFERROR(VLOOKUP($J909,Catálogos!$M$4:$N$17,2,FALSE()),"")</f>
        <v>Mantención Preventiva Realizada</v>
      </c>
      <c r="L909" s="52" t="n">
        <v>46127</v>
      </c>
      <c r="M909" s="50" t="s">
        <v>353</v>
      </c>
      <c r="N909" s="50" t="s">
        <v>253</v>
      </c>
      <c r="O909" s="50"/>
      <c r="P909" s="50"/>
      <c r="Q909" s="50" t="s">
        <v>362</v>
      </c>
    </row>
    <row r="910" customFormat="false" ht="15" hidden="false" customHeight="true" outlineLevel="0" collapsed="false">
      <c r="A910" s="51" t="s">
        <v>852</v>
      </c>
      <c r="B910" s="50" t="str">
        <f aca="false">IFERROR(VLOOKUP($A910,Equipos!$C$2:$M$967,2,FALSE()),"")</f>
        <v>Ventilador Mecánico </v>
      </c>
      <c r="C910" s="50" t="str">
        <f aca="false">IFERROR(VLOOKUP($A910,Equipos!$C$2:$M$967,9,FALSE()),"")</f>
        <v>3510053116</v>
      </c>
      <c r="D910" s="50" t="str">
        <f aca="false">IFERROR(VLOOKUP($A910,Equipos!$C$2:$M$967,3,FALSE()),"")</f>
        <v>UPC Cardiovascular</v>
      </c>
      <c r="E910" s="50" t="str">
        <f aca="false">IFERROR(VLOOKUP($A910,Equipos!$C$2:$M$967,7,FALSE()),"")</f>
        <v>Puritan Bennett</v>
      </c>
      <c r="F910" s="50" t="n">
        <f aca="false">IFERROR(VLOOKUP($A910,Equipos!$C$2:$M$967,8,FALSE()),"")</f>
        <v>840</v>
      </c>
      <c r="G910" s="50" t="s">
        <v>893</v>
      </c>
      <c r="H910" s="50" t="s">
        <v>360</v>
      </c>
      <c r="I910" s="50"/>
      <c r="J910" s="50" t="s">
        <v>352</v>
      </c>
      <c r="K910" s="50" t="str">
        <f aca="false">IFERROR(VLOOKUP($J910,Catálogos!$M$4:$N$17,2,FALSE()),"")</f>
        <v>Mantención Preventiva Realizada</v>
      </c>
      <c r="L910" s="52" t="n">
        <v>46127</v>
      </c>
      <c r="M910" s="50" t="s">
        <v>353</v>
      </c>
      <c r="N910" s="50" t="s">
        <v>253</v>
      </c>
      <c r="O910" s="50"/>
      <c r="P910" s="50"/>
      <c r="Q910" s="50" t="s">
        <v>362</v>
      </c>
    </row>
    <row r="911" customFormat="false" ht="15" hidden="false" customHeight="true" outlineLevel="0" collapsed="false">
      <c r="A911" s="51" t="s">
        <v>853</v>
      </c>
      <c r="B911" s="50" t="str">
        <f aca="false">IFERROR(VLOOKUP($A911,Equipos!$C$2:$M$967,2,FALSE()),"")</f>
        <v>Ventilador Mecánico </v>
      </c>
      <c r="C911" s="50" t="str">
        <f aca="false">IFERROR(VLOOKUP($A911,Equipos!$C$2:$M$967,9,FALSE()),"")</f>
        <v>HT7P200663</v>
      </c>
      <c r="D911" s="50" t="str">
        <f aca="false">IFERROR(VLOOKUP($A911,Equipos!$C$2:$M$967,3,FALSE()),"")</f>
        <v>SAMU</v>
      </c>
      <c r="E911" s="50" t="str">
        <f aca="false">IFERROR(VLOOKUP($A911,Equipos!$C$2:$M$967,7,FALSE()),"")</f>
        <v>Newport</v>
      </c>
      <c r="F911" s="50" t="str">
        <f aca="false">IFERROR(VLOOKUP($A911,Equipos!$C$2:$M$967,8,FALSE()),"")</f>
        <v>HT70 PLUS</v>
      </c>
      <c r="G911" s="50" t="s">
        <v>893</v>
      </c>
      <c r="H911" s="50" t="s">
        <v>360</v>
      </c>
      <c r="I911" s="50"/>
      <c r="J911" s="50" t="s">
        <v>352</v>
      </c>
      <c r="K911" s="50" t="str">
        <f aca="false">IFERROR(VLOOKUP($J911,Catálogos!$M$4:$N$17,2,FALSE()),"")</f>
        <v>Mantención Preventiva Realizada</v>
      </c>
      <c r="L911" s="52" t="n">
        <v>46127</v>
      </c>
      <c r="M911" s="50" t="s">
        <v>353</v>
      </c>
      <c r="N911" s="50" t="s">
        <v>253</v>
      </c>
      <c r="O911" s="50"/>
      <c r="P911" s="50"/>
      <c r="Q911" s="50" t="s">
        <v>362</v>
      </c>
    </row>
    <row r="912" customFormat="false" ht="15" hidden="false" customHeight="true" outlineLevel="0" collapsed="false">
      <c r="A912" s="51" t="s">
        <v>854</v>
      </c>
      <c r="B912" s="50" t="str">
        <f aca="false">IFERROR(VLOOKUP($A912,Equipos!$C$2:$M$967,2,FALSE()),"")</f>
        <v>Ventilador Mecánico </v>
      </c>
      <c r="C912" s="50" t="str">
        <f aca="false">IFERROR(VLOOKUP($A912,Equipos!$C$2:$M$967,9,FALSE()),"")</f>
        <v>3510094107</v>
      </c>
      <c r="D912" s="50" t="str">
        <f aca="false">IFERROR(VLOOKUP($A912,Equipos!$C$2:$M$967,3,FALSE()),"")</f>
        <v>UPC Cardiovascular</v>
      </c>
      <c r="E912" s="50" t="str">
        <f aca="false">IFERROR(VLOOKUP($A912,Equipos!$C$2:$M$967,7,FALSE()),"")</f>
        <v>Puritan Bennett</v>
      </c>
      <c r="F912" s="50" t="str">
        <f aca="false">IFERROR(VLOOKUP($A912,Equipos!$C$2:$M$967,8,FALSE()),"")</f>
        <v>840/Sin Comp.</v>
      </c>
      <c r="G912" s="50" t="s">
        <v>893</v>
      </c>
      <c r="H912" s="50" t="s">
        <v>360</v>
      </c>
      <c r="I912" s="50"/>
      <c r="J912" s="50" t="s">
        <v>352</v>
      </c>
      <c r="K912" s="50" t="str">
        <f aca="false">IFERROR(VLOOKUP($J912,Catálogos!$M$4:$N$17,2,FALSE()),"")</f>
        <v>Mantención Preventiva Realizada</v>
      </c>
      <c r="L912" s="52" t="n">
        <v>46127</v>
      </c>
      <c r="M912" s="50" t="s">
        <v>353</v>
      </c>
      <c r="N912" s="50" t="s">
        <v>253</v>
      </c>
      <c r="O912" s="50"/>
      <c r="P912" s="50"/>
      <c r="Q912" s="50" t="s">
        <v>362</v>
      </c>
    </row>
    <row r="913" customFormat="false" ht="15" hidden="false" customHeight="true" outlineLevel="0" collapsed="false">
      <c r="A913" s="51" t="s">
        <v>855</v>
      </c>
      <c r="B913" s="50" t="str">
        <f aca="false">IFERROR(VLOOKUP($A913,Equipos!$C$2:$M$967,2,FALSE()),"")</f>
        <v>Ventilador Mecánico </v>
      </c>
      <c r="C913" s="50" t="str">
        <f aca="false">IFERROR(VLOOKUP($A913,Equipos!$C$2:$M$967,9,FALSE()),"")</f>
        <v>35B2101546</v>
      </c>
      <c r="D913" s="50" t="str">
        <f aca="false">IFERROR(VLOOKUP($A913,Equipos!$C$2:$M$967,3,FALSE()),"")</f>
        <v>UPC Cardiovascular</v>
      </c>
      <c r="E913" s="50" t="str">
        <f aca="false">IFERROR(VLOOKUP($A913,Equipos!$C$2:$M$967,7,FALSE()),"")</f>
        <v>Puritan Bennett</v>
      </c>
      <c r="F913" s="50" t="str">
        <f aca="false">IFERROR(VLOOKUP($A913,Equipos!$C$2:$M$967,8,FALSE()),"")</f>
        <v>980/cc</v>
      </c>
      <c r="G913" s="50" t="s">
        <v>893</v>
      </c>
      <c r="H913" s="50" t="s">
        <v>360</v>
      </c>
      <c r="I913" s="50"/>
      <c r="J913" s="50" t="s">
        <v>352</v>
      </c>
      <c r="K913" s="50" t="str">
        <f aca="false">IFERROR(VLOOKUP($J913,Catálogos!$M$4:$N$17,2,FALSE()),"")</f>
        <v>Mantención Preventiva Realizada</v>
      </c>
      <c r="L913" s="52" t="n">
        <v>46127</v>
      </c>
      <c r="M913" s="50" t="s">
        <v>353</v>
      </c>
      <c r="N913" s="50" t="s">
        <v>253</v>
      </c>
      <c r="O913" s="50"/>
      <c r="P913" s="50"/>
      <c r="Q913" s="50" t="s">
        <v>362</v>
      </c>
    </row>
    <row r="914" customFormat="false" ht="15" hidden="false" customHeight="true" outlineLevel="0" collapsed="false">
      <c r="A914" s="51" t="s">
        <v>856</v>
      </c>
      <c r="B914" s="50" t="str">
        <f aca="false">IFERROR(VLOOKUP($A914,Equipos!$C$2:$M$967,2,FALSE()),"")</f>
        <v>Ventilador Mecánico </v>
      </c>
      <c r="C914" s="50" t="str">
        <f aca="false">IFERROR(VLOOKUP($A914,Equipos!$C$2:$M$967,9,FALSE()),"")</f>
        <v>35B2101595</v>
      </c>
      <c r="D914" s="50" t="str">
        <f aca="false">IFERROR(VLOOKUP($A914,Equipos!$C$2:$M$967,3,FALSE()),"")</f>
        <v>UPC Cardiovascular</v>
      </c>
      <c r="E914" s="50" t="str">
        <f aca="false">IFERROR(VLOOKUP($A914,Equipos!$C$2:$M$967,7,FALSE()),"")</f>
        <v>Puritan Bennett</v>
      </c>
      <c r="F914" s="50" t="str">
        <f aca="false">IFERROR(VLOOKUP($A914,Equipos!$C$2:$M$967,8,FALSE()),"")</f>
        <v>980/cc</v>
      </c>
      <c r="G914" s="50" t="s">
        <v>893</v>
      </c>
      <c r="H914" s="50" t="s">
        <v>360</v>
      </c>
      <c r="I914" s="50"/>
      <c r="J914" s="50" t="s">
        <v>352</v>
      </c>
      <c r="K914" s="50" t="str">
        <f aca="false">IFERROR(VLOOKUP($J914,Catálogos!$M$4:$N$17,2,FALSE()),"")</f>
        <v>Mantención Preventiva Realizada</v>
      </c>
      <c r="L914" s="52" t="n">
        <v>46127</v>
      </c>
      <c r="M914" s="50" t="s">
        <v>353</v>
      </c>
      <c r="N914" s="50" t="s">
        <v>253</v>
      </c>
      <c r="O914" s="50"/>
      <c r="P914" s="50"/>
      <c r="Q914" s="50" t="s">
        <v>362</v>
      </c>
    </row>
    <row r="915" customFormat="false" ht="15" hidden="false" customHeight="true" outlineLevel="0" collapsed="false">
      <c r="A915" s="51" t="s">
        <v>971</v>
      </c>
      <c r="B915" s="50" t="str">
        <f aca="false">IFERROR(VLOOKUP($A915,Equipos!$C$2:$M$967,2,FALSE()),"")</f>
        <v>Ventilador Mecánico </v>
      </c>
      <c r="C915" s="50" t="str">
        <f aca="false">IFERROR(VLOOKUP($A915,Equipos!$C$2:$M$967,9,FALSE()),"")</f>
        <v>MTV1KUA1B0123</v>
      </c>
      <c r="D915" s="50" t="str">
        <f aca="false">IFERROR(VLOOKUP($A915,Equipos!$C$2:$M$967,3,FALSE()),"")</f>
        <v>UPC Cardiovascular</v>
      </c>
      <c r="E915" s="50" t="str">
        <f aca="false">IFERROR(VLOOKUP($A915,Equipos!$C$2:$M$967,7,FALSE()),"")</f>
        <v>MEK ICS</v>
      </c>
      <c r="F915" s="50" t="str">
        <f aca="false">IFERROR(VLOOKUP($A915,Equipos!$C$2:$M$967,8,FALSE()),"")</f>
        <v>MTV1000</v>
      </c>
      <c r="G915" s="50" t="s">
        <v>893</v>
      </c>
      <c r="H915" s="50" t="s">
        <v>360</v>
      </c>
      <c r="I915" s="50"/>
      <c r="J915" s="50" t="s">
        <v>352</v>
      </c>
      <c r="K915" s="50" t="str">
        <f aca="false">IFERROR(VLOOKUP($J915,Catálogos!$M$4:$N$17,2,FALSE()),"")</f>
        <v>Mantención Preventiva Realizada</v>
      </c>
      <c r="L915" s="52" t="n">
        <v>46127</v>
      </c>
      <c r="M915" s="50" t="s">
        <v>353</v>
      </c>
      <c r="N915" s="50" t="s">
        <v>253</v>
      </c>
      <c r="O915" s="50"/>
      <c r="P915" s="50"/>
      <c r="Q915" s="50" t="s">
        <v>362</v>
      </c>
    </row>
    <row r="916" customFormat="false" ht="15" hidden="false" customHeight="true" outlineLevel="0" collapsed="false">
      <c r="A916" s="51" t="s">
        <v>857</v>
      </c>
      <c r="B916" s="50" t="str">
        <f aca="false">IFERROR(VLOOKUP($A916,Equipos!$C$2:$M$967,2,FALSE()),"")</f>
        <v>Ventilador Mecánico </v>
      </c>
      <c r="C916" s="50" t="str">
        <f aca="false">IFERROR(VLOOKUP($A916,Equipos!$C$2:$M$967,9,FALSE()),"")</f>
        <v>35B2101536</v>
      </c>
      <c r="D916" s="50" t="str">
        <f aca="false">IFERROR(VLOOKUP($A916,Equipos!$C$2:$M$967,3,FALSE()),"")</f>
        <v>UPC Cardiovascular</v>
      </c>
      <c r="E916" s="50" t="str">
        <f aca="false">IFERROR(VLOOKUP($A916,Equipos!$C$2:$M$967,7,FALSE()),"")</f>
        <v>Puritan Bennett</v>
      </c>
      <c r="F916" s="50" t="str">
        <f aca="false">IFERROR(VLOOKUP($A916,Equipos!$C$2:$M$967,8,FALSE()),"")</f>
        <v>980/cc</v>
      </c>
      <c r="G916" s="50" t="s">
        <v>893</v>
      </c>
      <c r="H916" s="50" t="s">
        <v>360</v>
      </c>
      <c r="I916" s="50"/>
      <c r="J916" s="50" t="s">
        <v>352</v>
      </c>
      <c r="K916" s="50" t="str">
        <f aca="false">IFERROR(VLOOKUP($J916,Catálogos!$M$4:$N$17,2,FALSE()),"")</f>
        <v>Mantención Preventiva Realizada</v>
      </c>
      <c r="L916" s="52" t="n">
        <v>46127</v>
      </c>
      <c r="M916" s="50" t="s">
        <v>353</v>
      </c>
      <c r="N916" s="50" t="s">
        <v>253</v>
      </c>
      <c r="O916" s="50"/>
      <c r="P916" s="50"/>
      <c r="Q916" s="50" t="s">
        <v>362</v>
      </c>
    </row>
    <row r="917" customFormat="false" ht="15" hidden="false" customHeight="true" outlineLevel="0" collapsed="false">
      <c r="A917" s="51" t="s">
        <v>858</v>
      </c>
      <c r="B917" s="50" t="str">
        <f aca="false">IFERROR(VLOOKUP($A917,Equipos!$C$2:$M$967,2,FALSE()),"")</f>
        <v>Ventilador Mecánico </v>
      </c>
      <c r="C917" s="50" t="str">
        <f aca="false">IFERROR(VLOOKUP($A917,Equipos!$C$2:$M$967,9,FALSE()),"")</f>
        <v>3510094192</v>
      </c>
      <c r="D917" s="50" t="str">
        <f aca="false">IFERROR(VLOOKUP($A917,Equipos!$C$2:$M$967,3,FALSE()),"")</f>
        <v>UPC Adulto</v>
      </c>
      <c r="E917" s="50" t="str">
        <f aca="false">IFERROR(VLOOKUP($A917,Equipos!$C$2:$M$967,7,FALSE()),"")</f>
        <v>Puritan Bennett</v>
      </c>
      <c r="F917" s="50" t="str">
        <f aca="false">IFERROR(VLOOKUP($A917,Equipos!$C$2:$M$967,8,FALSE()),"")</f>
        <v>840/Sin Comp.</v>
      </c>
      <c r="G917" s="50" t="s">
        <v>893</v>
      </c>
      <c r="H917" s="50" t="s">
        <v>360</v>
      </c>
      <c r="I917" s="50"/>
      <c r="J917" s="50" t="s">
        <v>352</v>
      </c>
      <c r="K917" s="50" t="str">
        <f aca="false">IFERROR(VLOOKUP($J917,Catálogos!$M$4:$N$17,2,FALSE()),"")</f>
        <v>Mantención Preventiva Realizada</v>
      </c>
      <c r="L917" s="52" t="n">
        <v>46127</v>
      </c>
      <c r="M917" s="50" t="s">
        <v>353</v>
      </c>
      <c r="N917" s="50" t="s">
        <v>253</v>
      </c>
      <c r="O917" s="50"/>
      <c r="P917" s="50"/>
      <c r="Q917" s="50" t="s">
        <v>362</v>
      </c>
    </row>
    <row r="918" customFormat="false" ht="15" hidden="false" customHeight="true" outlineLevel="0" collapsed="false">
      <c r="A918" s="51" t="s">
        <v>859</v>
      </c>
      <c r="B918" s="50" t="str">
        <f aca="false">IFERROR(VLOOKUP($A918,Equipos!$C$2:$M$967,2,FALSE()),"")</f>
        <v>Ventilador Mecánico </v>
      </c>
      <c r="C918" s="50" t="str">
        <f aca="false">IFERROR(VLOOKUP($A918,Equipos!$C$2:$M$967,9,FALSE()),"")</f>
        <v>3510094181</v>
      </c>
      <c r="D918" s="50" t="str">
        <f aca="false">IFERROR(VLOOKUP($A918,Equipos!$C$2:$M$967,3,FALSE()),"")</f>
        <v>UPC Adulto</v>
      </c>
      <c r="E918" s="50" t="str">
        <f aca="false">IFERROR(VLOOKUP($A918,Equipos!$C$2:$M$967,7,FALSE()),"")</f>
        <v>Puritan Bennett</v>
      </c>
      <c r="F918" s="50" t="n">
        <f aca="false">IFERROR(VLOOKUP($A918,Equipos!$C$2:$M$967,8,FALSE()),"")</f>
        <v>840</v>
      </c>
      <c r="G918" s="50" t="s">
        <v>893</v>
      </c>
      <c r="H918" s="50" t="s">
        <v>360</v>
      </c>
      <c r="I918" s="50"/>
      <c r="J918" s="50" t="s">
        <v>352</v>
      </c>
      <c r="K918" s="50" t="str">
        <f aca="false">IFERROR(VLOOKUP($J918,Catálogos!$M$4:$N$17,2,FALSE()),"")</f>
        <v>Mantención Preventiva Realizada</v>
      </c>
      <c r="L918" s="52" t="n">
        <v>46127</v>
      </c>
      <c r="M918" s="50" t="s">
        <v>353</v>
      </c>
      <c r="N918" s="50" t="s">
        <v>253</v>
      </c>
      <c r="O918" s="50"/>
      <c r="P918" s="50"/>
      <c r="Q918" s="50" t="s">
        <v>362</v>
      </c>
    </row>
    <row r="919" customFormat="false" ht="15" hidden="false" customHeight="true" outlineLevel="0" collapsed="false">
      <c r="A919" s="51" t="s">
        <v>972</v>
      </c>
      <c r="B919" s="50" t="str">
        <f aca="false">IFERROR(VLOOKUP($A919,Equipos!$C$2:$M$967,2,FALSE()),"")</f>
        <v>Ventilador Mecánico </v>
      </c>
      <c r="C919" s="50" t="str">
        <f aca="false">IFERROR(VLOOKUP($A919,Equipos!$C$2:$M$967,9,FALSE()),"")</f>
        <v>MTV1KUA1C0139</v>
      </c>
      <c r="D919" s="50" t="str">
        <f aca="false">IFERROR(VLOOKUP($A919,Equipos!$C$2:$M$967,3,FALSE()),"")</f>
        <v>UPC Adulto</v>
      </c>
      <c r="E919" s="50" t="str">
        <f aca="false">IFERROR(VLOOKUP($A919,Equipos!$C$2:$M$967,7,FALSE()),"")</f>
        <v>MEK ICS</v>
      </c>
      <c r="F919" s="50" t="str">
        <f aca="false">IFERROR(VLOOKUP($A919,Equipos!$C$2:$M$967,8,FALSE()),"")</f>
        <v>MTV1000</v>
      </c>
      <c r="G919" s="50" t="s">
        <v>893</v>
      </c>
      <c r="H919" s="50" t="s">
        <v>360</v>
      </c>
      <c r="I919" s="50"/>
      <c r="J919" s="50" t="s">
        <v>352</v>
      </c>
      <c r="K919" s="50" t="str">
        <f aca="false">IFERROR(VLOOKUP($J919,Catálogos!$M$4:$N$17,2,FALSE()),"")</f>
        <v>Mantención Preventiva Realizada</v>
      </c>
      <c r="L919" s="52" t="n">
        <v>46127</v>
      </c>
      <c r="M919" s="50" t="s">
        <v>353</v>
      </c>
      <c r="N919" s="50" t="s">
        <v>253</v>
      </c>
      <c r="O919" s="50"/>
      <c r="P919" s="50"/>
      <c r="Q919" s="50" t="s">
        <v>362</v>
      </c>
    </row>
    <row r="920" customFormat="false" ht="15" hidden="false" customHeight="true" outlineLevel="0" collapsed="false">
      <c r="A920" s="51" t="s">
        <v>860</v>
      </c>
      <c r="B920" s="50" t="str">
        <f aca="false">IFERROR(VLOOKUP($A920,Equipos!$C$2:$M$967,2,FALSE()),"")</f>
        <v>Ventilador Mecánico </v>
      </c>
      <c r="C920" s="50" t="str">
        <f aca="false">IFERROR(VLOOKUP($A920,Equipos!$C$2:$M$967,9,FALSE()),"")</f>
        <v>3510094199</v>
      </c>
      <c r="D920" s="50" t="str">
        <f aca="false">IFERROR(VLOOKUP($A920,Equipos!$C$2:$M$967,3,FALSE()),"")</f>
        <v>UPC Adulto</v>
      </c>
      <c r="E920" s="50" t="str">
        <f aca="false">IFERROR(VLOOKUP($A920,Equipos!$C$2:$M$967,7,FALSE()),"")</f>
        <v>Puritan Bennett</v>
      </c>
      <c r="F920" s="50" t="str">
        <f aca="false">IFERROR(VLOOKUP($A920,Equipos!$C$2:$M$967,8,FALSE()),"")</f>
        <v>840/Sin Comp.</v>
      </c>
      <c r="G920" s="50" t="s">
        <v>893</v>
      </c>
      <c r="H920" s="50" t="s">
        <v>360</v>
      </c>
      <c r="I920" s="50"/>
      <c r="J920" s="50" t="s">
        <v>352</v>
      </c>
      <c r="K920" s="50" t="str">
        <f aca="false">IFERROR(VLOOKUP($J920,Catálogos!$M$4:$N$17,2,FALSE()),"")</f>
        <v>Mantención Preventiva Realizada</v>
      </c>
      <c r="L920" s="52" t="n">
        <v>46127</v>
      </c>
      <c r="M920" s="50" t="s">
        <v>353</v>
      </c>
      <c r="N920" s="50" t="s">
        <v>253</v>
      </c>
      <c r="O920" s="50"/>
      <c r="P920" s="50"/>
      <c r="Q920" s="50" t="s">
        <v>362</v>
      </c>
    </row>
    <row r="921" customFormat="false" ht="15" hidden="false" customHeight="true" outlineLevel="0" collapsed="false">
      <c r="A921" s="51" t="s">
        <v>861</v>
      </c>
      <c r="B921" s="50" t="str">
        <f aca="false">IFERROR(VLOOKUP($A921,Equipos!$C$2:$M$967,2,FALSE()),"")</f>
        <v>Máquina de Anestesia</v>
      </c>
      <c r="C921" s="50" t="str">
        <f aca="false">IFERROR(VLOOKUP($A921,Equipos!$C$2:$M$967,9,FALSE()),"")</f>
        <v>ASML-0015</v>
      </c>
      <c r="D921" s="50" t="str">
        <f aca="false">IFERROR(VLOOKUP($A921,Equipos!$C$2:$M$967,3,FALSE()),"")</f>
        <v>Pabellón Quirúrgico (Prestado a Imagenología)</v>
      </c>
      <c r="E921" s="50" t="str">
        <f aca="false">IFERROR(VLOOKUP($A921,Equipos!$C$2:$M$967,7,FALSE()),"")</f>
        <v>Drager</v>
      </c>
      <c r="F921" s="50" t="str">
        <f aca="false">IFERROR(VLOOKUP($A921,Equipos!$C$2:$M$967,8,FALSE()),"")</f>
        <v>Fabius MRI</v>
      </c>
      <c r="G921" s="50" t="s">
        <v>893</v>
      </c>
      <c r="H921" s="50" t="s">
        <v>360</v>
      </c>
      <c r="I921" s="50"/>
      <c r="J921" s="50" t="s">
        <v>352</v>
      </c>
      <c r="K921" s="50" t="str">
        <f aca="false">IFERROR(VLOOKUP($J921,Catálogos!$M$4:$N$17,2,FALSE()),"")</f>
        <v>Mantención Preventiva Realizada</v>
      </c>
      <c r="L921" s="52" t="n">
        <v>46127</v>
      </c>
      <c r="M921" s="50" t="s">
        <v>353</v>
      </c>
      <c r="N921" s="50" t="s">
        <v>253</v>
      </c>
      <c r="O921" s="50"/>
      <c r="P921" s="50"/>
      <c r="Q921" s="50" t="s">
        <v>362</v>
      </c>
    </row>
    <row r="922" customFormat="false" ht="15" hidden="false" customHeight="true" outlineLevel="0" collapsed="false">
      <c r="A922" s="51" t="s">
        <v>868</v>
      </c>
      <c r="B922" s="50" t="str">
        <f aca="false">IFERROR(VLOOKUP($A922,Equipos!$C$2:$M$967,2,FALSE()),"")</f>
        <v>Máquina de Anestesia</v>
      </c>
      <c r="C922" s="50" t="str">
        <f aca="false">IFERROR(VLOOKUP($A922,Equipos!$C$2:$M$967,9,FALSE()),"")</f>
        <v>ASMB-0233</v>
      </c>
      <c r="D922" s="50" t="str">
        <f aca="false">IFERROR(VLOOKUP($A922,Equipos!$C$2:$M$967,3,FALSE()),"")</f>
        <v>Pabellón Quirúrgico</v>
      </c>
      <c r="E922" s="50" t="str">
        <f aca="false">IFERROR(VLOOKUP($A922,Equipos!$C$2:$M$967,7,FALSE()),"")</f>
        <v>Drager</v>
      </c>
      <c r="F922" s="50" t="str">
        <f aca="false">IFERROR(VLOOKUP($A922,Equipos!$C$2:$M$967,8,FALSE()),"")</f>
        <v>Primus IE</v>
      </c>
      <c r="G922" s="50" t="s">
        <v>893</v>
      </c>
      <c r="H922" s="50" t="s">
        <v>360</v>
      </c>
      <c r="I922" s="50"/>
      <c r="J922" s="50" t="s">
        <v>352</v>
      </c>
      <c r="K922" s="50" t="str">
        <f aca="false">IFERROR(VLOOKUP($J922,Catálogos!$M$4:$N$17,2,FALSE()),"")</f>
        <v>Mantención Preventiva Realizada</v>
      </c>
      <c r="L922" s="52" t="n">
        <v>46127</v>
      </c>
      <c r="M922" s="50" t="s">
        <v>353</v>
      </c>
      <c r="N922" s="50" t="s">
        <v>253</v>
      </c>
      <c r="O922" s="50"/>
      <c r="P922" s="50"/>
      <c r="Q922" s="50" t="s">
        <v>362</v>
      </c>
    </row>
    <row r="923" customFormat="false" ht="15" hidden="false" customHeight="true" outlineLevel="0" collapsed="false">
      <c r="A923" s="51" t="s">
        <v>869</v>
      </c>
      <c r="B923" s="50" t="str">
        <f aca="false">IFERROR(VLOOKUP($A923,Equipos!$C$2:$M$967,2,FALSE()),"")</f>
        <v>Máquina de Anestesia</v>
      </c>
      <c r="C923" s="50" t="str">
        <f aca="false">IFERROR(VLOOKUP($A923,Equipos!$C$2:$M$967,9,FALSE()),"")</f>
        <v>ASHB-0262</v>
      </c>
      <c r="D923" s="50" t="str">
        <f aca="false">IFERROR(VLOOKUP($A923,Equipos!$C$2:$M$967,3,FALSE()),"")</f>
        <v>Pabellón Quirúrgico</v>
      </c>
      <c r="E923" s="50" t="str">
        <f aca="false">IFERROR(VLOOKUP($A923,Equipos!$C$2:$M$967,7,FALSE()),"")</f>
        <v>Drager </v>
      </c>
      <c r="F923" s="50" t="str">
        <f aca="false">IFERROR(VLOOKUP($A923,Equipos!$C$2:$M$967,8,FALSE()),"")</f>
        <v>Primus IE</v>
      </c>
      <c r="G923" s="50" t="s">
        <v>893</v>
      </c>
      <c r="H923" s="50" t="s">
        <v>360</v>
      </c>
      <c r="I923" s="50"/>
      <c r="J923" s="50" t="s">
        <v>352</v>
      </c>
      <c r="K923" s="50" t="str">
        <f aca="false">IFERROR(VLOOKUP($J923,Catálogos!$M$4:$N$17,2,FALSE()),"")</f>
        <v>Mantención Preventiva Realizada</v>
      </c>
      <c r="L923" s="52" t="n">
        <v>46127</v>
      </c>
      <c r="M923" s="50" t="s">
        <v>353</v>
      </c>
      <c r="N923" s="50" t="s">
        <v>253</v>
      </c>
      <c r="O923" s="50"/>
      <c r="P923" s="50"/>
      <c r="Q923" s="50" t="s">
        <v>362</v>
      </c>
    </row>
    <row r="924" customFormat="false" ht="15" hidden="false" customHeight="true" outlineLevel="0" collapsed="false">
      <c r="A924" s="51" t="s">
        <v>871</v>
      </c>
      <c r="B924" s="50" t="str">
        <f aca="false">IFERROR(VLOOKUP($A924,Equipos!$C$2:$M$967,2,FALSE()),"")</f>
        <v>Máquina de Anestesia</v>
      </c>
      <c r="C924" s="50" t="str">
        <f aca="false">IFERROR(VLOOKUP($A924,Equipos!$C$2:$M$967,9,FALSE()),"")</f>
        <v>ARXK-0015</v>
      </c>
      <c r="D924" s="50" t="str">
        <f aca="false">IFERROR(VLOOKUP($A924,Equipos!$C$2:$M$967,3,FALSE()),"")</f>
        <v>Pabellón (Prestado a Hemodinamia)</v>
      </c>
      <c r="E924" s="50" t="str">
        <f aca="false">IFERROR(VLOOKUP($A924,Equipos!$C$2:$M$967,7,FALSE()),"")</f>
        <v>Drager</v>
      </c>
      <c r="F924" s="50" t="str">
        <f aca="false">IFERROR(VLOOKUP($A924,Equipos!$C$2:$M$967,8,FALSE()),"")</f>
        <v>Primus</v>
      </c>
      <c r="G924" s="50" t="s">
        <v>893</v>
      </c>
      <c r="H924" s="50" t="s">
        <v>360</v>
      </c>
      <c r="I924" s="50"/>
      <c r="J924" s="50" t="s">
        <v>352</v>
      </c>
      <c r="K924" s="50" t="str">
        <f aca="false">IFERROR(VLOOKUP($J924,Catálogos!$M$4:$N$17,2,FALSE()),"")</f>
        <v>Mantención Preventiva Realizada</v>
      </c>
      <c r="L924" s="52" t="n">
        <v>46127</v>
      </c>
      <c r="M924" s="50" t="s">
        <v>353</v>
      </c>
      <c r="N924" s="50" t="s">
        <v>253</v>
      </c>
      <c r="O924" s="50"/>
      <c r="P924" s="50"/>
      <c r="Q924" s="50" t="s">
        <v>362</v>
      </c>
    </row>
    <row r="925" customFormat="false" ht="15" hidden="false" customHeight="true" outlineLevel="0" collapsed="false">
      <c r="A925" s="51" t="s">
        <v>872</v>
      </c>
      <c r="B925" s="50" t="str">
        <f aca="false">IFERROR(VLOOKUP($A925,Equipos!$C$2:$M$967,2,FALSE()),"")</f>
        <v>Máquina de Anestesia</v>
      </c>
      <c r="C925" s="50" t="str">
        <f aca="false">IFERROR(VLOOKUP($A925,Equipos!$C$2:$M$967,9,FALSE()),"")</f>
        <v>AMTK00245</v>
      </c>
      <c r="D925" s="50" t="str">
        <f aca="false">IFERROR(VLOOKUP($A925,Equipos!$C$2:$M$967,3,FALSE()),"")</f>
        <v>Imagenología</v>
      </c>
      <c r="E925" s="50" t="str">
        <f aca="false">IFERROR(VLOOKUP($A925,Equipos!$C$2:$M$967,7,FALSE()),"")</f>
        <v>Datex Ohmeda </v>
      </c>
      <c r="F925" s="50" t="str">
        <f aca="false">IFERROR(VLOOKUP($A925,Equipos!$C$2:$M$967,8,FALSE()),"")</f>
        <v>Aestiva/5 MRI</v>
      </c>
      <c r="G925" s="50" t="s">
        <v>893</v>
      </c>
      <c r="H925" s="50" t="s">
        <v>360</v>
      </c>
      <c r="I925" s="50"/>
      <c r="J925" s="50" t="s">
        <v>352</v>
      </c>
      <c r="K925" s="50" t="str">
        <f aca="false">IFERROR(VLOOKUP($J925,Catálogos!$M$4:$N$17,2,FALSE()),"")</f>
        <v>Mantención Preventiva Realizada</v>
      </c>
      <c r="L925" s="52" t="n">
        <v>46127</v>
      </c>
      <c r="M925" s="50" t="s">
        <v>353</v>
      </c>
      <c r="N925" s="50" t="s">
        <v>253</v>
      </c>
      <c r="O925" s="50"/>
      <c r="P925" s="50"/>
      <c r="Q925" s="50" t="s">
        <v>362</v>
      </c>
    </row>
    <row r="926" customFormat="false" ht="15" hidden="false" customHeight="true" outlineLevel="0" collapsed="false">
      <c r="A926" s="51" t="s">
        <v>873</v>
      </c>
      <c r="B926" s="50" t="str">
        <f aca="false">IFERROR(VLOOKUP($A926,Equipos!$C$2:$M$967,2,FALSE()),"")</f>
        <v>Máquina de Anestesia</v>
      </c>
      <c r="C926" s="50" t="str">
        <f aca="false">IFERROR(VLOOKUP($A926,Equipos!$C$2:$M$967,9,FALSE()),"")</f>
        <v>ARYL-0080</v>
      </c>
      <c r="D926" s="50" t="str">
        <f aca="false">IFERROR(VLOOKUP($A926,Equipos!$C$2:$M$967,3,FALSE()),"")</f>
        <v>Pabellón Quirúrgico</v>
      </c>
      <c r="E926" s="50" t="str">
        <f aca="false">IFERROR(VLOOKUP($A926,Equipos!$C$2:$M$967,7,FALSE()),"")</f>
        <v>Drager</v>
      </c>
      <c r="F926" s="50" t="str">
        <f aca="false">IFERROR(VLOOKUP($A926,Equipos!$C$2:$M$967,8,FALSE()),"")</f>
        <v>Fabius GS</v>
      </c>
      <c r="G926" s="50" t="s">
        <v>893</v>
      </c>
      <c r="H926" s="50" t="s">
        <v>360</v>
      </c>
      <c r="I926" s="50"/>
      <c r="J926" s="50" t="s">
        <v>352</v>
      </c>
      <c r="K926" s="50" t="str">
        <f aca="false">IFERROR(VLOOKUP($J926,Catálogos!$M$4:$N$17,2,FALSE()),"")</f>
        <v>Mantención Preventiva Realizada</v>
      </c>
      <c r="L926" s="52" t="n">
        <v>46127</v>
      </c>
      <c r="M926" s="50" t="s">
        <v>353</v>
      </c>
      <c r="N926" s="50" t="s">
        <v>253</v>
      </c>
      <c r="O926" s="50"/>
      <c r="P926" s="50"/>
      <c r="Q926" s="50" t="s">
        <v>362</v>
      </c>
    </row>
    <row r="927" customFormat="false" ht="15" hidden="false" customHeight="true" outlineLevel="0" collapsed="false">
      <c r="A927" s="51" t="s">
        <v>876</v>
      </c>
      <c r="B927" s="50" t="str">
        <f aca="false">IFERROR(VLOOKUP($A927,Equipos!$C$2:$M$967,2,FALSE()),"")</f>
        <v>Máquina de Anestesia</v>
      </c>
      <c r="C927" s="50" t="str">
        <f aca="false">IFERROR(VLOOKUP($A927,Equipos!$C$2:$M$967,9,FALSE()),"")</f>
        <v>ASMB-0232</v>
      </c>
      <c r="D927" s="50" t="str">
        <f aca="false">IFERROR(VLOOKUP($A927,Equipos!$C$2:$M$967,3,FALSE()),"")</f>
        <v>Pabellón Quirúrgico (Prestado a Pabellón CMA)</v>
      </c>
      <c r="E927" s="50" t="str">
        <f aca="false">IFERROR(VLOOKUP($A927,Equipos!$C$2:$M$967,7,FALSE()),"")</f>
        <v>Drager</v>
      </c>
      <c r="F927" s="50" t="str">
        <f aca="false">IFERROR(VLOOKUP($A927,Equipos!$C$2:$M$967,8,FALSE()),"")</f>
        <v>Primus IE</v>
      </c>
      <c r="G927" s="50" t="s">
        <v>893</v>
      </c>
      <c r="H927" s="50" t="s">
        <v>360</v>
      </c>
      <c r="I927" s="50"/>
      <c r="J927" s="50" t="s">
        <v>352</v>
      </c>
      <c r="K927" s="50" t="str">
        <f aca="false">IFERROR(VLOOKUP($J927,Catálogos!$M$4:$N$17,2,FALSE()),"")</f>
        <v>Mantención Preventiva Realizada</v>
      </c>
      <c r="L927" s="52" t="n">
        <v>46127</v>
      </c>
      <c r="M927" s="50" t="s">
        <v>353</v>
      </c>
      <c r="N927" s="50" t="s">
        <v>253</v>
      </c>
      <c r="O927" s="50"/>
      <c r="P927" s="50"/>
      <c r="Q927" s="50" t="s">
        <v>362</v>
      </c>
    </row>
    <row r="928" customFormat="false" ht="15" hidden="false" customHeight="true" outlineLevel="0" collapsed="false">
      <c r="A928" s="51" t="s">
        <v>973</v>
      </c>
      <c r="B928" s="50" t="str">
        <f aca="false">IFERROR(VLOOKUP($A928,Equipos!$C$2:$M$967,2,FALSE()),"")</f>
        <v>Máquina de Anestesia</v>
      </c>
      <c r="C928" s="50" t="str">
        <f aca="false">IFERROR(VLOOKUP($A928,Equipos!$C$2:$M$967,9,FALSE()),"")</f>
        <v>ASUD-0008</v>
      </c>
      <c r="D928" s="50" t="str">
        <f aca="false">IFERROR(VLOOKUP($A928,Equipos!$C$2:$M$967,3,FALSE()),"")</f>
        <v>TROI</v>
      </c>
      <c r="E928" s="50" t="str">
        <f aca="false">IFERROR(VLOOKUP($A928,Equipos!$C$2:$M$967,7,FALSE()),"")</f>
        <v>Drager</v>
      </c>
      <c r="F928" s="50" t="str">
        <f aca="false">IFERROR(VLOOKUP($A928,Equipos!$C$2:$M$967,8,FALSE()),"")</f>
        <v>Atlan A350</v>
      </c>
      <c r="G928" s="50" t="s">
        <v>893</v>
      </c>
      <c r="H928" s="50" t="s">
        <v>360</v>
      </c>
      <c r="I928" s="50"/>
      <c r="J928" s="50" t="s">
        <v>352</v>
      </c>
      <c r="K928" s="50" t="str">
        <f aca="false">IFERROR(VLOOKUP($J928,Catálogos!$M$4:$N$17,2,FALSE()),"")</f>
        <v>Mantención Preventiva Realizada</v>
      </c>
      <c r="L928" s="52" t="n">
        <v>46127</v>
      </c>
      <c r="M928" s="50" t="s">
        <v>353</v>
      </c>
      <c r="N928" s="50" t="s">
        <v>253</v>
      </c>
      <c r="O928" s="50"/>
      <c r="P928" s="50"/>
      <c r="Q928" s="50" t="s">
        <v>362</v>
      </c>
    </row>
    <row r="929" customFormat="false" ht="15" hidden="false" customHeight="true" outlineLevel="0" collapsed="false">
      <c r="A929" s="51" t="s">
        <v>71</v>
      </c>
      <c r="B929" s="50" t="str">
        <f aca="false">IFERROR(VLOOKUP($A929,Equipos!$C$2:$M$967,2,FALSE()),"")</f>
        <v>DEA</v>
      </c>
      <c r="C929" s="50" t="str">
        <f aca="false">IFERROR(VLOOKUP($A929,Equipos!$C$2:$M$967,9,FALSE()),"")</f>
        <v>40361</v>
      </c>
      <c r="D929" s="50" t="str">
        <f aca="false">IFERROR(VLOOKUP($A929,Equipos!$C$2:$M$967,3,FALSE()),"")</f>
        <v>CDT</v>
      </c>
      <c r="E929" s="50" t="str">
        <f aca="false">IFERROR(VLOOKUP($A929,Equipos!$C$2:$M$967,7,FALSE()),"")</f>
        <v>Nihon Kohden</v>
      </c>
      <c r="F929" s="50" t="str">
        <f aca="false">IFERROR(VLOOKUP($A929,Equipos!$C$2:$M$967,8,FALSE()),"")</f>
        <v>AED-3100K</v>
      </c>
      <c r="G929" s="50" t="s">
        <v>893</v>
      </c>
      <c r="H929" s="50" t="s">
        <v>360</v>
      </c>
      <c r="I929" s="50"/>
      <c r="J929" s="50" t="s">
        <v>352</v>
      </c>
      <c r="K929" s="50" t="str">
        <f aca="false">IFERROR(VLOOKUP($J929,Catálogos!$M$4:$N$17,2,FALSE()),"")</f>
        <v>Mantención Preventiva Realizada</v>
      </c>
      <c r="L929" s="52" t="n">
        <v>46127</v>
      </c>
      <c r="M929" s="50" t="s">
        <v>353</v>
      </c>
      <c r="N929" s="50" t="s">
        <v>253</v>
      </c>
      <c r="O929" s="50"/>
      <c r="P929" s="50"/>
      <c r="Q929" s="50" t="s">
        <v>362</v>
      </c>
    </row>
    <row r="930" customFormat="false" ht="15" hidden="false" customHeight="true" outlineLevel="0" collapsed="false">
      <c r="A930" s="51" t="s">
        <v>68</v>
      </c>
      <c r="B930" s="50" t="str">
        <f aca="false">IFERROR(VLOOKUP($A930,Equipos!$C$2:$M$967,2,FALSE()),"")</f>
        <v>DEA</v>
      </c>
      <c r="C930" s="50" t="str">
        <f aca="false">IFERROR(VLOOKUP($A930,Equipos!$C$2:$M$967,9,FALSE()),"")</f>
        <v>122002985</v>
      </c>
      <c r="D930" s="50" t="str">
        <f aca="false">IFERROR(VLOOKUP($A930,Equipos!$C$2:$M$967,3,FALSE()),"")</f>
        <v>Prevención de Riesgos</v>
      </c>
      <c r="E930" s="50" t="str">
        <f aca="false">IFERROR(VLOOKUP($A930,Equipos!$C$2:$M$967,7,FALSE()),"")</f>
        <v>DEFIBTECH</v>
      </c>
      <c r="F930" s="50" t="str">
        <f aca="false">IFERROR(VLOOKUP($A930,Equipos!$C$2:$M$967,8,FALSE()),"")</f>
        <v>LIFE LINE </v>
      </c>
      <c r="G930" s="50" t="s">
        <v>893</v>
      </c>
      <c r="H930" s="50" t="s">
        <v>360</v>
      </c>
      <c r="I930" s="50"/>
      <c r="J930" s="50" t="s">
        <v>352</v>
      </c>
      <c r="K930" s="50" t="str">
        <f aca="false">IFERROR(VLOOKUP($J930,Catálogos!$M$4:$N$17,2,FALSE()),"")</f>
        <v>Mantención Preventiva Realizada</v>
      </c>
      <c r="L930" s="52" t="n">
        <v>46127</v>
      </c>
      <c r="M930" s="50" t="s">
        <v>353</v>
      </c>
      <c r="N930" s="50" t="s">
        <v>253</v>
      </c>
      <c r="O930" s="50"/>
      <c r="P930" s="50"/>
      <c r="Q930" s="50" t="s">
        <v>362</v>
      </c>
    </row>
    <row r="931" customFormat="false" ht="15" hidden="false" customHeight="true" outlineLevel="0" collapsed="false">
      <c r="A931" s="51" t="s">
        <v>105</v>
      </c>
      <c r="B931" s="50" t="str">
        <f aca="false">IFERROR(VLOOKUP($A931,Equipos!$C$2:$M$967,2,FALSE()),"")</f>
        <v>DEA</v>
      </c>
      <c r="C931" s="50" t="str">
        <f aca="false">IFERROR(VLOOKUP($A931,Equipos!$C$2:$M$967,9,FALSE()),"")</f>
        <v>122002988</v>
      </c>
      <c r="D931" s="50" t="str">
        <f aca="false">IFERROR(VLOOKUP($A931,Equipos!$C$2:$M$967,3,FALSE()),"")</f>
        <v>Prevención de Riesgos</v>
      </c>
      <c r="E931" s="50" t="str">
        <f aca="false">IFERROR(VLOOKUP($A931,Equipos!$C$2:$M$967,7,FALSE()),"")</f>
        <v>DEFIBTECH</v>
      </c>
      <c r="F931" s="50" t="str">
        <f aca="false">IFERROR(VLOOKUP($A931,Equipos!$C$2:$M$967,8,FALSE()),"")</f>
        <v>LIFE LINE </v>
      </c>
      <c r="G931" s="50" t="s">
        <v>893</v>
      </c>
      <c r="H931" s="50" t="s">
        <v>360</v>
      </c>
      <c r="I931" s="50"/>
      <c r="J931" s="50" t="s">
        <v>352</v>
      </c>
      <c r="K931" s="50" t="str">
        <f aca="false">IFERROR(VLOOKUP($J931,Catálogos!$M$4:$N$17,2,FALSE()),"")</f>
        <v>Mantención Preventiva Realizada</v>
      </c>
      <c r="L931" s="52" t="n">
        <v>46127</v>
      </c>
      <c r="M931" s="50" t="s">
        <v>353</v>
      </c>
      <c r="N931" s="50" t="s">
        <v>253</v>
      </c>
      <c r="O931" s="50"/>
      <c r="P931" s="50"/>
      <c r="Q931" s="50" t="s">
        <v>362</v>
      </c>
    </row>
    <row r="932" customFormat="false" ht="15" hidden="false" customHeight="true" outlineLevel="0" collapsed="false">
      <c r="A932" s="51" t="s">
        <v>207</v>
      </c>
      <c r="B932" s="50" t="str">
        <f aca="false">IFERROR(VLOOKUP($A932,Equipos!$C$2:$M$967,2,FALSE()),"")</f>
        <v>DEA</v>
      </c>
      <c r="C932" s="50" t="str">
        <f aca="false">IFERROR(VLOOKUP($A932,Equipos!$C$2:$M$967,9,FALSE()),"")</f>
        <v>122002983</v>
      </c>
      <c r="D932" s="50" t="str">
        <f aca="false">IFERROR(VLOOKUP($A932,Equipos!$C$2:$M$967,3,FALSE()),"")</f>
        <v>Prevención de Riesgos</v>
      </c>
      <c r="E932" s="50" t="str">
        <f aca="false">IFERROR(VLOOKUP($A932,Equipos!$C$2:$M$967,7,FALSE()),"")</f>
        <v>DEFIBTECH</v>
      </c>
      <c r="F932" s="50" t="str">
        <f aca="false">IFERROR(VLOOKUP($A932,Equipos!$C$2:$M$967,8,FALSE()),"")</f>
        <v>LIFE LINE </v>
      </c>
      <c r="G932" s="50" t="s">
        <v>893</v>
      </c>
      <c r="H932" s="50" t="s">
        <v>360</v>
      </c>
      <c r="I932" s="50"/>
      <c r="J932" s="50" t="s">
        <v>352</v>
      </c>
      <c r="K932" s="50" t="str">
        <f aca="false">IFERROR(VLOOKUP($J932,Catálogos!$M$4:$N$17,2,FALSE()),"")</f>
        <v>Mantención Preventiva Realizada</v>
      </c>
      <c r="L932" s="52" t="n">
        <v>46127</v>
      </c>
      <c r="M932" s="50" t="s">
        <v>353</v>
      </c>
      <c r="N932" s="50" t="s">
        <v>253</v>
      </c>
      <c r="O932" s="50"/>
      <c r="P932" s="50"/>
      <c r="Q932" s="50" t="s">
        <v>362</v>
      </c>
    </row>
    <row r="933" customFormat="false" ht="15" hidden="false" customHeight="true" outlineLevel="0" collapsed="false">
      <c r="A933" s="51" t="s">
        <v>102</v>
      </c>
      <c r="B933" s="50" t="str">
        <f aca="false">IFERROR(VLOOKUP($A933,Equipos!$C$2:$M$967,2,FALSE()),"")</f>
        <v>DEA</v>
      </c>
      <c r="C933" s="50" t="str">
        <f aca="false">IFERROR(VLOOKUP($A933,Equipos!$C$2:$M$967,9,FALSE()),"")</f>
        <v>122002981</v>
      </c>
      <c r="D933" s="50" t="str">
        <f aca="false">IFERROR(VLOOKUP($A933,Equipos!$C$2:$M$967,3,FALSE()),"")</f>
        <v>Prevención de Riesgos</v>
      </c>
      <c r="E933" s="50" t="str">
        <f aca="false">IFERROR(VLOOKUP($A933,Equipos!$C$2:$M$967,7,FALSE()),"")</f>
        <v>DEFIBTECH</v>
      </c>
      <c r="F933" s="50" t="str">
        <f aca="false">IFERROR(VLOOKUP($A933,Equipos!$C$2:$M$967,8,FALSE()),"")</f>
        <v>LIFE LINE </v>
      </c>
      <c r="G933" s="50" t="s">
        <v>893</v>
      </c>
      <c r="H933" s="50" t="s">
        <v>360</v>
      </c>
      <c r="I933" s="50"/>
      <c r="J933" s="50" t="s">
        <v>352</v>
      </c>
      <c r="K933" s="50" t="str">
        <f aca="false">IFERROR(VLOOKUP($J933,Catálogos!$M$4:$N$17,2,FALSE()),"")</f>
        <v>Mantención Preventiva Realizada</v>
      </c>
      <c r="L933" s="52" t="n">
        <v>46127</v>
      </c>
      <c r="M933" s="50" t="s">
        <v>353</v>
      </c>
      <c r="N933" s="50" t="s">
        <v>253</v>
      </c>
      <c r="O933" s="50"/>
      <c r="P933" s="50"/>
      <c r="Q933" s="50" t="s">
        <v>362</v>
      </c>
    </row>
    <row r="934" customFormat="false" ht="15" hidden="false" customHeight="true" outlineLevel="0" collapsed="false">
      <c r="A934" s="51" t="s">
        <v>99</v>
      </c>
      <c r="B934" s="50" t="str">
        <f aca="false">IFERROR(VLOOKUP($A934,Equipos!$C$2:$M$967,2,FALSE()),"")</f>
        <v>DEA</v>
      </c>
      <c r="C934" s="50" t="str">
        <f aca="false">IFERROR(VLOOKUP($A934,Equipos!$C$2:$M$967,9,FALSE()),"")</f>
        <v>122003000</v>
      </c>
      <c r="D934" s="50" t="str">
        <f aca="false">IFERROR(VLOOKUP($A934,Equipos!$C$2:$M$967,3,FALSE()),"")</f>
        <v>Prevención de Riesgos (Urgencia Adulto)</v>
      </c>
      <c r="E934" s="50" t="str">
        <f aca="false">IFERROR(VLOOKUP($A934,Equipos!$C$2:$M$967,7,FALSE()),"")</f>
        <v>DEFIBTECH</v>
      </c>
      <c r="F934" s="50" t="str">
        <f aca="false">IFERROR(VLOOKUP($A934,Equipos!$C$2:$M$967,8,FALSE()),"")</f>
        <v>LIFE LINE </v>
      </c>
      <c r="G934" s="50" t="s">
        <v>893</v>
      </c>
      <c r="H934" s="50" t="s">
        <v>360</v>
      </c>
      <c r="I934" s="50"/>
      <c r="J934" s="50" t="s">
        <v>352</v>
      </c>
      <c r="K934" s="50" t="str">
        <f aca="false">IFERROR(VLOOKUP($J934,Catálogos!$M$4:$N$17,2,FALSE()),"")</f>
        <v>Mantención Preventiva Realizada</v>
      </c>
      <c r="L934" s="52" t="n">
        <v>46127</v>
      </c>
      <c r="M934" s="50" t="s">
        <v>353</v>
      </c>
      <c r="N934" s="50" t="s">
        <v>253</v>
      </c>
      <c r="O934" s="50"/>
      <c r="P934" s="50"/>
      <c r="Q934" s="50" t="s">
        <v>362</v>
      </c>
    </row>
    <row r="935" customFormat="false" ht="15" hidden="false" customHeight="true" outlineLevel="0" collapsed="false">
      <c r="A935" s="51" t="s">
        <v>95</v>
      </c>
      <c r="B935" s="50" t="str">
        <f aca="false">IFERROR(VLOOKUP($A935,Equipos!$C$2:$M$967,2,FALSE()),"")</f>
        <v>DEA</v>
      </c>
      <c r="C935" s="50" t="str">
        <f aca="false">IFERROR(VLOOKUP($A935,Equipos!$C$2:$M$967,9,FALSE()),"")</f>
        <v>122002995</v>
      </c>
      <c r="D935" s="50" t="str">
        <f aca="false">IFERROR(VLOOKUP($A935,Equipos!$C$2:$M$967,3,FALSE()),"")</f>
        <v>Prevención de Riesgos</v>
      </c>
      <c r="E935" s="50" t="str">
        <f aca="false">IFERROR(VLOOKUP($A935,Equipos!$C$2:$M$967,7,FALSE()),"")</f>
        <v>DEFIBTECH</v>
      </c>
      <c r="F935" s="50" t="str">
        <f aca="false">IFERROR(VLOOKUP($A935,Equipos!$C$2:$M$967,8,FALSE()),"")</f>
        <v>LIFE LINE </v>
      </c>
      <c r="G935" s="50" t="s">
        <v>893</v>
      </c>
      <c r="H935" s="50" t="s">
        <v>360</v>
      </c>
      <c r="I935" s="50"/>
      <c r="J935" s="50" t="s">
        <v>352</v>
      </c>
      <c r="K935" s="50" t="str">
        <f aca="false">IFERROR(VLOOKUP($J935,Catálogos!$M$4:$N$17,2,FALSE()),"")</f>
        <v>Mantención Preventiva Realizada</v>
      </c>
      <c r="L935" s="52" t="n">
        <v>46127</v>
      </c>
      <c r="M935" s="50" t="s">
        <v>353</v>
      </c>
      <c r="N935" s="50" t="s">
        <v>253</v>
      </c>
      <c r="O935" s="50"/>
      <c r="P935" s="50"/>
      <c r="Q935" s="50" t="s">
        <v>362</v>
      </c>
    </row>
    <row r="936" customFormat="false" ht="15" hidden="false" customHeight="true" outlineLevel="0" collapsed="false">
      <c r="A936" s="51" t="s">
        <v>92</v>
      </c>
      <c r="B936" s="50" t="str">
        <f aca="false">IFERROR(VLOOKUP($A936,Equipos!$C$2:$M$967,2,FALSE()),"")</f>
        <v>DEA</v>
      </c>
      <c r="C936" s="50" t="str">
        <f aca="false">IFERROR(VLOOKUP($A936,Equipos!$C$2:$M$967,9,FALSE()),"")</f>
        <v>122003001</v>
      </c>
      <c r="D936" s="50" t="str">
        <f aca="false">IFERROR(VLOOKUP($A936,Equipos!$C$2:$M$967,3,FALSE()),"")</f>
        <v>Prevención de Riesgos</v>
      </c>
      <c r="E936" s="50" t="str">
        <f aca="false">IFERROR(VLOOKUP($A936,Equipos!$C$2:$M$967,7,FALSE()),"")</f>
        <v>DEFIBTECH</v>
      </c>
      <c r="F936" s="50" t="str">
        <f aca="false">IFERROR(VLOOKUP($A936,Equipos!$C$2:$M$967,8,FALSE()),"")</f>
        <v>LIFE LINE </v>
      </c>
      <c r="G936" s="50" t="s">
        <v>893</v>
      </c>
      <c r="H936" s="50" t="s">
        <v>360</v>
      </c>
      <c r="I936" s="50"/>
      <c r="J936" s="50" t="s">
        <v>352</v>
      </c>
      <c r="K936" s="50" t="str">
        <f aca="false">IFERROR(VLOOKUP($J936,Catálogos!$M$4:$N$17,2,FALSE()),"")</f>
        <v>Mantención Preventiva Realizada</v>
      </c>
      <c r="L936" s="52" t="n">
        <v>46127</v>
      </c>
      <c r="M936" s="50" t="s">
        <v>353</v>
      </c>
      <c r="N936" s="50" t="s">
        <v>253</v>
      </c>
      <c r="O936" s="50"/>
      <c r="P936" s="50"/>
      <c r="Q936" s="50" t="s">
        <v>362</v>
      </c>
    </row>
    <row r="937" customFormat="false" ht="15" hidden="false" customHeight="true" outlineLevel="0" collapsed="false">
      <c r="A937" s="51" t="s">
        <v>83</v>
      </c>
      <c r="B937" s="50" t="str">
        <f aca="false">IFERROR(VLOOKUP($A937,Equipos!$C$2:$M$967,2,FALSE()),"")</f>
        <v>DEA</v>
      </c>
      <c r="C937" s="50" t="str">
        <f aca="false">IFERROR(VLOOKUP($A937,Equipos!$C$2:$M$967,9,FALSE()),"")</f>
        <v>122002994</v>
      </c>
      <c r="D937" s="50" t="str">
        <f aca="false">IFERROR(VLOOKUP($A937,Equipos!$C$2:$M$967,3,FALSE()),"")</f>
        <v>Prevención de Riesgos</v>
      </c>
      <c r="E937" s="50" t="str">
        <f aca="false">IFERROR(VLOOKUP($A937,Equipos!$C$2:$M$967,7,FALSE()),"")</f>
        <v>DEFIBTECH</v>
      </c>
      <c r="F937" s="50" t="str">
        <f aca="false">IFERROR(VLOOKUP($A937,Equipos!$C$2:$M$967,8,FALSE()),"")</f>
        <v>LIFE LINE </v>
      </c>
      <c r="G937" s="50" t="s">
        <v>893</v>
      </c>
      <c r="H937" s="50" t="s">
        <v>360</v>
      </c>
      <c r="I937" s="50"/>
      <c r="J937" s="50" t="s">
        <v>352</v>
      </c>
      <c r="K937" s="50" t="str">
        <f aca="false">IFERROR(VLOOKUP($J937,Catálogos!$M$4:$N$17,2,FALSE()),"")</f>
        <v>Mantención Preventiva Realizada</v>
      </c>
      <c r="L937" s="52" t="n">
        <v>46127</v>
      </c>
      <c r="M937" s="50" t="s">
        <v>353</v>
      </c>
      <c r="N937" s="50" t="s">
        <v>253</v>
      </c>
      <c r="O937" s="50"/>
      <c r="P937" s="50"/>
      <c r="Q937" s="50" t="s">
        <v>362</v>
      </c>
    </row>
    <row r="938" customFormat="false" ht="15" hidden="false" customHeight="true" outlineLevel="0" collapsed="false">
      <c r="A938" s="51" t="s">
        <v>89</v>
      </c>
      <c r="B938" s="50" t="str">
        <f aca="false">IFERROR(VLOOKUP($A938,Equipos!$C$2:$M$967,2,FALSE()),"")</f>
        <v>DEA</v>
      </c>
      <c r="C938" s="50" t="str">
        <f aca="false">IFERROR(VLOOKUP($A938,Equipos!$C$2:$M$967,9,FALSE()),"")</f>
        <v>40422</v>
      </c>
      <c r="D938" s="50" t="str">
        <f aca="false">IFERROR(VLOOKUP($A938,Equipos!$C$2:$M$967,3,FALSE()),"")</f>
        <v>CDT</v>
      </c>
      <c r="E938" s="50" t="str">
        <f aca="false">IFERROR(VLOOKUP($A938,Equipos!$C$2:$M$967,7,FALSE()),"")</f>
        <v>Nihon Kohden</v>
      </c>
      <c r="F938" s="50" t="str">
        <f aca="false">IFERROR(VLOOKUP($A938,Equipos!$C$2:$M$967,8,FALSE()),"")</f>
        <v>AED-3100K</v>
      </c>
      <c r="G938" s="50" t="s">
        <v>893</v>
      </c>
      <c r="H938" s="50" t="s">
        <v>360</v>
      </c>
      <c r="I938" s="50"/>
      <c r="J938" s="50" t="s">
        <v>352</v>
      </c>
      <c r="K938" s="50" t="str">
        <f aca="false">IFERROR(VLOOKUP($J938,Catálogos!$M$4:$N$17,2,FALSE()),"")</f>
        <v>Mantención Preventiva Realizada</v>
      </c>
      <c r="L938" s="52" t="n">
        <v>46127</v>
      </c>
      <c r="M938" s="50" t="s">
        <v>353</v>
      </c>
      <c r="N938" s="50" t="s">
        <v>253</v>
      </c>
      <c r="O938" s="50"/>
      <c r="P938" s="50"/>
      <c r="Q938" s="50" t="s">
        <v>362</v>
      </c>
    </row>
    <row r="939" customFormat="false" ht="15" hidden="false" customHeight="true" outlineLevel="0" collapsed="false">
      <c r="A939" s="51" t="s">
        <v>86</v>
      </c>
      <c r="B939" s="50" t="str">
        <f aca="false">IFERROR(VLOOKUP($A939,Equipos!$C$2:$M$967,2,FALSE()),"")</f>
        <v>DEA</v>
      </c>
      <c r="C939" s="50" t="str">
        <f aca="false">IFERROR(VLOOKUP($A939,Equipos!$C$2:$M$967,9,FALSE()),"")</f>
        <v>AE7-24048210</v>
      </c>
      <c r="D939" s="50" t="str">
        <f aca="false">IFERROR(VLOOKUP($A939,Equipos!$C$2:$M$967,3,FALSE()),"")</f>
        <v>Gestión de Pacientes</v>
      </c>
      <c r="E939" s="50" t="str">
        <f aca="false">IFERROR(VLOOKUP($A939,Equipos!$C$2:$M$967,7,FALSE()),"")</f>
        <v>Mindray</v>
      </c>
      <c r="F939" s="50" t="str">
        <f aca="false">IFERROR(VLOOKUP($A939,Equipos!$C$2:$M$967,8,FALSE()),"")</f>
        <v>BeneHeart C2</v>
      </c>
      <c r="G939" s="50" t="s">
        <v>893</v>
      </c>
      <c r="H939" s="50" t="s">
        <v>360</v>
      </c>
      <c r="I939" s="50"/>
      <c r="J939" s="50" t="s">
        <v>352</v>
      </c>
      <c r="K939" s="50" t="str">
        <f aca="false">IFERROR(VLOOKUP($J939,Catálogos!$M$4:$N$17,2,FALSE()),"")</f>
        <v>Mantención Preventiva Realizada</v>
      </c>
      <c r="L939" s="52" t="n">
        <v>46127</v>
      </c>
      <c r="M939" s="50" t="s">
        <v>353</v>
      </c>
      <c r="N939" s="50" t="s">
        <v>253</v>
      </c>
      <c r="O939" s="50"/>
      <c r="P939" s="50"/>
      <c r="Q939" s="50" t="s">
        <v>362</v>
      </c>
    </row>
    <row r="940" customFormat="false" ht="15" hidden="false" customHeight="true" outlineLevel="0" collapsed="false">
      <c r="A940" s="51" t="s">
        <v>974</v>
      </c>
      <c r="B940" s="50" t="str">
        <f aca="false">IFERROR(VLOOKUP($A940,Equipos!$C$2:$M$967,2,FALSE()),"")</f>
        <v>Desfibrilador</v>
      </c>
      <c r="C940" s="50" t="str">
        <f aca="false">IFERROR(VLOOKUP($A940,Equipos!$C$2:$M$967,9,FALSE()),"")</f>
        <v>AF12B020986</v>
      </c>
      <c r="D940" s="50" t="str">
        <f aca="false">IFERROR(VLOOKUP($A940,Equipos!$C$2:$M$967,3,FALSE()),"")</f>
        <v>SAMU</v>
      </c>
      <c r="E940" s="50" t="str">
        <f aca="false">IFERROR(VLOOKUP($A940,Equipos!$C$2:$M$967,7,FALSE()),"")</f>
        <v>Zoll </v>
      </c>
      <c r="F940" s="50" t="str">
        <f aca="false">IFERROR(VLOOKUP($A940,Equipos!$C$2:$M$967,8,FALSE()),"")</f>
        <v>R SERIES ALS</v>
      </c>
      <c r="G940" s="50" t="s">
        <v>893</v>
      </c>
      <c r="H940" s="50" t="s">
        <v>360</v>
      </c>
      <c r="I940" s="50"/>
      <c r="J940" s="50" t="s">
        <v>352</v>
      </c>
      <c r="K940" s="50" t="str">
        <f aca="false">IFERROR(VLOOKUP($J940,Catálogos!$M$4:$N$17,2,FALSE()),"")</f>
        <v>Mantención Preventiva Realizada</v>
      </c>
      <c r="L940" s="52" t="n">
        <v>46127</v>
      </c>
      <c r="M940" s="50" t="s">
        <v>353</v>
      </c>
      <c r="N940" s="50" t="s">
        <v>253</v>
      </c>
      <c r="O940" s="50"/>
      <c r="P940" s="50"/>
      <c r="Q940" s="50" t="s">
        <v>362</v>
      </c>
    </row>
    <row r="941" customFormat="false" ht="15" hidden="false" customHeight="true" outlineLevel="0" collapsed="false">
      <c r="A941" s="51" t="s">
        <v>975</v>
      </c>
      <c r="B941" s="50" t="str">
        <f aca="false">IFERROR(VLOOKUP($A941,Equipos!$C$2:$M$967,2,FALSE()),"")</f>
        <v>Desfibrilador</v>
      </c>
      <c r="C941" s="50" t="str">
        <f aca="false">IFERROR(VLOOKUP($A941,Equipos!$C$2:$M$967,9,FALSE()),"")</f>
        <v>1640</v>
      </c>
      <c r="D941" s="50" t="str">
        <f aca="false">IFERROR(VLOOKUP($A941,Equipos!$C$2:$M$967,3,FALSE()),"")</f>
        <v>SAMU</v>
      </c>
      <c r="E941" s="50" t="str">
        <f aca="false">IFERROR(VLOOKUP($A941,Equipos!$C$2:$M$967,7,FALSE()),"")</f>
        <v>Nihon Kohden</v>
      </c>
      <c r="F941" s="50" t="str">
        <f aca="false">IFERROR(VLOOKUP($A941,Equipos!$C$2:$M$967,8,FALSE()),"")</f>
        <v>TEC-8352K</v>
      </c>
      <c r="G941" s="50" t="s">
        <v>893</v>
      </c>
      <c r="H941" s="50" t="s">
        <v>360</v>
      </c>
      <c r="I941" s="50"/>
      <c r="J941" s="50" t="s">
        <v>352</v>
      </c>
      <c r="K941" s="50" t="str">
        <f aca="false">IFERROR(VLOOKUP($J941,Catálogos!$M$4:$N$17,2,FALSE()),"")</f>
        <v>Mantención Preventiva Realizada</v>
      </c>
      <c r="L941" s="52" t="n">
        <v>46127</v>
      </c>
      <c r="M941" s="50" t="s">
        <v>353</v>
      </c>
      <c r="N941" s="50" t="s">
        <v>253</v>
      </c>
      <c r="O941" s="50"/>
      <c r="P941" s="50"/>
      <c r="Q941" s="50" t="s">
        <v>362</v>
      </c>
    </row>
    <row r="942" customFormat="false" ht="15" hidden="false" customHeight="true" outlineLevel="0" collapsed="false">
      <c r="A942" s="51" t="s">
        <v>58</v>
      </c>
      <c r="B942" s="50" t="str">
        <f aca="false">IFERROR(VLOOKUP($A942,Equipos!$C$2:$M$967,2,FALSE()),"")</f>
        <v>DEA</v>
      </c>
      <c r="C942" s="50" t="str">
        <f aca="false">IFERROR(VLOOKUP($A942,Equipos!$C$2:$M$967,9,FALSE()),"")</f>
        <v>X21J421750</v>
      </c>
      <c r="D942" s="50" t="str">
        <f aca="false">IFERROR(VLOOKUP($A942,Equipos!$C$2:$M$967,3,FALSE()),"")</f>
        <v>SAMU</v>
      </c>
      <c r="E942" s="50" t="str">
        <f aca="false">IFERROR(VLOOKUP($A942,Equipos!$C$2:$M$967,7,FALSE()),"")</f>
        <v>Zoll</v>
      </c>
      <c r="F942" s="50" t="str">
        <f aca="false">IFERROR(VLOOKUP($A942,Equipos!$C$2:$M$967,8,FALSE()),"")</f>
        <v>AEDPLUS</v>
      </c>
      <c r="G942" s="50" t="s">
        <v>893</v>
      </c>
      <c r="H942" s="50" t="s">
        <v>360</v>
      </c>
      <c r="I942" s="50"/>
      <c r="J942" s="50" t="s">
        <v>352</v>
      </c>
      <c r="K942" s="50" t="str">
        <f aca="false">IFERROR(VLOOKUP($J942,Catálogos!$M$4:$N$17,2,FALSE()),"")</f>
        <v>Mantención Preventiva Realizada</v>
      </c>
      <c r="L942" s="52" t="n">
        <v>46127</v>
      </c>
      <c r="M942" s="50" t="s">
        <v>353</v>
      </c>
      <c r="N942" s="50" t="s">
        <v>253</v>
      </c>
      <c r="O942" s="50"/>
      <c r="P942" s="50"/>
      <c r="Q942" s="50" t="s">
        <v>362</v>
      </c>
    </row>
    <row r="943" customFormat="false" ht="15" hidden="false" customHeight="true" outlineLevel="0" collapsed="false">
      <c r="A943" s="51" t="s">
        <v>976</v>
      </c>
      <c r="B943" s="50" t="str">
        <f aca="false">IFERROR(VLOOKUP($A943,Equipos!$C$2:$M$967,2,FALSE()),"")</f>
        <v>Desfibrilador</v>
      </c>
      <c r="C943" s="50" t="str">
        <f aca="false">IFERROR(VLOOKUP($A943,Equipos!$C$2:$M$967,9,FALSE()),"")</f>
        <v>49453842</v>
      </c>
      <c r="D943" s="50" t="str">
        <f aca="false">IFERROR(VLOOKUP($A943,Equipos!$C$2:$M$967,3,FALSE()),"")</f>
        <v>Pabellón Quirúrgico</v>
      </c>
      <c r="E943" s="50" t="str">
        <f aca="false">IFERROR(VLOOKUP($A943,Equipos!$C$2:$M$967,7,FALSE()),"")</f>
        <v>Physio Control</v>
      </c>
      <c r="F943" s="50" t="str">
        <f aca="false">IFERROR(VLOOKUP($A943,Equipos!$C$2:$M$967,8,FALSE()),"")</f>
        <v>Lifepak 15</v>
      </c>
      <c r="G943" s="50" t="s">
        <v>893</v>
      </c>
      <c r="H943" s="50" t="s">
        <v>360</v>
      </c>
      <c r="I943" s="50"/>
      <c r="J943" s="50" t="s">
        <v>352</v>
      </c>
      <c r="K943" s="50" t="str">
        <f aca="false">IFERROR(VLOOKUP($J943,Catálogos!$M$4:$N$17,2,FALSE()),"")</f>
        <v>Mantención Preventiva Realizada</v>
      </c>
      <c r="L943" s="52" t="n">
        <v>46127</v>
      </c>
      <c r="M943" s="50" t="s">
        <v>353</v>
      </c>
      <c r="N943" s="50" t="s">
        <v>253</v>
      </c>
      <c r="O943" s="50"/>
      <c r="P943" s="50"/>
      <c r="Q943" s="50" t="s">
        <v>362</v>
      </c>
    </row>
    <row r="944" customFormat="false" ht="15" hidden="false" customHeight="true" outlineLevel="0" collapsed="false">
      <c r="A944" s="51" t="s">
        <v>977</v>
      </c>
      <c r="B944" s="50" t="str">
        <f aca="false">IFERROR(VLOOKUP($A944,Equipos!$C$2:$M$967,2,FALSE()),"")</f>
        <v>Desfibrilador</v>
      </c>
      <c r="C944" s="50" t="str">
        <f aca="false">IFERROR(VLOOKUP($A944,Equipos!$C$2:$M$967,9,FALSE()),"")</f>
        <v>FP5-49011641</v>
      </c>
      <c r="D944" s="50" t="str">
        <f aca="false">IFERROR(VLOOKUP($A944,Equipos!$C$2:$M$967,3,FALSE()),"")</f>
        <v>TROI</v>
      </c>
      <c r="E944" s="50" t="str">
        <f aca="false">IFERROR(VLOOKUP($A944,Equipos!$C$2:$M$967,7,FALSE()),"")</f>
        <v>Mindray</v>
      </c>
      <c r="F944" s="50" t="str">
        <f aca="false">IFERROR(VLOOKUP($A944,Equipos!$C$2:$M$967,8,FALSE()),"")</f>
        <v>BeneHeart D30</v>
      </c>
      <c r="G944" s="50" t="s">
        <v>893</v>
      </c>
      <c r="H944" s="50" t="s">
        <v>360</v>
      </c>
      <c r="I944" s="50"/>
      <c r="J944" s="50" t="s">
        <v>352</v>
      </c>
      <c r="K944" s="50" t="str">
        <f aca="false">IFERROR(VLOOKUP($J944,Catálogos!$M$4:$N$17,2,FALSE()),"")</f>
        <v>Mantención Preventiva Realizada</v>
      </c>
      <c r="L944" s="52" t="n">
        <v>46127</v>
      </c>
      <c r="M944" s="50" t="s">
        <v>353</v>
      </c>
      <c r="N944" s="50" t="s">
        <v>253</v>
      </c>
      <c r="O944" s="50"/>
      <c r="P944" s="50"/>
      <c r="Q944" s="50" t="s">
        <v>362</v>
      </c>
    </row>
    <row r="945" customFormat="false" ht="15" hidden="false" customHeight="true" outlineLevel="0" collapsed="false">
      <c r="A945" s="51" t="s">
        <v>978</v>
      </c>
      <c r="B945" s="50" t="str">
        <f aca="false">IFERROR(VLOOKUP($A945,Equipos!$C$2:$M$967,2,FALSE()),"")</f>
        <v>Desfibrilador</v>
      </c>
      <c r="C945" s="50" t="str">
        <f aca="false">IFERROR(VLOOKUP($A945,Equipos!$C$2:$M$967,9,FALSE()),"")</f>
        <v>795</v>
      </c>
      <c r="D945" s="50" t="str">
        <f aca="false">IFERROR(VLOOKUP($A945,Equipos!$C$2:$M$967,3,FALSE()),"")</f>
        <v>Psiquiatría</v>
      </c>
      <c r="E945" s="50" t="str">
        <f aca="false">IFERROR(VLOOKUP($A945,Equipos!$C$2:$M$967,7,FALSE()),"")</f>
        <v>Nihon Kohden</v>
      </c>
      <c r="F945" s="50" t="str">
        <f aca="false">IFERROR(VLOOKUP($A945,Equipos!$C$2:$M$967,8,FALSE()),"")</f>
        <v>TEC 5521E</v>
      </c>
      <c r="G945" s="50" t="s">
        <v>893</v>
      </c>
      <c r="H945" s="50" t="s">
        <v>360</v>
      </c>
      <c r="I945" s="50"/>
      <c r="J945" s="50" t="s">
        <v>352</v>
      </c>
      <c r="K945" s="50" t="str">
        <f aca="false">IFERROR(VLOOKUP($J945,Catálogos!$M$4:$N$17,2,FALSE()),"")</f>
        <v>Mantención Preventiva Realizada</v>
      </c>
      <c r="L945" s="52" t="n">
        <v>46127</v>
      </c>
      <c r="M945" s="50" t="s">
        <v>353</v>
      </c>
      <c r="N945" s="50" t="s">
        <v>253</v>
      </c>
      <c r="O945" s="50"/>
      <c r="P945" s="50"/>
      <c r="Q945" s="50" t="s">
        <v>362</v>
      </c>
    </row>
    <row r="946" customFormat="false" ht="15" hidden="false" customHeight="true" outlineLevel="0" collapsed="false">
      <c r="A946" s="51" t="s">
        <v>979</v>
      </c>
      <c r="B946" s="50" t="str">
        <f aca="false">IFERROR(VLOOKUP($A946,Equipos!$C$2:$M$967,2,FALSE()),"")</f>
        <v>Desfibrilador</v>
      </c>
      <c r="C946" s="50" t="str">
        <f aca="false">IFERROR(VLOOKUP($A946,Equipos!$C$2:$M$967,9,FALSE()),"")</f>
        <v>876</v>
      </c>
      <c r="D946" s="50" t="str">
        <f aca="false">IFERROR(VLOOKUP($A946,Equipos!$C$2:$M$967,3,FALSE()),"")</f>
        <v>Psiquiatría</v>
      </c>
      <c r="E946" s="50" t="str">
        <f aca="false">IFERROR(VLOOKUP($A946,Equipos!$C$2:$M$967,7,FALSE()),"")</f>
        <v>Nihon Kohden</v>
      </c>
      <c r="F946" s="50" t="str">
        <f aca="false">IFERROR(VLOOKUP($A946,Equipos!$C$2:$M$967,8,FALSE()),"")</f>
        <v>TEC 5531E</v>
      </c>
      <c r="G946" s="50" t="s">
        <v>893</v>
      </c>
      <c r="H946" s="50" t="s">
        <v>360</v>
      </c>
      <c r="I946" s="50"/>
      <c r="J946" s="50" t="s">
        <v>352</v>
      </c>
      <c r="K946" s="50" t="str">
        <f aca="false">IFERROR(VLOOKUP($J946,Catálogos!$M$4:$N$17,2,FALSE()),"")</f>
        <v>Mantención Preventiva Realizada</v>
      </c>
      <c r="L946" s="52" t="n">
        <v>46127</v>
      </c>
      <c r="M946" s="50" t="s">
        <v>353</v>
      </c>
      <c r="N946" s="50" t="s">
        <v>253</v>
      </c>
      <c r="O946" s="50"/>
      <c r="P946" s="50"/>
      <c r="Q946" s="50" t="s">
        <v>362</v>
      </c>
    </row>
    <row r="947" customFormat="false" ht="15" hidden="false" customHeight="true" outlineLevel="0" collapsed="false">
      <c r="A947" s="51" t="s">
        <v>980</v>
      </c>
      <c r="B947" s="50" t="str">
        <f aca="false">IFERROR(VLOOKUP($A947,Equipos!$C$2:$M$967,2,FALSE()),"")</f>
        <v>Desfibrilador</v>
      </c>
      <c r="C947" s="50" t="str">
        <f aca="false">IFERROR(VLOOKUP($A947,Equipos!$C$2:$M$967,9,FALSE()),"")</f>
        <v>885</v>
      </c>
      <c r="D947" s="50" t="str">
        <f aca="false">IFERROR(VLOOKUP($A947,Equipos!$C$2:$M$967,3,FALSE()),"")</f>
        <v>Cirugía Adulto</v>
      </c>
      <c r="E947" s="50" t="str">
        <f aca="false">IFERROR(VLOOKUP($A947,Equipos!$C$2:$M$967,7,FALSE()),"")</f>
        <v>Nihon Kohden</v>
      </c>
      <c r="F947" s="50" t="str">
        <f aca="false">IFERROR(VLOOKUP($A947,Equipos!$C$2:$M$967,8,FALSE()),"")</f>
        <v>TEC 5531E</v>
      </c>
      <c r="G947" s="50" t="s">
        <v>893</v>
      </c>
      <c r="H947" s="50" t="s">
        <v>360</v>
      </c>
      <c r="I947" s="50"/>
      <c r="J947" s="50" t="s">
        <v>352</v>
      </c>
      <c r="K947" s="50" t="str">
        <f aca="false">IFERROR(VLOOKUP($J947,Catálogos!$M$4:$N$17,2,FALSE()),"")</f>
        <v>Mantención Preventiva Realizada</v>
      </c>
      <c r="L947" s="52" t="n">
        <v>46127</v>
      </c>
      <c r="M947" s="50" t="s">
        <v>353</v>
      </c>
      <c r="N947" s="50" t="s">
        <v>253</v>
      </c>
      <c r="O947" s="50"/>
      <c r="P947" s="50"/>
      <c r="Q947" s="50" t="s">
        <v>362</v>
      </c>
    </row>
    <row r="948" customFormat="false" ht="15" hidden="false" customHeight="true" outlineLevel="0" collapsed="false">
      <c r="A948" s="51" t="s">
        <v>981</v>
      </c>
      <c r="B948" s="50" t="str">
        <f aca="false">IFERROR(VLOOKUP($A948,Equipos!$C$2:$M$967,2,FALSE()),"")</f>
        <v>Desfibrilador</v>
      </c>
      <c r="C948" s="50" t="str">
        <f aca="false">IFERROR(VLOOKUP($A948,Equipos!$C$2:$M$967,9,FALSE()),"")</f>
        <v>880</v>
      </c>
      <c r="D948" s="50" t="str">
        <f aca="false">IFERROR(VLOOKUP($A948,Equipos!$C$2:$M$967,3,FALSE()),"")</f>
        <v>Pabellón Quirúrgico</v>
      </c>
      <c r="E948" s="50" t="str">
        <f aca="false">IFERROR(VLOOKUP($A948,Equipos!$C$2:$M$967,7,FALSE()),"")</f>
        <v>Nihon Kohden</v>
      </c>
      <c r="F948" s="50" t="str">
        <f aca="false">IFERROR(VLOOKUP($A948,Equipos!$C$2:$M$967,8,FALSE()),"")</f>
        <v>TEC 5531E</v>
      </c>
      <c r="G948" s="50" t="s">
        <v>893</v>
      </c>
      <c r="H948" s="50" t="s">
        <v>360</v>
      </c>
      <c r="I948" s="50"/>
      <c r="J948" s="50" t="s">
        <v>352</v>
      </c>
      <c r="K948" s="50" t="str">
        <f aca="false">IFERROR(VLOOKUP($J948,Catálogos!$M$4:$N$17,2,FALSE()),"")</f>
        <v>Mantención Preventiva Realizada</v>
      </c>
      <c r="L948" s="52" t="n">
        <v>46127</v>
      </c>
      <c r="M948" s="50" t="s">
        <v>353</v>
      </c>
      <c r="N948" s="50" t="s">
        <v>253</v>
      </c>
      <c r="O948" s="50"/>
      <c r="P948" s="50"/>
      <c r="Q948" s="50" t="s">
        <v>362</v>
      </c>
    </row>
    <row r="949" customFormat="false" ht="15" hidden="false" customHeight="true" outlineLevel="0" collapsed="false">
      <c r="A949" s="51" t="s">
        <v>117</v>
      </c>
      <c r="B949" s="50" t="str">
        <f aca="false">IFERROR(VLOOKUP($A949,Equipos!$C$2:$M$967,2,FALSE()),"")</f>
        <v>DEA</v>
      </c>
      <c r="C949" s="50" t="str">
        <f aca="false">IFERROR(VLOOKUP($A949,Equipos!$C$2:$M$967,9,FALSE()),"")</f>
        <v>AF1-48110851</v>
      </c>
      <c r="D949" s="50" t="str">
        <f aca="false">IFERROR(VLOOKUP($A949,Equipos!$C$2:$M$967,3,FALSE()),"")</f>
        <v>SAMU</v>
      </c>
      <c r="E949" s="50" t="str">
        <f aca="false">IFERROR(VLOOKUP($A949,Equipos!$C$2:$M$967,7,FALSE()),"")</f>
        <v>Mindray</v>
      </c>
      <c r="F949" s="50" t="str">
        <f aca="false">IFERROR(VLOOKUP($A949,Equipos!$C$2:$M$967,8,FALSE()),"")</f>
        <v>BeneHeart C1A</v>
      </c>
      <c r="G949" s="50" t="s">
        <v>893</v>
      </c>
      <c r="H949" s="50" t="s">
        <v>360</v>
      </c>
      <c r="I949" s="50"/>
      <c r="J949" s="50" t="s">
        <v>352</v>
      </c>
      <c r="K949" s="50" t="str">
        <f aca="false">IFERROR(VLOOKUP($J949,Catálogos!$M$4:$N$17,2,FALSE()),"")</f>
        <v>Mantención Preventiva Realizada</v>
      </c>
      <c r="L949" s="52" t="n">
        <v>46127</v>
      </c>
      <c r="M949" s="50" t="s">
        <v>353</v>
      </c>
      <c r="N949" s="50" t="s">
        <v>253</v>
      </c>
      <c r="O949" s="50"/>
      <c r="P949" s="50"/>
      <c r="Q949" s="50" t="s">
        <v>362</v>
      </c>
    </row>
    <row r="950" customFormat="false" ht="15" hidden="false" customHeight="true" outlineLevel="0" collapsed="false">
      <c r="A950" s="51" t="s">
        <v>512</v>
      </c>
      <c r="B950" s="50" t="str">
        <f aca="false">IFERROR(VLOOKUP($A950,Equipos!$C$2:$M$967,2,FALSE()),"")</f>
        <v>DEA</v>
      </c>
      <c r="C950" s="50" t="str">
        <f aca="false">IFERROR(VLOOKUP($A950,Equipos!$C$2:$M$967,9,FALSE()),"")</f>
        <v>13042</v>
      </c>
      <c r="D950" s="50" t="str">
        <f aca="false">IFERROR(VLOOKUP($A950,Equipos!$C$2:$M$967,3,FALSE()),"")</f>
        <v>Unidad Evaluación Paciente Imputado</v>
      </c>
      <c r="E950" s="50" t="str">
        <f aca="false">IFERROR(VLOOKUP($A950,Equipos!$C$2:$M$967,7,FALSE()),"")</f>
        <v>Nihon Kohden</v>
      </c>
      <c r="F950" s="50" t="str">
        <f aca="false">IFERROR(VLOOKUP($A950,Equipos!$C$2:$M$967,8,FALSE()),"")</f>
        <v>AED-3100</v>
      </c>
      <c r="G950" s="50" t="s">
        <v>893</v>
      </c>
      <c r="H950" s="50" t="s">
        <v>360</v>
      </c>
      <c r="I950" s="50"/>
      <c r="J950" s="50" t="s">
        <v>352</v>
      </c>
      <c r="K950" s="50" t="str">
        <f aca="false">IFERROR(VLOOKUP($J950,Catálogos!$M$4:$N$17,2,FALSE()),"")</f>
        <v>Mantención Preventiva Realizada</v>
      </c>
      <c r="L950" s="52" t="n">
        <v>46127</v>
      </c>
      <c r="M950" s="50" t="s">
        <v>353</v>
      </c>
      <c r="N950" s="50" t="s">
        <v>253</v>
      </c>
      <c r="O950" s="50"/>
      <c r="P950" s="50"/>
      <c r="Q950" s="50" t="s">
        <v>362</v>
      </c>
    </row>
    <row r="951" customFormat="false" ht="15" hidden="false" customHeight="true" outlineLevel="0" collapsed="false">
      <c r="A951" s="51" t="s">
        <v>120</v>
      </c>
      <c r="B951" s="50" t="str">
        <f aca="false">IFERROR(VLOOKUP($A951,Equipos!$C$2:$M$967,2,FALSE()),"")</f>
        <v>DEA</v>
      </c>
      <c r="C951" s="50" t="str">
        <f aca="false">IFERROR(VLOOKUP($A951,Equipos!$C$2:$M$967,9,FALSE()),"")</f>
        <v>X18E028657</v>
      </c>
      <c r="D951" s="50" t="str">
        <f aca="false">IFERROR(VLOOKUP($A951,Equipos!$C$2:$M$967,3,FALSE()),"")</f>
        <v>Gestión de Pacientes</v>
      </c>
      <c r="E951" s="50" t="str">
        <f aca="false">IFERROR(VLOOKUP($A951,Equipos!$C$2:$M$967,7,FALSE()),"")</f>
        <v>Zoll</v>
      </c>
      <c r="F951" s="50" t="str">
        <f aca="false">IFERROR(VLOOKUP($A951,Equipos!$C$2:$M$967,8,FALSE()),"")</f>
        <v>AEDPLUS</v>
      </c>
      <c r="G951" s="50" t="s">
        <v>893</v>
      </c>
      <c r="H951" s="50" t="s">
        <v>360</v>
      </c>
      <c r="I951" s="50"/>
      <c r="J951" s="50" t="s">
        <v>352</v>
      </c>
      <c r="K951" s="50" t="str">
        <f aca="false">IFERROR(VLOOKUP($J951,Catálogos!$M$4:$N$17,2,FALSE()),"")</f>
        <v>Mantención Preventiva Realizada</v>
      </c>
      <c r="L951" s="52" t="n">
        <v>46127</v>
      </c>
      <c r="M951" s="50" t="s">
        <v>353</v>
      </c>
      <c r="N951" s="50" t="s">
        <v>253</v>
      </c>
      <c r="O951" s="50"/>
      <c r="P951" s="50"/>
      <c r="Q951" s="50" t="s">
        <v>362</v>
      </c>
    </row>
    <row r="952" customFormat="false" ht="15" hidden="false" customHeight="true" outlineLevel="0" collapsed="false">
      <c r="A952" s="51" t="s">
        <v>982</v>
      </c>
      <c r="B952" s="50" t="str">
        <f aca="false">IFERROR(VLOOKUP($A952,Equipos!$C$2:$M$967,2,FALSE()),"")</f>
        <v>Desfibrilador</v>
      </c>
      <c r="C952" s="50" t="str">
        <f aca="false">IFERROR(VLOOKUP($A952,Equipos!$C$2:$M$967,9,FALSE()),"")</f>
        <v>AF12B020910</v>
      </c>
      <c r="D952" s="50" t="str">
        <f aca="false">IFERROR(VLOOKUP($A952,Equipos!$C$2:$M$967,3,FALSE()),"")</f>
        <v>Pabellón (Hemodinamia)</v>
      </c>
      <c r="E952" s="50" t="str">
        <f aca="false">IFERROR(VLOOKUP($A952,Equipos!$C$2:$M$967,7,FALSE()),"")</f>
        <v>Zoll </v>
      </c>
      <c r="F952" s="50" t="str">
        <f aca="false">IFERROR(VLOOKUP($A952,Equipos!$C$2:$M$967,8,FALSE()),"")</f>
        <v>R SERIES ALS</v>
      </c>
      <c r="G952" s="50" t="s">
        <v>893</v>
      </c>
      <c r="H952" s="50" t="s">
        <v>360</v>
      </c>
      <c r="I952" s="50"/>
      <c r="J952" s="50" t="s">
        <v>352</v>
      </c>
      <c r="K952" s="50" t="str">
        <f aca="false">IFERROR(VLOOKUP($J952,Catálogos!$M$4:$N$17,2,FALSE()),"")</f>
        <v>Mantención Preventiva Realizada</v>
      </c>
      <c r="L952" s="52" t="n">
        <v>46127</v>
      </c>
      <c r="M952" s="50" t="s">
        <v>353</v>
      </c>
      <c r="N952" s="50" t="s">
        <v>253</v>
      </c>
      <c r="O952" s="50"/>
      <c r="P952" s="50"/>
      <c r="Q952" s="50" t="s">
        <v>362</v>
      </c>
    </row>
    <row r="953" customFormat="false" ht="15" hidden="false" customHeight="true" outlineLevel="0" collapsed="false">
      <c r="A953" s="51" t="s">
        <v>983</v>
      </c>
      <c r="B953" s="50" t="str">
        <f aca="false">IFERROR(VLOOKUP($A953,Equipos!$C$2:$M$967,2,FALSE()),"")</f>
        <v>DEA</v>
      </c>
      <c r="C953" s="50" t="str">
        <f aca="false">IFERROR(VLOOKUP($A953,Equipos!$C$2:$M$967,9,FALSE()),"")</f>
        <v>AE7-2408132</v>
      </c>
      <c r="D953" s="50" t="str">
        <f aca="false">IFERROR(VLOOKUP($A953,Equipos!$C$2:$M$967,3,FALSE()),"")</f>
        <v>TROI</v>
      </c>
      <c r="E953" s="50" t="str">
        <f aca="false">IFERROR(VLOOKUP($A953,Equipos!$C$2:$M$967,7,FALSE()),"")</f>
        <v>Mindray</v>
      </c>
      <c r="F953" s="50" t="str">
        <f aca="false">IFERROR(VLOOKUP($A953,Equipos!$C$2:$M$967,8,FALSE()),"")</f>
        <v>BeneHeart C2</v>
      </c>
      <c r="G953" s="50" t="s">
        <v>893</v>
      </c>
      <c r="H953" s="50" t="s">
        <v>360</v>
      </c>
      <c r="I953" s="50"/>
      <c r="J953" s="50" t="s">
        <v>352</v>
      </c>
      <c r="K953" s="50" t="str">
        <f aca="false">IFERROR(VLOOKUP($J953,Catálogos!$M$4:$N$17,2,FALSE()),"")</f>
        <v>Mantención Preventiva Realizada</v>
      </c>
      <c r="L953" s="52" t="n">
        <v>46127</v>
      </c>
      <c r="M953" s="50" t="s">
        <v>353</v>
      </c>
      <c r="N953" s="50" t="s">
        <v>253</v>
      </c>
      <c r="O953" s="50"/>
      <c r="P953" s="50"/>
      <c r="Q953" s="50" t="s">
        <v>362</v>
      </c>
    </row>
    <row r="954" customFormat="false" ht="15" hidden="false" customHeight="true" outlineLevel="0" collapsed="false">
      <c r="A954" s="51" t="s">
        <v>136</v>
      </c>
      <c r="B954" s="50" t="str">
        <f aca="false">IFERROR(VLOOKUP($A954,Equipos!$C$2:$M$967,2,FALSE()),"")</f>
        <v>Máquina de Anestesia</v>
      </c>
      <c r="C954" s="50" t="str">
        <f aca="false">IFERROR(VLOOKUP($A954,Equipos!$C$2:$M$967,9,FALSE()),"")</f>
        <v>ARYA-0174</v>
      </c>
      <c r="D954" s="50" t="str">
        <f aca="false">IFERROR(VLOOKUP($A954,Equipos!$C$2:$M$967,3,FALSE()),"")</f>
        <v>Pabellón Quirúrgico</v>
      </c>
      <c r="E954" s="50" t="str">
        <f aca="false">IFERROR(VLOOKUP($A954,Equipos!$C$2:$M$967,7,FALSE()),"")</f>
        <v>Drager</v>
      </c>
      <c r="F954" s="50" t="str">
        <f aca="false">IFERROR(VLOOKUP($A954,Equipos!$C$2:$M$967,8,FALSE()),"")</f>
        <v>Primus </v>
      </c>
      <c r="G954" s="50" t="s">
        <v>893</v>
      </c>
      <c r="H954" s="50" t="s">
        <v>351</v>
      </c>
      <c r="I954" s="50"/>
      <c r="J954" s="50" t="s">
        <v>352</v>
      </c>
      <c r="K954" s="50" t="str">
        <f aca="false">IFERROR(VLOOKUP($J954,Catálogos!$M$4:$N$17,2,FALSE()),"")</f>
        <v>Mantención Preventiva Realizada</v>
      </c>
      <c r="L954" s="52" t="n">
        <v>46131</v>
      </c>
      <c r="M954" s="50" t="s">
        <v>353</v>
      </c>
      <c r="N954" s="50" t="s">
        <v>162</v>
      </c>
      <c r="O954" s="50"/>
      <c r="P954" s="50"/>
      <c r="Q954" s="54" t="s">
        <v>984</v>
      </c>
    </row>
    <row r="955" customFormat="false" ht="15" hidden="false" customHeight="true" outlineLevel="0" collapsed="false">
      <c r="A955" s="51" t="s">
        <v>985</v>
      </c>
      <c r="B955" s="50" t="str">
        <f aca="false">IFERROR(VLOOKUP($A955,Equipos!$C$2:$M$967,2,FALSE()),"")</f>
        <v>Monitor Multiparámetros</v>
      </c>
      <c r="C955" s="50" t="str">
        <f aca="false">IFERROR(VLOOKUP($A955,Equipos!$C$2:$M$967,9,FALSE()),"")</f>
        <v>G3FPB0029</v>
      </c>
      <c r="D955" s="50" t="str">
        <f aca="false">IFERROR(VLOOKUP($A955,Equipos!$C$2:$M$967,3,FALSE()),"")</f>
        <v>Servicio Social</v>
      </c>
      <c r="E955" s="50" t="str">
        <f aca="false">IFERROR(VLOOKUP($A955,Equipos!$C$2:$M$967,7,FALSE()),"")</f>
        <v>General Meditech</v>
      </c>
      <c r="F955" s="50" t="str">
        <f aca="false">IFERROR(VLOOKUP($A955,Equipos!$C$2:$M$967,8,FALSE()),"")</f>
        <v>G3F</v>
      </c>
      <c r="G955" s="50" t="s">
        <v>893</v>
      </c>
      <c r="H955" s="50" t="s">
        <v>351</v>
      </c>
      <c r="I955" s="50"/>
      <c r="J955" s="50" t="s">
        <v>352</v>
      </c>
      <c r="K955" s="50" t="str">
        <f aca="false">IFERROR(VLOOKUP($J955,Catálogos!$M$4:$N$17,2,FALSE()),"")</f>
        <v>Mantención Preventiva Realizada</v>
      </c>
      <c r="L955" s="52" t="n">
        <v>46132</v>
      </c>
      <c r="M955" s="50" t="s">
        <v>353</v>
      </c>
      <c r="N955" s="50" t="s">
        <v>141</v>
      </c>
      <c r="O955" s="50"/>
      <c r="P955" s="50"/>
      <c r="Q955" s="50"/>
    </row>
    <row r="956" customFormat="false" ht="15" hidden="false" customHeight="true" outlineLevel="0" collapsed="false">
      <c r="A956" s="51" t="s">
        <v>986</v>
      </c>
      <c r="B956" s="50" t="str">
        <f aca="false">IFERROR(VLOOKUP($A956,Equipos!$C$2:$M$967,2,FALSE()),"")</f>
        <v>Monitor Multiparámetros</v>
      </c>
      <c r="C956" s="50" t="str">
        <f aca="false">IFERROR(VLOOKUP($A956,Equipos!$C$2:$M$967,9,FALSE()),"")</f>
        <v>J3300QF04724</v>
      </c>
      <c r="D956" s="50" t="str">
        <f aca="false">IFERROR(VLOOKUP($A956,Equipos!$C$2:$M$967,3,FALSE()),"")</f>
        <v>Servicio Social</v>
      </c>
      <c r="E956" s="50" t="str">
        <f aca="false">IFERROR(VLOOKUP($A956,Equipos!$C$2:$M$967,7,FALSE()),"")</f>
        <v>Creative Medical</v>
      </c>
      <c r="F956" s="50" t="str">
        <f aca="false">IFERROR(VLOOKUP($A956,Equipos!$C$2:$M$967,8,FALSE()),"")</f>
        <v>UP-7000</v>
      </c>
      <c r="G956" s="50" t="s">
        <v>893</v>
      </c>
      <c r="H956" s="50" t="s">
        <v>351</v>
      </c>
      <c r="I956" s="50"/>
      <c r="J956" s="50" t="s">
        <v>352</v>
      </c>
      <c r="K956" s="50" t="str">
        <f aca="false">IFERROR(VLOOKUP($J956,Catálogos!$M$4:$N$17,2,FALSE()),"")</f>
        <v>Mantención Preventiva Realizada</v>
      </c>
      <c r="L956" s="52" t="n">
        <v>46132</v>
      </c>
      <c r="M956" s="50" t="s">
        <v>353</v>
      </c>
      <c r="N956" s="50" t="s">
        <v>141</v>
      </c>
      <c r="O956" s="50"/>
      <c r="P956" s="50"/>
      <c r="Q956" s="50"/>
    </row>
    <row r="957" customFormat="false" ht="15" hidden="false" customHeight="true" outlineLevel="0" collapsed="false">
      <c r="A957" s="51" t="s">
        <v>987</v>
      </c>
      <c r="B957" s="50" t="str">
        <f aca="false">IFERROR(VLOOKUP($A957,Equipos!$C$2:$M$967,2,FALSE()),"")</f>
        <v>Monitor Multiparámetros</v>
      </c>
      <c r="C957" s="50" t="str">
        <f aca="false">IFERROR(VLOOKUP($A957,Equipos!$C$2:$M$967,9,FALSE()),"")</f>
        <v>10912</v>
      </c>
      <c r="D957" s="50" t="str">
        <f aca="false">IFERROR(VLOOKUP($A957,Equipos!$C$2:$M$967,3,FALSE()),"")</f>
        <v>SAMU</v>
      </c>
      <c r="E957" s="50" t="str">
        <f aca="false">IFERROR(VLOOKUP($A957,Equipos!$C$2:$M$967,7,FALSE()),"")</f>
        <v>Nihon Kohden </v>
      </c>
      <c r="F957" s="50" t="str">
        <f aca="false">IFERROR(VLOOKUP($A957,Equipos!$C$2:$M$967,8,FALSE()),"")</f>
        <v>BSM-1763</v>
      </c>
      <c r="G957" s="50" t="s">
        <v>893</v>
      </c>
      <c r="H957" s="50" t="s">
        <v>351</v>
      </c>
      <c r="I957" s="50"/>
      <c r="J957" s="50" t="s">
        <v>352</v>
      </c>
      <c r="K957" s="50" t="str">
        <f aca="false">IFERROR(VLOOKUP($J957,Catálogos!$M$4:$N$17,2,FALSE()),"")</f>
        <v>Mantención Preventiva Realizada</v>
      </c>
      <c r="L957" s="52" t="n">
        <v>46132</v>
      </c>
      <c r="M957" s="50" t="s">
        <v>353</v>
      </c>
      <c r="N957" s="50" t="s">
        <v>141</v>
      </c>
      <c r="O957" s="50"/>
      <c r="P957" s="50"/>
      <c r="Q957" s="50"/>
    </row>
    <row r="958" customFormat="false" ht="15" hidden="false" customHeight="true" outlineLevel="0" collapsed="false">
      <c r="A958" s="51" t="s">
        <v>988</v>
      </c>
      <c r="B958" s="50" t="str">
        <f aca="false">IFERROR(VLOOKUP($A958,Equipos!$C$2:$M$967,2,FALSE()),"")</f>
        <v>Monitor Multiparámetros</v>
      </c>
      <c r="C958" s="50" t="str">
        <f aca="false">IFERROR(VLOOKUP($A958,Equipos!$C$2:$M$967,9,FALSE()),"")</f>
        <v>1040</v>
      </c>
      <c r="D958" s="50" t="str">
        <f aca="false">IFERROR(VLOOKUP($A958,Equipos!$C$2:$M$967,3,FALSE()),"")</f>
        <v>SAMU</v>
      </c>
      <c r="E958" s="50" t="str">
        <f aca="false">IFERROR(VLOOKUP($A958,Equipos!$C$2:$M$967,7,FALSE()),"")</f>
        <v>Nihon Kohden </v>
      </c>
      <c r="F958" s="50" t="str">
        <f aca="false">IFERROR(VLOOKUP($A958,Equipos!$C$2:$M$967,8,FALSE()),"")</f>
        <v>BSM-6301K</v>
      </c>
      <c r="G958" s="50" t="s">
        <v>893</v>
      </c>
      <c r="H958" s="50" t="s">
        <v>351</v>
      </c>
      <c r="I958" s="50"/>
      <c r="J958" s="50" t="s">
        <v>352</v>
      </c>
      <c r="K958" s="50" t="str">
        <f aca="false">IFERROR(VLOOKUP($J958,Catálogos!$M$4:$N$17,2,FALSE()),"")</f>
        <v>Mantención Preventiva Realizada</v>
      </c>
      <c r="L958" s="52" t="n">
        <v>46132</v>
      </c>
      <c r="M958" s="50" t="s">
        <v>353</v>
      </c>
      <c r="N958" s="50" t="s">
        <v>141</v>
      </c>
      <c r="O958" s="50"/>
      <c r="P958" s="50"/>
      <c r="Q958" s="50"/>
    </row>
    <row r="959" customFormat="false" ht="15" hidden="false" customHeight="true" outlineLevel="0" collapsed="false">
      <c r="A959" s="51" t="s">
        <v>989</v>
      </c>
      <c r="B959" s="50" t="str">
        <f aca="false">IFERROR(VLOOKUP($A959,Equipos!$C$2:$M$967,2,FALSE()),"")</f>
        <v>Monitor Multiparámetros</v>
      </c>
      <c r="C959" s="50" t="str">
        <f aca="false">IFERROR(VLOOKUP($A959,Equipos!$C$2:$M$967,9,FALSE()),"")</f>
        <v>10919</v>
      </c>
      <c r="D959" s="50" t="str">
        <f aca="false">IFERROR(VLOOKUP($A959,Equipos!$C$2:$M$967,3,FALSE()),"")</f>
        <v>SAMU</v>
      </c>
      <c r="E959" s="50" t="str">
        <f aca="false">IFERROR(VLOOKUP($A959,Equipos!$C$2:$M$967,7,FALSE()),"")</f>
        <v>Nihon Kohden </v>
      </c>
      <c r="F959" s="50" t="str">
        <f aca="false">IFERROR(VLOOKUP($A959,Equipos!$C$2:$M$967,8,FALSE()),"")</f>
        <v>BSM-1763</v>
      </c>
      <c r="G959" s="50" t="s">
        <v>893</v>
      </c>
      <c r="H959" s="50" t="s">
        <v>351</v>
      </c>
      <c r="I959" s="50"/>
      <c r="J959" s="50" t="s">
        <v>352</v>
      </c>
      <c r="K959" s="50" t="str">
        <f aca="false">IFERROR(VLOOKUP($J959,Catálogos!$M$4:$N$17,2,FALSE()),"")</f>
        <v>Mantención Preventiva Realizada</v>
      </c>
      <c r="L959" s="52" t="n">
        <v>46132</v>
      </c>
      <c r="M959" s="50" t="s">
        <v>353</v>
      </c>
      <c r="N959" s="50" t="s">
        <v>141</v>
      </c>
      <c r="O959" s="50"/>
      <c r="P959" s="50"/>
      <c r="Q959" s="50"/>
    </row>
    <row r="960" customFormat="false" ht="15" hidden="false" customHeight="true" outlineLevel="0" collapsed="false">
      <c r="A960" s="51" t="s">
        <v>865</v>
      </c>
      <c r="B960" s="50" t="str">
        <f aca="false">IFERROR(VLOOKUP($A960,Equipos!$C$2:$M$967,2,FALSE()),"")</f>
        <v>Máquina de Anestesia</v>
      </c>
      <c r="C960" s="50" t="str">
        <f aca="false">IFERROR(VLOOKUP($A960,Equipos!$C$2:$M$967,9,FALSE()),"")</f>
        <v>ASMK-0086</v>
      </c>
      <c r="D960" s="50" t="str">
        <f aca="false">IFERROR(VLOOKUP($A960,Equipos!$C$2:$M$967,3,FALSE()),"")</f>
        <v>Pabellón Quirúrgico</v>
      </c>
      <c r="E960" s="50" t="str">
        <f aca="false">IFERROR(VLOOKUP($A960,Equipos!$C$2:$M$967,7,FALSE()),"")</f>
        <v>Drager</v>
      </c>
      <c r="F960" s="50" t="str">
        <f aca="false">IFERROR(VLOOKUP($A960,Equipos!$C$2:$M$967,8,FALSE()),"")</f>
        <v>Perseus A500</v>
      </c>
      <c r="G960" s="50" t="s">
        <v>893</v>
      </c>
      <c r="H960" s="50" t="s">
        <v>351</v>
      </c>
      <c r="I960" s="50"/>
      <c r="J960" s="50" t="s">
        <v>352</v>
      </c>
      <c r="K960" s="50" t="str">
        <f aca="false">IFERROR(VLOOKUP($J960,Catálogos!$M$4:$N$17,2,FALSE()),"")</f>
        <v>Mantención Preventiva Realizada</v>
      </c>
      <c r="L960" s="52" t="n">
        <v>46132</v>
      </c>
      <c r="M960" s="50" t="s">
        <v>353</v>
      </c>
      <c r="N960" s="50" t="s">
        <v>162</v>
      </c>
      <c r="O960" s="50"/>
      <c r="P960" s="50"/>
      <c r="Q960" s="54" t="s">
        <v>990</v>
      </c>
    </row>
    <row r="961" customFormat="false" ht="15" hidden="false" customHeight="true" outlineLevel="0" collapsed="false">
      <c r="A961" s="51" t="s">
        <v>866</v>
      </c>
      <c r="B961" s="50" t="str">
        <f aca="false">IFERROR(VLOOKUP($A961,Equipos!$C$2:$M$967,2,FALSE()),"")</f>
        <v>Máquina de Anestesia</v>
      </c>
      <c r="C961" s="50" t="str">
        <f aca="false">IFERROR(VLOOKUP($A961,Equipos!$C$2:$M$967,9,FALSE()),"")</f>
        <v>ASMK-0087</v>
      </c>
      <c r="D961" s="50" t="str">
        <f aca="false">IFERROR(VLOOKUP($A961,Equipos!$C$2:$M$967,3,FALSE()),"")</f>
        <v>Pabellón Quirúrgico</v>
      </c>
      <c r="E961" s="50" t="str">
        <f aca="false">IFERROR(VLOOKUP($A961,Equipos!$C$2:$M$967,7,FALSE()),"")</f>
        <v>Drager</v>
      </c>
      <c r="F961" s="50" t="str">
        <f aca="false">IFERROR(VLOOKUP($A961,Equipos!$C$2:$M$967,8,FALSE()),"")</f>
        <v>Perseus A500</v>
      </c>
      <c r="G961" s="50" t="s">
        <v>893</v>
      </c>
      <c r="H961" s="50" t="s">
        <v>351</v>
      </c>
      <c r="I961" s="50"/>
      <c r="J961" s="50" t="s">
        <v>352</v>
      </c>
      <c r="K961" s="50" t="str">
        <f aca="false">IFERROR(VLOOKUP($J961,Catálogos!$M$4:$N$17,2,FALSE()),"")</f>
        <v>Mantención Preventiva Realizada</v>
      </c>
      <c r="L961" s="52" t="n">
        <v>46132</v>
      </c>
      <c r="M961" s="50" t="s">
        <v>353</v>
      </c>
      <c r="N961" s="50" t="s">
        <v>162</v>
      </c>
      <c r="O961" s="50"/>
      <c r="P961" s="50"/>
      <c r="Q961" s="54" t="s">
        <v>991</v>
      </c>
    </row>
    <row r="962" customFormat="false" ht="15" hidden="false" customHeight="true" outlineLevel="0" collapsed="false">
      <c r="A962" s="51" t="s">
        <v>133</v>
      </c>
      <c r="B962" s="50" t="str">
        <f aca="false">IFERROR(VLOOKUP($A962,Equipos!$C$2:$M$967,2,FALSE()),"")</f>
        <v>Máquina de Anestesia</v>
      </c>
      <c r="C962" s="50" t="str">
        <f aca="false">IFERROR(VLOOKUP($A962,Equipos!$C$2:$M$967,9,FALSE()),"")</f>
        <v>ASMB-0230</v>
      </c>
      <c r="D962" s="50" t="str">
        <f aca="false">IFERROR(VLOOKUP($A962,Equipos!$C$2:$M$967,3,FALSE()),"")</f>
        <v>Pabellón Quirúrgico</v>
      </c>
      <c r="E962" s="50" t="str">
        <f aca="false">IFERROR(VLOOKUP($A962,Equipos!$C$2:$M$967,7,FALSE()),"")</f>
        <v>Drager</v>
      </c>
      <c r="F962" s="50" t="str">
        <f aca="false">IFERROR(VLOOKUP($A962,Equipos!$C$2:$M$967,8,FALSE()),"")</f>
        <v>Primus IE</v>
      </c>
      <c r="G962" s="50" t="s">
        <v>893</v>
      </c>
      <c r="H962" s="50" t="s">
        <v>351</v>
      </c>
      <c r="I962" s="50"/>
      <c r="J962" s="50" t="s">
        <v>352</v>
      </c>
      <c r="K962" s="50" t="str">
        <f aca="false">IFERROR(VLOOKUP($J962,Catálogos!$M$4:$N$17,2,FALSE()),"")</f>
        <v>Mantención Preventiva Realizada</v>
      </c>
      <c r="L962" s="52" t="n">
        <v>46132</v>
      </c>
      <c r="M962" s="50" t="s">
        <v>353</v>
      </c>
      <c r="N962" s="50" t="s">
        <v>162</v>
      </c>
      <c r="O962" s="50"/>
      <c r="P962" s="50"/>
      <c r="Q962" s="54" t="s">
        <v>992</v>
      </c>
    </row>
    <row r="963" customFormat="false" ht="15" hidden="false" customHeight="true" outlineLevel="0" collapsed="false">
      <c r="A963" s="51" t="s">
        <v>993</v>
      </c>
      <c r="B963" s="50" t="str">
        <f aca="false">IFERROR(VLOOKUP($A963,Equipos!$C$2:$M$967,2,FALSE()),"")</f>
        <v>Monitor Multiparámetros</v>
      </c>
      <c r="C963" s="50" t="str">
        <f aca="false">IFERROR(VLOOKUP($A963,Equipos!$C$2:$M$967,9,FALSE()),"")</f>
        <v>22060100008</v>
      </c>
      <c r="D963" s="50" t="str">
        <f aca="false">IFERROR(VLOOKUP($A963,Equipos!$C$2:$M$967,3,FALSE()),"")</f>
        <v>Servicio Social</v>
      </c>
      <c r="E963" s="50" t="str">
        <f aca="false">IFERROR(VLOOKUP($A963,Equipos!$C$2:$M$967,7,FALSE()),"")</f>
        <v>Sinohero</v>
      </c>
      <c r="F963" s="50" t="str">
        <f aca="false">IFERROR(VLOOKUP($A963,Equipos!$C$2:$M$967,8,FALSE()),"")</f>
        <v>H5</v>
      </c>
      <c r="G963" s="50" t="s">
        <v>893</v>
      </c>
      <c r="H963" s="50" t="s">
        <v>351</v>
      </c>
      <c r="I963" s="50"/>
      <c r="J963" s="50" t="s">
        <v>352</v>
      </c>
      <c r="K963" s="50" t="str">
        <f aca="false">IFERROR(VLOOKUP($J963,Catálogos!$M$4:$N$17,2,FALSE()),"")</f>
        <v>Mantención Preventiva Realizada</v>
      </c>
      <c r="L963" s="52" t="n">
        <v>46133</v>
      </c>
      <c r="M963" s="50" t="s">
        <v>353</v>
      </c>
      <c r="N963" s="50" t="s">
        <v>141</v>
      </c>
      <c r="O963" s="50"/>
      <c r="P963" s="50"/>
      <c r="Q963" s="50"/>
    </row>
    <row r="964" customFormat="false" ht="15" hidden="false" customHeight="true" outlineLevel="0" collapsed="false">
      <c r="A964" s="51" t="s">
        <v>994</v>
      </c>
      <c r="B964" s="50" t="str">
        <f aca="false">IFERROR(VLOOKUP($A964,Equipos!$C$2:$M$967,2,FALSE()),"")</f>
        <v>Monitor Multiparámetros</v>
      </c>
      <c r="C964" s="50" t="str">
        <f aca="false">IFERROR(VLOOKUP($A964,Equipos!$C$2:$M$967,9,FALSE()),"")</f>
        <v>J3300QF04734</v>
      </c>
      <c r="D964" s="50" t="str">
        <f aca="false">IFERROR(VLOOKUP($A964,Equipos!$C$2:$M$967,3,FALSE()),"")</f>
        <v>Servicio Social</v>
      </c>
      <c r="E964" s="50" t="str">
        <f aca="false">IFERROR(VLOOKUP($A964,Equipos!$C$2:$M$967,7,FALSE()),"")</f>
        <v>Creative Medical</v>
      </c>
      <c r="F964" s="50" t="str">
        <f aca="false">IFERROR(VLOOKUP($A964,Equipos!$C$2:$M$967,8,FALSE()),"")</f>
        <v>UP-7000</v>
      </c>
      <c r="G964" s="50" t="s">
        <v>893</v>
      </c>
      <c r="H964" s="50" t="s">
        <v>351</v>
      </c>
      <c r="I964" s="50"/>
      <c r="J964" s="50" t="s">
        <v>352</v>
      </c>
      <c r="K964" s="50" t="str">
        <f aca="false">IFERROR(VLOOKUP($J964,Catálogos!$M$4:$N$17,2,FALSE()),"")</f>
        <v>Mantención Preventiva Realizada</v>
      </c>
      <c r="L964" s="52" t="n">
        <v>46133</v>
      </c>
      <c r="M964" s="50" t="s">
        <v>353</v>
      </c>
      <c r="N964" s="50" t="s">
        <v>141</v>
      </c>
      <c r="O964" s="50"/>
      <c r="P964" s="50"/>
      <c r="Q964" s="50"/>
    </row>
    <row r="965" customFormat="false" ht="15" hidden="false" customHeight="true" outlineLevel="0" collapsed="false">
      <c r="A965" s="51" t="s">
        <v>244</v>
      </c>
      <c r="B965" s="50" t="str">
        <f aca="false">IFERROR(VLOOKUP($A965,Equipos!$C$2:$M$967,2,FALSE()),"")</f>
        <v>Monitor Multiparámetros</v>
      </c>
      <c r="C965" s="50" t="str">
        <f aca="false">IFERROR(VLOOKUP($A965,Equipos!$C$2:$M$967,9,FALSE()),"")</f>
        <v>5613360578</v>
      </c>
      <c r="D965" s="50" t="str">
        <f aca="false">IFERROR(VLOOKUP($A965,Equipos!$C$2:$M$967,3,FALSE()),"")</f>
        <v>Pabellón Quirúrgico (Prestado a Pabellón CMA)</v>
      </c>
      <c r="E965" s="50" t="str">
        <f aca="false">IFERROR(VLOOKUP($A965,Equipos!$C$2:$M$967,7,FALSE()),"")</f>
        <v>Drager</v>
      </c>
      <c r="F965" s="50" t="str">
        <f aca="false">IFERROR(VLOOKUP($A965,Equipos!$C$2:$M$967,8,FALSE()),"")</f>
        <v>M540</v>
      </c>
      <c r="G965" s="50" t="s">
        <v>893</v>
      </c>
      <c r="H965" s="50" t="s">
        <v>351</v>
      </c>
      <c r="I965" s="50"/>
      <c r="J965" s="50" t="s">
        <v>352</v>
      </c>
      <c r="K965" s="50" t="str">
        <f aca="false">IFERROR(VLOOKUP($J965,Catálogos!$M$4:$N$17,2,FALSE()),"")</f>
        <v>Mantención Preventiva Realizada</v>
      </c>
      <c r="L965" s="52" t="n">
        <v>46134</v>
      </c>
      <c r="M965" s="50" t="s">
        <v>353</v>
      </c>
      <c r="N965" s="50" t="s">
        <v>128</v>
      </c>
      <c r="O965" s="50"/>
      <c r="P965" s="50"/>
      <c r="Q965" s="50"/>
    </row>
    <row r="966" customFormat="false" ht="15" hidden="false" customHeight="true" outlineLevel="0" collapsed="false">
      <c r="A966" s="51" t="s">
        <v>995</v>
      </c>
      <c r="B966" s="50" t="str">
        <f aca="false">IFERROR(VLOOKUP($A966,Equipos!$C$2:$M$967,2,FALSE()),"")</f>
        <v>Monitor Multiparámetros</v>
      </c>
      <c r="C966" s="50" t="str">
        <f aca="false">IFERROR(VLOOKUP($A966,Equipos!$C$2:$M$967,9,FALSE()),"")</f>
        <v>1810190910101</v>
      </c>
      <c r="D966" s="50" t="str">
        <f aca="false">IFERROR(VLOOKUP($A966,Equipos!$C$2:$M$967,3,FALSE()),"")</f>
        <v>Servicio Social</v>
      </c>
      <c r="E966" s="50" t="str">
        <f aca="false">IFERROR(VLOOKUP($A966,Equipos!$C$2:$M$967,7,FALSE()),"")</f>
        <v>MATIMED</v>
      </c>
      <c r="F966" s="50" t="str">
        <f aca="false">IFERROR(VLOOKUP($A966,Equipos!$C$2:$M$967,8,FALSE()),"")</f>
        <v>MN-580</v>
      </c>
      <c r="G966" s="50" t="s">
        <v>893</v>
      </c>
      <c r="H966" s="50" t="s">
        <v>351</v>
      </c>
      <c r="I966" s="50"/>
      <c r="J966" s="50" t="s">
        <v>352</v>
      </c>
      <c r="K966" s="50" t="str">
        <f aca="false">IFERROR(VLOOKUP($J966,Catálogos!$M$4:$N$17,2,FALSE()),"")</f>
        <v>Mantención Preventiva Realizada</v>
      </c>
      <c r="L966" s="52" t="n">
        <v>46134</v>
      </c>
      <c r="M966" s="50" t="s">
        <v>353</v>
      </c>
      <c r="N966" s="50" t="s">
        <v>141</v>
      </c>
      <c r="O966" s="50"/>
      <c r="P966" s="50"/>
      <c r="Q966" s="50"/>
    </row>
    <row r="967" customFormat="false" ht="15" hidden="false" customHeight="true" outlineLevel="0" collapsed="false">
      <c r="A967" s="51" t="s">
        <v>247</v>
      </c>
      <c r="B967" s="50" t="str">
        <f aca="false">IFERROR(VLOOKUP($A967,Equipos!$C$2:$M$967,2,FALSE()),"")</f>
        <v>Ventilador Mecánico </v>
      </c>
      <c r="C967" s="50" t="str">
        <f aca="false">IFERROR(VLOOKUP($A967,Equipos!$C$2:$M$967,9,FALSE()),"")</f>
        <v>ASSM-0041</v>
      </c>
      <c r="D967" s="50" t="str">
        <f aca="false">IFERROR(VLOOKUP($A967,Equipos!$C$2:$M$967,3,FALSE()),"")</f>
        <v>UPC Adulto</v>
      </c>
      <c r="E967" s="50" t="str">
        <f aca="false">IFERROR(VLOOKUP($A967,Equipos!$C$2:$M$967,7,FALSE()),"")</f>
        <v>Drager</v>
      </c>
      <c r="F967" s="50" t="str">
        <f aca="false">IFERROR(VLOOKUP($A967,Equipos!$C$2:$M$967,8,FALSE()),"")</f>
        <v>Savina 300 Classic</v>
      </c>
      <c r="G967" s="50" t="s">
        <v>893</v>
      </c>
      <c r="H967" s="50" t="s">
        <v>351</v>
      </c>
      <c r="I967" s="50"/>
      <c r="J967" s="50" t="s">
        <v>352</v>
      </c>
      <c r="K967" s="50" t="str">
        <f aca="false">IFERROR(VLOOKUP($J967,Catálogos!$M$4:$N$17,2,FALSE()),"")</f>
        <v>Mantención Preventiva Realizada</v>
      </c>
      <c r="L967" s="52" t="n">
        <v>46135</v>
      </c>
      <c r="M967" s="50" t="s">
        <v>353</v>
      </c>
      <c r="N967" s="50" t="s">
        <v>162</v>
      </c>
      <c r="O967" s="50"/>
      <c r="P967" s="50"/>
      <c r="Q967" s="50"/>
    </row>
    <row r="968" customFormat="false" ht="15" hidden="false" customHeight="true" outlineLevel="0" collapsed="false">
      <c r="A968" s="51" t="s">
        <v>996</v>
      </c>
      <c r="B968" s="50" t="str">
        <f aca="false">IFERROR(VLOOKUP($A968,Equipos!$C$2:$M$967,2,FALSE()),"")</f>
        <v>Monitor Multiparámetros</v>
      </c>
      <c r="C968" s="50" t="str">
        <f aca="false">IFERROR(VLOOKUP($A968,Equipos!$C$2:$M$967,9,FALSE()),"")</f>
        <v>1048</v>
      </c>
      <c r="D968" s="50" t="str">
        <f aca="false">IFERROR(VLOOKUP($A968,Equipos!$C$2:$M$967,3,FALSE()),"")</f>
        <v>SAMU</v>
      </c>
      <c r="E968" s="50" t="str">
        <f aca="false">IFERROR(VLOOKUP($A968,Equipos!$C$2:$M$967,7,FALSE()),"")</f>
        <v>Nihon Kohden </v>
      </c>
      <c r="F968" s="50" t="str">
        <f aca="false">IFERROR(VLOOKUP($A968,Equipos!$C$2:$M$967,8,FALSE()),"")</f>
        <v>BSM-6301K</v>
      </c>
      <c r="G968" s="50" t="s">
        <v>893</v>
      </c>
      <c r="H968" s="50" t="s">
        <v>351</v>
      </c>
      <c r="I968" s="50"/>
      <c r="J968" s="50" t="s">
        <v>352</v>
      </c>
      <c r="K968" s="50" t="str">
        <f aca="false">IFERROR(VLOOKUP($J968,Catálogos!$M$4:$N$17,2,FALSE()),"")</f>
        <v>Mantención Preventiva Realizada</v>
      </c>
      <c r="L968" s="52" t="n">
        <v>46136</v>
      </c>
      <c r="M968" s="50" t="s">
        <v>353</v>
      </c>
      <c r="N968" s="50" t="s">
        <v>141</v>
      </c>
      <c r="O968" s="50"/>
      <c r="P968" s="50"/>
      <c r="Q968" s="50"/>
    </row>
    <row r="969" customFormat="false" ht="15" hidden="false" customHeight="true" outlineLevel="0" collapsed="false">
      <c r="A969" s="51" t="s">
        <v>79</v>
      </c>
      <c r="B969" s="50" t="str">
        <f aca="false">IFERROR(VLOOKUP($A969,Equipos!$C$2:$M$967,2,FALSE()),"")</f>
        <v>DEA</v>
      </c>
      <c r="C969" s="50" t="str">
        <f aca="false">IFERROR(VLOOKUP($A969,Equipos!$C$2:$M$967,9,FALSE()),"")</f>
        <v>X21A332744</v>
      </c>
      <c r="D969" s="50" t="str">
        <f aca="false">IFERROR(VLOOKUP($A969,Equipos!$C$2:$M$967,3,FALSE()),"")</f>
        <v>Gestión de Pacientes</v>
      </c>
      <c r="E969" s="50" t="str">
        <f aca="false">IFERROR(VLOOKUP($A969,Equipos!$C$2:$M$967,7,FALSE()),"")</f>
        <v>Zoll</v>
      </c>
      <c r="F969" s="50" t="str">
        <f aca="false">IFERROR(VLOOKUP($A969,Equipos!$C$2:$M$967,8,FALSE()),"")</f>
        <v>AEDPLUS</v>
      </c>
      <c r="G969" s="50" t="s">
        <v>893</v>
      </c>
      <c r="H969" s="50" t="s">
        <v>351</v>
      </c>
      <c r="I969" s="50"/>
      <c r="J969" s="50" t="s">
        <v>352</v>
      </c>
      <c r="K969" s="50" t="str">
        <f aca="false">IFERROR(VLOOKUP($J969,Catálogos!$M$4:$N$17,2,FALSE()),"")</f>
        <v>Mantención Preventiva Realizada</v>
      </c>
      <c r="L969" s="52" t="n">
        <v>46139</v>
      </c>
      <c r="M969" s="50" t="s">
        <v>353</v>
      </c>
      <c r="N969" s="50" t="s">
        <v>63</v>
      </c>
      <c r="O969" s="50"/>
      <c r="P969" s="50"/>
      <c r="Q969" s="50"/>
    </row>
    <row r="970" customFormat="false" ht="15" hidden="false" customHeight="true" outlineLevel="0" collapsed="false">
      <c r="A970" s="51" t="s">
        <v>218</v>
      </c>
      <c r="B970" s="50" t="str">
        <f aca="false">IFERROR(VLOOKUP($A970,Equipos!$C$2:$M$967,2,FALSE()),"")</f>
        <v>Monitor Multiparámetros</v>
      </c>
      <c r="C970" s="50" t="str">
        <f aca="false">IFERROR(VLOOKUP($A970,Equipos!$C$2:$M$967,9,FALSE()),"")</f>
        <v>CN92392265</v>
      </c>
      <c r="D970" s="50" t="str">
        <f aca="false">IFERROR(VLOOKUP($A970,Equipos!$C$2:$M$967,3,FALSE()),"")</f>
        <v>CDT</v>
      </c>
      <c r="E970" s="50" t="str">
        <f aca="false">IFERROR(VLOOKUP($A970,Equipos!$C$2:$M$967,7,FALSE()),"")</f>
        <v>Philips</v>
      </c>
      <c r="F970" s="50" t="str">
        <f aca="false">IFERROR(VLOOKUP($A970,Equipos!$C$2:$M$967,8,FALSE()),"")</f>
        <v>CM100</v>
      </c>
      <c r="G970" s="50" t="s">
        <v>893</v>
      </c>
      <c r="H970" s="50" t="s">
        <v>351</v>
      </c>
      <c r="I970" s="50"/>
      <c r="J970" s="50" t="s">
        <v>352</v>
      </c>
      <c r="K970" s="50" t="str">
        <f aca="false">IFERROR(VLOOKUP($J970,Catálogos!$M$4:$N$17,2,FALSE()),"")</f>
        <v>Mantención Preventiva Realizada</v>
      </c>
      <c r="L970" s="52" t="n">
        <v>46140</v>
      </c>
      <c r="M970" s="50" t="s">
        <v>353</v>
      </c>
      <c r="N970" s="50" t="s">
        <v>219</v>
      </c>
      <c r="O970" s="50"/>
      <c r="P970" s="50"/>
      <c r="Q970" s="50" t="s">
        <v>997</v>
      </c>
    </row>
    <row r="971" customFormat="false" ht="15" hidden="false" customHeight="true" outlineLevel="0" collapsed="false">
      <c r="A971" s="51" t="s">
        <v>231</v>
      </c>
      <c r="B971" s="50" t="str">
        <f aca="false">IFERROR(VLOOKUP($A971,Equipos!$C$2:$M$967,2,FALSE()),"")</f>
        <v>Monitor Multiparámetros</v>
      </c>
      <c r="C971" s="50" t="str">
        <f aca="false">IFERROR(VLOOKUP($A971,Equipos!$C$2:$M$967,9,FALSE()),"")</f>
        <v>1029</v>
      </c>
      <c r="D971" s="50" t="str">
        <f aca="false">IFERROR(VLOOKUP($A971,Equipos!$C$2:$M$967,3,FALSE()),"")</f>
        <v>CDT</v>
      </c>
      <c r="E971" s="50" t="str">
        <f aca="false">IFERROR(VLOOKUP($A971,Equipos!$C$2:$M$967,7,FALSE()),"")</f>
        <v>Nihon Kohden </v>
      </c>
      <c r="F971" s="50" t="str">
        <f aca="false">IFERROR(VLOOKUP($A971,Equipos!$C$2:$M$967,8,FALSE()),"")</f>
        <v>BSM-6301K</v>
      </c>
      <c r="G971" s="50" t="s">
        <v>893</v>
      </c>
      <c r="H971" s="50" t="s">
        <v>351</v>
      </c>
      <c r="I971" s="50"/>
      <c r="J971" s="50" t="s">
        <v>352</v>
      </c>
      <c r="K971" s="50" t="str">
        <f aca="false">IFERROR(VLOOKUP($J971,Catálogos!$M$4:$N$17,2,FALSE()),"")</f>
        <v>Mantención Preventiva Realizada</v>
      </c>
      <c r="L971" s="52" t="n">
        <v>46140</v>
      </c>
      <c r="M971" s="50" t="s">
        <v>353</v>
      </c>
      <c r="N971" s="50" t="s">
        <v>219</v>
      </c>
      <c r="O971" s="50"/>
      <c r="P971" s="50"/>
      <c r="Q971" s="50"/>
    </row>
    <row r="972" customFormat="false" ht="15" hidden="false" customHeight="true" outlineLevel="0" collapsed="false">
      <c r="A972" s="51" t="s">
        <v>76</v>
      </c>
      <c r="B972" s="50" t="str">
        <f aca="false">IFERROR(VLOOKUP($A972,Equipos!$C$2:$M$967,2,FALSE()),"")</f>
        <v>DEA</v>
      </c>
      <c r="C972" s="50" t="str">
        <f aca="false">IFERROR(VLOOKUP($A972,Equipos!$C$2:$M$967,9,FALSE()),"")</f>
        <v>13036</v>
      </c>
      <c r="D972" s="50" t="str">
        <f aca="false">IFERROR(VLOOKUP($A972,Equipos!$C$2:$M$967,3,FALSE()),"")</f>
        <v>SAMU</v>
      </c>
      <c r="E972" s="50" t="str">
        <f aca="false">IFERROR(VLOOKUP($A972,Equipos!$C$2:$M$967,7,FALSE()),"")</f>
        <v>Nihon Kohden</v>
      </c>
      <c r="F972" s="50" t="str">
        <f aca="false">IFERROR(VLOOKUP($A972,Equipos!$C$2:$M$967,8,FALSE()),"")</f>
        <v>AED-3100K</v>
      </c>
      <c r="G972" s="50" t="s">
        <v>893</v>
      </c>
      <c r="H972" s="50" t="s">
        <v>351</v>
      </c>
      <c r="I972" s="50"/>
      <c r="J972" s="50" t="s">
        <v>352</v>
      </c>
      <c r="K972" s="50" t="str">
        <f aca="false">IFERROR(VLOOKUP($J972,Catálogos!$M$4:$N$17,2,FALSE()),"")</f>
        <v>Mantención Preventiva Realizada</v>
      </c>
      <c r="L972" s="52" t="n">
        <v>46140</v>
      </c>
      <c r="M972" s="50" t="s">
        <v>353</v>
      </c>
      <c r="N972" s="50" t="s">
        <v>63</v>
      </c>
      <c r="O972" s="50"/>
      <c r="P972" s="50"/>
      <c r="Q972" s="50"/>
    </row>
    <row r="973" customFormat="false" ht="15" hidden="false" customHeight="true" outlineLevel="0" collapsed="false">
      <c r="A973" s="51" t="s">
        <v>227</v>
      </c>
      <c r="B973" s="50" t="str">
        <f aca="false">IFERROR(VLOOKUP($A973,Equipos!$C$2:$M$967,2,FALSE()),"")</f>
        <v>Monitor Multiparámetros</v>
      </c>
      <c r="C973" s="50" t="str">
        <f aca="false">IFERROR(VLOOKUP($A973,Equipos!$C$2:$M$967,9,FALSE()),"")</f>
        <v>JH01B910011</v>
      </c>
      <c r="D973" s="50" t="str">
        <f aca="false">IFERROR(VLOOKUP($A973,Equipos!$C$2:$M$967,3,FALSE()),"")</f>
        <v>CDT</v>
      </c>
      <c r="E973" s="50" t="str">
        <f aca="false">IFERROR(VLOOKUP($A973,Equipos!$C$2:$M$967,7,FALSE()),"")</f>
        <v>Northern</v>
      </c>
      <c r="F973" s="50" t="str">
        <f aca="false">IFERROR(VLOOKUP($A973,Equipos!$C$2:$M$967,8,FALSE()),"")</f>
        <v>Aquarius ECG</v>
      </c>
      <c r="G973" s="50" t="s">
        <v>893</v>
      </c>
      <c r="H973" s="50" t="s">
        <v>351</v>
      </c>
      <c r="I973" s="50"/>
      <c r="J973" s="50" t="s">
        <v>352</v>
      </c>
      <c r="K973" s="50" t="str">
        <f aca="false">IFERROR(VLOOKUP($J973,Catálogos!$M$4:$N$17,2,FALSE()),"")</f>
        <v>Mantención Preventiva Realizada</v>
      </c>
      <c r="L973" s="52" t="n">
        <v>46141</v>
      </c>
      <c r="M973" s="50" t="s">
        <v>353</v>
      </c>
      <c r="N973" s="50" t="s">
        <v>219</v>
      </c>
      <c r="O973" s="50"/>
      <c r="P973" s="50"/>
      <c r="Q973" s="50" t="s">
        <v>998</v>
      </c>
    </row>
    <row r="974" customFormat="false" ht="15" hidden="false" customHeight="true" outlineLevel="0" collapsed="false">
      <c r="A974" s="51" t="s">
        <v>225</v>
      </c>
      <c r="B974" s="50" t="str">
        <f aca="false">IFERROR(VLOOKUP($A974,Equipos!$C$2:$M$967,2,FALSE()),"")</f>
        <v>Monitor Multiparámetros</v>
      </c>
      <c r="C974" s="50" t="str">
        <f aca="false">IFERROR(VLOOKUP($A974,Equipos!$C$2:$M$967,9,FALSE()),"")</f>
        <v>JH01B910020</v>
      </c>
      <c r="D974" s="50" t="str">
        <f aca="false">IFERROR(VLOOKUP($A974,Equipos!$C$2:$M$967,3,FALSE()),"")</f>
        <v>CDT</v>
      </c>
      <c r="E974" s="50" t="str">
        <f aca="false">IFERROR(VLOOKUP($A974,Equipos!$C$2:$M$967,7,FALSE()),"")</f>
        <v>Northern</v>
      </c>
      <c r="F974" s="50" t="str">
        <f aca="false">IFERROR(VLOOKUP($A974,Equipos!$C$2:$M$967,8,FALSE()),"")</f>
        <v>Aquarius ECG</v>
      </c>
      <c r="G974" s="50" t="s">
        <v>893</v>
      </c>
      <c r="H974" s="50" t="s">
        <v>351</v>
      </c>
      <c r="I974" s="50"/>
      <c r="J974" s="50" t="s">
        <v>352</v>
      </c>
      <c r="K974" s="50" t="str">
        <f aca="false">IFERROR(VLOOKUP($J974,Catálogos!$M$4:$N$17,2,FALSE()),"")</f>
        <v>Mantención Preventiva Realizada</v>
      </c>
      <c r="L974" s="52" t="n">
        <v>46141</v>
      </c>
      <c r="M974" s="50" t="s">
        <v>353</v>
      </c>
      <c r="N974" s="50" t="s">
        <v>219</v>
      </c>
      <c r="O974" s="50"/>
      <c r="P974" s="50"/>
      <c r="Q974" s="50" t="s">
        <v>998</v>
      </c>
    </row>
    <row r="975" customFormat="false" ht="15" hidden="false" customHeight="true" outlineLevel="0" collapsed="false">
      <c r="A975" s="51" t="s">
        <v>222</v>
      </c>
      <c r="B975" s="50" t="str">
        <f aca="false">IFERROR(VLOOKUP($A975,Equipos!$C$2:$M$967,2,FALSE()),"")</f>
        <v>Monitor Multiparámetros</v>
      </c>
      <c r="C975" s="50" t="str">
        <f aca="false">IFERROR(VLOOKUP($A975,Equipos!$C$2:$M$967,9,FALSE()),"")</f>
        <v>JH01B910008</v>
      </c>
      <c r="D975" s="50" t="str">
        <f aca="false">IFERROR(VLOOKUP($A975,Equipos!$C$2:$M$967,3,FALSE()),"")</f>
        <v>CDT</v>
      </c>
      <c r="E975" s="50" t="str">
        <f aca="false">IFERROR(VLOOKUP($A975,Equipos!$C$2:$M$967,7,FALSE()),"")</f>
        <v>Northern</v>
      </c>
      <c r="F975" s="50" t="str">
        <f aca="false">IFERROR(VLOOKUP($A975,Equipos!$C$2:$M$967,8,FALSE()),"")</f>
        <v>Aquarius ECG</v>
      </c>
      <c r="G975" s="50" t="s">
        <v>893</v>
      </c>
      <c r="H975" s="50" t="s">
        <v>351</v>
      </c>
      <c r="I975" s="50"/>
      <c r="J975" s="50" t="s">
        <v>352</v>
      </c>
      <c r="K975" s="50" t="str">
        <f aca="false">IFERROR(VLOOKUP($J975,Catálogos!$M$4:$N$17,2,FALSE()),"")</f>
        <v>Mantención Preventiva Realizada</v>
      </c>
      <c r="L975" s="52" t="n">
        <v>46141</v>
      </c>
      <c r="M975" s="50" t="s">
        <v>353</v>
      </c>
      <c r="N975" s="50" t="s">
        <v>219</v>
      </c>
      <c r="O975" s="50"/>
      <c r="P975" s="50"/>
      <c r="Q975" s="50" t="s">
        <v>999</v>
      </c>
    </row>
    <row r="976" customFormat="false" ht="15" hidden="false" customHeight="true" outlineLevel="0" collapsed="false">
      <c r="A976" s="51" t="s">
        <v>235</v>
      </c>
      <c r="B976" s="50" t="str">
        <f aca="false">IFERROR(VLOOKUP($A976,Equipos!$C$2:$M$967,2,FALSE()),"")</f>
        <v>Monitor Multiparámetros</v>
      </c>
      <c r="C976" s="50" t="str">
        <f aca="false">IFERROR(VLOOKUP($A976,Equipos!$C$2:$M$967,9,FALSE()),"")</f>
        <v>23307030152</v>
      </c>
      <c r="D976" s="50" t="str">
        <f aca="false">IFERROR(VLOOKUP($A976,Equipos!$C$2:$M$967,3,FALSE()),"")</f>
        <v>Cardiología</v>
      </c>
      <c r="E976" s="50" t="str">
        <f aca="false">IFERROR(VLOOKUP($A976,Equipos!$C$2:$M$967,7,FALSE()),"")</f>
        <v>Nellcor</v>
      </c>
      <c r="F976" s="50" t="str">
        <f aca="false">IFERROR(VLOOKUP($A976,Equipos!$C$2:$M$967,8,FALSE()),"")</f>
        <v>M5600-LA</v>
      </c>
      <c r="G976" s="50" t="s">
        <v>893</v>
      </c>
      <c r="H976" s="50" t="s">
        <v>351</v>
      </c>
      <c r="I976" s="50"/>
      <c r="J976" s="50" t="s">
        <v>352</v>
      </c>
      <c r="K976" s="50" t="str">
        <f aca="false">IFERROR(VLOOKUP($J976,Catálogos!$M$4:$N$17,2,FALSE()),"")</f>
        <v>Mantención Preventiva Realizada</v>
      </c>
      <c r="L976" s="52" t="n">
        <v>46141</v>
      </c>
      <c r="M976" s="50" t="s">
        <v>353</v>
      </c>
      <c r="N976" s="50" t="s">
        <v>219</v>
      </c>
      <c r="O976" s="50"/>
      <c r="P976" s="50"/>
      <c r="Q976" s="50"/>
    </row>
    <row r="977" customFormat="false" ht="15" hidden="false" customHeight="true" outlineLevel="0" collapsed="false">
      <c r="A977" s="51" t="s">
        <v>233</v>
      </c>
      <c r="B977" s="50" t="str">
        <f aca="false">IFERROR(VLOOKUP($A977,Equipos!$C$2:$M$967,2,FALSE()),"")</f>
        <v>Monitor Multiparámetros</v>
      </c>
      <c r="C977" s="50" t="str">
        <f aca="false">IFERROR(VLOOKUP($A977,Equipos!$C$2:$M$967,9,FALSE()),"")</f>
        <v>5395660070</v>
      </c>
      <c r="D977" s="50" t="str">
        <f aca="false">IFERROR(VLOOKUP($A977,Equipos!$C$2:$M$967,3,FALSE()),"")</f>
        <v>Cardiología</v>
      </c>
      <c r="E977" s="50" t="str">
        <f aca="false">IFERROR(VLOOKUP($A977,Equipos!$C$2:$M$967,7,FALSE()),"")</f>
        <v>Drager </v>
      </c>
      <c r="F977" s="50" t="str">
        <f aca="false">IFERROR(VLOOKUP($A977,Equipos!$C$2:$M$967,8,FALSE()),"")</f>
        <v>Infinity Vista</v>
      </c>
      <c r="G977" s="50" t="s">
        <v>893</v>
      </c>
      <c r="H977" s="50" t="s">
        <v>351</v>
      </c>
      <c r="I977" s="50"/>
      <c r="J977" s="50" t="s">
        <v>352</v>
      </c>
      <c r="K977" s="50" t="str">
        <f aca="false">IFERROR(VLOOKUP($J977,Catálogos!$M$4:$N$17,2,FALSE()),"")</f>
        <v>Mantención Preventiva Realizada</v>
      </c>
      <c r="L977" s="52" t="n">
        <v>46141</v>
      </c>
      <c r="M977" s="50" t="s">
        <v>353</v>
      </c>
      <c r="N977" s="50" t="s">
        <v>219</v>
      </c>
      <c r="O977" s="50"/>
      <c r="P977" s="50"/>
      <c r="Q977" s="50"/>
    </row>
    <row r="978" customFormat="false" ht="15" hidden="false" customHeight="true" outlineLevel="0" collapsed="false">
      <c r="A978" s="51" t="s">
        <v>229</v>
      </c>
      <c r="B978" s="50" t="str">
        <f aca="false">IFERROR(VLOOKUP($A978,Equipos!$C$2:$M$967,2,FALSE()),"")</f>
        <v>Monitor Multiparámetros</v>
      </c>
      <c r="C978" s="50" t="str">
        <f aca="false">IFERROR(VLOOKUP($A978,Equipos!$C$2:$M$967,9,FALSE()),"")</f>
        <v>JH01B910002</v>
      </c>
      <c r="D978" s="50" t="str">
        <f aca="false">IFERROR(VLOOKUP($A978,Equipos!$C$2:$M$967,3,FALSE()),"")</f>
        <v>CDT</v>
      </c>
      <c r="E978" s="50" t="str">
        <f aca="false">IFERROR(VLOOKUP($A978,Equipos!$C$2:$M$967,7,FALSE()),"")</f>
        <v>Northern</v>
      </c>
      <c r="F978" s="50" t="str">
        <f aca="false">IFERROR(VLOOKUP($A978,Equipos!$C$2:$M$967,8,FALSE()),"")</f>
        <v>Aquarius ECG</v>
      </c>
      <c r="G978" s="50" t="s">
        <v>893</v>
      </c>
      <c r="H978" s="50" t="s">
        <v>351</v>
      </c>
      <c r="I978" s="50"/>
      <c r="J978" s="50" t="s">
        <v>352</v>
      </c>
      <c r="K978" s="50" t="str">
        <f aca="false">IFERROR(VLOOKUP($J978,Catálogos!$M$4:$N$17,2,FALSE()),"")</f>
        <v>Mantención Preventiva Realizada</v>
      </c>
      <c r="L978" s="52" t="n">
        <v>46142</v>
      </c>
      <c r="M978" s="50" t="s">
        <v>353</v>
      </c>
      <c r="N978" s="50" t="s">
        <v>219</v>
      </c>
      <c r="O978" s="50"/>
      <c r="P978" s="50"/>
      <c r="Q978" s="50" t="s">
        <v>998</v>
      </c>
    </row>
    <row r="979" customFormat="false" ht="15" hidden="false" customHeight="true" outlineLevel="0" collapsed="false">
      <c r="A979" s="51" t="s">
        <v>202</v>
      </c>
      <c r="B979" s="50" t="str">
        <f aca="false">IFERROR(VLOOKUP($A979,Equipos!$C$2:$M$967,2,FALSE()),"")</f>
        <v>Máquina Diálisis</v>
      </c>
      <c r="C979" s="50" t="str">
        <f aca="false">IFERROR(VLOOKUP($A979,Equipos!$C$2:$M$967,9,FALSE()),"")</f>
        <v>3SXA4HCP</v>
      </c>
      <c r="D979" s="50" t="str">
        <f aca="false">IFERROR(VLOOKUP($A979,Equipos!$C$2:$M$967,3,FALSE()),"")</f>
        <v>UPC Adulto</v>
      </c>
      <c r="E979" s="50" t="str">
        <f aca="false">IFERROR(VLOOKUP($A979,Equipos!$C$2:$M$967,7,FALSE()),"")</f>
        <v>Fresenius</v>
      </c>
      <c r="F979" s="50" t="str">
        <f aca="false">IFERROR(VLOOKUP($A979,Equipos!$C$2:$M$967,8,FALSE()),"")</f>
        <v>4008S</v>
      </c>
      <c r="G979" s="50" t="s">
        <v>893</v>
      </c>
      <c r="H979" s="50" t="s">
        <v>351</v>
      </c>
      <c r="I979" s="50"/>
      <c r="J979" s="50" t="s">
        <v>805</v>
      </c>
      <c r="K979" s="50" t="str">
        <f aca="false">IFERROR(VLOOKUP($J979,Catálogos!$M$4:$N$17,2,FALSE()),"")</f>
        <v>Reprogramada · No disponibilidad de horas hombre del servicio técnico externo</v>
      </c>
      <c r="L979" s="52" t="n">
        <v>46142</v>
      </c>
      <c r="M979" s="50"/>
      <c r="N979" s="50" t="s">
        <v>64</v>
      </c>
      <c r="O979" s="50"/>
      <c r="P979" s="50"/>
      <c r="Q979" s="50"/>
    </row>
    <row r="980" customFormat="false" ht="15" hidden="false" customHeight="true" outlineLevel="0" collapsed="false">
      <c r="A980" s="51" t="s">
        <v>200</v>
      </c>
      <c r="B980" s="50" t="str">
        <f aca="false">IFERROR(VLOOKUP($A980,Equipos!$C$2:$M$967,2,FALSE()),"")</f>
        <v>Máquina Diálisis</v>
      </c>
      <c r="C980" s="50" t="str">
        <f aca="false">IFERROR(VLOOKUP($A980,Equipos!$C$2:$M$967,9,FALSE()),"")</f>
        <v>8VCAJN39</v>
      </c>
      <c r="D980" s="50" t="str">
        <f aca="false">IFERROR(VLOOKUP($A980,Equipos!$C$2:$M$967,3,FALSE()),"")</f>
        <v>UPC Adulto</v>
      </c>
      <c r="E980" s="50" t="str">
        <f aca="false">IFERROR(VLOOKUP($A980,Equipos!$C$2:$M$967,7,FALSE()),"")</f>
        <v>Fresenius</v>
      </c>
      <c r="F980" s="50" t="str">
        <f aca="false">IFERROR(VLOOKUP($A980,Equipos!$C$2:$M$967,8,FALSE()),"")</f>
        <v>4008B(s)</v>
      </c>
      <c r="G980" s="50" t="s">
        <v>893</v>
      </c>
      <c r="H980" s="50" t="s">
        <v>351</v>
      </c>
      <c r="I980" s="50"/>
      <c r="J980" s="50" t="s">
        <v>805</v>
      </c>
      <c r="K980" s="50" t="str">
        <f aca="false">IFERROR(VLOOKUP($J980,Catálogos!$M$4:$N$17,2,FALSE()),"")</f>
        <v>Reprogramada · No disponibilidad de horas hombre del servicio técnico externo</v>
      </c>
      <c r="L980" s="52" t="n">
        <v>46142</v>
      </c>
      <c r="M980" s="50"/>
      <c r="N980" s="50" t="s">
        <v>64</v>
      </c>
      <c r="O980" s="50"/>
      <c r="P980" s="50"/>
      <c r="Q980" s="50"/>
    </row>
    <row r="981" customFormat="false" ht="15" hidden="false" customHeight="true" outlineLevel="0" collapsed="false">
      <c r="A981" s="51" t="s">
        <v>25</v>
      </c>
      <c r="B981" s="50" t="str">
        <f aca="false">IFERROR(VLOOKUP($A981,Equipos!$C$2:$M$967,2,FALSE()),"")</f>
        <v>Ventilador Mecánico </v>
      </c>
      <c r="C981" s="50" t="str">
        <f aca="false">IFERROR(VLOOKUP($A981,Equipos!$C$2:$M$967,9,FALSE()),"")</f>
        <v>ASFN-0008</v>
      </c>
      <c r="D981" s="50" t="str">
        <f aca="false">IFERROR(VLOOKUP($A981,Equipos!$C$2:$M$967,3,FALSE()),"")</f>
        <v>UPC Adulto</v>
      </c>
      <c r="E981" s="50" t="str">
        <f aca="false">IFERROR(VLOOKUP($A981,Equipos!$C$2:$M$967,7,FALSE()),"")</f>
        <v>Drager</v>
      </c>
      <c r="F981" s="50" t="str">
        <f aca="false">IFERROR(VLOOKUP($A981,Equipos!$C$2:$M$967,8,FALSE()),"")</f>
        <v>Carina </v>
      </c>
      <c r="G981" s="50" t="s">
        <v>893</v>
      </c>
      <c r="H981" s="50" t="s">
        <v>351</v>
      </c>
      <c r="I981" s="50"/>
      <c r="J981" s="50" t="s">
        <v>331</v>
      </c>
      <c r="K981" s="50" t="str">
        <f aca="false">IFERROR(VLOOKUP($J981,Catálogos!$M$4:$N$17,2,FALSE()),"")</f>
        <v>Reprogramada · Equipo no operativo, a la espera de repuestos o accesorios</v>
      </c>
      <c r="L981" s="52" t="n">
        <v>46142</v>
      </c>
      <c r="M981" s="50" t="s">
        <v>355</v>
      </c>
      <c r="N981" s="50" t="s">
        <v>162</v>
      </c>
      <c r="O981" s="50"/>
      <c r="P981" s="50"/>
      <c r="Q981" s="50"/>
    </row>
    <row r="982" customFormat="false" ht="15" hidden="false" customHeight="true" outlineLevel="0" collapsed="false">
      <c r="A982" s="51" t="s">
        <v>175</v>
      </c>
      <c r="B982" s="50" t="str">
        <f aca="false">IFERROR(VLOOKUP($A982,Equipos!$C$2:$M$967,2,FALSE()),"")</f>
        <v>Monitor Multiparámetros</v>
      </c>
      <c r="C982" s="50" t="str">
        <f aca="false">IFERROR(VLOOKUP($A982,Equipos!$C$2:$M$967,9,FALSE()),"")</f>
        <v>5494528944</v>
      </c>
      <c r="D982" s="50" t="str">
        <f aca="false">IFERROR(VLOOKUP($A982,Equipos!$C$2:$M$967,3,FALSE()),"")</f>
        <v>Pabellón Quirúrgico</v>
      </c>
      <c r="E982" s="50" t="str">
        <f aca="false">IFERROR(VLOOKUP($A982,Equipos!$C$2:$M$967,7,FALSE()),"")</f>
        <v>Drager</v>
      </c>
      <c r="F982" s="50" t="str">
        <f aca="false">IFERROR(VLOOKUP($A982,Equipos!$C$2:$M$967,8,FALSE()),"")</f>
        <v>Infinity Kappa </v>
      </c>
      <c r="G982" s="50" t="s">
        <v>893</v>
      </c>
      <c r="H982" s="50" t="s">
        <v>351</v>
      </c>
      <c r="I982" s="50"/>
      <c r="J982" s="50" t="s">
        <v>1000</v>
      </c>
      <c r="K982" s="50" t="str">
        <f aca="false">IFERROR(VLOOKUP($J982,Catálogos!$M$4:$N$17,2,FALSE()),"")</f>
        <v>No Ubicable</v>
      </c>
      <c r="L982" s="52" t="n">
        <v>46142</v>
      </c>
      <c r="M982" s="50" t="s">
        <v>355</v>
      </c>
      <c r="N982" s="50" t="s">
        <v>128</v>
      </c>
      <c r="O982" s="50"/>
      <c r="P982" s="50"/>
      <c r="Q982" s="50"/>
    </row>
    <row r="983" customFormat="false" ht="15" hidden="false" customHeight="true" outlineLevel="0" collapsed="false">
      <c r="A983" s="51" t="s">
        <v>140</v>
      </c>
      <c r="B983" s="50" t="str">
        <f aca="false">IFERROR(VLOOKUP($A983,Equipos!$C$2:$M$967,2,FALSE()),"")</f>
        <v>Monitor Multiparámetros</v>
      </c>
      <c r="C983" s="50" t="str">
        <f aca="false">IFERROR(VLOOKUP($A983,Equipos!$C$2:$M$967,9,FALSE()),"")</f>
        <v>22060100003</v>
      </c>
      <c r="D983" s="50" t="str">
        <f aca="false">IFERROR(VLOOKUP($A983,Equipos!$C$2:$M$967,3,FALSE()),"")</f>
        <v>Servicio Social</v>
      </c>
      <c r="E983" s="50" t="str">
        <f aca="false">IFERROR(VLOOKUP($A983,Equipos!$C$2:$M$967,7,FALSE()),"")</f>
        <v>Sinohero</v>
      </c>
      <c r="F983" s="50" t="str">
        <f aca="false">IFERROR(VLOOKUP($A983,Equipos!$C$2:$M$967,8,FALSE()),"")</f>
        <v>H5</v>
      </c>
      <c r="G983" s="50" t="s">
        <v>893</v>
      </c>
      <c r="H983" s="50" t="s">
        <v>351</v>
      </c>
      <c r="I983" s="50"/>
      <c r="J983" s="50" t="s">
        <v>1001</v>
      </c>
      <c r="K983" s="50" t="str">
        <f aca="false">IFERROR(VLOOKUP($J983,Catálogos!$M$4:$N$17,2,FALSE()),"")</f>
        <v>Reprogramada · Contingencia hospitalaria</v>
      </c>
      <c r="L983" s="52" t="n">
        <v>46142</v>
      </c>
      <c r="M983" s="50"/>
      <c r="N983" s="50" t="s">
        <v>130</v>
      </c>
      <c r="O983" s="50"/>
      <c r="P983" s="50"/>
      <c r="Q983" s="50"/>
    </row>
    <row r="984" customFormat="false" ht="15" hidden="false" customHeight="true" outlineLevel="0" collapsed="false">
      <c r="A984" s="51" t="s">
        <v>148</v>
      </c>
      <c r="B984" s="50" t="str">
        <f aca="false">IFERROR(VLOOKUP($A984,Equipos!$C$2:$M$967,2,FALSE()),"")</f>
        <v>Monitor Multiparámetros</v>
      </c>
      <c r="C984" s="50" t="str">
        <f aca="false">IFERROR(VLOOKUP($A984,Equipos!$C$2:$M$967,9,FALSE()),"")</f>
        <v>G3HQ40045</v>
      </c>
      <c r="D984" s="50" t="str">
        <f aca="false">IFERROR(VLOOKUP($A984,Equipos!$C$2:$M$967,3,FALSE()),"")</f>
        <v>Servicio Social</v>
      </c>
      <c r="E984" s="50" t="str">
        <f aca="false">IFERROR(VLOOKUP($A984,Equipos!$C$2:$M$967,7,FALSE()),"")</f>
        <v>General Meditech</v>
      </c>
      <c r="F984" s="50" t="str">
        <f aca="false">IFERROR(VLOOKUP($A984,Equipos!$C$2:$M$967,8,FALSE()),"")</f>
        <v>G3H</v>
      </c>
      <c r="G984" s="50" t="s">
        <v>893</v>
      </c>
      <c r="H984" s="50" t="s">
        <v>351</v>
      </c>
      <c r="I984" s="50"/>
      <c r="J984" s="50" t="s">
        <v>1001</v>
      </c>
      <c r="K984" s="50" t="str">
        <f aca="false">IFERROR(VLOOKUP($J984,Catálogos!$M$4:$N$17,2,FALSE()),"")</f>
        <v>Reprogramada · Contingencia hospitalaria</v>
      </c>
      <c r="L984" s="52" t="n">
        <v>46142</v>
      </c>
      <c r="M984" s="50"/>
      <c r="N984" s="50" t="s">
        <v>130</v>
      </c>
      <c r="O984" s="50"/>
      <c r="P984" s="50"/>
      <c r="Q984" s="50"/>
    </row>
    <row r="985" customFormat="false" ht="15" hidden="false" customHeight="true" outlineLevel="0" collapsed="false">
      <c r="A985" s="51" t="s">
        <v>144</v>
      </c>
      <c r="B985" s="50" t="str">
        <f aca="false">IFERROR(VLOOKUP($A985,Equipos!$C$2:$M$967,2,FALSE()),"")</f>
        <v>Monitor Multiparámetros</v>
      </c>
      <c r="C985" s="50" t="str">
        <f aca="false">IFERROR(VLOOKUP($A985,Equipos!$C$2:$M$967,9,FALSE()),"")</f>
        <v>PSHH501479</v>
      </c>
      <c r="D985" s="50" t="str">
        <f aca="false">IFERROR(VLOOKUP($A985,Equipos!$C$2:$M$967,3,FALSE()),"")</f>
        <v>Servicio Social</v>
      </c>
      <c r="E985" s="50" t="str">
        <f aca="false">IFERROR(VLOOKUP($A985,Equipos!$C$2:$M$967,7,FALSE()),"")</f>
        <v>Sinohero</v>
      </c>
      <c r="F985" s="50" t="str">
        <f aca="false">IFERROR(VLOOKUP($A985,Equipos!$C$2:$M$967,8,FALSE()),"")</f>
        <v>H5</v>
      </c>
      <c r="G985" s="50" t="s">
        <v>893</v>
      </c>
      <c r="H985" s="50" t="s">
        <v>351</v>
      </c>
      <c r="I985" s="50"/>
      <c r="J985" s="50" t="s">
        <v>1001</v>
      </c>
      <c r="K985" s="50" t="str">
        <f aca="false">IFERROR(VLOOKUP($J985,Catálogos!$M$4:$N$17,2,FALSE()),"")</f>
        <v>Reprogramada · Contingencia hospitalaria</v>
      </c>
      <c r="L985" s="52" t="n">
        <v>46142</v>
      </c>
      <c r="M985" s="50"/>
      <c r="N985" s="50" t="s">
        <v>130</v>
      </c>
      <c r="O985" s="50"/>
      <c r="P985" s="50"/>
      <c r="Q985" s="50"/>
    </row>
    <row r="986" customFormat="false" ht="15" hidden="false" customHeight="true" outlineLevel="0" collapsed="false">
      <c r="A986" s="51" t="s">
        <v>178</v>
      </c>
      <c r="B986" s="50" t="str">
        <f aca="false">IFERROR(VLOOKUP($A986,Equipos!$C$2:$M$967,2,FALSE()),"")</f>
        <v>Monitor Multiparámetros</v>
      </c>
      <c r="C986" s="50" t="str">
        <f aca="false">IFERROR(VLOOKUP($A986,Equipos!$C$2:$M$967,9,FALSE()),"")</f>
        <v>01117.</v>
      </c>
      <c r="D986" s="50" t="str">
        <f aca="false">IFERROR(VLOOKUP($A986,Equipos!$C$2:$M$967,3,FALSE()),"")</f>
        <v>SAMU</v>
      </c>
      <c r="E986" s="50" t="str">
        <f aca="false">IFERROR(VLOOKUP($A986,Equipos!$C$2:$M$967,7,FALSE()),"")</f>
        <v>Nihon Kohden </v>
      </c>
      <c r="F986" s="50" t="str">
        <f aca="false">IFERROR(VLOOKUP($A986,Equipos!$C$2:$M$967,8,FALSE()),"")</f>
        <v>BSM-6301K</v>
      </c>
      <c r="G986" s="50" t="s">
        <v>893</v>
      </c>
      <c r="H986" s="50" t="s">
        <v>351</v>
      </c>
      <c r="I986" s="50"/>
      <c r="J986" s="50" t="s">
        <v>1000</v>
      </c>
      <c r="K986" s="50" t="str">
        <f aca="false">IFERROR(VLOOKUP($J986,Catálogos!$M$4:$N$17,2,FALSE()),"")</f>
        <v>No Ubicable</v>
      </c>
      <c r="L986" s="52" t="n">
        <v>46142</v>
      </c>
      <c r="M986" s="50" t="s">
        <v>355</v>
      </c>
      <c r="N986" s="50" t="s">
        <v>130</v>
      </c>
      <c r="O986" s="50"/>
      <c r="P986" s="50"/>
      <c r="Q986" s="50"/>
    </row>
    <row r="987" customFormat="false" ht="15" hidden="false" customHeight="true" outlineLevel="0" collapsed="false">
      <c r="A987" s="51" t="s">
        <v>173</v>
      </c>
      <c r="B987" s="50" t="str">
        <f aca="false">IFERROR(VLOOKUP($A987,Equipos!$C$2:$M$967,2,FALSE()),"")</f>
        <v>Ventilador Mecánico </v>
      </c>
      <c r="C987" s="50" t="str">
        <f aca="false">IFERROR(VLOOKUP($A987,Equipos!$C$2:$M$967,9,FALSE()),"")</f>
        <v>ASFN-0009</v>
      </c>
      <c r="D987" s="50" t="str">
        <f aca="false">IFERROR(VLOOKUP($A987,Equipos!$C$2:$M$967,3,FALSE()),"")</f>
        <v>UPC Adulto</v>
      </c>
      <c r="E987" s="50" t="str">
        <f aca="false">IFERROR(VLOOKUP($A987,Equipos!$C$2:$M$967,7,FALSE()),"")</f>
        <v>Drager</v>
      </c>
      <c r="F987" s="50" t="str">
        <f aca="false">IFERROR(VLOOKUP($A987,Equipos!$C$2:$M$967,8,FALSE()),"")</f>
        <v>Carina </v>
      </c>
      <c r="G987" s="50" t="s">
        <v>893</v>
      </c>
      <c r="H987" s="50" t="s">
        <v>351</v>
      </c>
      <c r="I987" s="50"/>
      <c r="J987" s="50" t="s">
        <v>805</v>
      </c>
      <c r="K987" s="50" t="str">
        <f aca="false">IFERROR(VLOOKUP($J987,Catálogos!$M$4:$N$17,2,FALSE()),"")</f>
        <v>Reprogramada · No disponibilidad de horas hombre del servicio técnico externo</v>
      </c>
      <c r="L987" s="52" t="n">
        <v>46142</v>
      </c>
      <c r="M987" s="50" t="s">
        <v>353</v>
      </c>
      <c r="N987" s="50" t="s">
        <v>162</v>
      </c>
      <c r="O987" s="50"/>
      <c r="P987" s="50"/>
      <c r="Q987" s="50"/>
    </row>
    <row r="988" customFormat="false" ht="15" hidden="false" customHeight="true" outlineLevel="0" collapsed="false">
      <c r="A988" s="51" t="s">
        <v>25</v>
      </c>
      <c r="B988" s="50" t="str">
        <f aca="false">IFERROR(VLOOKUP($A988,Equipos!$C$2:$M$967,2,FALSE()),"")</f>
        <v>Ventilador Mecánico </v>
      </c>
      <c r="C988" s="50" t="str">
        <f aca="false">IFERROR(VLOOKUP($A988,Equipos!$C$2:$M$967,9,FALSE()),"")</f>
        <v>ASFN-0008</v>
      </c>
      <c r="D988" s="50" t="str">
        <f aca="false">IFERROR(VLOOKUP($A988,Equipos!$C$2:$M$967,3,FALSE()),"")</f>
        <v>UPC Adulto</v>
      </c>
      <c r="E988" s="50" t="str">
        <f aca="false">IFERROR(VLOOKUP($A988,Equipos!$C$2:$M$967,7,FALSE()),"")</f>
        <v>Drager</v>
      </c>
      <c r="F988" s="50" t="str">
        <f aca="false">IFERROR(VLOOKUP($A988,Equipos!$C$2:$M$967,8,FALSE()),"")</f>
        <v>Carina </v>
      </c>
      <c r="G988" s="50" t="s">
        <v>893</v>
      </c>
      <c r="H988" s="50" t="s">
        <v>351</v>
      </c>
      <c r="I988" s="50"/>
      <c r="J988" s="50" t="s">
        <v>805</v>
      </c>
      <c r="K988" s="50" t="str">
        <f aca="false">IFERROR(VLOOKUP($J988,Catálogos!$M$4:$N$17,2,FALSE()),"")</f>
        <v>Reprogramada · No disponibilidad de horas hombre del servicio técnico externo</v>
      </c>
      <c r="L988" s="52" t="n">
        <v>46142</v>
      </c>
      <c r="M988" s="50" t="s">
        <v>353</v>
      </c>
      <c r="N988" s="50"/>
      <c r="O988" s="50"/>
      <c r="P988" s="50"/>
      <c r="Q988" s="50"/>
    </row>
    <row r="989" customFormat="false" ht="15" hidden="false" customHeight="true" outlineLevel="0" collapsed="false">
      <c r="A989" s="51" t="s">
        <v>161</v>
      </c>
      <c r="B989" s="50" t="str">
        <f aca="false">IFERROR(VLOOKUP($A989,Equipos!$C$2:$M$967,2,FALSE()),"")</f>
        <v>Ventilador Mecánico </v>
      </c>
      <c r="C989" s="50" t="str">
        <f aca="false">IFERROR(VLOOKUP($A989,Equipos!$C$2:$M$967,9,FALSE()),"")</f>
        <v>ASFN-0006</v>
      </c>
      <c r="D989" s="50" t="str">
        <f aca="false">IFERROR(VLOOKUP($A989,Equipos!$C$2:$M$967,3,FALSE()),"")</f>
        <v>UPC Adulto</v>
      </c>
      <c r="E989" s="50" t="str">
        <f aca="false">IFERROR(VLOOKUP($A989,Equipos!$C$2:$M$967,7,FALSE()),"")</f>
        <v>Drager</v>
      </c>
      <c r="F989" s="50" t="str">
        <f aca="false">IFERROR(VLOOKUP($A989,Equipos!$C$2:$M$967,8,FALSE()),"")</f>
        <v>Carina </v>
      </c>
      <c r="G989" s="50" t="s">
        <v>893</v>
      </c>
      <c r="H989" s="50" t="s">
        <v>351</v>
      </c>
      <c r="I989" s="50"/>
      <c r="J989" s="50" t="s">
        <v>805</v>
      </c>
      <c r="K989" s="50" t="str">
        <f aca="false">IFERROR(VLOOKUP($J989,Catálogos!$M$4:$N$17,2,FALSE()),"")</f>
        <v>Reprogramada · No disponibilidad de horas hombre del servicio técnico externo</v>
      </c>
      <c r="L989" s="52" t="n">
        <v>46142</v>
      </c>
      <c r="M989" s="50" t="s">
        <v>353</v>
      </c>
      <c r="N989" s="50" t="s">
        <v>162</v>
      </c>
      <c r="O989" s="50"/>
      <c r="P989" s="50"/>
      <c r="Q989" s="50"/>
    </row>
    <row r="990" customFormat="false" ht="15" hidden="false" customHeight="true" outlineLevel="0" collapsed="false">
      <c r="A990" s="51" t="s">
        <v>148</v>
      </c>
      <c r="B990" s="50" t="str">
        <f aca="false">IFERROR(VLOOKUP($A990,Equipos!$C$2:$M$967,2,FALSE()),"")</f>
        <v>Monitor Multiparámetros</v>
      </c>
      <c r="C990" s="50" t="str">
        <f aca="false">IFERROR(VLOOKUP($A990,Equipos!$C$2:$M$967,9,FALSE()),"")</f>
        <v>G3HQ40045</v>
      </c>
      <c r="D990" s="50" t="str">
        <f aca="false">IFERROR(VLOOKUP($A990,Equipos!$C$2:$M$967,3,FALSE()),"")</f>
        <v>Servicio Social</v>
      </c>
      <c r="E990" s="50" t="str">
        <f aca="false">IFERROR(VLOOKUP($A990,Equipos!$C$2:$M$967,7,FALSE()),"")</f>
        <v>General Meditech</v>
      </c>
      <c r="F990" s="50" t="str">
        <f aca="false">IFERROR(VLOOKUP($A990,Equipos!$C$2:$M$967,8,FALSE()),"")</f>
        <v>G3H</v>
      </c>
      <c r="G990" s="50" t="s">
        <v>893</v>
      </c>
      <c r="H990" s="50" t="s">
        <v>351</v>
      </c>
      <c r="I990" s="50"/>
      <c r="J990" s="50" t="s">
        <v>1001</v>
      </c>
      <c r="K990" s="50" t="str">
        <f aca="false">IFERROR(VLOOKUP($J990,Catálogos!$M$4:$N$17,2,FALSE()),"")</f>
        <v>Reprogramada · Contingencia hospitalaria</v>
      </c>
      <c r="L990" s="52" t="n">
        <v>46142</v>
      </c>
      <c r="M990" s="50" t="s">
        <v>353</v>
      </c>
      <c r="N990" s="50" t="s">
        <v>141</v>
      </c>
      <c r="O990" s="50"/>
      <c r="P990" s="50"/>
      <c r="Q990" s="50"/>
    </row>
    <row r="991" customFormat="false" ht="15" hidden="false" customHeight="true" outlineLevel="0" collapsed="false">
      <c r="A991" s="51" t="s">
        <v>26</v>
      </c>
      <c r="B991" s="50" t="str">
        <f aca="false">IFERROR(VLOOKUP($A991,Equipos!$C$2:$M$967,2,FALSE()),"")</f>
        <v>Ventilador Mecánico </v>
      </c>
      <c r="C991" s="50" t="str">
        <f aca="false">IFERROR(VLOOKUP($A991,Equipos!$C$2:$M$967,9,FALSE()),"")</f>
        <v>ASHK-0151</v>
      </c>
      <c r="D991" s="50" t="str">
        <f aca="false">IFERROR(VLOOKUP($A991,Equipos!$C$2:$M$967,3,FALSE()),"")</f>
        <v>UPC Adulto</v>
      </c>
      <c r="E991" s="50" t="str">
        <f aca="false">IFERROR(VLOOKUP($A991,Equipos!$C$2:$M$967,7,FALSE()),"")</f>
        <v>Drager</v>
      </c>
      <c r="F991" s="50" t="str">
        <f aca="false">IFERROR(VLOOKUP($A991,Equipos!$C$2:$M$967,8,FALSE()),"")</f>
        <v>Evita V300</v>
      </c>
      <c r="G991" s="50" t="s">
        <v>1002</v>
      </c>
      <c r="H991" s="50" t="s">
        <v>351</v>
      </c>
      <c r="I991" s="50"/>
      <c r="J991" s="50" t="s">
        <v>352</v>
      </c>
      <c r="K991" s="50" t="str">
        <f aca="false">IFERROR(VLOOKUP($J991,Catálogos!$M$4:$N$17,2,FALSE()),"")</f>
        <v>Mantención Preventiva Realizada</v>
      </c>
      <c r="L991" s="52" t="n">
        <v>46147</v>
      </c>
      <c r="M991" s="50" t="s">
        <v>353</v>
      </c>
      <c r="N991" s="50" t="s">
        <v>162</v>
      </c>
      <c r="O991" s="50"/>
      <c r="P991" s="50"/>
      <c r="Q991" s="50"/>
    </row>
    <row r="992" customFormat="false" ht="15" hidden="false" customHeight="true" outlineLevel="0" collapsed="false">
      <c r="A992" s="51" t="s">
        <v>157</v>
      </c>
      <c r="B992" s="50" t="str">
        <f aca="false">IFERROR(VLOOKUP($A992,Equipos!$C$2:$M$967,2,FALSE()),"")</f>
        <v>Ventilador Mecánico </v>
      </c>
      <c r="C992" s="50" t="str">
        <f aca="false">IFERROR(VLOOKUP($A992,Equipos!$C$2:$M$967,9,FALSE()),"")</f>
        <v>ASNM-0005</v>
      </c>
      <c r="D992" s="50" t="str">
        <f aca="false">IFERROR(VLOOKUP($A992,Equipos!$C$2:$M$967,3,FALSE()),"")</f>
        <v>UPC Adulto</v>
      </c>
      <c r="E992" s="50" t="str">
        <f aca="false">IFERROR(VLOOKUP($A992,Equipos!$C$2:$M$967,7,FALSE()),"")</f>
        <v>Drager</v>
      </c>
      <c r="F992" s="50" t="str">
        <f aca="false">IFERROR(VLOOKUP($A992,Equipos!$C$2:$M$967,8,FALSE()),"")</f>
        <v>Evita V800</v>
      </c>
      <c r="G992" s="50" t="s">
        <v>1002</v>
      </c>
      <c r="H992" s="50" t="s">
        <v>351</v>
      </c>
      <c r="I992" s="50"/>
      <c r="J992" s="50" t="s">
        <v>352</v>
      </c>
      <c r="K992" s="50" t="str">
        <f aca="false">IFERROR(VLOOKUP($J992,Catálogos!$M$4:$N$17,2,FALSE()),"")</f>
        <v>Mantención Preventiva Realizada</v>
      </c>
      <c r="L992" s="52" t="n">
        <v>46147</v>
      </c>
      <c r="M992" s="50" t="s">
        <v>353</v>
      </c>
      <c r="N992" s="50" t="s">
        <v>162</v>
      </c>
      <c r="O992" s="50"/>
      <c r="P992" s="50"/>
      <c r="Q992" s="50"/>
    </row>
    <row r="993" customFormat="false" ht="15" hidden="false" customHeight="true" outlineLevel="0" collapsed="false">
      <c r="A993" s="51" t="s">
        <v>189</v>
      </c>
      <c r="B993" s="50" t="str">
        <f aca="false">IFERROR(VLOOKUP($A993,Equipos!$C$2:$M$967,2,FALSE()),"")</f>
        <v>Ventilador Mecánico </v>
      </c>
      <c r="C993" s="50" t="str">
        <f aca="false">IFERROR(VLOOKUP($A993,Equipos!$C$2:$M$967,9,FALSE()),"")</f>
        <v>ASLE-0157</v>
      </c>
      <c r="D993" s="50" t="str">
        <f aca="false">IFERROR(VLOOKUP($A993,Equipos!$C$2:$M$967,3,FALSE()),"")</f>
        <v>UPC Adulto</v>
      </c>
      <c r="E993" s="50" t="str">
        <f aca="false">IFERROR(VLOOKUP($A993,Equipos!$C$2:$M$967,7,FALSE()),"")</f>
        <v>Drager</v>
      </c>
      <c r="F993" s="50" t="str">
        <f aca="false">IFERROR(VLOOKUP($A993,Equipos!$C$2:$M$967,8,FALSE()),"")</f>
        <v>Evita V300/SC</v>
      </c>
      <c r="G993" s="50" t="s">
        <v>1002</v>
      </c>
      <c r="H993" s="50" t="s">
        <v>351</v>
      </c>
      <c r="I993" s="50"/>
      <c r="J993" s="50" t="s">
        <v>352</v>
      </c>
      <c r="K993" s="50" t="str">
        <f aca="false">IFERROR(VLOOKUP($J993,Catálogos!$M$4:$N$17,2,FALSE()),"")</f>
        <v>Mantención Preventiva Realizada</v>
      </c>
      <c r="L993" s="52" t="n">
        <v>46147</v>
      </c>
      <c r="M993" s="50" t="s">
        <v>353</v>
      </c>
      <c r="N993" s="50" t="s">
        <v>162</v>
      </c>
      <c r="O993" s="50"/>
      <c r="P993" s="50"/>
      <c r="Q993" s="50"/>
    </row>
    <row r="994" customFormat="false" ht="15" hidden="false" customHeight="true" outlineLevel="0" collapsed="false">
      <c r="A994" s="51" t="s">
        <v>1003</v>
      </c>
      <c r="B994" s="50" t="str">
        <f aca="false">IFERROR(VLOOKUP($A994,Equipos!$C$2:$M$967,2,FALSE()),"")</f>
        <v>Ventilador Mecánico </v>
      </c>
      <c r="C994" s="50" t="str">
        <f aca="false">IFERROR(VLOOKUP($A994,Equipos!$C$2:$M$967,9,FALSE()),"")</f>
        <v>ASNK-0046</v>
      </c>
      <c r="D994" s="50" t="str">
        <f aca="false">IFERROR(VLOOKUP($A994,Equipos!$C$2:$M$967,3,FALSE()),"")</f>
        <v>UPC 3er Piso</v>
      </c>
      <c r="E994" s="50" t="str">
        <f aca="false">IFERROR(VLOOKUP($A994,Equipos!$C$2:$M$967,7,FALSE()),"")</f>
        <v>Drager</v>
      </c>
      <c r="F994" s="50" t="str">
        <f aca="false">IFERROR(VLOOKUP($A994,Equipos!$C$2:$M$967,8,FALSE()),"")</f>
        <v>Evita V800</v>
      </c>
      <c r="G994" s="50" t="s">
        <v>1002</v>
      </c>
      <c r="H994" s="50" t="s">
        <v>351</v>
      </c>
      <c r="I994" s="50"/>
      <c r="J994" s="50" t="s">
        <v>352</v>
      </c>
      <c r="K994" s="50" t="str">
        <f aca="false">IFERROR(VLOOKUP($J994,Catálogos!$M$4:$N$17,2,FALSE()),"")</f>
        <v>Mantención Preventiva Realizada</v>
      </c>
      <c r="L994" s="52" t="n">
        <v>46147</v>
      </c>
      <c r="M994" s="50" t="s">
        <v>353</v>
      </c>
      <c r="N994" s="50" t="s">
        <v>162</v>
      </c>
      <c r="O994" s="50"/>
      <c r="P994" s="50"/>
      <c r="Q994" s="50"/>
    </row>
    <row r="995" customFormat="false" ht="15" hidden="false" customHeight="true" outlineLevel="0" collapsed="false">
      <c r="A995" s="51" t="s">
        <v>1004</v>
      </c>
      <c r="B995" s="50" t="str">
        <f aca="false">IFERROR(VLOOKUP($A995,Equipos!$C$2:$M$967,2,FALSE()),"")</f>
        <v>Ventilador Mecánico </v>
      </c>
      <c r="C995" s="50" t="str">
        <f aca="false">IFERROR(VLOOKUP($A995,Equipos!$C$2:$M$967,9,FALSE()),"")</f>
        <v>ASNK-0047</v>
      </c>
      <c r="D995" s="50" t="str">
        <f aca="false">IFERROR(VLOOKUP($A995,Equipos!$C$2:$M$967,3,FALSE()),"")</f>
        <v>UPC 3er Piso</v>
      </c>
      <c r="E995" s="50" t="str">
        <f aca="false">IFERROR(VLOOKUP($A995,Equipos!$C$2:$M$967,7,FALSE()),"")</f>
        <v>Drager</v>
      </c>
      <c r="F995" s="50" t="str">
        <f aca="false">IFERROR(VLOOKUP($A995,Equipos!$C$2:$M$967,8,FALSE()),"")</f>
        <v>Evita V800</v>
      </c>
      <c r="G995" s="50" t="s">
        <v>1002</v>
      </c>
      <c r="H995" s="50" t="s">
        <v>351</v>
      </c>
      <c r="I995" s="50"/>
      <c r="J995" s="50" t="s">
        <v>352</v>
      </c>
      <c r="K995" s="50" t="str">
        <f aca="false">IFERROR(VLOOKUP($J995,Catálogos!$M$4:$N$17,2,FALSE()),"")</f>
        <v>Mantención Preventiva Realizada</v>
      </c>
      <c r="L995" s="52" t="n">
        <v>46147</v>
      </c>
      <c r="M995" s="50" t="s">
        <v>353</v>
      </c>
      <c r="N995" s="50" t="s">
        <v>162</v>
      </c>
      <c r="O995" s="50"/>
      <c r="P995" s="50"/>
      <c r="Q995" s="50"/>
    </row>
    <row r="996" customFormat="false" ht="15" hidden="false" customHeight="true" outlineLevel="0" collapsed="false">
      <c r="A996" s="51" t="s">
        <v>1005</v>
      </c>
      <c r="B996" s="50" t="str">
        <f aca="false">IFERROR(VLOOKUP($A996,Equipos!$C$2:$M$967,2,FALSE()),"")</f>
        <v>Ventilador Mecánico </v>
      </c>
      <c r="C996" s="50" t="str">
        <f aca="false">IFERROR(VLOOKUP($A996,Equipos!$C$2:$M$967,9,FALSE()),"")</f>
        <v>ASNM-0001</v>
      </c>
      <c r="D996" s="50" t="str">
        <f aca="false">IFERROR(VLOOKUP($A996,Equipos!$C$2:$M$967,3,FALSE()),"")</f>
        <v>UPC 3er Piso</v>
      </c>
      <c r="E996" s="50" t="str">
        <f aca="false">IFERROR(VLOOKUP($A996,Equipos!$C$2:$M$967,7,FALSE()),"")</f>
        <v>Drager</v>
      </c>
      <c r="F996" s="50" t="str">
        <f aca="false">IFERROR(VLOOKUP($A996,Equipos!$C$2:$M$967,8,FALSE()),"")</f>
        <v>Evita V800</v>
      </c>
      <c r="G996" s="50" t="s">
        <v>1002</v>
      </c>
      <c r="H996" s="50" t="s">
        <v>351</v>
      </c>
      <c r="I996" s="50"/>
      <c r="J996" s="50" t="s">
        <v>352</v>
      </c>
      <c r="K996" s="50" t="str">
        <f aca="false">IFERROR(VLOOKUP($J996,Catálogos!$M$4:$N$17,2,FALSE()),"")</f>
        <v>Mantención Preventiva Realizada</v>
      </c>
      <c r="L996" s="52" t="n">
        <v>46148</v>
      </c>
      <c r="M996" s="50" t="s">
        <v>353</v>
      </c>
      <c r="N996" s="50" t="s">
        <v>162</v>
      </c>
      <c r="O996" s="50"/>
      <c r="P996" s="50"/>
      <c r="Q996" s="50"/>
    </row>
    <row r="997" customFormat="false" ht="15" hidden="false" customHeight="true" outlineLevel="0" collapsed="false">
      <c r="A997" s="51" t="s">
        <v>200</v>
      </c>
      <c r="B997" s="50" t="str">
        <f aca="false">IFERROR(VLOOKUP($A997,Equipos!$C$2:$M$967,2,FALSE()),"")</f>
        <v>Máquina Diálisis</v>
      </c>
      <c r="C997" s="50" t="str">
        <f aca="false">IFERROR(VLOOKUP($A997,Equipos!$C$2:$M$967,9,FALSE()),"")</f>
        <v>8VCAJN39</v>
      </c>
      <c r="D997" s="50" t="str">
        <f aca="false">IFERROR(VLOOKUP($A997,Equipos!$C$2:$M$967,3,FALSE()),"")</f>
        <v>UPC Adulto</v>
      </c>
      <c r="E997" s="50" t="str">
        <f aca="false">IFERROR(VLOOKUP($A997,Equipos!$C$2:$M$967,7,FALSE()),"")</f>
        <v>Fresenius</v>
      </c>
      <c r="F997" s="50" t="str">
        <f aca="false">IFERROR(VLOOKUP($A997,Equipos!$C$2:$M$967,8,FALSE()),"")</f>
        <v>4008B(s)</v>
      </c>
      <c r="G997" s="50" t="s">
        <v>1002</v>
      </c>
      <c r="H997" s="50" t="s">
        <v>351</v>
      </c>
      <c r="I997" s="50"/>
      <c r="J997" s="50" t="s">
        <v>352</v>
      </c>
      <c r="K997" s="50" t="str">
        <f aca="false">IFERROR(VLOOKUP($J997,Catálogos!$M$4:$N$17,2,FALSE()),"")</f>
        <v>Mantención Preventiva Realizada</v>
      </c>
      <c r="L997" s="52" t="n">
        <v>46149</v>
      </c>
      <c r="M997" s="50" t="s">
        <v>353</v>
      </c>
      <c r="N997" s="50" t="s">
        <v>64</v>
      </c>
      <c r="O997" s="50"/>
      <c r="P997" s="50"/>
      <c r="Q997" s="50"/>
    </row>
    <row r="998" customFormat="false" ht="15" hidden="false" customHeight="true" outlineLevel="0" collapsed="false">
      <c r="A998" s="51" t="s">
        <v>1006</v>
      </c>
      <c r="B998" s="50" t="str">
        <f aca="false">IFERROR(VLOOKUP($A998,Equipos!$C$2:$M$967,2,FALSE()),"")</f>
        <v>Ventilador Mecánico </v>
      </c>
      <c r="C998" s="50" t="str">
        <f aca="false">IFERROR(VLOOKUP($A998,Equipos!$C$2:$M$967,9,FALSE()),"")</f>
        <v>ASJL-0099</v>
      </c>
      <c r="D998" s="50" t="str">
        <f aca="false">IFERROR(VLOOKUP($A998,Equipos!$C$2:$M$967,3,FALSE()),"")</f>
        <v>Neonatología</v>
      </c>
      <c r="E998" s="50" t="str">
        <f aca="false">IFERROR(VLOOKUP($A998,Equipos!$C$2:$M$967,7,FALSE()),"")</f>
        <v>Drager</v>
      </c>
      <c r="F998" s="50" t="str">
        <f aca="false">IFERROR(VLOOKUP($A998,Equipos!$C$2:$M$967,8,FALSE()),"")</f>
        <v>VN500</v>
      </c>
      <c r="G998" s="50" t="s">
        <v>1002</v>
      </c>
      <c r="H998" s="50" t="s">
        <v>351</v>
      </c>
      <c r="I998" s="50"/>
      <c r="J998" s="50" t="s">
        <v>352</v>
      </c>
      <c r="K998" s="50" t="str">
        <f aca="false">IFERROR(VLOOKUP($J998,Catálogos!$M$4:$N$17,2,FALSE()),"")</f>
        <v>Mantención Preventiva Realizada</v>
      </c>
      <c r="L998" s="52" t="n">
        <v>46149</v>
      </c>
      <c r="M998" s="50" t="s">
        <v>353</v>
      </c>
      <c r="N998" s="50" t="s">
        <v>162</v>
      </c>
      <c r="O998" s="50"/>
      <c r="P998" s="50"/>
      <c r="Q998" s="50"/>
    </row>
    <row r="999" customFormat="false" ht="15" hidden="false" customHeight="true" outlineLevel="0" collapsed="false">
      <c r="A999" s="51" t="s">
        <v>1007</v>
      </c>
      <c r="B999" s="50" t="str">
        <f aca="false">IFERROR(VLOOKUP($A999,Equipos!$C$2:$M$967,2,FALSE()),"")</f>
        <v>Ventilador Mecánico </v>
      </c>
      <c r="C999" s="50" t="str">
        <f aca="false">IFERROR(VLOOKUP($A999,Equipos!$C$2:$M$967,9,FALSE()),"")</f>
        <v>ASKK-0196</v>
      </c>
      <c r="D999" s="50" t="str">
        <f aca="false">IFERROR(VLOOKUP($A999,Equipos!$C$2:$M$967,3,FALSE()),"")</f>
        <v>Neonatología</v>
      </c>
      <c r="E999" s="50" t="str">
        <f aca="false">IFERROR(VLOOKUP($A999,Equipos!$C$2:$M$967,7,FALSE()),"")</f>
        <v>Drager</v>
      </c>
      <c r="F999" s="50" t="str">
        <f aca="false">IFERROR(VLOOKUP($A999,Equipos!$C$2:$M$967,8,FALSE()),"")</f>
        <v>VN500</v>
      </c>
      <c r="G999" s="50" t="s">
        <v>1002</v>
      </c>
      <c r="H999" s="50" t="s">
        <v>351</v>
      </c>
      <c r="I999" s="50"/>
      <c r="J999" s="50" t="s">
        <v>352</v>
      </c>
      <c r="K999" s="50" t="str">
        <f aca="false">IFERROR(VLOOKUP($J999,Catálogos!$M$4:$N$17,2,FALSE()),"")</f>
        <v>Mantención Preventiva Realizada</v>
      </c>
      <c r="L999" s="52" t="n">
        <v>46149</v>
      </c>
      <c r="M999" s="50" t="s">
        <v>353</v>
      </c>
      <c r="N999" s="50" t="s">
        <v>162</v>
      </c>
      <c r="O999" s="50"/>
      <c r="P999" s="50"/>
      <c r="Q999" s="50"/>
    </row>
    <row r="1000" customFormat="false" ht="15" hidden="false" customHeight="true" outlineLevel="0" collapsed="false">
      <c r="A1000" s="51" t="s">
        <v>1008</v>
      </c>
      <c r="B1000" s="50" t="str">
        <f aca="false">IFERROR(VLOOKUP($A1000,Equipos!$C$2:$M$967,2,FALSE()),"")</f>
        <v>Ventilador Mecánico </v>
      </c>
      <c r="C1000" s="50" t="str">
        <f aca="false">IFERROR(VLOOKUP($A1000,Equipos!$C$2:$M$967,9,FALSE()),"")</f>
        <v>ASKL-0004</v>
      </c>
      <c r="D1000" s="50" t="str">
        <f aca="false">IFERROR(VLOOKUP($A1000,Equipos!$C$2:$M$967,3,FALSE()),"")</f>
        <v>Neonatología</v>
      </c>
      <c r="E1000" s="50" t="str">
        <f aca="false">IFERROR(VLOOKUP($A1000,Equipos!$C$2:$M$967,7,FALSE()),"")</f>
        <v>Drager</v>
      </c>
      <c r="F1000" s="50" t="str">
        <f aca="false">IFERROR(VLOOKUP($A1000,Equipos!$C$2:$M$967,8,FALSE()),"")</f>
        <v>VN500</v>
      </c>
      <c r="G1000" s="50" t="s">
        <v>1002</v>
      </c>
      <c r="H1000" s="50" t="s">
        <v>351</v>
      </c>
      <c r="I1000" s="50"/>
      <c r="J1000" s="50" t="s">
        <v>352</v>
      </c>
      <c r="K1000" s="50" t="str">
        <f aca="false">IFERROR(VLOOKUP($J1000,Catálogos!$M$4:$N$17,2,FALSE()),"")</f>
        <v>Mantención Preventiva Realizada</v>
      </c>
      <c r="L1000" s="52" t="n">
        <v>46149</v>
      </c>
      <c r="M1000" s="50" t="s">
        <v>353</v>
      </c>
      <c r="N1000" s="50" t="s">
        <v>162</v>
      </c>
      <c r="O1000" s="50"/>
      <c r="P1000" s="50"/>
      <c r="Q1000" s="50"/>
    </row>
    <row r="1001" customFormat="false" ht="15" hidden="false" customHeight="true" outlineLevel="0" collapsed="false">
      <c r="A1001" s="51" t="s">
        <v>79</v>
      </c>
      <c r="B1001" s="50" t="str">
        <f aca="false">IFERROR(VLOOKUP($A1001,Equipos!$C$2:$M$967,2,FALSE()),"")</f>
        <v>DEA</v>
      </c>
      <c r="C1001" s="50" t="str">
        <f aca="false">IFERROR(VLOOKUP($A1001,Equipos!$C$2:$M$967,9,FALSE()),"")</f>
        <v>X21A332744</v>
      </c>
      <c r="D1001" s="50" t="str">
        <f aca="false">IFERROR(VLOOKUP($A1001,Equipos!$C$2:$M$967,3,FALSE()),"")</f>
        <v>Gestión de Pacientes</v>
      </c>
      <c r="E1001" s="50" t="str">
        <f aca="false">IFERROR(VLOOKUP($A1001,Equipos!$C$2:$M$967,7,FALSE()),"")</f>
        <v>Zoll</v>
      </c>
      <c r="F1001" s="50" t="str">
        <f aca="false">IFERROR(VLOOKUP($A1001,Equipos!$C$2:$M$967,8,FALSE()),"")</f>
        <v>AEDPLUS</v>
      </c>
      <c r="G1001" s="50" t="s">
        <v>1002</v>
      </c>
      <c r="H1001" s="50" t="s">
        <v>351</v>
      </c>
      <c r="I1001" s="50"/>
      <c r="J1001" s="50" t="s">
        <v>352</v>
      </c>
      <c r="K1001" s="50" t="str">
        <f aca="false">IFERROR(VLOOKUP($J1001,Catálogos!$M$4:$N$17,2,FALSE()),"")</f>
        <v>Mantención Preventiva Realizada</v>
      </c>
      <c r="L1001" s="52" t="n">
        <v>46149</v>
      </c>
      <c r="M1001" s="50" t="s">
        <v>353</v>
      </c>
      <c r="N1001" s="50" t="s">
        <v>63</v>
      </c>
      <c r="O1001" s="50"/>
      <c r="P1001" s="50"/>
      <c r="Q1001" s="50"/>
    </row>
    <row r="1002" customFormat="false" ht="15" hidden="false" customHeight="true" outlineLevel="0" collapsed="false">
      <c r="A1002" s="51" t="s">
        <v>1009</v>
      </c>
      <c r="B1002" s="50" t="str">
        <f aca="false">IFERROR(VLOOKUP($A1002,Equipos!$C$2:$M$967,2,FALSE()),"")</f>
        <v>Desfibrilador</v>
      </c>
      <c r="C1002" s="50" t="str">
        <f aca="false">IFERROR(VLOOKUP($A1002,Equipos!$C$2:$M$967,9,FALSE()),"")</f>
        <v>(21)AF19K107391</v>
      </c>
      <c r="D1002" s="50" t="str">
        <f aca="false">IFERROR(VLOOKUP($A1002,Equipos!$C$2:$M$967,3,FALSE()),"")</f>
        <v>Pabellón CMA</v>
      </c>
      <c r="E1002" s="50" t="str">
        <f aca="false">IFERROR(VLOOKUP($A1002,Equipos!$C$2:$M$967,7,FALSE()),"")</f>
        <v>Zoll</v>
      </c>
      <c r="F1002" s="50" t="str">
        <f aca="false">IFERROR(VLOOKUP($A1002,Equipos!$C$2:$M$967,8,FALSE()),"")</f>
        <v>R SERIES ALS</v>
      </c>
      <c r="G1002" s="50" t="s">
        <v>1002</v>
      </c>
      <c r="H1002" s="50" t="s">
        <v>351</v>
      </c>
      <c r="I1002" s="50"/>
      <c r="J1002" s="50" t="s">
        <v>352</v>
      </c>
      <c r="K1002" s="50" t="str">
        <f aca="false">IFERROR(VLOOKUP($J1002,Catálogos!$M$4:$N$17,2,FALSE()),"")</f>
        <v>Mantención Preventiva Realizada</v>
      </c>
      <c r="L1002" s="52" t="n">
        <v>46149</v>
      </c>
      <c r="M1002" s="50" t="s">
        <v>353</v>
      </c>
      <c r="N1002" s="50" t="s">
        <v>63</v>
      </c>
      <c r="O1002" s="50"/>
      <c r="P1002" s="50"/>
      <c r="Q1002" s="50"/>
    </row>
    <row r="1003" customFormat="false" ht="15" hidden="false" customHeight="true" outlineLevel="0" collapsed="false">
      <c r="A1003" s="51" t="s">
        <v>154</v>
      </c>
      <c r="B1003" s="50" t="str">
        <f aca="false">IFERROR(VLOOKUP($A1003,Equipos!$C$2:$M$967,2,FALSE()),"")</f>
        <v>Ventilador Mecánico </v>
      </c>
      <c r="C1003" s="50" t="str">
        <f aca="false">IFERROR(VLOOKUP($A1003,Equipos!$C$2:$M$967,9,FALSE()),"")</f>
        <v>ASNM-0003</v>
      </c>
      <c r="D1003" s="50" t="str">
        <f aca="false">IFERROR(VLOOKUP($A1003,Equipos!$C$2:$M$967,3,FALSE()),"")</f>
        <v>UPC Adulto</v>
      </c>
      <c r="E1003" s="50" t="str">
        <f aca="false">IFERROR(VLOOKUP($A1003,Equipos!$C$2:$M$967,7,FALSE()),"")</f>
        <v>Drager</v>
      </c>
      <c r="F1003" s="50" t="str">
        <f aca="false">IFERROR(VLOOKUP($A1003,Equipos!$C$2:$M$967,8,FALSE()),"")</f>
        <v>Evita V800</v>
      </c>
      <c r="G1003" s="50" t="s">
        <v>1002</v>
      </c>
      <c r="H1003" s="50" t="s">
        <v>351</v>
      </c>
      <c r="I1003" s="50"/>
      <c r="J1003" s="50" t="s">
        <v>352</v>
      </c>
      <c r="K1003" s="50" t="str">
        <f aca="false">IFERROR(VLOOKUP($J1003,Catálogos!$M$4:$N$17,2,FALSE()),"")</f>
        <v>Mantención Preventiva Realizada</v>
      </c>
      <c r="L1003" s="52" t="n">
        <v>46150</v>
      </c>
      <c r="M1003" s="50" t="s">
        <v>353</v>
      </c>
      <c r="N1003" s="50" t="s">
        <v>162</v>
      </c>
      <c r="O1003" s="50"/>
      <c r="P1003" s="50"/>
      <c r="Q1003" s="50"/>
    </row>
    <row r="1004" customFormat="false" ht="15" hidden="false" customHeight="true" outlineLevel="0" collapsed="false">
      <c r="A1004" s="51" t="s">
        <v>178</v>
      </c>
      <c r="B1004" s="50" t="str">
        <f aca="false">IFERROR(VLOOKUP($A1004,Equipos!$C$2:$M$967,2,FALSE()),"")</f>
        <v>Monitor Multiparámetros</v>
      </c>
      <c r="C1004" s="50" t="str">
        <f aca="false">IFERROR(VLOOKUP($A1004,Equipos!$C$2:$M$967,9,FALSE()),"")</f>
        <v>01117.</v>
      </c>
      <c r="D1004" s="50" t="str">
        <f aca="false">IFERROR(VLOOKUP($A1004,Equipos!$C$2:$M$967,3,FALSE()),"")</f>
        <v>SAMU</v>
      </c>
      <c r="E1004" s="50" t="str">
        <f aca="false">IFERROR(VLOOKUP($A1004,Equipos!$C$2:$M$967,7,FALSE()),"")</f>
        <v>Nihon Kohden </v>
      </c>
      <c r="F1004" s="50" t="str">
        <f aca="false">IFERROR(VLOOKUP($A1004,Equipos!$C$2:$M$967,8,FALSE()),"")</f>
        <v>BSM-6301K</v>
      </c>
      <c r="G1004" s="50" t="s">
        <v>1002</v>
      </c>
      <c r="H1004" s="50" t="s">
        <v>351</v>
      </c>
      <c r="I1004" s="50"/>
      <c r="J1004" s="50" t="s">
        <v>352</v>
      </c>
      <c r="K1004" s="50" t="str">
        <f aca="false">IFERROR(VLOOKUP($J1004,Catálogos!$M$4:$N$17,2,FALSE()),"")</f>
        <v>Mantención Preventiva Realizada</v>
      </c>
      <c r="L1004" s="52" t="n">
        <v>46153</v>
      </c>
      <c r="M1004" s="50" t="s">
        <v>353</v>
      </c>
      <c r="N1004" s="50" t="s">
        <v>141</v>
      </c>
      <c r="O1004" s="50"/>
      <c r="P1004" s="50"/>
      <c r="Q1004" s="50"/>
    </row>
    <row r="1005" customFormat="false" ht="15" hidden="false" customHeight="true" outlineLevel="0" collapsed="false">
      <c r="A1005" s="51" t="s">
        <v>1010</v>
      </c>
      <c r="B1005" s="50" t="str">
        <f aca="false">IFERROR(VLOOKUP($A1005,Equipos!$C$2:$M$967,2,FALSE()),"")</f>
        <v>Desfibrilador</v>
      </c>
      <c r="C1005" s="50" t="str">
        <f aca="false">IFERROR(VLOOKUP($A1005,Equipos!$C$2:$M$967,9,FALSE()),"")</f>
        <v>3249</v>
      </c>
      <c r="D1005" s="50" t="str">
        <f aca="false">IFERROR(VLOOKUP($A1005,Equipos!$C$2:$M$967,3,FALSE()),"")</f>
        <v>UPC 3er Piso</v>
      </c>
      <c r="E1005" s="50" t="str">
        <f aca="false">IFERROR(VLOOKUP($A1005,Equipos!$C$2:$M$967,7,FALSE()),"")</f>
        <v>Nihon Kohden</v>
      </c>
      <c r="F1005" s="50" t="str">
        <f aca="false">IFERROR(VLOOKUP($A1005,Equipos!$C$2:$M$967,8,FALSE()),"")</f>
        <v>TEC 5531E</v>
      </c>
      <c r="G1005" s="50" t="s">
        <v>1002</v>
      </c>
      <c r="H1005" s="50" t="s">
        <v>351</v>
      </c>
      <c r="I1005" s="50"/>
      <c r="J1005" s="50" t="s">
        <v>352</v>
      </c>
      <c r="K1005" s="50" t="str">
        <f aca="false">IFERROR(VLOOKUP($J1005,Catálogos!$M$4:$N$17,2,FALSE()),"")</f>
        <v>Mantención Preventiva Realizada</v>
      </c>
      <c r="L1005" s="52" t="n">
        <v>46153</v>
      </c>
      <c r="M1005" s="50" t="s">
        <v>353</v>
      </c>
      <c r="N1005" s="50" t="s">
        <v>63</v>
      </c>
      <c r="O1005" s="50"/>
      <c r="P1005" s="50"/>
      <c r="Q1005" s="50" t="s">
        <v>1011</v>
      </c>
    </row>
    <row r="1006" customFormat="false" ht="15" hidden="false" customHeight="true" outlineLevel="0" collapsed="false">
      <c r="A1006" s="51" t="s">
        <v>1012</v>
      </c>
      <c r="B1006" s="50" t="str">
        <f aca="false">IFERROR(VLOOKUP($A1006,Equipos!$C$2:$M$967,2,FALSE()),"")</f>
        <v>Máquina Diálisis</v>
      </c>
      <c r="C1006" s="50" t="str">
        <f aca="false">IFERROR(VLOOKUP($A1006,Equipos!$C$2:$M$967,9,FALSE()),"")</f>
        <v>3SXA4HDK</v>
      </c>
      <c r="D1006" s="50" t="str">
        <f aca="false">IFERROR(VLOOKUP($A1006,Equipos!$C$2:$M$967,3,FALSE()),"")</f>
        <v>Hemodiálisis</v>
      </c>
      <c r="E1006" s="50" t="str">
        <f aca="false">IFERROR(VLOOKUP($A1006,Equipos!$C$2:$M$967,7,FALSE()),"")</f>
        <v>Fresenius</v>
      </c>
      <c r="F1006" s="50" t="str">
        <f aca="false">IFERROR(VLOOKUP($A1006,Equipos!$C$2:$M$967,8,FALSE()),"")</f>
        <v>4008S</v>
      </c>
      <c r="G1006" s="50" t="s">
        <v>1002</v>
      </c>
      <c r="H1006" s="50" t="s">
        <v>351</v>
      </c>
      <c r="I1006" s="50"/>
      <c r="J1006" s="50" t="s">
        <v>352</v>
      </c>
      <c r="K1006" s="50" t="str">
        <f aca="false">IFERROR(VLOOKUP($J1006,Catálogos!$M$4:$N$17,2,FALSE()),"")</f>
        <v>Mantención Preventiva Realizada</v>
      </c>
      <c r="L1006" s="52" t="n">
        <v>46154</v>
      </c>
      <c r="M1006" s="50" t="s">
        <v>353</v>
      </c>
      <c r="N1006" s="50" t="s">
        <v>64</v>
      </c>
      <c r="O1006" s="50"/>
      <c r="P1006" s="50"/>
      <c r="Q1006" s="50"/>
    </row>
    <row r="1007" customFormat="false" ht="15" hidden="false" customHeight="true" outlineLevel="0" collapsed="false">
      <c r="A1007" s="51" t="s">
        <v>1013</v>
      </c>
      <c r="B1007" s="50" t="str">
        <f aca="false">IFERROR(VLOOKUP($A1007,Equipos!$C$2:$M$967,2,FALSE()),"")</f>
        <v>Desfibrilador</v>
      </c>
      <c r="C1007" s="50" t="str">
        <f aca="false">IFERROR(VLOOKUP($A1007,Equipos!$C$2:$M$967,9,FALSE()),"")</f>
        <v>(21)AF14J041071</v>
      </c>
      <c r="D1007" s="50" t="str">
        <f aca="false">IFERROR(VLOOKUP($A1007,Equipos!$C$2:$M$967,3,FALSE()),"")</f>
        <v>Cirugía Adulto</v>
      </c>
      <c r="E1007" s="50" t="str">
        <f aca="false">IFERROR(VLOOKUP($A1007,Equipos!$C$2:$M$967,7,FALSE()),"")</f>
        <v>Zoll </v>
      </c>
      <c r="F1007" s="50" t="str">
        <f aca="false">IFERROR(VLOOKUP($A1007,Equipos!$C$2:$M$967,8,FALSE()),"")</f>
        <v>R SERIES ALS</v>
      </c>
      <c r="G1007" s="50" t="s">
        <v>1002</v>
      </c>
      <c r="H1007" s="50" t="s">
        <v>351</v>
      </c>
      <c r="I1007" s="50"/>
      <c r="J1007" s="50" t="s">
        <v>352</v>
      </c>
      <c r="K1007" s="50" t="str">
        <f aca="false">IFERROR(VLOOKUP($J1007,Catálogos!$M$4:$N$17,2,FALSE()),"")</f>
        <v>Mantención Preventiva Realizada</v>
      </c>
      <c r="L1007" s="52" t="n">
        <v>46155</v>
      </c>
      <c r="M1007" s="50" t="s">
        <v>353</v>
      </c>
      <c r="N1007" s="50" t="s">
        <v>63</v>
      </c>
      <c r="O1007" s="50"/>
      <c r="P1007" s="50"/>
      <c r="Q1007" s="50" t="s">
        <v>1014</v>
      </c>
    </row>
    <row r="1008" customFormat="false" ht="15" hidden="false" customHeight="true" outlineLevel="0" collapsed="false">
      <c r="A1008" s="51" t="s">
        <v>1015</v>
      </c>
      <c r="B1008" s="50" t="str">
        <f aca="false">IFERROR(VLOOKUP($A1008,Equipos!$C$2:$M$967,2,FALSE()),"")</f>
        <v>Desfibrilador</v>
      </c>
      <c r="C1008" s="50" t="str">
        <f aca="false">IFERROR(VLOOKUP($A1008,Equipos!$C$2:$M$967,9,FALSE()),"")</f>
        <v>AF12B020983</v>
      </c>
      <c r="D1008" s="50" t="str">
        <f aca="false">IFERROR(VLOOKUP($A1008,Equipos!$C$2:$M$967,3,FALSE()),"")</f>
        <v>Urgencias Gineco-Obstétricas</v>
      </c>
      <c r="E1008" s="50" t="str">
        <f aca="false">IFERROR(VLOOKUP($A1008,Equipos!$C$2:$M$967,7,FALSE()),"")</f>
        <v>Zoll </v>
      </c>
      <c r="F1008" s="50" t="str">
        <f aca="false">IFERROR(VLOOKUP($A1008,Equipos!$C$2:$M$967,8,FALSE()),"")</f>
        <v>R SERIES ALS</v>
      </c>
      <c r="G1008" s="50" t="s">
        <v>1002</v>
      </c>
      <c r="H1008" s="50" t="s">
        <v>351</v>
      </c>
      <c r="I1008" s="50"/>
      <c r="J1008" s="50" t="s">
        <v>352</v>
      </c>
      <c r="K1008" s="50" t="str">
        <f aca="false">IFERROR(VLOOKUP($J1008,Catálogos!$M$4:$N$17,2,FALSE()),"")</f>
        <v>Mantención Preventiva Realizada</v>
      </c>
      <c r="L1008" s="52" t="n">
        <v>46156</v>
      </c>
      <c r="M1008" s="50" t="s">
        <v>353</v>
      </c>
      <c r="N1008" s="50" t="s">
        <v>63</v>
      </c>
      <c r="O1008" s="50"/>
      <c r="P1008" s="50"/>
      <c r="Q1008" s="50"/>
    </row>
    <row r="1009" customFormat="false" ht="15" hidden="false" customHeight="true" outlineLevel="0" collapsed="false">
      <c r="A1009" s="51" t="s">
        <v>202</v>
      </c>
      <c r="B1009" s="50" t="str">
        <f aca="false">IFERROR(VLOOKUP($A1009,Equipos!$C$2:$M$967,2,FALSE()),"")</f>
        <v>Máquina Diálisis</v>
      </c>
      <c r="C1009" s="50" t="str">
        <f aca="false">IFERROR(VLOOKUP($A1009,Equipos!$C$2:$M$967,9,FALSE()),"")</f>
        <v>3SXA4HCP</v>
      </c>
      <c r="D1009" s="50" t="str">
        <f aca="false">IFERROR(VLOOKUP($A1009,Equipos!$C$2:$M$967,3,FALSE()),"")</f>
        <v>UPC Adulto</v>
      </c>
      <c r="E1009" s="50" t="str">
        <f aca="false">IFERROR(VLOOKUP($A1009,Equipos!$C$2:$M$967,7,FALSE()),"")</f>
        <v>Fresenius</v>
      </c>
      <c r="F1009" s="50" t="str">
        <f aca="false">IFERROR(VLOOKUP($A1009,Equipos!$C$2:$M$967,8,FALSE()),"")</f>
        <v>4008S</v>
      </c>
      <c r="G1009" s="50" t="s">
        <v>1002</v>
      </c>
      <c r="H1009" s="50" t="s">
        <v>351</v>
      </c>
      <c r="I1009" s="50"/>
      <c r="J1009" s="50" t="s">
        <v>352</v>
      </c>
      <c r="K1009" s="50" t="str">
        <f aca="false">IFERROR(VLOOKUP($J1009,Catálogos!$M$4:$N$17,2,FALSE()),"")</f>
        <v>Mantención Preventiva Realizada</v>
      </c>
      <c r="L1009" s="52" t="n">
        <v>46156</v>
      </c>
      <c r="M1009" s="50" t="s">
        <v>353</v>
      </c>
      <c r="N1009" s="50" t="s">
        <v>64</v>
      </c>
      <c r="O1009" s="50"/>
      <c r="P1009" s="50"/>
      <c r="Q1009" s="50"/>
    </row>
    <row r="1010" customFormat="false" ht="15" hidden="false" customHeight="true" outlineLevel="0" collapsed="false">
      <c r="A1010" s="51" t="s">
        <v>882</v>
      </c>
      <c r="B1010" s="50" t="str">
        <f aca="false">IFERROR(VLOOKUP($A1010,Equipos!$C$2:$M$967,2,FALSE()),"")</f>
        <v>Desfibrilador</v>
      </c>
      <c r="C1010" s="50" t="str">
        <f aca="false">IFERROR(VLOOKUP($A1010,Equipos!$C$2:$M$967,9,FALSE()),"")</f>
        <v>298</v>
      </c>
      <c r="D1010" s="50" t="str">
        <f aca="false">IFERROR(VLOOKUP($A1010,Equipos!$C$2:$M$967,3,FALSE()),"")</f>
        <v>Urgencia Adulto</v>
      </c>
      <c r="E1010" s="50" t="str">
        <f aca="false">IFERROR(VLOOKUP($A1010,Equipos!$C$2:$M$967,7,FALSE()),"")</f>
        <v>Nihon Kohden</v>
      </c>
      <c r="F1010" s="50" t="str">
        <f aca="false">IFERROR(VLOOKUP($A1010,Equipos!$C$2:$M$967,8,FALSE()),"")</f>
        <v>EMS-1052E</v>
      </c>
      <c r="G1010" s="50" t="s">
        <v>1002</v>
      </c>
      <c r="H1010" s="50" t="s">
        <v>351</v>
      </c>
      <c r="I1010" s="50"/>
      <c r="J1010" s="50" t="s">
        <v>352</v>
      </c>
      <c r="K1010" s="50" t="str">
        <f aca="false">IFERROR(VLOOKUP($J1010,Catálogos!$M$4:$N$17,2,FALSE()),"")</f>
        <v>Mantención Preventiva Realizada</v>
      </c>
      <c r="L1010" s="52" t="n">
        <v>46157</v>
      </c>
      <c r="M1010" s="50" t="s">
        <v>353</v>
      </c>
      <c r="N1010" s="50" t="s">
        <v>162</v>
      </c>
      <c r="O1010" s="50"/>
      <c r="P1010" s="50"/>
      <c r="Q1010" s="50" t="s">
        <v>1016</v>
      </c>
    </row>
    <row r="1011" customFormat="false" ht="15" hidden="false" customHeight="true" outlineLevel="0" collapsed="false">
      <c r="A1011" s="51" t="s">
        <v>1017</v>
      </c>
      <c r="B1011" s="50" t="str">
        <f aca="false">IFERROR(VLOOKUP($A1011,Equipos!$C$2:$M$967,2,FALSE()),"")</f>
        <v>Desfibrilador</v>
      </c>
      <c r="C1011" s="50" t="str">
        <f aca="false">IFERROR(VLOOKUP($A1011,Equipos!$C$2:$M$967,9,FALSE()),"")</f>
        <v>2609</v>
      </c>
      <c r="D1011" s="50" t="str">
        <f aca="false">IFERROR(VLOOKUP($A1011,Equipos!$C$2:$M$967,3,FALSE()),"")</f>
        <v>Cardiología</v>
      </c>
      <c r="E1011" s="50" t="str">
        <f aca="false">IFERROR(VLOOKUP($A1011,Equipos!$C$2:$M$967,7,FALSE()),"")</f>
        <v>Nihon Kohden</v>
      </c>
      <c r="F1011" s="50" t="str">
        <f aca="false">IFERROR(VLOOKUP($A1011,Equipos!$C$2:$M$967,8,FALSE()),"")</f>
        <v>TEC 5531E</v>
      </c>
      <c r="G1011" s="50" t="s">
        <v>1002</v>
      </c>
      <c r="H1011" s="50" t="s">
        <v>351</v>
      </c>
      <c r="I1011" s="50"/>
      <c r="J1011" s="50" t="s">
        <v>352</v>
      </c>
      <c r="K1011" s="50" t="str">
        <f aca="false">IFERROR(VLOOKUP($J1011,Catálogos!$M$4:$N$17,2,FALSE()),"")</f>
        <v>Mantención Preventiva Realizada</v>
      </c>
      <c r="L1011" s="52" t="n">
        <v>46157</v>
      </c>
      <c r="M1011" s="50" t="s">
        <v>353</v>
      </c>
      <c r="N1011" s="50" t="s">
        <v>162</v>
      </c>
      <c r="O1011" s="50"/>
      <c r="P1011" s="50"/>
      <c r="Q1011" s="50" t="s">
        <v>1016</v>
      </c>
    </row>
    <row r="1012" customFormat="false" ht="15" hidden="false" customHeight="true" outlineLevel="0" collapsed="false">
      <c r="A1012" s="51" t="s">
        <v>686</v>
      </c>
      <c r="B1012" s="50" t="str">
        <f aca="false">IFERROR(VLOOKUP($A1012,Equipos!$C$2:$M$967,2,FALSE()),"")</f>
        <v>Incubadora</v>
      </c>
      <c r="C1012" s="50" t="str">
        <f aca="false">IFERROR(VLOOKUP($A1012,Equipos!$C$2:$M$967,9,FALSE()),"")</f>
        <v>ASHM-0118</v>
      </c>
      <c r="D1012" s="50" t="str">
        <f aca="false">IFERROR(VLOOKUP($A1012,Equipos!$C$2:$M$967,3,FALSE()),"")</f>
        <v>Neonatología</v>
      </c>
      <c r="E1012" s="50" t="str">
        <f aca="false">IFERROR(VLOOKUP($A1012,Equipos!$C$2:$M$967,7,FALSE()),"")</f>
        <v>DRAGER</v>
      </c>
      <c r="F1012" s="50" t="str">
        <f aca="false">IFERROR(VLOOKUP($A1012,Equipos!$C$2:$M$967,8,FALSE()),"")</f>
        <v>CALEO</v>
      </c>
      <c r="G1012" s="50" t="s">
        <v>1002</v>
      </c>
      <c r="H1012" s="50" t="s">
        <v>351</v>
      </c>
      <c r="I1012" s="50"/>
      <c r="J1012" s="50" t="s">
        <v>352</v>
      </c>
      <c r="K1012" s="50" t="str">
        <f aca="false">IFERROR(VLOOKUP($J1012,Catálogos!$M$4:$N$17,2,FALSE()),"")</f>
        <v>Mantención Preventiva Realizada</v>
      </c>
      <c r="L1012" s="52" t="n">
        <v>46157</v>
      </c>
      <c r="M1012" s="50" t="s">
        <v>353</v>
      </c>
      <c r="N1012" s="50" t="s">
        <v>162</v>
      </c>
      <c r="O1012" s="50"/>
      <c r="P1012" s="50"/>
      <c r="Q1012" s="50" t="s">
        <v>1018</v>
      </c>
    </row>
    <row r="1013" customFormat="false" ht="15" hidden="false" customHeight="true" outlineLevel="0" collapsed="false">
      <c r="A1013" s="51" t="s">
        <v>1019</v>
      </c>
      <c r="B1013" s="50" t="str">
        <f aca="false">IFERROR(VLOOKUP($A1013,Equipos!$C$2:$M$967,2,FALSE()),"")</f>
        <v>Máquina Diálisis</v>
      </c>
      <c r="C1013" s="50" t="str">
        <f aca="false">IFERROR(VLOOKUP($A1013,Equipos!$C$2:$M$967,9,FALSE()),"")</f>
        <v>3SXA4HC0</v>
      </c>
      <c r="D1013" s="50" t="str">
        <f aca="false">IFERROR(VLOOKUP($A1013,Equipos!$C$2:$M$967,3,FALSE()),"")</f>
        <v>Hemodiálisis</v>
      </c>
      <c r="E1013" s="50" t="str">
        <f aca="false">IFERROR(VLOOKUP($A1013,Equipos!$C$2:$M$967,7,FALSE()),"")</f>
        <v>Fresenius</v>
      </c>
      <c r="F1013" s="50" t="str">
        <f aca="false">IFERROR(VLOOKUP($A1013,Equipos!$C$2:$M$967,8,FALSE()),"")</f>
        <v>4008S</v>
      </c>
      <c r="G1013" s="50" t="s">
        <v>1002</v>
      </c>
      <c r="H1013" s="50" t="s">
        <v>360</v>
      </c>
      <c r="I1013" s="50"/>
      <c r="J1013" s="50" t="s">
        <v>352</v>
      </c>
      <c r="K1013" s="50" t="str">
        <f aca="false">IFERROR(VLOOKUP($J1013,Catálogos!$M$4:$N$17,2,FALSE()),"")</f>
        <v>Mantención Preventiva Realizada</v>
      </c>
      <c r="L1013" s="52" t="n">
        <v>46157</v>
      </c>
      <c r="M1013" s="50" t="s">
        <v>353</v>
      </c>
      <c r="N1013" s="50" t="s">
        <v>253</v>
      </c>
      <c r="O1013" s="50"/>
      <c r="P1013" s="50"/>
      <c r="Q1013" s="50" t="s">
        <v>362</v>
      </c>
    </row>
    <row r="1014" customFormat="false" ht="15" hidden="false" customHeight="true" outlineLevel="0" collapsed="false">
      <c r="A1014" s="51" t="s">
        <v>1020</v>
      </c>
      <c r="B1014" s="50" t="str">
        <f aca="false">IFERROR(VLOOKUP($A1014,Equipos!$C$2:$M$967,2,FALSE()),"")</f>
        <v>Máquina Diálisis</v>
      </c>
      <c r="C1014" s="50" t="str">
        <f aca="false">IFERROR(VLOOKUP($A1014,Equipos!$C$2:$M$967,9,FALSE()),"")</f>
        <v>3SXA4HC9</v>
      </c>
      <c r="D1014" s="50" t="str">
        <f aca="false">IFERROR(VLOOKUP($A1014,Equipos!$C$2:$M$967,3,FALSE()),"")</f>
        <v>Hemodiálisis</v>
      </c>
      <c r="E1014" s="50" t="str">
        <f aca="false">IFERROR(VLOOKUP($A1014,Equipos!$C$2:$M$967,7,FALSE()),"")</f>
        <v>Fresenius</v>
      </c>
      <c r="F1014" s="50" t="str">
        <f aca="false">IFERROR(VLOOKUP($A1014,Equipos!$C$2:$M$967,8,FALSE()),"")</f>
        <v>4008S</v>
      </c>
      <c r="G1014" s="50" t="s">
        <v>1002</v>
      </c>
      <c r="H1014" s="50" t="s">
        <v>360</v>
      </c>
      <c r="I1014" s="50"/>
      <c r="J1014" s="50" t="s">
        <v>352</v>
      </c>
      <c r="K1014" s="50" t="str">
        <f aca="false">IFERROR(VLOOKUP($J1014,Catálogos!$M$4:$N$17,2,FALSE()),"")</f>
        <v>Mantención Preventiva Realizada</v>
      </c>
      <c r="L1014" s="52" t="n">
        <v>46157</v>
      </c>
      <c r="M1014" s="50" t="s">
        <v>353</v>
      </c>
      <c r="N1014" s="50" t="s">
        <v>253</v>
      </c>
      <c r="O1014" s="50"/>
      <c r="P1014" s="50"/>
      <c r="Q1014" s="50" t="s">
        <v>362</v>
      </c>
    </row>
    <row r="1015" customFormat="false" ht="15" hidden="false" customHeight="true" outlineLevel="0" collapsed="false">
      <c r="A1015" s="51" t="s">
        <v>1021</v>
      </c>
      <c r="B1015" s="50" t="str">
        <f aca="false">IFERROR(VLOOKUP($A1015,Equipos!$C$2:$M$967,2,FALSE()),"")</f>
        <v>Máquina Diálisis</v>
      </c>
      <c r="C1015" s="50" t="str">
        <f aca="false">IFERROR(VLOOKUP($A1015,Equipos!$C$2:$M$967,9,FALSE()),"")</f>
        <v>3SXA4HCJ</v>
      </c>
      <c r="D1015" s="50" t="str">
        <f aca="false">IFERROR(VLOOKUP($A1015,Equipos!$C$2:$M$967,3,FALSE()),"")</f>
        <v>Hemodiálisis</v>
      </c>
      <c r="E1015" s="50" t="str">
        <f aca="false">IFERROR(VLOOKUP($A1015,Equipos!$C$2:$M$967,7,FALSE()),"")</f>
        <v>Fresenius</v>
      </c>
      <c r="F1015" s="50" t="str">
        <f aca="false">IFERROR(VLOOKUP($A1015,Equipos!$C$2:$M$967,8,FALSE()),"")</f>
        <v>4008S</v>
      </c>
      <c r="G1015" s="50" t="s">
        <v>1002</v>
      </c>
      <c r="H1015" s="50" t="s">
        <v>360</v>
      </c>
      <c r="I1015" s="50"/>
      <c r="J1015" s="50" t="s">
        <v>352</v>
      </c>
      <c r="K1015" s="50" t="str">
        <f aca="false">IFERROR(VLOOKUP($J1015,Catálogos!$M$4:$N$17,2,FALSE()),"")</f>
        <v>Mantención Preventiva Realizada</v>
      </c>
      <c r="L1015" s="52" t="n">
        <v>46157</v>
      </c>
      <c r="M1015" s="50" t="s">
        <v>353</v>
      </c>
      <c r="N1015" s="50" t="s">
        <v>253</v>
      </c>
      <c r="O1015" s="50"/>
      <c r="P1015" s="50"/>
      <c r="Q1015" s="50" t="s">
        <v>362</v>
      </c>
    </row>
    <row r="1016" customFormat="false" ht="15" hidden="false" customHeight="true" outlineLevel="0" collapsed="false">
      <c r="A1016" s="51" t="s">
        <v>1022</v>
      </c>
      <c r="B1016" s="50" t="str">
        <f aca="false">IFERROR(VLOOKUP($A1016,Equipos!$C$2:$M$967,2,FALSE()),"")</f>
        <v>Máquina Diálisis</v>
      </c>
      <c r="C1016" s="50" t="str">
        <f aca="false">IFERROR(VLOOKUP($A1016,Equipos!$C$2:$M$967,9,FALSE()),"")</f>
        <v>3SXA4HD1</v>
      </c>
      <c r="D1016" s="50" t="str">
        <f aca="false">IFERROR(VLOOKUP($A1016,Equipos!$C$2:$M$967,3,FALSE()),"")</f>
        <v>Hemodiálisis</v>
      </c>
      <c r="E1016" s="50" t="str">
        <f aca="false">IFERROR(VLOOKUP($A1016,Equipos!$C$2:$M$967,7,FALSE()),"")</f>
        <v>Fresenius</v>
      </c>
      <c r="F1016" s="50" t="str">
        <f aca="false">IFERROR(VLOOKUP($A1016,Equipos!$C$2:$M$967,8,FALSE()),"")</f>
        <v>4008S</v>
      </c>
      <c r="G1016" s="50" t="s">
        <v>1002</v>
      </c>
      <c r="H1016" s="50" t="s">
        <v>360</v>
      </c>
      <c r="I1016" s="50"/>
      <c r="J1016" s="50" t="s">
        <v>352</v>
      </c>
      <c r="K1016" s="50" t="str">
        <f aca="false">IFERROR(VLOOKUP($J1016,Catálogos!$M$4:$N$17,2,FALSE()),"")</f>
        <v>Mantención Preventiva Realizada</v>
      </c>
      <c r="L1016" s="52" t="n">
        <v>46157</v>
      </c>
      <c r="M1016" s="50" t="s">
        <v>353</v>
      </c>
      <c r="N1016" s="50" t="s">
        <v>253</v>
      </c>
      <c r="O1016" s="50"/>
      <c r="P1016" s="50"/>
      <c r="Q1016" s="50" t="s">
        <v>362</v>
      </c>
    </row>
    <row r="1017" customFormat="false" ht="15" hidden="false" customHeight="true" outlineLevel="0" collapsed="false">
      <c r="A1017" s="51" t="s">
        <v>1023</v>
      </c>
      <c r="B1017" s="50" t="str">
        <f aca="false">IFERROR(VLOOKUP($A1017,Equipos!$C$2:$M$967,2,FALSE()),"")</f>
        <v>Máquina Diálisis</v>
      </c>
      <c r="C1017" s="50" t="str">
        <f aca="false">IFERROR(VLOOKUP($A1017,Equipos!$C$2:$M$967,9,FALSE()),"")</f>
        <v>3SXA4HD0</v>
      </c>
      <c r="D1017" s="50" t="str">
        <f aca="false">IFERROR(VLOOKUP($A1017,Equipos!$C$2:$M$967,3,FALSE()),"")</f>
        <v>Hemodiálisis</v>
      </c>
      <c r="E1017" s="50" t="str">
        <f aca="false">IFERROR(VLOOKUP($A1017,Equipos!$C$2:$M$967,7,FALSE()),"")</f>
        <v>Fresenius</v>
      </c>
      <c r="F1017" s="50" t="str">
        <f aca="false">IFERROR(VLOOKUP($A1017,Equipos!$C$2:$M$967,8,FALSE()),"")</f>
        <v>4008S</v>
      </c>
      <c r="G1017" s="50" t="s">
        <v>1002</v>
      </c>
      <c r="H1017" s="50" t="s">
        <v>360</v>
      </c>
      <c r="I1017" s="50"/>
      <c r="J1017" s="50" t="s">
        <v>352</v>
      </c>
      <c r="K1017" s="50" t="str">
        <f aca="false">IFERROR(VLOOKUP($J1017,Catálogos!$M$4:$N$17,2,FALSE()),"")</f>
        <v>Mantención Preventiva Realizada</v>
      </c>
      <c r="L1017" s="52" t="n">
        <v>46157</v>
      </c>
      <c r="M1017" s="50" t="s">
        <v>353</v>
      </c>
      <c r="N1017" s="50" t="s">
        <v>253</v>
      </c>
      <c r="O1017" s="50"/>
      <c r="P1017" s="50"/>
      <c r="Q1017" s="50" t="s">
        <v>362</v>
      </c>
    </row>
    <row r="1018" customFormat="false" ht="15" hidden="false" customHeight="true" outlineLevel="0" collapsed="false">
      <c r="A1018" s="51" t="s">
        <v>1024</v>
      </c>
      <c r="B1018" s="50" t="str">
        <f aca="false">IFERROR(VLOOKUP($A1018,Equipos!$C$2:$M$967,2,FALSE()),"")</f>
        <v>Máquina Diálisis</v>
      </c>
      <c r="C1018" s="50" t="str">
        <f aca="false">IFERROR(VLOOKUP($A1018,Equipos!$C$2:$M$967,9,FALSE()),"")</f>
        <v>3SXA4HC2</v>
      </c>
      <c r="D1018" s="50" t="str">
        <f aca="false">IFERROR(VLOOKUP($A1018,Equipos!$C$2:$M$967,3,FALSE()),"")</f>
        <v>Hemodiálisis</v>
      </c>
      <c r="E1018" s="50" t="str">
        <f aca="false">IFERROR(VLOOKUP($A1018,Equipos!$C$2:$M$967,7,FALSE()),"")</f>
        <v>Fresenius</v>
      </c>
      <c r="F1018" s="50" t="str">
        <f aca="false">IFERROR(VLOOKUP($A1018,Equipos!$C$2:$M$967,8,FALSE()),"")</f>
        <v>4008S</v>
      </c>
      <c r="G1018" s="50" t="s">
        <v>1002</v>
      </c>
      <c r="H1018" s="50" t="s">
        <v>360</v>
      </c>
      <c r="I1018" s="50"/>
      <c r="J1018" s="50" t="s">
        <v>352</v>
      </c>
      <c r="K1018" s="50" t="str">
        <f aca="false">IFERROR(VLOOKUP($J1018,Catálogos!$M$4:$N$17,2,FALSE()),"")</f>
        <v>Mantención Preventiva Realizada</v>
      </c>
      <c r="L1018" s="52" t="n">
        <v>46157</v>
      </c>
      <c r="M1018" s="50" t="s">
        <v>353</v>
      </c>
      <c r="N1018" s="50" t="s">
        <v>253</v>
      </c>
      <c r="O1018" s="50"/>
      <c r="P1018" s="50"/>
      <c r="Q1018" s="50" t="s">
        <v>362</v>
      </c>
    </row>
    <row r="1019" customFormat="false" ht="15" hidden="false" customHeight="true" outlineLevel="0" collapsed="false">
      <c r="A1019" s="51" t="s">
        <v>1025</v>
      </c>
      <c r="B1019" s="50" t="str">
        <f aca="false">IFERROR(VLOOKUP($A1019,Equipos!$C$2:$M$967,2,FALSE()),"")</f>
        <v>Máquina Diálisis</v>
      </c>
      <c r="C1019" s="50" t="str">
        <f aca="false">IFERROR(VLOOKUP($A1019,Equipos!$C$2:$M$967,9,FALSE()),"")</f>
        <v>OV5APR17</v>
      </c>
      <c r="D1019" s="50" t="str">
        <f aca="false">IFERROR(VLOOKUP($A1019,Equipos!$C$2:$M$967,3,FALSE()),"")</f>
        <v>Hemodiálisis</v>
      </c>
      <c r="E1019" s="50" t="str">
        <f aca="false">IFERROR(VLOOKUP($A1019,Equipos!$C$2:$M$967,7,FALSE()),"")</f>
        <v>Fresenius</v>
      </c>
      <c r="F1019" s="50" t="str">
        <f aca="false">IFERROR(VLOOKUP($A1019,Equipos!$C$2:$M$967,8,FALSE()),"")</f>
        <v>4008B</v>
      </c>
      <c r="G1019" s="50" t="s">
        <v>1002</v>
      </c>
      <c r="H1019" s="50" t="s">
        <v>360</v>
      </c>
      <c r="I1019" s="50"/>
      <c r="J1019" s="50" t="s">
        <v>352</v>
      </c>
      <c r="K1019" s="50" t="str">
        <f aca="false">IFERROR(VLOOKUP($J1019,Catálogos!$M$4:$N$17,2,FALSE()),"")</f>
        <v>Mantención Preventiva Realizada</v>
      </c>
      <c r="L1019" s="52" t="n">
        <v>46157</v>
      </c>
      <c r="M1019" s="50" t="s">
        <v>353</v>
      </c>
      <c r="N1019" s="50" t="s">
        <v>253</v>
      </c>
      <c r="O1019" s="50"/>
      <c r="P1019" s="50"/>
      <c r="Q1019" s="50" t="s">
        <v>362</v>
      </c>
    </row>
    <row r="1020" customFormat="false" ht="15" hidden="false" customHeight="true" outlineLevel="0" collapsed="false">
      <c r="A1020" s="51" t="s">
        <v>1026</v>
      </c>
      <c r="B1020" s="50" t="str">
        <f aca="false">IFERROR(VLOOKUP($A1020,Equipos!$C$2:$M$967,2,FALSE()),"")</f>
        <v>Oxímetro</v>
      </c>
      <c r="C1020" s="50" t="str">
        <f aca="false">IFERROR(VLOOKUP($A1020,Equipos!$C$2:$M$967,9,FALSE()),"")</f>
        <v>(21)18G10312X</v>
      </c>
      <c r="D1020" s="50" t="str">
        <f aca="false">IFERROR(VLOOKUP($A1020,Equipos!$C$2:$M$967,3,FALSE()),"")</f>
        <v>Neonatología</v>
      </c>
      <c r="E1020" s="50" t="str">
        <f aca="false">IFERROR(VLOOKUP($A1020,Equipos!$C$2:$M$967,7,FALSE()),"")</f>
        <v>SOMANETICS</v>
      </c>
      <c r="F1020" s="50" t="str">
        <f aca="false">IFERROR(VLOOKUP($A1020,Equipos!$C$2:$M$967,8,FALSE()),"")</f>
        <v>5100C</v>
      </c>
      <c r="G1020" s="50" t="s">
        <v>1002</v>
      </c>
      <c r="H1020" s="50" t="s">
        <v>360</v>
      </c>
      <c r="I1020" s="50"/>
      <c r="J1020" s="50" t="s">
        <v>352</v>
      </c>
      <c r="K1020" s="50" t="str">
        <f aca="false">IFERROR(VLOOKUP($J1020,Catálogos!$M$4:$N$17,2,FALSE()),"")</f>
        <v>Mantención Preventiva Realizada</v>
      </c>
      <c r="L1020" s="52" t="n">
        <v>46157</v>
      </c>
      <c r="M1020" s="50" t="s">
        <v>353</v>
      </c>
      <c r="N1020" s="50" t="s">
        <v>253</v>
      </c>
      <c r="O1020" s="50"/>
      <c r="P1020" s="50"/>
      <c r="Q1020" s="50" t="s">
        <v>362</v>
      </c>
    </row>
    <row r="1021" customFormat="false" ht="15" hidden="false" customHeight="true" outlineLevel="0" collapsed="false">
      <c r="A1021" s="51" t="s">
        <v>1027</v>
      </c>
      <c r="B1021" s="50" t="str">
        <f aca="false">IFERROR(VLOOKUP($A1021,Equipos!$C$2:$M$967,2,FALSE()),"")</f>
        <v>Oxímetro</v>
      </c>
      <c r="C1021" s="50" t="str">
        <f aca="false">IFERROR(VLOOKUP($A1021,Equipos!$C$2:$M$967,9,FALSE()),"")</f>
        <v>(21)17G11325X</v>
      </c>
      <c r="D1021" s="50" t="str">
        <f aca="false">IFERROR(VLOOKUP($A1021,Equipos!$C$2:$M$967,3,FALSE()),"")</f>
        <v>Neonatología</v>
      </c>
      <c r="E1021" s="50" t="str">
        <f aca="false">IFERROR(VLOOKUP($A1021,Equipos!$C$2:$M$967,7,FALSE()),"")</f>
        <v>SOMANETICS</v>
      </c>
      <c r="F1021" s="50" t="str">
        <f aca="false">IFERROR(VLOOKUP($A1021,Equipos!$C$2:$M$967,8,FALSE()),"")</f>
        <v>5100C</v>
      </c>
      <c r="G1021" s="50" t="s">
        <v>1002</v>
      </c>
      <c r="H1021" s="50" t="s">
        <v>360</v>
      </c>
      <c r="I1021" s="50"/>
      <c r="J1021" s="50" t="s">
        <v>352</v>
      </c>
      <c r="K1021" s="50" t="str">
        <f aca="false">IFERROR(VLOOKUP($J1021,Catálogos!$M$4:$N$17,2,FALSE()),"")</f>
        <v>Mantención Preventiva Realizada</v>
      </c>
      <c r="L1021" s="52" t="n">
        <v>46157</v>
      </c>
      <c r="M1021" s="50" t="s">
        <v>353</v>
      </c>
      <c r="N1021" s="50" t="s">
        <v>253</v>
      </c>
      <c r="O1021" s="50"/>
      <c r="P1021" s="50"/>
      <c r="Q1021" s="50" t="s">
        <v>362</v>
      </c>
    </row>
    <row r="1022" customFormat="false" ht="15" hidden="false" customHeight="true" outlineLevel="0" collapsed="false">
      <c r="A1022" s="51" t="s">
        <v>68</v>
      </c>
      <c r="B1022" s="50" t="str">
        <f aca="false">IFERROR(VLOOKUP($A1022,Equipos!$C$2:$M$967,2,FALSE()),"")</f>
        <v>DEA</v>
      </c>
      <c r="C1022" s="50" t="str">
        <f aca="false">IFERROR(VLOOKUP($A1022,Equipos!$C$2:$M$967,9,FALSE()),"")</f>
        <v>122002985</v>
      </c>
      <c r="D1022" s="50" t="str">
        <f aca="false">IFERROR(VLOOKUP($A1022,Equipos!$C$2:$M$967,3,FALSE()),"")</f>
        <v>Prevención de Riesgos</v>
      </c>
      <c r="E1022" s="50" t="str">
        <f aca="false">IFERROR(VLOOKUP($A1022,Equipos!$C$2:$M$967,7,FALSE()),"")</f>
        <v>DEFIBTECH</v>
      </c>
      <c r="F1022" s="50" t="str">
        <f aca="false">IFERROR(VLOOKUP($A1022,Equipos!$C$2:$M$967,8,FALSE()),"")</f>
        <v>LIFE LINE </v>
      </c>
      <c r="G1022" s="50" t="s">
        <v>1002</v>
      </c>
      <c r="H1022" s="50" t="s">
        <v>360</v>
      </c>
      <c r="I1022" s="50"/>
      <c r="J1022" s="50" t="s">
        <v>352</v>
      </c>
      <c r="K1022" s="50" t="str">
        <f aca="false">IFERROR(VLOOKUP($J1022,Catálogos!$M$4:$N$17,2,FALSE()),"")</f>
        <v>Mantención Preventiva Realizada</v>
      </c>
      <c r="L1022" s="52" t="n">
        <v>46157</v>
      </c>
      <c r="M1022" s="50" t="s">
        <v>353</v>
      </c>
      <c r="N1022" s="50" t="s">
        <v>253</v>
      </c>
      <c r="O1022" s="50"/>
      <c r="P1022" s="50"/>
      <c r="Q1022" s="50" t="s">
        <v>362</v>
      </c>
    </row>
    <row r="1023" customFormat="false" ht="15" hidden="false" customHeight="true" outlineLevel="0" collapsed="false">
      <c r="A1023" s="51" t="s">
        <v>105</v>
      </c>
      <c r="B1023" s="50" t="str">
        <f aca="false">IFERROR(VLOOKUP($A1023,Equipos!$C$2:$M$967,2,FALSE()),"")</f>
        <v>DEA</v>
      </c>
      <c r="C1023" s="50" t="str">
        <f aca="false">IFERROR(VLOOKUP($A1023,Equipos!$C$2:$M$967,9,FALSE()),"")</f>
        <v>122002988</v>
      </c>
      <c r="D1023" s="50" t="str">
        <f aca="false">IFERROR(VLOOKUP($A1023,Equipos!$C$2:$M$967,3,FALSE()),"")</f>
        <v>Prevención de Riesgos</v>
      </c>
      <c r="E1023" s="50" t="str">
        <f aca="false">IFERROR(VLOOKUP($A1023,Equipos!$C$2:$M$967,7,FALSE()),"")</f>
        <v>DEFIBTECH</v>
      </c>
      <c r="F1023" s="50" t="str">
        <f aca="false">IFERROR(VLOOKUP($A1023,Equipos!$C$2:$M$967,8,FALSE()),"")</f>
        <v>LIFE LINE </v>
      </c>
      <c r="G1023" s="50" t="s">
        <v>1002</v>
      </c>
      <c r="H1023" s="50" t="s">
        <v>360</v>
      </c>
      <c r="I1023" s="50"/>
      <c r="J1023" s="50" t="s">
        <v>352</v>
      </c>
      <c r="K1023" s="50" t="str">
        <f aca="false">IFERROR(VLOOKUP($J1023,Catálogos!$M$4:$N$17,2,FALSE()),"")</f>
        <v>Mantención Preventiva Realizada</v>
      </c>
      <c r="L1023" s="52" t="n">
        <v>46157</v>
      </c>
      <c r="M1023" s="50" t="s">
        <v>353</v>
      </c>
      <c r="N1023" s="50" t="s">
        <v>253</v>
      </c>
      <c r="O1023" s="50"/>
      <c r="P1023" s="50"/>
      <c r="Q1023" s="50" t="s">
        <v>362</v>
      </c>
    </row>
    <row r="1024" customFormat="false" ht="15" hidden="false" customHeight="true" outlineLevel="0" collapsed="false">
      <c r="A1024" s="51" t="s">
        <v>207</v>
      </c>
      <c r="B1024" s="50" t="str">
        <f aca="false">IFERROR(VLOOKUP($A1024,Equipos!$C$2:$M$967,2,FALSE()),"")</f>
        <v>DEA</v>
      </c>
      <c r="C1024" s="50" t="str">
        <f aca="false">IFERROR(VLOOKUP($A1024,Equipos!$C$2:$M$967,9,FALSE()),"")</f>
        <v>122002983</v>
      </c>
      <c r="D1024" s="50" t="str">
        <f aca="false">IFERROR(VLOOKUP($A1024,Equipos!$C$2:$M$967,3,FALSE()),"")</f>
        <v>Prevención de Riesgos</v>
      </c>
      <c r="E1024" s="50" t="str">
        <f aca="false">IFERROR(VLOOKUP($A1024,Equipos!$C$2:$M$967,7,FALSE()),"")</f>
        <v>DEFIBTECH</v>
      </c>
      <c r="F1024" s="50" t="str">
        <f aca="false">IFERROR(VLOOKUP($A1024,Equipos!$C$2:$M$967,8,FALSE()),"")</f>
        <v>LIFE LINE </v>
      </c>
      <c r="G1024" s="50" t="s">
        <v>1002</v>
      </c>
      <c r="H1024" s="50" t="s">
        <v>360</v>
      </c>
      <c r="I1024" s="50"/>
      <c r="J1024" s="50" t="s">
        <v>352</v>
      </c>
      <c r="K1024" s="50" t="str">
        <f aca="false">IFERROR(VLOOKUP($J1024,Catálogos!$M$4:$N$17,2,FALSE()),"")</f>
        <v>Mantención Preventiva Realizada</v>
      </c>
      <c r="L1024" s="52" t="n">
        <v>46157</v>
      </c>
      <c r="M1024" s="50" t="s">
        <v>353</v>
      </c>
      <c r="N1024" s="50" t="s">
        <v>253</v>
      </c>
      <c r="O1024" s="50"/>
      <c r="P1024" s="50"/>
      <c r="Q1024" s="50" t="s">
        <v>362</v>
      </c>
    </row>
    <row r="1025" customFormat="false" ht="15" hidden="false" customHeight="true" outlineLevel="0" collapsed="false">
      <c r="A1025" s="51" t="s">
        <v>102</v>
      </c>
      <c r="B1025" s="50" t="str">
        <f aca="false">IFERROR(VLOOKUP($A1025,Equipos!$C$2:$M$967,2,FALSE()),"")</f>
        <v>DEA</v>
      </c>
      <c r="C1025" s="50" t="str">
        <f aca="false">IFERROR(VLOOKUP($A1025,Equipos!$C$2:$M$967,9,FALSE()),"")</f>
        <v>122002981</v>
      </c>
      <c r="D1025" s="50" t="str">
        <f aca="false">IFERROR(VLOOKUP($A1025,Equipos!$C$2:$M$967,3,FALSE()),"")</f>
        <v>Prevención de Riesgos</v>
      </c>
      <c r="E1025" s="50" t="str">
        <f aca="false">IFERROR(VLOOKUP($A1025,Equipos!$C$2:$M$967,7,FALSE()),"")</f>
        <v>DEFIBTECH</v>
      </c>
      <c r="F1025" s="50" t="str">
        <f aca="false">IFERROR(VLOOKUP($A1025,Equipos!$C$2:$M$967,8,FALSE()),"")</f>
        <v>LIFE LINE </v>
      </c>
      <c r="G1025" s="50" t="s">
        <v>1002</v>
      </c>
      <c r="H1025" s="50" t="s">
        <v>360</v>
      </c>
      <c r="I1025" s="50"/>
      <c r="J1025" s="50" t="s">
        <v>352</v>
      </c>
      <c r="K1025" s="50" t="str">
        <f aca="false">IFERROR(VLOOKUP($J1025,Catálogos!$M$4:$N$17,2,FALSE()),"")</f>
        <v>Mantención Preventiva Realizada</v>
      </c>
      <c r="L1025" s="52" t="n">
        <v>46157</v>
      </c>
      <c r="M1025" s="50" t="s">
        <v>353</v>
      </c>
      <c r="N1025" s="50" t="s">
        <v>253</v>
      </c>
      <c r="O1025" s="50"/>
      <c r="P1025" s="50"/>
      <c r="Q1025" s="50" t="s">
        <v>362</v>
      </c>
    </row>
    <row r="1026" customFormat="false" ht="15" hidden="false" customHeight="true" outlineLevel="0" collapsed="false">
      <c r="A1026" s="51" t="s">
        <v>99</v>
      </c>
      <c r="B1026" s="50" t="str">
        <f aca="false">IFERROR(VLOOKUP($A1026,Equipos!$C$2:$M$967,2,FALSE()),"")</f>
        <v>DEA</v>
      </c>
      <c r="C1026" s="50" t="str">
        <f aca="false">IFERROR(VLOOKUP($A1026,Equipos!$C$2:$M$967,9,FALSE()),"")</f>
        <v>122003000</v>
      </c>
      <c r="D1026" s="50" t="str">
        <f aca="false">IFERROR(VLOOKUP($A1026,Equipos!$C$2:$M$967,3,FALSE()),"")</f>
        <v>Prevención de Riesgos (Urgencia Adulto)</v>
      </c>
      <c r="E1026" s="50" t="str">
        <f aca="false">IFERROR(VLOOKUP($A1026,Equipos!$C$2:$M$967,7,FALSE()),"")</f>
        <v>DEFIBTECH</v>
      </c>
      <c r="F1026" s="50" t="str">
        <f aca="false">IFERROR(VLOOKUP($A1026,Equipos!$C$2:$M$967,8,FALSE()),"")</f>
        <v>LIFE LINE </v>
      </c>
      <c r="G1026" s="50" t="s">
        <v>1002</v>
      </c>
      <c r="H1026" s="50" t="s">
        <v>360</v>
      </c>
      <c r="I1026" s="50"/>
      <c r="J1026" s="50" t="s">
        <v>352</v>
      </c>
      <c r="K1026" s="50" t="str">
        <f aca="false">IFERROR(VLOOKUP($J1026,Catálogos!$M$4:$N$17,2,FALSE()),"")</f>
        <v>Mantención Preventiva Realizada</v>
      </c>
      <c r="L1026" s="52" t="n">
        <v>46157</v>
      </c>
      <c r="M1026" s="50" t="s">
        <v>353</v>
      </c>
      <c r="N1026" s="50" t="s">
        <v>253</v>
      </c>
      <c r="O1026" s="50"/>
      <c r="P1026" s="50"/>
      <c r="Q1026" s="50" t="s">
        <v>362</v>
      </c>
    </row>
    <row r="1027" customFormat="false" ht="15" hidden="false" customHeight="true" outlineLevel="0" collapsed="false">
      <c r="A1027" s="51" t="s">
        <v>95</v>
      </c>
      <c r="B1027" s="50" t="str">
        <f aca="false">IFERROR(VLOOKUP($A1027,Equipos!$C$2:$M$967,2,FALSE()),"")</f>
        <v>DEA</v>
      </c>
      <c r="C1027" s="50" t="str">
        <f aca="false">IFERROR(VLOOKUP($A1027,Equipos!$C$2:$M$967,9,FALSE()),"")</f>
        <v>122002995</v>
      </c>
      <c r="D1027" s="50" t="str">
        <f aca="false">IFERROR(VLOOKUP($A1027,Equipos!$C$2:$M$967,3,FALSE()),"")</f>
        <v>Prevención de Riesgos</v>
      </c>
      <c r="E1027" s="50" t="str">
        <f aca="false">IFERROR(VLOOKUP($A1027,Equipos!$C$2:$M$967,7,FALSE()),"")</f>
        <v>DEFIBTECH</v>
      </c>
      <c r="F1027" s="50" t="str">
        <f aca="false">IFERROR(VLOOKUP($A1027,Equipos!$C$2:$M$967,8,FALSE()),"")</f>
        <v>LIFE LINE </v>
      </c>
      <c r="G1027" s="50" t="s">
        <v>1002</v>
      </c>
      <c r="H1027" s="50" t="s">
        <v>360</v>
      </c>
      <c r="I1027" s="50"/>
      <c r="J1027" s="50" t="s">
        <v>352</v>
      </c>
      <c r="K1027" s="50" t="str">
        <f aca="false">IFERROR(VLOOKUP($J1027,Catálogos!$M$4:$N$17,2,FALSE()),"")</f>
        <v>Mantención Preventiva Realizada</v>
      </c>
      <c r="L1027" s="52" t="n">
        <v>46157</v>
      </c>
      <c r="M1027" s="50" t="s">
        <v>353</v>
      </c>
      <c r="N1027" s="50" t="s">
        <v>253</v>
      </c>
      <c r="O1027" s="50"/>
      <c r="P1027" s="50"/>
      <c r="Q1027" s="50" t="s">
        <v>362</v>
      </c>
    </row>
    <row r="1028" customFormat="false" ht="15" hidden="false" customHeight="true" outlineLevel="0" collapsed="false">
      <c r="A1028" s="51" t="s">
        <v>92</v>
      </c>
      <c r="B1028" s="50" t="str">
        <f aca="false">IFERROR(VLOOKUP($A1028,Equipos!$C$2:$M$967,2,FALSE()),"")</f>
        <v>DEA</v>
      </c>
      <c r="C1028" s="50" t="str">
        <f aca="false">IFERROR(VLOOKUP($A1028,Equipos!$C$2:$M$967,9,FALSE()),"")</f>
        <v>122003001</v>
      </c>
      <c r="D1028" s="50" t="str">
        <f aca="false">IFERROR(VLOOKUP($A1028,Equipos!$C$2:$M$967,3,FALSE()),"")</f>
        <v>Prevención de Riesgos</v>
      </c>
      <c r="E1028" s="50" t="str">
        <f aca="false">IFERROR(VLOOKUP($A1028,Equipos!$C$2:$M$967,7,FALSE()),"")</f>
        <v>DEFIBTECH</v>
      </c>
      <c r="F1028" s="50" t="str">
        <f aca="false">IFERROR(VLOOKUP($A1028,Equipos!$C$2:$M$967,8,FALSE()),"")</f>
        <v>LIFE LINE </v>
      </c>
      <c r="G1028" s="50" t="s">
        <v>1002</v>
      </c>
      <c r="H1028" s="50" t="s">
        <v>360</v>
      </c>
      <c r="I1028" s="50"/>
      <c r="J1028" s="50" t="s">
        <v>352</v>
      </c>
      <c r="K1028" s="50" t="str">
        <f aca="false">IFERROR(VLOOKUP($J1028,Catálogos!$M$4:$N$17,2,FALSE()),"")</f>
        <v>Mantención Preventiva Realizada</v>
      </c>
      <c r="L1028" s="52" t="n">
        <v>46157</v>
      </c>
      <c r="M1028" s="50" t="s">
        <v>353</v>
      </c>
      <c r="N1028" s="50" t="s">
        <v>253</v>
      </c>
      <c r="O1028" s="50"/>
      <c r="P1028" s="50"/>
      <c r="Q1028" s="50" t="s">
        <v>362</v>
      </c>
    </row>
    <row r="1029" customFormat="false" ht="15" hidden="false" customHeight="true" outlineLevel="0" collapsed="false">
      <c r="A1029" s="51" t="s">
        <v>83</v>
      </c>
      <c r="B1029" s="50" t="str">
        <f aca="false">IFERROR(VLOOKUP($A1029,Equipos!$C$2:$M$967,2,FALSE()),"")</f>
        <v>DEA</v>
      </c>
      <c r="C1029" s="50" t="str">
        <f aca="false">IFERROR(VLOOKUP($A1029,Equipos!$C$2:$M$967,9,FALSE()),"")</f>
        <v>122002994</v>
      </c>
      <c r="D1029" s="50" t="str">
        <f aca="false">IFERROR(VLOOKUP($A1029,Equipos!$C$2:$M$967,3,FALSE()),"")</f>
        <v>Prevención de Riesgos</v>
      </c>
      <c r="E1029" s="50" t="str">
        <f aca="false">IFERROR(VLOOKUP($A1029,Equipos!$C$2:$M$967,7,FALSE()),"")</f>
        <v>DEFIBTECH</v>
      </c>
      <c r="F1029" s="50" t="str">
        <f aca="false">IFERROR(VLOOKUP($A1029,Equipos!$C$2:$M$967,8,FALSE()),"")</f>
        <v>LIFE LINE </v>
      </c>
      <c r="G1029" s="50" t="s">
        <v>1002</v>
      </c>
      <c r="H1029" s="50" t="s">
        <v>360</v>
      </c>
      <c r="I1029" s="50"/>
      <c r="J1029" s="50" t="s">
        <v>352</v>
      </c>
      <c r="K1029" s="50" t="str">
        <f aca="false">IFERROR(VLOOKUP($J1029,Catálogos!$M$4:$N$17,2,FALSE()),"")</f>
        <v>Mantención Preventiva Realizada</v>
      </c>
      <c r="L1029" s="52" t="n">
        <v>46157</v>
      </c>
      <c r="M1029" s="50" t="s">
        <v>353</v>
      </c>
      <c r="N1029" s="50" t="s">
        <v>253</v>
      </c>
      <c r="O1029" s="50"/>
      <c r="P1029" s="50"/>
      <c r="Q1029" s="50" t="s">
        <v>362</v>
      </c>
    </row>
    <row r="1030" customFormat="false" ht="15" hidden="false" customHeight="true" outlineLevel="0" collapsed="false">
      <c r="A1030" s="51" t="s">
        <v>86</v>
      </c>
      <c r="B1030" s="50" t="str">
        <f aca="false">IFERROR(VLOOKUP($A1030,Equipos!$C$2:$M$967,2,FALSE()),"")</f>
        <v>DEA</v>
      </c>
      <c r="C1030" s="50" t="str">
        <f aca="false">IFERROR(VLOOKUP($A1030,Equipos!$C$2:$M$967,9,FALSE()),"")</f>
        <v>AE7-24048210</v>
      </c>
      <c r="D1030" s="50" t="str">
        <f aca="false">IFERROR(VLOOKUP($A1030,Equipos!$C$2:$M$967,3,FALSE()),"")</f>
        <v>Gestión de Pacientes</v>
      </c>
      <c r="E1030" s="50" t="str">
        <f aca="false">IFERROR(VLOOKUP($A1030,Equipos!$C$2:$M$967,7,FALSE()),"")</f>
        <v>Mindray</v>
      </c>
      <c r="F1030" s="50" t="str">
        <f aca="false">IFERROR(VLOOKUP($A1030,Equipos!$C$2:$M$967,8,FALSE()),"")</f>
        <v>BeneHeart C2</v>
      </c>
      <c r="G1030" s="50" t="s">
        <v>1002</v>
      </c>
      <c r="H1030" s="50" t="s">
        <v>360</v>
      </c>
      <c r="I1030" s="50"/>
      <c r="J1030" s="50" t="s">
        <v>352</v>
      </c>
      <c r="K1030" s="50" t="str">
        <f aca="false">IFERROR(VLOOKUP($J1030,Catálogos!$M$4:$N$17,2,FALSE()),"")</f>
        <v>Mantención Preventiva Realizada</v>
      </c>
      <c r="L1030" s="52" t="n">
        <v>46157</v>
      </c>
      <c r="M1030" s="50" t="s">
        <v>353</v>
      </c>
      <c r="N1030" s="50" t="s">
        <v>253</v>
      </c>
      <c r="O1030" s="50"/>
      <c r="P1030" s="50"/>
      <c r="Q1030" s="50" t="s">
        <v>362</v>
      </c>
    </row>
    <row r="1031" customFormat="false" ht="15" hidden="false" customHeight="true" outlineLevel="0" collapsed="false">
      <c r="A1031" s="51" t="s">
        <v>1028</v>
      </c>
      <c r="B1031" s="50" t="str">
        <f aca="false">IFERROR(VLOOKUP($A1031,Equipos!$C$2:$M$967,2,FALSE()),"")</f>
        <v>Desfibrilador</v>
      </c>
      <c r="C1031" s="50" t="str">
        <f aca="false">IFERROR(VLOOKUP($A1031,Equipos!$C$2:$M$967,9,FALSE()),"")</f>
        <v>1796</v>
      </c>
      <c r="D1031" s="50" t="str">
        <f aca="false">IFERROR(VLOOKUP($A1031,Equipos!$C$2:$M$967,3,FALSE()),"")</f>
        <v>Cirugía Adulto</v>
      </c>
      <c r="E1031" s="50" t="str">
        <f aca="false">IFERROR(VLOOKUP($A1031,Equipos!$C$2:$M$967,7,FALSE()),"")</f>
        <v>Nihon Kohden</v>
      </c>
      <c r="F1031" s="50" t="str">
        <f aca="false">IFERROR(VLOOKUP($A1031,Equipos!$C$2:$M$967,8,FALSE()),"")</f>
        <v>TEC 5531E</v>
      </c>
      <c r="G1031" s="50" t="s">
        <v>1002</v>
      </c>
      <c r="H1031" s="50" t="s">
        <v>360</v>
      </c>
      <c r="I1031" s="50"/>
      <c r="J1031" s="50" t="s">
        <v>352</v>
      </c>
      <c r="K1031" s="50" t="str">
        <f aca="false">IFERROR(VLOOKUP($J1031,Catálogos!$M$4:$N$17,2,FALSE()),"")</f>
        <v>Mantención Preventiva Realizada</v>
      </c>
      <c r="L1031" s="52" t="n">
        <v>46157</v>
      </c>
      <c r="M1031" s="50" t="s">
        <v>353</v>
      </c>
      <c r="N1031" s="50" t="s">
        <v>253</v>
      </c>
      <c r="O1031" s="50"/>
      <c r="P1031" s="50"/>
      <c r="Q1031" s="50" t="s">
        <v>362</v>
      </c>
    </row>
    <row r="1032" customFormat="false" ht="15" hidden="false" customHeight="true" outlineLevel="0" collapsed="false">
      <c r="A1032" s="51" t="s">
        <v>1029</v>
      </c>
      <c r="B1032" s="50" t="str">
        <f aca="false">IFERROR(VLOOKUP($A1032,Equipos!$C$2:$M$967,2,FALSE()),"")</f>
        <v>Desfibrilador</v>
      </c>
      <c r="C1032" s="50" t="str">
        <f aca="false">IFERROR(VLOOKUP($A1032,Equipos!$C$2:$M$967,9,FALSE()),"")</f>
        <v>883</v>
      </c>
      <c r="D1032" s="50" t="str">
        <f aca="false">IFERROR(VLOOKUP($A1032,Equipos!$C$2:$M$967,3,FALSE()),"")</f>
        <v>Medicina Materno Fetal</v>
      </c>
      <c r="E1032" s="50" t="str">
        <f aca="false">IFERROR(VLOOKUP($A1032,Equipos!$C$2:$M$967,7,FALSE()),"")</f>
        <v>Nihon Kohden</v>
      </c>
      <c r="F1032" s="50" t="str">
        <f aca="false">IFERROR(VLOOKUP($A1032,Equipos!$C$2:$M$967,8,FALSE()),"")</f>
        <v>TEC 5531E</v>
      </c>
      <c r="G1032" s="50" t="s">
        <v>1002</v>
      </c>
      <c r="H1032" s="50" t="s">
        <v>360</v>
      </c>
      <c r="I1032" s="50"/>
      <c r="J1032" s="50" t="s">
        <v>352</v>
      </c>
      <c r="K1032" s="50" t="str">
        <f aca="false">IFERROR(VLOOKUP($J1032,Catálogos!$M$4:$N$17,2,FALSE()),"")</f>
        <v>Mantención Preventiva Realizada</v>
      </c>
      <c r="L1032" s="52" t="n">
        <v>46157</v>
      </c>
      <c r="M1032" s="50" t="s">
        <v>353</v>
      </c>
      <c r="N1032" s="50" t="s">
        <v>253</v>
      </c>
      <c r="O1032" s="50"/>
      <c r="P1032" s="50"/>
      <c r="Q1032" s="50" t="s">
        <v>362</v>
      </c>
    </row>
    <row r="1033" customFormat="false" ht="15" hidden="false" customHeight="true" outlineLevel="0" collapsed="false">
      <c r="A1033" s="51" t="s">
        <v>1030</v>
      </c>
      <c r="B1033" s="50" t="str">
        <f aca="false">IFERROR(VLOOKUP($A1033,Equipos!$C$2:$M$967,2,FALSE()),"")</f>
        <v>Desfibrilador</v>
      </c>
      <c r="C1033" s="50" t="str">
        <f aca="false">IFERROR(VLOOKUP($A1033,Equipos!$C$2:$M$967,9,FALSE()),"")</f>
        <v>AF10H011861</v>
      </c>
      <c r="D1033" s="50" t="str">
        <f aca="false">IFERROR(VLOOKUP($A1033,Equipos!$C$2:$M$967,3,FALSE()),"")</f>
        <v>Ginecología</v>
      </c>
      <c r="E1033" s="50" t="str">
        <f aca="false">IFERROR(VLOOKUP($A1033,Equipos!$C$2:$M$967,7,FALSE()),"")</f>
        <v>Zoll </v>
      </c>
      <c r="F1033" s="50" t="str">
        <f aca="false">IFERROR(VLOOKUP($A1033,Equipos!$C$2:$M$967,8,FALSE()),"")</f>
        <v>R SERIES ALS</v>
      </c>
      <c r="G1033" s="50" t="s">
        <v>1002</v>
      </c>
      <c r="H1033" s="50" t="s">
        <v>360</v>
      </c>
      <c r="I1033" s="50"/>
      <c r="J1033" s="50" t="s">
        <v>352</v>
      </c>
      <c r="K1033" s="50" t="str">
        <f aca="false">IFERROR(VLOOKUP($J1033,Catálogos!$M$4:$N$17,2,FALSE()),"")</f>
        <v>Mantención Preventiva Realizada</v>
      </c>
      <c r="L1033" s="52" t="n">
        <v>46157</v>
      </c>
      <c r="M1033" s="50" t="s">
        <v>353</v>
      </c>
      <c r="N1033" s="50" t="s">
        <v>253</v>
      </c>
      <c r="O1033" s="50"/>
      <c r="P1033" s="50"/>
      <c r="Q1033" s="50" t="s">
        <v>362</v>
      </c>
    </row>
    <row r="1034" customFormat="false" ht="15" hidden="false" customHeight="true" outlineLevel="0" collapsed="false">
      <c r="A1034" s="51" t="s">
        <v>1031</v>
      </c>
      <c r="B1034" s="50" t="str">
        <f aca="false">IFERROR(VLOOKUP($A1034,Equipos!$C$2:$M$967,2,FALSE()),"")</f>
        <v>Desfibrilador</v>
      </c>
      <c r="C1034" s="50" t="str">
        <f aca="false">IFERROR(VLOOKUP($A1034,Equipos!$C$2:$M$967,9,FALSE()),"")</f>
        <v>1810</v>
      </c>
      <c r="D1034" s="50" t="str">
        <f aca="false">IFERROR(VLOOKUP($A1034,Equipos!$C$2:$M$967,3,FALSE()),"")</f>
        <v>UPC 3er Piso</v>
      </c>
      <c r="E1034" s="50" t="str">
        <f aca="false">IFERROR(VLOOKUP($A1034,Equipos!$C$2:$M$967,7,FALSE()),"")</f>
        <v>Nihon Kohden</v>
      </c>
      <c r="F1034" s="50" t="str">
        <f aca="false">IFERROR(VLOOKUP($A1034,Equipos!$C$2:$M$967,8,FALSE()),"")</f>
        <v>TEC 5531E</v>
      </c>
      <c r="G1034" s="50" t="s">
        <v>1002</v>
      </c>
      <c r="H1034" s="50" t="s">
        <v>360</v>
      </c>
      <c r="I1034" s="50"/>
      <c r="J1034" s="50" t="s">
        <v>352</v>
      </c>
      <c r="K1034" s="50" t="str">
        <f aca="false">IFERROR(VLOOKUP($J1034,Catálogos!$M$4:$N$17,2,FALSE()),"")</f>
        <v>Mantención Preventiva Realizada</v>
      </c>
      <c r="L1034" s="52" t="n">
        <v>46157</v>
      </c>
      <c r="M1034" s="50" t="s">
        <v>353</v>
      </c>
      <c r="N1034" s="50" t="s">
        <v>253</v>
      </c>
      <c r="O1034" s="50"/>
      <c r="P1034" s="50"/>
      <c r="Q1034" s="50" t="s">
        <v>362</v>
      </c>
    </row>
    <row r="1035" customFormat="false" ht="15" hidden="false" customHeight="true" outlineLevel="0" collapsed="false">
      <c r="A1035" s="51" t="s">
        <v>1032</v>
      </c>
      <c r="B1035" s="50" t="str">
        <f aca="false">IFERROR(VLOOKUP($A1035,Equipos!$C$2:$M$967,2,FALSE()),"")</f>
        <v>Desfibrilador</v>
      </c>
      <c r="C1035" s="50" t="str">
        <f aca="false">IFERROR(VLOOKUP($A1035,Equipos!$C$2:$M$967,9,FALSE()),"")</f>
        <v>1815</v>
      </c>
      <c r="D1035" s="50" t="str">
        <f aca="false">IFERROR(VLOOKUP($A1035,Equipos!$C$2:$M$967,3,FALSE()),"")</f>
        <v>Cirugía Adulto</v>
      </c>
      <c r="E1035" s="50" t="str">
        <f aca="false">IFERROR(VLOOKUP($A1035,Equipos!$C$2:$M$967,7,FALSE()),"")</f>
        <v>Nihon Kohden</v>
      </c>
      <c r="F1035" s="50" t="str">
        <f aca="false">IFERROR(VLOOKUP($A1035,Equipos!$C$2:$M$967,8,FALSE()),"")</f>
        <v>TEC 5531E</v>
      </c>
      <c r="G1035" s="50" t="s">
        <v>1002</v>
      </c>
      <c r="H1035" s="50" t="s">
        <v>360</v>
      </c>
      <c r="I1035" s="50"/>
      <c r="J1035" s="50" t="s">
        <v>352</v>
      </c>
      <c r="K1035" s="50" t="str">
        <f aca="false">IFERROR(VLOOKUP($J1035,Catálogos!$M$4:$N$17,2,FALSE()),"")</f>
        <v>Mantención Preventiva Realizada</v>
      </c>
      <c r="L1035" s="52" t="n">
        <v>46157</v>
      </c>
      <c r="M1035" s="50" t="s">
        <v>353</v>
      </c>
      <c r="N1035" s="50" t="s">
        <v>253</v>
      </c>
      <c r="O1035" s="50"/>
      <c r="P1035" s="50"/>
      <c r="Q1035" s="50" t="s">
        <v>362</v>
      </c>
    </row>
    <row r="1036" customFormat="false" ht="15" hidden="false" customHeight="true" outlineLevel="0" collapsed="false">
      <c r="A1036" s="51" t="s">
        <v>1033</v>
      </c>
      <c r="B1036" s="50" t="str">
        <f aca="false">IFERROR(VLOOKUP($A1036,Equipos!$C$2:$M$967,2,FALSE()),"")</f>
        <v>Desfibrilador</v>
      </c>
      <c r="C1036" s="50" t="str">
        <f aca="false">IFERROR(VLOOKUP($A1036,Equipos!$C$2:$M$967,9,FALSE()),"")</f>
        <v>887</v>
      </c>
      <c r="D1036" s="50" t="str">
        <f aca="false">IFERROR(VLOOKUP($A1036,Equipos!$C$2:$M$967,3,FALSE()),"")</f>
        <v>Pabellón CMA</v>
      </c>
      <c r="E1036" s="50" t="str">
        <f aca="false">IFERROR(VLOOKUP($A1036,Equipos!$C$2:$M$967,7,FALSE()),"")</f>
        <v>Nihon Kohden</v>
      </c>
      <c r="F1036" s="50" t="str">
        <f aca="false">IFERROR(VLOOKUP($A1036,Equipos!$C$2:$M$967,8,FALSE()),"")</f>
        <v>TEC 5531E</v>
      </c>
      <c r="G1036" s="50" t="s">
        <v>1002</v>
      </c>
      <c r="H1036" s="50" t="s">
        <v>360</v>
      </c>
      <c r="I1036" s="50"/>
      <c r="J1036" s="50" t="s">
        <v>352</v>
      </c>
      <c r="K1036" s="50" t="str">
        <f aca="false">IFERROR(VLOOKUP($J1036,Catálogos!$M$4:$N$17,2,FALSE()),"")</f>
        <v>Mantención Preventiva Realizada</v>
      </c>
      <c r="L1036" s="52" t="n">
        <v>46157</v>
      </c>
      <c r="M1036" s="50" t="s">
        <v>353</v>
      </c>
      <c r="N1036" s="50" t="s">
        <v>253</v>
      </c>
      <c r="O1036" s="50"/>
      <c r="P1036" s="50"/>
      <c r="Q1036" s="50" t="s">
        <v>362</v>
      </c>
    </row>
    <row r="1037" customFormat="false" ht="15" hidden="false" customHeight="true" outlineLevel="0" collapsed="false">
      <c r="A1037" s="51" t="s">
        <v>1034</v>
      </c>
      <c r="B1037" s="50" t="str">
        <f aca="false">IFERROR(VLOOKUP($A1037,Equipos!$C$2:$M$967,2,FALSE()),"")</f>
        <v>Desfibrilador</v>
      </c>
      <c r="C1037" s="50" t="str">
        <f aca="false">IFERROR(VLOOKUP($A1037,Equipos!$C$2:$M$967,9,FALSE()),"")</f>
        <v>1818</v>
      </c>
      <c r="D1037" s="50" t="str">
        <f aca="false">IFERROR(VLOOKUP($A1037,Equipos!$C$2:$M$967,3,FALSE()),"")</f>
        <v>Pabellón CMA</v>
      </c>
      <c r="E1037" s="50" t="str">
        <f aca="false">IFERROR(VLOOKUP($A1037,Equipos!$C$2:$M$967,7,FALSE()),"")</f>
        <v>Nihon Kohden</v>
      </c>
      <c r="F1037" s="50" t="str">
        <f aca="false">IFERROR(VLOOKUP($A1037,Equipos!$C$2:$M$967,8,FALSE()),"")</f>
        <v>TEC 5531E</v>
      </c>
      <c r="G1037" s="50" t="s">
        <v>1002</v>
      </c>
      <c r="H1037" s="50" t="s">
        <v>360</v>
      </c>
      <c r="I1037" s="50"/>
      <c r="J1037" s="50" t="s">
        <v>352</v>
      </c>
      <c r="K1037" s="50" t="str">
        <f aca="false">IFERROR(VLOOKUP($J1037,Catálogos!$M$4:$N$17,2,FALSE()),"")</f>
        <v>Mantención Preventiva Realizada</v>
      </c>
      <c r="L1037" s="52" t="n">
        <v>46157</v>
      </c>
      <c r="M1037" s="50" t="s">
        <v>353</v>
      </c>
      <c r="N1037" s="50" t="s">
        <v>253</v>
      </c>
      <c r="O1037" s="50"/>
      <c r="P1037" s="50"/>
      <c r="Q1037" s="50" t="s">
        <v>362</v>
      </c>
    </row>
    <row r="1038" customFormat="false" ht="15" hidden="false" customHeight="true" outlineLevel="0" collapsed="false">
      <c r="A1038" s="51" t="s">
        <v>1035</v>
      </c>
      <c r="B1038" s="50" t="str">
        <f aca="false">IFERROR(VLOOKUP($A1038,Equipos!$C$2:$M$967,2,FALSE()),"")</f>
        <v>Desfibrilador</v>
      </c>
      <c r="C1038" s="50" t="str">
        <f aca="false">IFERROR(VLOOKUP($A1038,Equipos!$C$2:$M$967,9,FALSE()),"")</f>
        <v>39322210</v>
      </c>
      <c r="D1038" s="50" t="str">
        <f aca="false">IFERROR(VLOOKUP($A1038,Equipos!$C$2:$M$967,3,FALSE()),"")</f>
        <v>Cirugía Adulto</v>
      </c>
      <c r="E1038" s="50" t="str">
        <f aca="false">IFERROR(VLOOKUP($A1038,Equipos!$C$2:$M$967,7,FALSE()),"")</f>
        <v>Medtronic</v>
      </c>
      <c r="F1038" s="50" t="str">
        <f aca="false">IFERROR(VLOOKUP($A1038,Equipos!$C$2:$M$967,8,FALSE()),"")</f>
        <v>Lifepack 20</v>
      </c>
      <c r="G1038" s="50" t="s">
        <v>1002</v>
      </c>
      <c r="H1038" s="50" t="s">
        <v>360</v>
      </c>
      <c r="I1038" s="50"/>
      <c r="J1038" s="50" t="s">
        <v>352</v>
      </c>
      <c r="K1038" s="50" t="str">
        <f aca="false">IFERROR(VLOOKUP($J1038,Catálogos!$M$4:$N$17,2,FALSE()),"")</f>
        <v>Mantención Preventiva Realizada</v>
      </c>
      <c r="L1038" s="52" t="n">
        <v>46157</v>
      </c>
      <c r="M1038" s="50" t="s">
        <v>353</v>
      </c>
      <c r="N1038" s="50" t="s">
        <v>253</v>
      </c>
      <c r="O1038" s="50"/>
      <c r="P1038" s="50"/>
      <c r="Q1038" s="50" t="s">
        <v>362</v>
      </c>
    </row>
    <row r="1039" customFormat="false" ht="15" hidden="false" customHeight="true" outlineLevel="0" collapsed="false">
      <c r="A1039" s="51" t="s">
        <v>120</v>
      </c>
      <c r="B1039" s="50" t="str">
        <f aca="false">IFERROR(VLOOKUP($A1039,Equipos!$C$2:$M$967,2,FALSE()),"")</f>
        <v>DEA</v>
      </c>
      <c r="C1039" s="50" t="str">
        <f aca="false">IFERROR(VLOOKUP($A1039,Equipos!$C$2:$M$967,9,FALSE()),"")</f>
        <v>X18E028657</v>
      </c>
      <c r="D1039" s="50" t="str">
        <f aca="false">IFERROR(VLOOKUP($A1039,Equipos!$C$2:$M$967,3,FALSE()),"")</f>
        <v>Gestión de Pacientes</v>
      </c>
      <c r="E1039" s="50" t="str">
        <f aca="false">IFERROR(VLOOKUP($A1039,Equipos!$C$2:$M$967,7,FALSE()),"")</f>
        <v>Zoll</v>
      </c>
      <c r="F1039" s="50" t="str">
        <f aca="false">IFERROR(VLOOKUP($A1039,Equipos!$C$2:$M$967,8,FALSE()),"")</f>
        <v>AEDPLUS</v>
      </c>
      <c r="G1039" s="50" t="s">
        <v>1002</v>
      </c>
      <c r="H1039" s="50" t="s">
        <v>360</v>
      </c>
      <c r="I1039" s="50"/>
      <c r="J1039" s="50" t="s">
        <v>352</v>
      </c>
      <c r="K1039" s="50" t="str">
        <f aca="false">IFERROR(VLOOKUP($J1039,Catálogos!$M$4:$N$17,2,FALSE()),"")</f>
        <v>Mantención Preventiva Realizada</v>
      </c>
      <c r="L1039" s="52" t="n">
        <v>46157</v>
      </c>
      <c r="M1039" s="50" t="s">
        <v>353</v>
      </c>
      <c r="N1039" s="50" t="s">
        <v>253</v>
      </c>
      <c r="O1039" s="50"/>
      <c r="P1039" s="50"/>
      <c r="Q1039" s="50" t="s">
        <v>362</v>
      </c>
    </row>
    <row r="1040" customFormat="false" ht="15" hidden="false" customHeight="true" outlineLevel="0" collapsed="false">
      <c r="A1040" s="51" t="s">
        <v>675</v>
      </c>
      <c r="B1040" s="50" t="str">
        <f aca="false">IFERROR(VLOOKUP($A1040,Equipos!$C$2:$M$967,2,FALSE()),"")</f>
        <v>Incubadora</v>
      </c>
      <c r="C1040" s="50" t="str">
        <f aca="false">IFERROR(VLOOKUP($A1040,Equipos!$C$2:$M$967,9,FALSE()),"")</f>
        <v>ASLB-0010</v>
      </c>
      <c r="D1040" s="50" t="str">
        <f aca="false">IFERROR(VLOOKUP($A1040,Equipos!$C$2:$M$967,3,FALSE()),"")</f>
        <v>Neonatología</v>
      </c>
      <c r="E1040" s="50" t="str">
        <f aca="false">IFERROR(VLOOKUP($A1040,Equipos!$C$2:$M$967,7,FALSE()),"")</f>
        <v>DRAGER</v>
      </c>
      <c r="F1040" s="50" t="str">
        <f aca="false">IFERROR(VLOOKUP($A1040,Equipos!$C$2:$M$967,8,FALSE()),"")</f>
        <v>CALEO</v>
      </c>
      <c r="G1040" s="50" t="s">
        <v>1002</v>
      </c>
      <c r="H1040" s="50" t="s">
        <v>360</v>
      </c>
      <c r="I1040" s="50"/>
      <c r="J1040" s="50" t="s">
        <v>352</v>
      </c>
      <c r="K1040" s="50" t="str">
        <f aca="false">IFERROR(VLOOKUP($J1040,Catálogos!$M$4:$N$17,2,FALSE()),"")</f>
        <v>Mantención Preventiva Realizada</v>
      </c>
      <c r="L1040" s="52" t="n">
        <v>46157</v>
      </c>
      <c r="M1040" s="50" t="s">
        <v>353</v>
      </c>
      <c r="N1040" s="50" t="s">
        <v>253</v>
      </c>
      <c r="O1040" s="50"/>
      <c r="P1040" s="50"/>
      <c r="Q1040" s="50" t="s">
        <v>362</v>
      </c>
    </row>
    <row r="1041" customFormat="false" ht="15" hidden="false" customHeight="true" outlineLevel="0" collapsed="false">
      <c r="A1041" s="51" t="s">
        <v>688</v>
      </c>
      <c r="B1041" s="50" t="str">
        <f aca="false">IFERROR(VLOOKUP($A1041,Equipos!$C$2:$M$967,2,FALSE()),"")</f>
        <v>Incubadora</v>
      </c>
      <c r="C1041" s="50" t="str">
        <f aca="false">IFERROR(VLOOKUP($A1041,Equipos!$C$2:$M$967,9,FALSE()),"")</f>
        <v>TABX62307</v>
      </c>
      <c r="D1041" s="50" t="str">
        <f aca="false">IFERROR(VLOOKUP($A1041,Equipos!$C$2:$M$967,3,FALSE()),"")</f>
        <v>Neonatología</v>
      </c>
      <c r="E1041" s="50" t="str">
        <f aca="false">IFERROR(VLOOKUP($A1041,Equipos!$C$2:$M$967,7,FALSE()),"")</f>
        <v>GENERAL ELECTRIC</v>
      </c>
      <c r="F1041" s="50" t="str">
        <f aca="false">IFERROR(VLOOKUP($A1041,Equipos!$C$2:$M$967,8,FALSE()),"")</f>
        <v>GIRAFFE OMNIBED CARESTATION</v>
      </c>
      <c r="G1041" s="50" t="s">
        <v>1002</v>
      </c>
      <c r="H1041" s="50" t="s">
        <v>351</v>
      </c>
      <c r="I1041" s="50"/>
      <c r="J1041" s="50" t="s">
        <v>352</v>
      </c>
      <c r="K1041" s="50" t="str">
        <f aca="false">IFERROR(VLOOKUP($J1041,Catálogos!$M$4:$N$17,2,FALSE()),"")</f>
        <v>Mantención Preventiva Realizada</v>
      </c>
      <c r="L1041" s="52" t="n">
        <v>46160</v>
      </c>
      <c r="M1041" s="50" t="s">
        <v>353</v>
      </c>
      <c r="N1041" s="50" t="s">
        <v>193</v>
      </c>
      <c r="O1041" s="50"/>
      <c r="P1041" s="50"/>
      <c r="Q1041" s="50"/>
    </row>
    <row r="1042" customFormat="false" ht="15" hidden="false" customHeight="true" outlineLevel="0" collapsed="false">
      <c r="A1042" s="51" t="s">
        <v>684</v>
      </c>
      <c r="B1042" s="50" t="str">
        <f aca="false">IFERROR(VLOOKUP($A1042,Equipos!$C$2:$M$967,2,FALSE()),"")</f>
        <v>Incubadora</v>
      </c>
      <c r="C1042" s="50" t="str">
        <f aca="false">IFERROR(VLOOKUP($A1042,Equipos!$C$2:$M$967,9,FALSE()),"")</f>
        <v>VD03887</v>
      </c>
      <c r="D1042" s="50" t="str">
        <f aca="false">IFERROR(VLOOKUP($A1042,Equipos!$C$2:$M$967,3,FALSE()),"")</f>
        <v>Neonatología</v>
      </c>
      <c r="E1042" s="50" t="str">
        <f aca="false">IFERROR(VLOOKUP($A1042,Equipos!$C$2:$M$967,7,FALSE()),"")</f>
        <v>HILL-ROM</v>
      </c>
      <c r="F1042" s="50" t="str">
        <f aca="false">IFERROR(VLOOKUP($A1042,Equipos!$C$2:$M$967,8,FALSE()),"")</f>
        <v>TI500</v>
      </c>
      <c r="G1042" s="50" t="s">
        <v>1002</v>
      </c>
      <c r="H1042" s="50" t="s">
        <v>351</v>
      </c>
      <c r="I1042" s="50"/>
      <c r="J1042" s="50" t="s">
        <v>352</v>
      </c>
      <c r="K1042" s="50" t="str">
        <f aca="false">IFERROR(VLOOKUP($J1042,Catálogos!$M$4:$N$17,2,FALSE()),"")</f>
        <v>Mantención Preventiva Realizada</v>
      </c>
      <c r="L1042" s="52" t="n">
        <v>46160</v>
      </c>
      <c r="M1042" s="50" t="s">
        <v>353</v>
      </c>
      <c r="N1042" s="50" t="s">
        <v>193</v>
      </c>
      <c r="O1042" s="50"/>
      <c r="P1042" s="50"/>
      <c r="Q1042" s="50"/>
    </row>
    <row r="1043" customFormat="false" ht="15" hidden="false" customHeight="true" outlineLevel="0" collapsed="false">
      <c r="A1043" s="51" t="s">
        <v>671</v>
      </c>
      <c r="B1043" s="50" t="str">
        <f aca="false">IFERROR(VLOOKUP($A1043,Equipos!$C$2:$M$967,2,FALSE()),"")</f>
        <v>Incubadora</v>
      </c>
      <c r="C1043" s="50" t="str">
        <f aca="false">IFERROR(VLOOKUP($A1043,Equipos!$C$2:$M$967,9,FALSE()),"")</f>
        <v>ASLB-0013</v>
      </c>
      <c r="D1043" s="50" t="str">
        <f aca="false">IFERROR(VLOOKUP($A1043,Equipos!$C$2:$M$967,3,FALSE()),"")</f>
        <v>Neonatología</v>
      </c>
      <c r="E1043" s="50" t="str">
        <f aca="false">IFERROR(VLOOKUP($A1043,Equipos!$C$2:$M$967,7,FALSE()),"")</f>
        <v>DRAGER</v>
      </c>
      <c r="F1043" s="50" t="str">
        <f aca="false">IFERROR(VLOOKUP($A1043,Equipos!$C$2:$M$967,8,FALSE()),"")</f>
        <v>CALEO</v>
      </c>
      <c r="G1043" s="50" t="s">
        <v>1002</v>
      </c>
      <c r="H1043" s="50" t="s">
        <v>351</v>
      </c>
      <c r="I1043" s="50"/>
      <c r="J1043" s="50" t="s">
        <v>352</v>
      </c>
      <c r="K1043" s="50" t="str">
        <f aca="false">IFERROR(VLOOKUP($J1043,Catálogos!$M$4:$N$17,2,FALSE()),"")</f>
        <v>Mantención Preventiva Realizada</v>
      </c>
      <c r="L1043" s="52" t="n">
        <v>46160</v>
      </c>
      <c r="M1043" s="50" t="s">
        <v>353</v>
      </c>
      <c r="N1043" s="50" t="s">
        <v>193</v>
      </c>
      <c r="O1043" s="50"/>
      <c r="P1043" s="50"/>
      <c r="Q1043" s="50"/>
    </row>
    <row r="1044" customFormat="false" ht="15" hidden="false" customHeight="true" outlineLevel="0" collapsed="false">
      <c r="A1044" s="51" t="s">
        <v>666</v>
      </c>
      <c r="B1044" s="50" t="str">
        <f aca="false">IFERROR(VLOOKUP($A1044,Equipos!$C$2:$M$967,2,FALSE()),"")</f>
        <v>Incubadora</v>
      </c>
      <c r="C1044" s="50" t="str">
        <f aca="false">IFERROR(VLOOKUP($A1044,Equipos!$C$2:$M$967,9,FALSE()),"")</f>
        <v>ASJL-0007</v>
      </c>
      <c r="D1044" s="50" t="str">
        <f aca="false">IFERROR(VLOOKUP($A1044,Equipos!$C$2:$M$967,3,FALSE()),"")</f>
        <v>Neonatología</v>
      </c>
      <c r="E1044" s="50" t="str">
        <f aca="false">IFERROR(VLOOKUP($A1044,Equipos!$C$2:$M$967,7,FALSE()),"")</f>
        <v>DRAGER</v>
      </c>
      <c r="F1044" s="50" t="str">
        <f aca="false">IFERROR(VLOOKUP($A1044,Equipos!$C$2:$M$967,8,FALSE()),"")</f>
        <v>CALEO</v>
      </c>
      <c r="G1044" s="50" t="s">
        <v>1002</v>
      </c>
      <c r="H1044" s="50" t="s">
        <v>351</v>
      </c>
      <c r="I1044" s="50"/>
      <c r="J1044" s="50" t="s">
        <v>352</v>
      </c>
      <c r="K1044" s="50" t="str">
        <f aca="false">IFERROR(VLOOKUP($J1044,Catálogos!$M$4:$N$17,2,FALSE()),"")</f>
        <v>Mantención Preventiva Realizada</v>
      </c>
      <c r="L1044" s="52" t="n">
        <v>46160</v>
      </c>
      <c r="M1044" s="50" t="s">
        <v>353</v>
      </c>
      <c r="N1044" s="50" t="s">
        <v>193</v>
      </c>
      <c r="O1044" s="50"/>
      <c r="P1044" s="50"/>
      <c r="Q1044" s="50"/>
    </row>
    <row r="1045" customFormat="false" ht="15" hidden="false" customHeight="true" outlineLevel="0" collapsed="false">
      <c r="A1045" s="51" t="s">
        <v>676</v>
      </c>
      <c r="B1045" s="50" t="str">
        <f aca="false">IFERROR(VLOOKUP($A1045,Equipos!$C$2:$M$967,2,FALSE()),"")</f>
        <v>Incubadora</v>
      </c>
      <c r="C1045" s="50" t="str">
        <f aca="false">IFERROR(VLOOKUP($A1045,Equipos!$C$2:$M$967,9,FALSE()),"")</f>
        <v>ASDA-0011</v>
      </c>
      <c r="D1045" s="50" t="str">
        <f aca="false">IFERROR(VLOOKUP($A1045,Equipos!$C$2:$M$967,3,FALSE()),"")</f>
        <v>Neonatología</v>
      </c>
      <c r="E1045" s="50" t="str">
        <f aca="false">IFERROR(VLOOKUP($A1045,Equipos!$C$2:$M$967,7,FALSE()),"")</f>
        <v>DRAGER</v>
      </c>
      <c r="F1045" s="50" t="str">
        <f aca="false">IFERROR(VLOOKUP($A1045,Equipos!$C$2:$M$967,8,FALSE()),"")</f>
        <v>CALEO</v>
      </c>
      <c r="G1045" s="50" t="s">
        <v>1002</v>
      </c>
      <c r="H1045" s="50" t="s">
        <v>351</v>
      </c>
      <c r="I1045" s="50"/>
      <c r="J1045" s="50" t="s">
        <v>352</v>
      </c>
      <c r="K1045" s="50" t="str">
        <f aca="false">IFERROR(VLOOKUP($J1045,Catálogos!$M$4:$N$17,2,FALSE()),"")</f>
        <v>Mantención Preventiva Realizada</v>
      </c>
      <c r="L1045" s="52" t="n">
        <v>46161</v>
      </c>
      <c r="M1045" s="50" t="s">
        <v>353</v>
      </c>
      <c r="N1045" s="50" t="s">
        <v>193</v>
      </c>
      <c r="O1045" s="50"/>
      <c r="P1045" s="50"/>
      <c r="Q1045" s="50"/>
    </row>
    <row r="1046" customFormat="false" ht="15" hidden="false" customHeight="true" outlineLevel="0" collapsed="false">
      <c r="A1046" s="51" t="s">
        <v>667</v>
      </c>
      <c r="B1046" s="50" t="str">
        <f aca="false">IFERROR(VLOOKUP($A1046,Equipos!$C$2:$M$967,2,FALSE()),"")</f>
        <v>Incubadora</v>
      </c>
      <c r="C1046" s="50" t="str">
        <f aca="false">IFERROR(VLOOKUP($A1046,Equipos!$C$2:$M$967,9,FALSE()),"")</f>
        <v>ASJL-0015</v>
      </c>
      <c r="D1046" s="50" t="str">
        <f aca="false">IFERROR(VLOOKUP($A1046,Equipos!$C$2:$M$967,3,FALSE()),"")</f>
        <v>Neonatología</v>
      </c>
      <c r="E1046" s="50" t="str">
        <f aca="false">IFERROR(VLOOKUP($A1046,Equipos!$C$2:$M$967,7,FALSE()),"")</f>
        <v>DRAGER</v>
      </c>
      <c r="F1046" s="50" t="str">
        <f aca="false">IFERROR(VLOOKUP($A1046,Equipos!$C$2:$M$967,8,FALSE()),"")</f>
        <v>CALEO</v>
      </c>
      <c r="G1046" s="50" t="s">
        <v>1002</v>
      </c>
      <c r="H1046" s="50" t="s">
        <v>351</v>
      </c>
      <c r="I1046" s="50"/>
      <c r="J1046" s="50" t="s">
        <v>352</v>
      </c>
      <c r="K1046" s="50" t="str">
        <f aca="false">IFERROR(VLOOKUP($J1046,Catálogos!$M$4:$N$17,2,FALSE()),"")</f>
        <v>Mantención Preventiva Realizada</v>
      </c>
      <c r="L1046" s="52" t="n">
        <v>46161</v>
      </c>
      <c r="M1046" s="50" t="s">
        <v>353</v>
      </c>
      <c r="N1046" s="50" t="s">
        <v>193</v>
      </c>
      <c r="O1046" s="50"/>
      <c r="P1046" s="50"/>
      <c r="Q1046" s="50"/>
    </row>
    <row r="1047" customFormat="false" ht="15" hidden="false" customHeight="true" outlineLevel="0" collapsed="false">
      <c r="A1047" s="51" t="s">
        <v>679</v>
      </c>
      <c r="B1047" s="50" t="str">
        <f aca="false">IFERROR(VLOOKUP($A1047,Equipos!$C$2:$M$967,2,FALSE()),"")</f>
        <v>Incubadora</v>
      </c>
      <c r="C1047" s="50" t="str">
        <f aca="false">IFERROR(VLOOKUP($A1047,Equipos!$C$2:$M$967,9,FALSE()),"")</f>
        <v>ASDA-0012</v>
      </c>
      <c r="D1047" s="50" t="str">
        <f aca="false">IFERROR(VLOOKUP($A1047,Equipos!$C$2:$M$967,3,FALSE()),"")</f>
        <v>Neonatología</v>
      </c>
      <c r="E1047" s="50" t="str">
        <f aca="false">IFERROR(VLOOKUP($A1047,Equipos!$C$2:$M$967,7,FALSE()),"")</f>
        <v>DRAGER</v>
      </c>
      <c r="F1047" s="50" t="str">
        <f aca="false">IFERROR(VLOOKUP($A1047,Equipos!$C$2:$M$967,8,FALSE()),"")</f>
        <v>CALEO</v>
      </c>
      <c r="G1047" s="50" t="s">
        <v>1002</v>
      </c>
      <c r="H1047" s="50" t="s">
        <v>351</v>
      </c>
      <c r="I1047" s="50"/>
      <c r="J1047" s="50" t="s">
        <v>352</v>
      </c>
      <c r="K1047" s="50" t="str">
        <f aca="false">IFERROR(VLOOKUP($J1047,Catálogos!$M$4:$N$17,2,FALSE()),"")</f>
        <v>Mantención Preventiva Realizada</v>
      </c>
      <c r="L1047" s="52" t="n">
        <v>46162</v>
      </c>
      <c r="M1047" s="50" t="s">
        <v>353</v>
      </c>
      <c r="N1047" s="50" t="s">
        <v>193</v>
      </c>
      <c r="O1047" s="50"/>
      <c r="P1047" s="50"/>
      <c r="Q1047" s="50"/>
    </row>
    <row r="1048" customFormat="false" ht="15" hidden="false" customHeight="true" outlineLevel="0" collapsed="false">
      <c r="A1048" s="51" t="s">
        <v>674</v>
      </c>
      <c r="B1048" s="50" t="str">
        <f aca="false">IFERROR(VLOOKUP($A1048,Equipos!$C$2:$M$967,2,FALSE()),"")</f>
        <v>Incubadora</v>
      </c>
      <c r="C1048" s="50" t="str">
        <f aca="false">IFERROR(VLOOKUP($A1048,Equipos!$C$2:$M$967,9,FALSE()),"")</f>
        <v>KM10530</v>
      </c>
      <c r="D1048" s="50" t="str">
        <f aca="false">IFERROR(VLOOKUP($A1048,Equipos!$C$2:$M$967,3,FALSE()),"")</f>
        <v>Neonatología</v>
      </c>
      <c r="E1048" s="50" t="str">
        <f aca="false">IFERROR(VLOOKUP($A1048,Equipos!$C$2:$M$967,7,FALSE()),"")</f>
        <v>DRAGER</v>
      </c>
      <c r="F1048" s="50" t="str">
        <f aca="false">IFERROR(VLOOKUP($A1048,Equipos!$C$2:$M$967,8,FALSE()),"")</f>
        <v>TI500</v>
      </c>
      <c r="G1048" s="50" t="s">
        <v>1002</v>
      </c>
      <c r="H1048" s="50" t="s">
        <v>351</v>
      </c>
      <c r="I1048" s="50"/>
      <c r="J1048" s="50" t="s">
        <v>352</v>
      </c>
      <c r="K1048" s="50" t="str">
        <f aca="false">IFERROR(VLOOKUP($J1048,Catálogos!$M$4:$N$17,2,FALSE()),"")</f>
        <v>Mantención Preventiva Realizada</v>
      </c>
      <c r="L1048" s="52" t="n">
        <v>46162</v>
      </c>
      <c r="M1048" s="50" t="s">
        <v>353</v>
      </c>
      <c r="N1048" s="50" t="s">
        <v>193</v>
      </c>
      <c r="O1048" s="50"/>
      <c r="P1048" s="50"/>
      <c r="Q1048" s="50"/>
    </row>
    <row r="1049" customFormat="false" ht="15" hidden="false" customHeight="true" outlineLevel="0" collapsed="false">
      <c r="A1049" s="51" t="s">
        <v>672</v>
      </c>
      <c r="B1049" s="50" t="str">
        <f aca="false">IFERROR(VLOOKUP($A1049,Equipos!$C$2:$M$967,2,FALSE()),"")</f>
        <v>Incubadora</v>
      </c>
      <c r="C1049" s="50" t="str">
        <f aca="false">IFERROR(VLOOKUP($A1049,Equipos!$C$2:$M$967,9,FALSE()),"")</f>
        <v>ASLB-0012</v>
      </c>
      <c r="D1049" s="50" t="str">
        <f aca="false">IFERROR(VLOOKUP($A1049,Equipos!$C$2:$M$967,3,FALSE()),"")</f>
        <v>Neonatología</v>
      </c>
      <c r="E1049" s="50" t="str">
        <f aca="false">IFERROR(VLOOKUP($A1049,Equipos!$C$2:$M$967,7,FALSE()),"")</f>
        <v>DRAGER</v>
      </c>
      <c r="F1049" s="50" t="str">
        <f aca="false">IFERROR(VLOOKUP($A1049,Equipos!$C$2:$M$967,8,FALSE()),"")</f>
        <v>CALEO</v>
      </c>
      <c r="G1049" s="50" t="s">
        <v>1002</v>
      </c>
      <c r="H1049" s="50" t="s">
        <v>351</v>
      </c>
      <c r="I1049" s="50"/>
      <c r="J1049" s="50" t="s">
        <v>352</v>
      </c>
      <c r="K1049" s="50" t="str">
        <f aca="false">IFERROR(VLOOKUP($J1049,Catálogos!$M$4:$N$17,2,FALSE()),"")</f>
        <v>Mantención Preventiva Realizada</v>
      </c>
      <c r="L1049" s="52" t="n">
        <v>46162</v>
      </c>
      <c r="M1049" s="50" t="s">
        <v>353</v>
      </c>
      <c r="N1049" s="50" t="s">
        <v>193</v>
      </c>
      <c r="O1049" s="50"/>
      <c r="P1049" s="50"/>
      <c r="Q1049" s="50"/>
    </row>
    <row r="1050" customFormat="false" ht="15" hidden="false" customHeight="true" outlineLevel="0" collapsed="false">
      <c r="A1050" s="51" t="s">
        <v>670</v>
      </c>
      <c r="B1050" s="50" t="str">
        <f aca="false">IFERROR(VLOOKUP($A1050,Equipos!$C$2:$M$967,2,FALSE()),"")</f>
        <v>Incubadora</v>
      </c>
      <c r="C1050" s="50" t="str">
        <f aca="false">IFERROR(VLOOKUP($A1050,Equipos!$C$2:$M$967,9,FALSE()),"")</f>
        <v>ASLB-0014</v>
      </c>
      <c r="D1050" s="50" t="str">
        <f aca="false">IFERROR(VLOOKUP($A1050,Equipos!$C$2:$M$967,3,FALSE()),"")</f>
        <v>Neonatología</v>
      </c>
      <c r="E1050" s="50" t="str">
        <f aca="false">IFERROR(VLOOKUP($A1050,Equipos!$C$2:$M$967,7,FALSE()),"")</f>
        <v>DRAGER</v>
      </c>
      <c r="F1050" s="50" t="str">
        <f aca="false">IFERROR(VLOOKUP($A1050,Equipos!$C$2:$M$967,8,FALSE()),"")</f>
        <v>CALEO</v>
      </c>
      <c r="G1050" s="50" t="s">
        <v>1002</v>
      </c>
      <c r="H1050" s="50" t="s">
        <v>351</v>
      </c>
      <c r="I1050" s="50"/>
      <c r="J1050" s="50" t="s">
        <v>352</v>
      </c>
      <c r="K1050" s="50" t="str">
        <f aca="false">IFERROR(VLOOKUP($J1050,Catálogos!$M$4:$N$17,2,FALSE()),"")</f>
        <v>Mantención Preventiva Realizada</v>
      </c>
      <c r="L1050" s="52" t="n">
        <v>46163</v>
      </c>
      <c r="M1050" s="50" t="s">
        <v>353</v>
      </c>
      <c r="N1050" s="50" t="s">
        <v>193</v>
      </c>
      <c r="O1050" s="50"/>
      <c r="P1050" s="50"/>
      <c r="Q1050" s="50"/>
    </row>
    <row r="1051" customFormat="false" ht="15" hidden="false" customHeight="true" outlineLevel="0" collapsed="false">
      <c r="A1051" s="51" t="s">
        <v>673</v>
      </c>
      <c r="B1051" s="50" t="str">
        <f aca="false">IFERROR(VLOOKUP($A1051,Equipos!$C$2:$M$967,2,FALSE()),"")</f>
        <v>Incubadora</v>
      </c>
      <c r="C1051" s="50" t="str">
        <f aca="false">IFERROR(VLOOKUP($A1051,Equipos!$C$2:$M$967,9,FALSE()),"")</f>
        <v>ASLB-0011</v>
      </c>
      <c r="D1051" s="50" t="str">
        <f aca="false">IFERROR(VLOOKUP($A1051,Equipos!$C$2:$M$967,3,FALSE()),"")</f>
        <v>Neonatología</v>
      </c>
      <c r="E1051" s="50" t="str">
        <f aca="false">IFERROR(VLOOKUP($A1051,Equipos!$C$2:$M$967,7,FALSE()),"")</f>
        <v>DRAGER</v>
      </c>
      <c r="F1051" s="50" t="str">
        <f aca="false">IFERROR(VLOOKUP($A1051,Equipos!$C$2:$M$967,8,FALSE()),"")</f>
        <v>CALEO</v>
      </c>
      <c r="G1051" s="50" t="s">
        <v>1002</v>
      </c>
      <c r="H1051" s="50" t="s">
        <v>351</v>
      </c>
      <c r="I1051" s="50"/>
      <c r="J1051" s="50" t="s">
        <v>352</v>
      </c>
      <c r="K1051" s="50" t="str">
        <f aca="false">IFERROR(VLOOKUP($J1051,Catálogos!$M$4:$N$17,2,FALSE()),"")</f>
        <v>Mantención Preventiva Realizada</v>
      </c>
      <c r="L1051" s="52" t="n">
        <v>46163</v>
      </c>
      <c r="M1051" s="50" t="s">
        <v>353</v>
      </c>
      <c r="N1051" s="50" t="s">
        <v>193</v>
      </c>
      <c r="O1051" s="50"/>
      <c r="P1051" s="50"/>
      <c r="Q1051" s="50"/>
    </row>
    <row r="1052" customFormat="false" ht="15" hidden="false" customHeight="true" outlineLevel="0" collapsed="false">
      <c r="A1052" s="51" t="s">
        <v>683</v>
      </c>
      <c r="B1052" s="50" t="str">
        <f aca="false">IFERROR(VLOOKUP($A1052,Equipos!$C$2:$M$967,2,FALSE()),"")</f>
        <v>Incubadora</v>
      </c>
      <c r="C1052" s="50" t="str">
        <f aca="false">IFERROR(VLOOKUP($A1052,Equipos!$C$2:$M$967,9,FALSE()),"")</f>
        <v>ASLB-0016</v>
      </c>
      <c r="D1052" s="50" t="str">
        <f aca="false">IFERROR(VLOOKUP($A1052,Equipos!$C$2:$M$967,3,FALSE()),"")</f>
        <v>Neonatología</v>
      </c>
      <c r="E1052" s="50" t="str">
        <f aca="false">IFERROR(VLOOKUP($A1052,Equipos!$C$2:$M$967,7,FALSE()),"")</f>
        <v>DRAGER</v>
      </c>
      <c r="F1052" s="50" t="str">
        <f aca="false">IFERROR(VLOOKUP($A1052,Equipos!$C$2:$M$967,8,FALSE()),"")</f>
        <v>CALEO</v>
      </c>
      <c r="G1052" s="50" t="s">
        <v>1002</v>
      </c>
      <c r="H1052" s="50" t="s">
        <v>351</v>
      </c>
      <c r="I1052" s="50"/>
      <c r="J1052" s="50" t="s">
        <v>352</v>
      </c>
      <c r="K1052" s="50" t="str">
        <f aca="false">IFERROR(VLOOKUP($J1052,Catálogos!$M$4:$N$17,2,FALSE()),"")</f>
        <v>Mantención Preventiva Realizada</v>
      </c>
      <c r="L1052" s="52" t="n">
        <v>46163</v>
      </c>
      <c r="M1052" s="50" t="s">
        <v>353</v>
      </c>
      <c r="N1052" s="50" t="s">
        <v>193</v>
      </c>
      <c r="O1052" s="50"/>
      <c r="P1052" s="50"/>
      <c r="Q1052" s="50"/>
    </row>
    <row r="1053" customFormat="false" ht="15" hidden="false" customHeight="true" outlineLevel="0" collapsed="false">
      <c r="A1053" s="51" t="s">
        <v>687</v>
      </c>
      <c r="B1053" s="50" t="str">
        <f aca="false">IFERROR(VLOOKUP($A1053,Equipos!$C$2:$M$967,2,FALSE()),"")</f>
        <v>Incubadora</v>
      </c>
      <c r="C1053" s="50" t="str">
        <f aca="false">IFERROR(VLOOKUP($A1053,Equipos!$C$2:$M$967,9,FALSE()),"")</f>
        <v>TABX62308</v>
      </c>
      <c r="D1053" s="50" t="str">
        <f aca="false">IFERROR(VLOOKUP($A1053,Equipos!$C$2:$M$967,3,FALSE()),"")</f>
        <v>Neonatología</v>
      </c>
      <c r="E1053" s="50" t="str">
        <f aca="false">IFERROR(VLOOKUP($A1053,Equipos!$C$2:$M$967,7,FALSE()),"")</f>
        <v>GENERAL ELECTRIC</v>
      </c>
      <c r="F1053" s="50" t="str">
        <f aca="false">IFERROR(VLOOKUP($A1053,Equipos!$C$2:$M$967,8,FALSE()),"")</f>
        <v>GIRAFFE OMNIBED CARESTATION</v>
      </c>
      <c r="G1053" s="50" t="s">
        <v>1002</v>
      </c>
      <c r="H1053" s="50" t="s">
        <v>351</v>
      </c>
      <c r="I1053" s="50"/>
      <c r="J1053" s="50" t="s">
        <v>352</v>
      </c>
      <c r="K1053" s="50" t="str">
        <f aca="false">IFERROR(VLOOKUP($J1053,Catálogos!$M$4:$N$17,2,FALSE()),"")</f>
        <v>Mantención Preventiva Realizada</v>
      </c>
      <c r="L1053" s="52" t="n">
        <v>46163</v>
      </c>
      <c r="M1053" s="50" t="s">
        <v>353</v>
      </c>
      <c r="N1053" s="50" t="s">
        <v>193</v>
      </c>
      <c r="O1053" s="50"/>
      <c r="P1053" s="50"/>
      <c r="Q1053" s="50"/>
    </row>
    <row r="1054" customFormat="false" ht="15" hidden="false" customHeight="true" outlineLevel="0" collapsed="false">
      <c r="A1054" s="51" t="s">
        <v>687</v>
      </c>
      <c r="B1054" s="50" t="str">
        <f aca="false">IFERROR(VLOOKUP($A1054,Equipos!$C$2:$M$967,2,FALSE()),"")</f>
        <v>Incubadora</v>
      </c>
      <c r="C1054" s="50" t="str">
        <f aca="false">IFERROR(VLOOKUP($A1054,Equipos!$C$2:$M$967,9,FALSE()),"")</f>
        <v>TABX62308</v>
      </c>
      <c r="D1054" s="50" t="str">
        <f aca="false">IFERROR(VLOOKUP($A1054,Equipos!$C$2:$M$967,3,FALSE()),"")</f>
        <v>Neonatología</v>
      </c>
      <c r="E1054" s="50" t="str">
        <f aca="false">IFERROR(VLOOKUP($A1054,Equipos!$C$2:$M$967,7,FALSE()),"")</f>
        <v>GENERAL ELECTRIC</v>
      </c>
      <c r="F1054" s="50" t="str">
        <f aca="false">IFERROR(VLOOKUP($A1054,Equipos!$C$2:$M$967,8,FALSE()),"")</f>
        <v>GIRAFFE OMNIBED CARESTATION</v>
      </c>
      <c r="G1054" s="50" t="s">
        <v>1002</v>
      </c>
      <c r="H1054" s="50" t="s">
        <v>351</v>
      </c>
      <c r="I1054" s="50"/>
      <c r="J1054" s="50" t="s">
        <v>352</v>
      </c>
      <c r="K1054" s="50" t="str">
        <f aca="false">IFERROR(VLOOKUP($J1054,Catálogos!$M$4:$N$17,2,FALSE()),"")</f>
        <v>Mantención Preventiva Realizada</v>
      </c>
      <c r="L1054" s="52" t="n">
        <v>46163</v>
      </c>
      <c r="M1054" s="50" t="s">
        <v>353</v>
      </c>
      <c r="N1054" s="50" t="s">
        <v>193</v>
      </c>
      <c r="O1054" s="50"/>
      <c r="P1054" s="50"/>
      <c r="Q1054" s="50"/>
    </row>
    <row r="1055" customFormat="false" ht="15" hidden="false" customHeight="true" outlineLevel="0" collapsed="false">
      <c r="A1055" s="51" t="s">
        <v>689</v>
      </c>
      <c r="B1055" s="50" t="str">
        <f aca="false">IFERROR(VLOOKUP($A1055,Equipos!$C$2:$M$967,2,FALSE()),"")</f>
        <v>Incubadora</v>
      </c>
      <c r="C1055" s="50" t="str">
        <f aca="false">IFERROR(VLOOKUP($A1055,Equipos!$C$2:$M$967,9,FALSE()),"")</f>
        <v>ASJL-0008</v>
      </c>
      <c r="D1055" s="50" t="str">
        <f aca="false">IFERROR(VLOOKUP($A1055,Equipos!$C$2:$M$967,3,FALSE()),"")</f>
        <v>Neonatología</v>
      </c>
      <c r="E1055" s="50" t="str">
        <f aca="false">IFERROR(VLOOKUP($A1055,Equipos!$C$2:$M$967,7,FALSE()),"")</f>
        <v>DRAGER</v>
      </c>
      <c r="F1055" s="50" t="str">
        <f aca="false">IFERROR(VLOOKUP($A1055,Equipos!$C$2:$M$967,8,FALSE()),"")</f>
        <v>CALEO</v>
      </c>
      <c r="G1055" s="50" t="s">
        <v>1002</v>
      </c>
      <c r="H1055" s="50" t="s">
        <v>351</v>
      </c>
      <c r="I1055" s="50"/>
      <c r="J1055" s="50" t="s">
        <v>352</v>
      </c>
      <c r="K1055" s="50" t="str">
        <f aca="false">IFERROR(VLOOKUP($J1055,Catálogos!$M$4:$N$17,2,FALSE()),"")</f>
        <v>Mantención Preventiva Realizada</v>
      </c>
      <c r="L1055" s="52" t="n">
        <v>46163</v>
      </c>
      <c r="M1055" s="50" t="s">
        <v>353</v>
      </c>
      <c r="N1055" s="50" t="s">
        <v>193</v>
      </c>
      <c r="O1055" s="50"/>
      <c r="P1055" s="50"/>
      <c r="Q1055" s="50"/>
    </row>
    <row r="1056" customFormat="false" ht="15" hidden="false" customHeight="true" outlineLevel="0" collapsed="false">
      <c r="A1056" s="51" t="s">
        <v>1036</v>
      </c>
      <c r="B1056" s="50" t="str">
        <f aca="false">IFERROR(VLOOKUP($A1056,Equipos!$C$2:$M$967,2,FALSE()),"")</f>
        <v>Monitor Multiparámetros</v>
      </c>
      <c r="C1056" s="50" t="str">
        <f aca="false">IFERROR(VLOOKUP($A1056,Equipos!$C$2:$M$967,9,FALSE()),"")</f>
        <v>1393-114593</v>
      </c>
      <c r="D1056" s="50" t="str">
        <f aca="false">IFERROR(VLOOKUP($A1056,Equipos!$C$2:$M$967,3,FALSE()),"")</f>
        <v>UPC 3er Piso</v>
      </c>
      <c r="E1056" s="50" t="str">
        <f aca="false">IFERROR(VLOOKUP($A1056,Equipos!$C$2:$M$967,7,FALSE()),"")</f>
        <v>SPACELABS HEALTHCARE</v>
      </c>
      <c r="F1056" s="50" t="str">
        <f aca="false">IFERROR(VLOOKUP($A1056,Equipos!$C$2:$M$967,8,FALSE()),"")</f>
        <v>XPREZZON</v>
      </c>
      <c r="G1056" s="50" t="s">
        <v>1002</v>
      </c>
      <c r="H1056" s="50" t="s">
        <v>351</v>
      </c>
      <c r="I1056" s="50"/>
      <c r="J1056" s="50" t="s">
        <v>352</v>
      </c>
      <c r="K1056" s="50" t="str">
        <f aca="false">IFERROR(VLOOKUP($J1056,Catálogos!$M$4:$N$17,2,FALSE()),"")</f>
        <v>Mantención Preventiva Realizada</v>
      </c>
      <c r="L1056" s="52" t="n">
        <v>46163</v>
      </c>
      <c r="M1056" s="50" t="s">
        <v>353</v>
      </c>
      <c r="N1056" s="50" t="s">
        <v>63</v>
      </c>
      <c r="O1056" s="50"/>
      <c r="P1056" s="50"/>
      <c r="Q1056" s="50" t="s">
        <v>1037</v>
      </c>
    </row>
    <row r="1057" customFormat="false" ht="15" hidden="false" customHeight="true" outlineLevel="0" collapsed="false">
      <c r="A1057" s="51" t="s">
        <v>1038</v>
      </c>
      <c r="B1057" s="50" t="str">
        <f aca="false">IFERROR(VLOOKUP($A1057,Equipos!$C$2:$M$967,2,FALSE()),"")</f>
        <v>Monitor Multiparámetros</v>
      </c>
      <c r="C1057" s="50" t="str">
        <f aca="false">IFERROR(VLOOKUP($A1057,Equipos!$C$2:$M$967,9,FALSE()),"")</f>
        <v>1393-114598</v>
      </c>
      <c r="D1057" s="50" t="str">
        <f aca="false">IFERROR(VLOOKUP($A1057,Equipos!$C$2:$M$967,3,FALSE()),"")</f>
        <v>UPC 3er Piso</v>
      </c>
      <c r="E1057" s="50" t="str">
        <f aca="false">IFERROR(VLOOKUP($A1057,Equipos!$C$2:$M$967,7,FALSE()),"")</f>
        <v>SPACELABS HEALTHCARE</v>
      </c>
      <c r="F1057" s="50" t="str">
        <f aca="false">IFERROR(VLOOKUP($A1057,Equipos!$C$2:$M$967,8,FALSE()),"")</f>
        <v>XPREZZON</v>
      </c>
      <c r="G1057" s="50" t="s">
        <v>1002</v>
      </c>
      <c r="H1057" s="50" t="s">
        <v>351</v>
      </c>
      <c r="I1057" s="50"/>
      <c r="J1057" s="50" t="s">
        <v>352</v>
      </c>
      <c r="K1057" s="50" t="str">
        <f aca="false">IFERROR(VLOOKUP($J1057,Catálogos!$M$4:$N$17,2,FALSE()),"")</f>
        <v>Mantención Preventiva Realizada</v>
      </c>
      <c r="L1057" s="52" t="n">
        <v>46163</v>
      </c>
      <c r="M1057" s="50" t="s">
        <v>353</v>
      </c>
      <c r="N1057" s="50" t="s">
        <v>63</v>
      </c>
      <c r="O1057" s="50"/>
      <c r="P1057" s="50"/>
      <c r="Q1057" s="50" t="s">
        <v>1037</v>
      </c>
    </row>
    <row r="1058" customFormat="false" ht="15" hidden="false" customHeight="true" outlineLevel="0" collapsed="false">
      <c r="A1058" s="51" t="s">
        <v>1039</v>
      </c>
      <c r="B1058" s="50" t="str">
        <f aca="false">IFERROR(VLOOKUP($A1058,Equipos!$C$2:$M$967,2,FALSE()),"")</f>
        <v>Monitor Multiparámetros</v>
      </c>
      <c r="C1058" s="50" t="str">
        <f aca="false">IFERROR(VLOOKUP($A1058,Equipos!$C$2:$M$967,9,FALSE()),"")</f>
        <v>1393-113276</v>
      </c>
      <c r="D1058" s="50" t="str">
        <f aca="false">IFERROR(VLOOKUP($A1058,Equipos!$C$2:$M$967,3,FALSE()),"")</f>
        <v>UPC 3er Piso</v>
      </c>
      <c r="E1058" s="50" t="str">
        <f aca="false">IFERROR(VLOOKUP($A1058,Equipos!$C$2:$M$967,7,FALSE()),"")</f>
        <v>SPACELABS HEALTHCARE</v>
      </c>
      <c r="F1058" s="50" t="str">
        <f aca="false">IFERROR(VLOOKUP($A1058,Equipos!$C$2:$M$967,8,FALSE()),"")</f>
        <v>XPREZZON</v>
      </c>
      <c r="G1058" s="50" t="s">
        <v>1002</v>
      </c>
      <c r="H1058" s="50" t="s">
        <v>351</v>
      </c>
      <c r="I1058" s="50"/>
      <c r="J1058" s="50" t="s">
        <v>352</v>
      </c>
      <c r="K1058" s="50" t="str">
        <f aca="false">IFERROR(VLOOKUP($J1058,Catálogos!$M$4:$N$17,2,FALSE()),"")</f>
        <v>Mantención Preventiva Realizada</v>
      </c>
      <c r="L1058" s="52" t="n">
        <v>46163</v>
      </c>
      <c r="M1058" s="50" t="s">
        <v>353</v>
      </c>
      <c r="N1058" s="50" t="s">
        <v>63</v>
      </c>
      <c r="O1058" s="50"/>
      <c r="P1058" s="50"/>
      <c r="Q1058" s="50" t="s">
        <v>1040</v>
      </c>
    </row>
    <row r="1059" customFormat="false" ht="15" hidden="false" customHeight="true" outlineLevel="0" collapsed="false">
      <c r="A1059" s="51" t="s">
        <v>1041</v>
      </c>
      <c r="B1059" s="50" t="str">
        <f aca="false">IFERROR(VLOOKUP($A1059,Equipos!$C$2:$M$967,2,FALSE()),"")</f>
        <v>Monitor Multiparámetros</v>
      </c>
      <c r="C1059" s="50" t="str">
        <f aca="false">IFERROR(VLOOKUP($A1059,Equipos!$C$2:$M$967,9,FALSE()),"")</f>
        <v>1393-113289</v>
      </c>
      <c r="D1059" s="50" t="str">
        <f aca="false">IFERROR(VLOOKUP($A1059,Equipos!$C$2:$M$967,3,FALSE()),"")</f>
        <v>UPC 3er Piso</v>
      </c>
      <c r="E1059" s="50" t="str">
        <f aca="false">IFERROR(VLOOKUP($A1059,Equipos!$C$2:$M$967,7,FALSE()),"")</f>
        <v>SPACELABS HEALTHCARE</v>
      </c>
      <c r="F1059" s="50" t="str">
        <f aca="false">IFERROR(VLOOKUP($A1059,Equipos!$C$2:$M$967,8,FALSE()),"")</f>
        <v>XPREZZON</v>
      </c>
      <c r="G1059" s="50" t="s">
        <v>1002</v>
      </c>
      <c r="H1059" s="50" t="s">
        <v>351</v>
      </c>
      <c r="I1059" s="50"/>
      <c r="J1059" s="50" t="s">
        <v>352</v>
      </c>
      <c r="K1059" s="50" t="str">
        <f aca="false">IFERROR(VLOOKUP($J1059,Catálogos!$M$4:$N$17,2,FALSE()),"")</f>
        <v>Mantención Preventiva Realizada</v>
      </c>
      <c r="L1059" s="52" t="n">
        <v>46163</v>
      </c>
      <c r="M1059" s="50" t="s">
        <v>353</v>
      </c>
      <c r="N1059" s="50" t="s">
        <v>63</v>
      </c>
      <c r="O1059" s="50"/>
      <c r="P1059" s="50"/>
      <c r="Q1059" s="50" t="s">
        <v>1042</v>
      </c>
    </row>
    <row r="1060" customFormat="false" ht="15" hidden="false" customHeight="true" outlineLevel="0" collapsed="false">
      <c r="A1060" s="51" t="s">
        <v>1043</v>
      </c>
      <c r="B1060" s="50" t="str">
        <f aca="false">IFERROR(VLOOKUP($A1060,Equipos!$C$2:$M$967,2,FALSE()),"")</f>
        <v>Monitor Multiparámetros</v>
      </c>
      <c r="C1060" s="50" t="str">
        <f aca="false">IFERROR(VLOOKUP($A1060,Equipos!$C$2:$M$967,9,FALSE()),"")</f>
        <v>1393-113290</v>
      </c>
      <c r="D1060" s="50" t="str">
        <f aca="false">IFERROR(VLOOKUP($A1060,Equipos!$C$2:$M$967,3,FALSE()),"")</f>
        <v>UPC 3er Piso</v>
      </c>
      <c r="E1060" s="50" t="str">
        <f aca="false">IFERROR(VLOOKUP($A1060,Equipos!$C$2:$M$967,7,FALSE()),"")</f>
        <v>SPACELABS HEALTHCARE</v>
      </c>
      <c r="F1060" s="50" t="str">
        <f aca="false">IFERROR(VLOOKUP($A1060,Equipos!$C$2:$M$967,8,FALSE()),"")</f>
        <v>XPREZZON</v>
      </c>
      <c r="G1060" s="50" t="s">
        <v>1002</v>
      </c>
      <c r="H1060" s="50" t="s">
        <v>351</v>
      </c>
      <c r="I1060" s="50"/>
      <c r="J1060" s="50" t="s">
        <v>352</v>
      </c>
      <c r="K1060" s="50" t="str">
        <f aca="false">IFERROR(VLOOKUP($J1060,Catálogos!$M$4:$N$17,2,FALSE()),"")</f>
        <v>Mantención Preventiva Realizada</v>
      </c>
      <c r="L1060" s="52" t="n">
        <v>46163</v>
      </c>
      <c r="M1060" s="50" t="s">
        <v>353</v>
      </c>
      <c r="N1060" s="50" t="s">
        <v>63</v>
      </c>
      <c r="O1060" s="50"/>
      <c r="P1060" s="50"/>
      <c r="Q1060" s="50" t="s">
        <v>1044</v>
      </c>
    </row>
    <row r="1061" customFormat="false" ht="15" hidden="false" customHeight="true" outlineLevel="0" collapsed="false">
      <c r="A1061" s="51" t="s">
        <v>1045</v>
      </c>
      <c r="B1061" s="50" t="str">
        <f aca="false">IFERROR(VLOOKUP($A1061,Equipos!$C$2:$M$967,2,FALSE()),"")</f>
        <v>Monitor Multiparámetros</v>
      </c>
      <c r="C1061" s="50" t="str">
        <f aca="false">IFERROR(VLOOKUP($A1061,Equipos!$C$2:$M$967,9,FALSE()),"")</f>
        <v>1393-113292</v>
      </c>
      <c r="D1061" s="50" t="str">
        <f aca="false">IFERROR(VLOOKUP($A1061,Equipos!$C$2:$M$967,3,FALSE()),"")</f>
        <v>UPC 3er Piso</v>
      </c>
      <c r="E1061" s="50" t="str">
        <f aca="false">IFERROR(VLOOKUP($A1061,Equipos!$C$2:$M$967,7,FALSE()),"")</f>
        <v>SPACELABS HEALTHCARE</v>
      </c>
      <c r="F1061" s="50" t="str">
        <f aca="false">IFERROR(VLOOKUP($A1061,Equipos!$C$2:$M$967,8,FALSE()),"")</f>
        <v>XPREZZON</v>
      </c>
      <c r="G1061" s="50" t="s">
        <v>1002</v>
      </c>
      <c r="H1061" s="50" t="s">
        <v>351</v>
      </c>
      <c r="I1061" s="50"/>
      <c r="J1061" s="50" t="s">
        <v>352</v>
      </c>
      <c r="K1061" s="50" t="str">
        <f aca="false">IFERROR(VLOOKUP($J1061,Catálogos!$M$4:$N$17,2,FALSE()),"")</f>
        <v>Mantención Preventiva Realizada</v>
      </c>
      <c r="L1061" s="52" t="n">
        <v>46163</v>
      </c>
      <c r="M1061" s="50" t="s">
        <v>353</v>
      </c>
      <c r="N1061" s="50" t="s">
        <v>63</v>
      </c>
      <c r="O1061" s="50"/>
      <c r="P1061" s="50"/>
      <c r="Q1061" s="50"/>
    </row>
    <row r="1062" customFormat="false" ht="15" hidden="false" customHeight="true" outlineLevel="0" collapsed="false">
      <c r="A1062" s="51" t="s">
        <v>1046</v>
      </c>
      <c r="B1062" s="50" t="str">
        <f aca="false">IFERROR(VLOOKUP($A1062,Equipos!$C$2:$M$967,2,FALSE()),"")</f>
        <v>Monitor Multiparámetros</v>
      </c>
      <c r="C1062" s="50" t="str">
        <f aca="false">IFERROR(VLOOKUP($A1062,Equipos!$C$2:$M$967,9,FALSE()),"")</f>
        <v>1393-113279</v>
      </c>
      <c r="D1062" s="50" t="str">
        <f aca="false">IFERROR(VLOOKUP($A1062,Equipos!$C$2:$M$967,3,FALSE()),"")</f>
        <v>UPC 3er Piso</v>
      </c>
      <c r="E1062" s="50" t="str">
        <f aca="false">IFERROR(VLOOKUP($A1062,Equipos!$C$2:$M$967,7,FALSE()),"")</f>
        <v>SPACELABS HEALTHCARE</v>
      </c>
      <c r="F1062" s="50" t="str">
        <f aca="false">IFERROR(VLOOKUP($A1062,Equipos!$C$2:$M$967,8,FALSE()),"")</f>
        <v>XPREZZON</v>
      </c>
      <c r="G1062" s="50" t="s">
        <v>1002</v>
      </c>
      <c r="H1062" s="50" t="s">
        <v>351</v>
      </c>
      <c r="I1062" s="50"/>
      <c r="J1062" s="50" t="s">
        <v>352</v>
      </c>
      <c r="K1062" s="50" t="str">
        <f aca="false">IFERROR(VLOOKUP($J1062,Catálogos!$M$4:$N$17,2,FALSE()),"")</f>
        <v>Mantención Preventiva Realizada</v>
      </c>
      <c r="L1062" s="52" t="n">
        <v>46163</v>
      </c>
      <c r="M1062" s="50" t="s">
        <v>353</v>
      </c>
      <c r="N1062" s="50" t="s">
        <v>63</v>
      </c>
      <c r="O1062" s="50"/>
      <c r="P1062" s="50"/>
      <c r="Q1062" s="50" t="s">
        <v>1047</v>
      </c>
    </row>
    <row r="1063" customFormat="false" ht="15" hidden="false" customHeight="true" outlineLevel="0" collapsed="false">
      <c r="A1063" s="51" t="s">
        <v>1048</v>
      </c>
      <c r="B1063" s="50" t="str">
        <f aca="false">IFERROR(VLOOKUP($A1063,Equipos!$C$2:$M$967,2,FALSE()),"")</f>
        <v>Monitor Multiparámetros</v>
      </c>
      <c r="C1063" s="50" t="str">
        <f aca="false">IFERROR(VLOOKUP($A1063,Equipos!$C$2:$M$967,9,FALSE()),"")</f>
        <v>1393-113283</v>
      </c>
      <c r="D1063" s="50" t="str">
        <f aca="false">IFERROR(VLOOKUP($A1063,Equipos!$C$2:$M$967,3,FALSE()),"")</f>
        <v>UPC 3er Piso</v>
      </c>
      <c r="E1063" s="50" t="str">
        <f aca="false">IFERROR(VLOOKUP($A1063,Equipos!$C$2:$M$967,7,FALSE()),"")</f>
        <v>SPACELABS HEALTHCARE</v>
      </c>
      <c r="F1063" s="50" t="str">
        <f aca="false">IFERROR(VLOOKUP($A1063,Equipos!$C$2:$M$967,8,FALSE()),"")</f>
        <v>XPREZZON</v>
      </c>
      <c r="G1063" s="50" t="s">
        <v>1002</v>
      </c>
      <c r="H1063" s="50" t="s">
        <v>351</v>
      </c>
      <c r="I1063" s="50"/>
      <c r="J1063" s="50" t="s">
        <v>352</v>
      </c>
      <c r="K1063" s="50" t="str">
        <f aca="false">IFERROR(VLOOKUP($J1063,Catálogos!$M$4:$N$17,2,FALSE()),"")</f>
        <v>Mantención Preventiva Realizada</v>
      </c>
      <c r="L1063" s="52" t="n">
        <v>46163</v>
      </c>
      <c r="M1063" s="50" t="s">
        <v>353</v>
      </c>
      <c r="N1063" s="50" t="s">
        <v>63</v>
      </c>
      <c r="O1063" s="50"/>
      <c r="P1063" s="50"/>
      <c r="Q1063" s="50" t="s">
        <v>1049</v>
      </c>
    </row>
    <row r="1064" customFormat="false" ht="15" hidden="false" customHeight="true" outlineLevel="0" collapsed="false">
      <c r="A1064" s="51" t="s">
        <v>1050</v>
      </c>
      <c r="B1064" s="50" t="str">
        <f aca="false">IFERROR(VLOOKUP($A1064,Equipos!$C$2:$M$967,2,FALSE()),"")</f>
        <v>Monitor Multiparámetros</v>
      </c>
      <c r="C1064" s="50" t="str">
        <f aca="false">IFERROR(VLOOKUP($A1064,Equipos!$C$2:$M$967,9,FALSE()),"")</f>
        <v>1393-114597</v>
      </c>
      <c r="D1064" s="50" t="str">
        <f aca="false">IFERROR(VLOOKUP($A1064,Equipos!$C$2:$M$967,3,FALSE()),"")</f>
        <v>UPC 3er Piso</v>
      </c>
      <c r="E1064" s="50" t="str">
        <f aca="false">IFERROR(VLOOKUP($A1064,Equipos!$C$2:$M$967,7,FALSE()),"")</f>
        <v>SPACELABS HEALTHCARE</v>
      </c>
      <c r="F1064" s="50" t="str">
        <f aca="false">IFERROR(VLOOKUP($A1064,Equipos!$C$2:$M$967,8,FALSE()),"")</f>
        <v>XPREZZON</v>
      </c>
      <c r="G1064" s="50" t="s">
        <v>1002</v>
      </c>
      <c r="H1064" s="50" t="s">
        <v>351</v>
      </c>
      <c r="I1064" s="50"/>
      <c r="J1064" s="50" t="s">
        <v>352</v>
      </c>
      <c r="K1064" s="50" t="str">
        <f aca="false">IFERROR(VLOOKUP($J1064,Catálogos!$M$4:$N$17,2,FALSE()),"")</f>
        <v>Mantención Preventiva Realizada</v>
      </c>
      <c r="L1064" s="52" t="n">
        <v>46163</v>
      </c>
      <c r="M1064" s="50" t="s">
        <v>353</v>
      </c>
      <c r="N1064" s="50" t="s">
        <v>63</v>
      </c>
      <c r="O1064" s="50"/>
      <c r="P1064" s="50"/>
      <c r="Q1064" s="50" t="s">
        <v>1051</v>
      </c>
    </row>
    <row r="1065" customFormat="false" ht="15" hidden="false" customHeight="true" outlineLevel="0" collapsed="false">
      <c r="A1065" s="51" t="s">
        <v>1052</v>
      </c>
      <c r="B1065" s="50" t="str">
        <f aca="false">IFERROR(VLOOKUP($A1065,Equipos!$C$2:$M$967,2,FALSE()),"")</f>
        <v>Monitor Multiparámetros</v>
      </c>
      <c r="C1065" s="50" t="str">
        <f aca="false">IFERROR(VLOOKUP($A1065,Equipos!$C$2:$M$967,9,FALSE()),"")</f>
        <v>1393-114596</v>
      </c>
      <c r="D1065" s="50" t="str">
        <f aca="false">IFERROR(VLOOKUP($A1065,Equipos!$C$2:$M$967,3,FALSE()),"")</f>
        <v>UPC 3er Piso</v>
      </c>
      <c r="E1065" s="50" t="str">
        <f aca="false">IFERROR(VLOOKUP($A1065,Equipos!$C$2:$M$967,7,FALSE()),"")</f>
        <v>SPACELABS HEALTHCARE</v>
      </c>
      <c r="F1065" s="50" t="str">
        <f aca="false">IFERROR(VLOOKUP($A1065,Equipos!$C$2:$M$967,8,FALSE()),"")</f>
        <v>XPREZZON</v>
      </c>
      <c r="G1065" s="50" t="s">
        <v>1002</v>
      </c>
      <c r="H1065" s="50" t="s">
        <v>351</v>
      </c>
      <c r="I1065" s="50"/>
      <c r="J1065" s="50" t="s">
        <v>352</v>
      </c>
      <c r="K1065" s="50" t="str">
        <f aca="false">IFERROR(VLOOKUP($J1065,Catálogos!$M$4:$N$17,2,FALSE()),"")</f>
        <v>Mantención Preventiva Realizada</v>
      </c>
      <c r="L1065" s="52" t="n">
        <v>46163</v>
      </c>
      <c r="M1065" s="50" t="s">
        <v>353</v>
      </c>
      <c r="N1065" s="50" t="s">
        <v>63</v>
      </c>
      <c r="O1065" s="50"/>
      <c r="P1065" s="50"/>
      <c r="Q1065" s="50" t="s">
        <v>1051</v>
      </c>
    </row>
    <row r="1066" customFormat="false" ht="15" hidden="false" customHeight="true" outlineLevel="0" collapsed="false">
      <c r="A1066" s="51" t="s">
        <v>1053</v>
      </c>
      <c r="B1066" s="50" t="str">
        <f aca="false">IFERROR(VLOOKUP($A1066,Equipos!$C$2:$M$967,2,FALSE()),"")</f>
        <v>Monitor Multiparámetros</v>
      </c>
      <c r="C1066" s="50" t="str">
        <f aca="false">IFERROR(VLOOKUP($A1066,Equipos!$C$2:$M$967,9,FALSE()),"")</f>
        <v>1393-114595</v>
      </c>
      <c r="D1066" s="50" t="str">
        <f aca="false">IFERROR(VLOOKUP($A1066,Equipos!$C$2:$M$967,3,FALSE()),"")</f>
        <v>UPC 3er Piso</v>
      </c>
      <c r="E1066" s="50" t="str">
        <f aca="false">IFERROR(VLOOKUP($A1066,Equipos!$C$2:$M$967,7,FALSE()),"")</f>
        <v>SPACELABS HEALTHCARE</v>
      </c>
      <c r="F1066" s="50" t="str">
        <f aca="false">IFERROR(VLOOKUP($A1066,Equipos!$C$2:$M$967,8,FALSE()),"")</f>
        <v>XPREZZON</v>
      </c>
      <c r="G1066" s="50" t="s">
        <v>1002</v>
      </c>
      <c r="H1066" s="50" t="s">
        <v>351</v>
      </c>
      <c r="I1066" s="50"/>
      <c r="J1066" s="50" t="s">
        <v>352</v>
      </c>
      <c r="K1066" s="50" t="str">
        <f aca="false">IFERROR(VLOOKUP($J1066,Catálogos!$M$4:$N$17,2,FALSE()),"")</f>
        <v>Mantención Preventiva Realizada</v>
      </c>
      <c r="L1066" s="52" t="n">
        <v>46163</v>
      </c>
      <c r="M1066" s="50" t="s">
        <v>353</v>
      </c>
      <c r="N1066" s="50" t="s">
        <v>63</v>
      </c>
      <c r="O1066" s="50"/>
      <c r="P1066" s="50"/>
      <c r="Q1066" s="50" t="s">
        <v>1054</v>
      </c>
    </row>
    <row r="1067" customFormat="false" ht="15" hidden="false" customHeight="true" outlineLevel="0" collapsed="false">
      <c r="A1067" s="51" t="s">
        <v>1055</v>
      </c>
      <c r="B1067" s="50" t="str">
        <f aca="false">IFERROR(VLOOKUP($A1067,Equipos!$C$2:$M$967,2,FALSE()),"")</f>
        <v>Monitor Multiparámetros</v>
      </c>
      <c r="C1067" s="50" t="str">
        <f aca="false">IFERROR(VLOOKUP($A1067,Equipos!$C$2:$M$967,9,FALSE()),"")</f>
        <v>1393-114594</v>
      </c>
      <c r="D1067" s="50" t="str">
        <f aca="false">IFERROR(VLOOKUP($A1067,Equipos!$C$2:$M$967,3,FALSE()),"")</f>
        <v>UPC 3er Piso</v>
      </c>
      <c r="E1067" s="50" t="str">
        <f aca="false">IFERROR(VLOOKUP($A1067,Equipos!$C$2:$M$967,7,FALSE()),"")</f>
        <v>SPACELABS HEALTHCARE</v>
      </c>
      <c r="F1067" s="50" t="str">
        <f aca="false">IFERROR(VLOOKUP($A1067,Equipos!$C$2:$M$967,8,FALSE()),"")</f>
        <v>XPREZZON</v>
      </c>
      <c r="G1067" s="50" t="s">
        <v>1002</v>
      </c>
      <c r="H1067" s="50" t="s">
        <v>351</v>
      </c>
      <c r="I1067" s="50"/>
      <c r="J1067" s="50" t="s">
        <v>352</v>
      </c>
      <c r="K1067" s="50" t="str">
        <f aca="false">IFERROR(VLOOKUP($J1067,Catálogos!$M$4:$N$17,2,FALSE()),"")</f>
        <v>Mantención Preventiva Realizada</v>
      </c>
      <c r="L1067" s="52" t="n">
        <v>46163</v>
      </c>
      <c r="M1067" s="50" t="s">
        <v>353</v>
      </c>
      <c r="N1067" s="50" t="s">
        <v>63</v>
      </c>
      <c r="O1067" s="50"/>
      <c r="P1067" s="50"/>
      <c r="Q1067" s="50"/>
    </row>
    <row r="1068" customFormat="false" ht="15" hidden="false" customHeight="true" outlineLevel="0" collapsed="false">
      <c r="A1068" s="51" t="s">
        <v>1056</v>
      </c>
      <c r="B1068" s="50" t="str">
        <f aca="false">IFERROR(VLOOKUP($A1068,Equipos!$C$2:$M$967,2,FALSE()),"")</f>
        <v>Monitor Multiparámetros</v>
      </c>
      <c r="C1068" s="50" t="str">
        <f aca="false">IFERROR(VLOOKUP($A1068,Equipos!$C$2:$M$967,9,FALSE()),"")</f>
        <v>5495706162</v>
      </c>
      <c r="D1068" s="50" t="str">
        <f aca="false">IFERROR(VLOOKUP($A1068,Equipos!$C$2:$M$967,3,FALSE()),"")</f>
        <v>UPC 3er Piso</v>
      </c>
      <c r="E1068" s="50" t="str">
        <f aca="false">IFERROR(VLOOKUP($A1068,Equipos!$C$2:$M$967,7,FALSE()),"")</f>
        <v>Drager</v>
      </c>
      <c r="F1068" s="50" t="str">
        <f aca="false">IFERROR(VLOOKUP($A1068,Equipos!$C$2:$M$967,8,FALSE()),"")</f>
        <v>Infinity Kappa</v>
      </c>
      <c r="G1068" s="50" t="s">
        <v>1002</v>
      </c>
      <c r="H1068" s="50" t="s">
        <v>351</v>
      </c>
      <c r="I1068" s="50"/>
      <c r="J1068" s="50" t="s">
        <v>352</v>
      </c>
      <c r="K1068" s="50" t="str">
        <f aca="false">IFERROR(VLOOKUP($J1068,Catálogos!$M$4:$N$17,2,FALSE()),"")</f>
        <v>Mantención Preventiva Realizada</v>
      </c>
      <c r="L1068" s="52" t="n">
        <v>46163</v>
      </c>
      <c r="M1068" s="50" t="s">
        <v>353</v>
      </c>
      <c r="N1068" s="50" t="s">
        <v>63</v>
      </c>
      <c r="O1068" s="50"/>
      <c r="P1068" s="50"/>
      <c r="Q1068" s="50"/>
    </row>
    <row r="1069" customFormat="false" ht="15" hidden="false" customHeight="true" outlineLevel="0" collapsed="false">
      <c r="A1069" s="51" t="s">
        <v>1057</v>
      </c>
      <c r="B1069" s="50" t="str">
        <f aca="false">IFERROR(VLOOKUP($A1069,Equipos!$C$2:$M$967,2,FALSE()),"")</f>
        <v>Monitor Multiparámetros</v>
      </c>
      <c r="C1069" s="50" t="str">
        <f aca="false">IFERROR(VLOOKUP($A1069,Equipos!$C$2:$M$967,9,FALSE()),"")</f>
        <v>5495709257</v>
      </c>
      <c r="D1069" s="50" t="str">
        <f aca="false">IFERROR(VLOOKUP($A1069,Equipos!$C$2:$M$967,3,FALSE()),"")</f>
        <v>UPC 3er Piso</v>
      </c>
      <c r="E1069" s="50" t="str">
        <f aca="false">IFERROR(VLOOKUP($A1069,Equipos!$C$2:$M$967,7,FALSE()),"")</f>
        <v>Drager</v>
      </c>
      <c r="F1069" s="50" t="str">
        <f aca="false">IFERROR(VLOOKUP($A1069,Equipos!$C$2:$M$967,8,FALSE()),"")</f>
        <v>Infinity Kappa</v>
      </c>
      <c r="G1069" s="50" t="s">
        <v>1002</v>
      </c>
      <c r="H1069" s="50" t="s">
        <v>351</v>
      </c>
      <c r="I1069" s="50"/>
      <c r="J1069" s="50" t="s">
        <v>352</v>
      </c>
      <c r="K1069" s="50" t="str">
        <f aca="false">IFERROR(VLOOKUP($J1069,Catálogos!$M$4:$N$17,2,FALSE()),"")</f>
        <v>Mantención Preventiva Realizada</v>
      </c>
      <c r="L1069" s="52" t="n">
        <v>46163</v>
      </c>
      <c r="M1069" s="50" t="s">
        <v>353</v>
      </c>
      <c r="N1069" s="50" t="s">
        <v>63</v>
      </c>
      <c r="O1069" s="50"/>
      <c r="P1069" s="50"/>
      <c r="Q1069" s="50"/>
    </row>
    <row r="1070" customFormat="false" ht="15" hidden="false" customHeight="true" outlineLevel="0" collapsed="false">
      <c r="A1070" s="51" t="s">
        <v>1058</v>
      </c>
      <c r="B1070" s="50" t="str">
        <f aca="false">IFERROR(VLOOKUP($A1070,Equipos!$C$2:$M$967,2,FALSE()),"")</f>
        <v>Monitor Multiparámetros</v>
      </c>
      <c r="C1070" s="50" t="str">
        <f aca="false">IFERROR(VLOOKUP($A1070,Equipos!$C$2:$M$967,9,FALSE()),"")</f>
        <v>5495679556</v>
      </c>
      <c r="D1070" s="50" t="str">
        <f aca="false">IFERROR(VLOOKUP($A1070,Equipos!$C$2:$M$967,3,FALSE()),"")</f>
        <v>UPC 3er Piso</v>
      </c>
      <c r="E1070" s="50" t="str">
        <f aca="false">IFERROR(VLOOKUP($A1070,Equipos!$C$2:$M$967,7,FALSE()),"")</f>
        <v>Drager</v>
      </c>
      <c r="F1070" s="50" t="str">
        <f aca="false">IFERROR(VLOOKUP($A1070,Equipos!$C$2:$M$967,8,FALSE()),"")</f>
        <v>Infinity Kappa</v>
      </c>
      <c r="G1070" s="50" t="s">
        <v>1002</v>
      </c>
      <c r="H1070" s="50" t="s">
        <v>351</v>
      </c>
      <c r="I1070" s="50"/>
      <c r="J1070" s="50" t="s">
        <v>352</v>
      </c>
      <c r="K1070" s="50" t="str">
        <f aca="false">IFERROR(VLOOKUP($J1070,Catálogos!$M$4:$N$17,2,FALSE()),"")</f>
        <v>Mantención Preventiva Realizada</v>
      </c>
      <c r="L1070" s="52" t="n">
        <v>46163</v>
      </c>
      <c r="M1070" s="50" t="s">
        <v>353</v>
      </c>
      <c r="N1070" s="50" t="s">
        <v>63</v>
      </c>
      <c r="O1070" s="50"/>
      <c r="P1070" s="50"/>
      <c r="Q1070" s="50" t="s">
        <v>1059</v>
      </c>
    </row>
    <row r="1071" customFormat="false" ht="15" hidden="false" customHeight="true" outlineLevel="0" collapsed="false">
      <c r="A1071" s="51" t="s">
        <v>1060</v>
      </c>
      <c r="B1071" s="50" t="str">
        <f aca="false">IFERROR(VLOOKUP($A1071,Equipos!$C$2:$M$967,2,FALSE()),"")</f>
        <v>Monitor Multiparámetros</v>
      </c>
      <c r="C1071" s="50" t="str">
        <f aca="false">IFERROR(VLOOKUP($A1071,Equipos!$C$2:$M$967,9,FALSE()),"")</f>
        <v>5495318955</v>
      </c>
      <c r="D1071" s="50" t="str">
        <f aca="false">IFERROR(VLOOKUP($A1071,Equipos!$C$2:$M$967,3,FALSE()),"")</f>
        <v>UPC Adulto (Prestado a UPC 3er piso)</v>
      </c>
      <c r="E1071" s="50" t="str">
        <f aca="false">IFERROR(VLOOKUP($A1071,Equipos!$C$2:$M$967,7,FALSE()),"")</f>
        <v>Drager</v>
      </c>
      <c r="F1071" s="50" t="str">
        <f aca="false">IFERROR(VLOOKUP($A1071,Equipos!$C$2:$M$967,8,FALSE()),"")</f>
        <v>Infinity Kappa</v>
      </c>
      <c r="G1071" s="50" t="s">
        <v>1002</v>
      </c>
      <c r="H1071" s="50" t="s">
        <v>351</v>
      </c>
      <c r="I1071" s="50"/>
      <c r="J1071" s="50" t="s">
        <v>352</v>
      </c>
      <c r="K1071" s="50" t="str">
        <f aca="false">IFERROR(VLOOKUP($J1071,Catálogos!$M$4:$N$17,2,FALSE()),"")</f>
        <v>Mantención Preventiva Realizada</v>
      </c>
      <c r="L1071" s="52" t="n">
        <v>46163</v>
      </c>
      <c r="M1071" s="50" t="s">
        <v>353</v>
      </c>
      <c r="N1071" s="50" t="s">
        <v>63</v>
      </c>
      <c r="O1071" s="50"/>
      <c r="P1071" s="50"/>
      <c r="Q1071" s="50" t="s">
        <v>1061</v>
      </c>
    </row>
    <row r="1072" customFormat="false" ht="15" hidden="false" customHeight="true" outlineLevel="0" collapsed="false">
      <c r="A1072" s="51" t="s">
        <v>665</v>
      </c>
      <c r="B1072" s="50" t="str">
        <f aca="false">IFERROR(VLOOKUP($A1072,Equipos!$C$2:$M$967,2,FALSE()),"")</f>
        <v>Incubadora</v>
      </c>
      <c r="C1072" s="50" t="str">
        <f aca="false">IFERROR(VLOOKUP($A1072,Equipos!$C$2:$M$967,9,FALSE()),"")</f>
        <v>ASJL-0006</v>
      </c>
      <c r="D1072" s="50" t="str">
        <f aca="false">IFERROR(VLOOKUP($A1072,Equipos!$C$2:$M$967,3,FALSE()),"")</f>
        <v>Neonatología</v>
      </c>
      <c r="E1072" s="50" t="str">
        <f aca="false">IFERROR(VLOOKUP($A1072,Equipos!$C$2:$M$967,7,FALSE()),"")</f>
        <v>DRAGER</v>
      </c>
      <c r="F1072" s="50" t="str">
        <f aca="false">IFERROR(VLOOKUP($A1072,Equipos!$C$2:$M$967,8,FALSE()),"")</f>
        <v>CALEO</v>
      </c>
      <c r="G1072" s="50" t="s">
        <v>1002</v>
      </c>
      <c r="H1072" s="50" t="s">
        <v>351</v>
      </c>
      <c r="I1072" s="50"/>
      <c r="J1072" s="50" t="s">
        <v>352</v>
      </c>
      <c r="K1072" s="50" t="str">
        <f aca="false">IFERROR(VLOOKUP($J1072,Catálogos!$M$4:$N$17,2,FALSE()),"")</f>
        <v>Mantención Preventiva Realizada</v>
      </c>
      <c r="L1072" s="52" t="n">
        <v>46164</v>
      </c>
      <c r="M1072" s="50" t="s">
        <v>353</v>
      </c>
      <c r="N1072" s="50" t="s">
        <v>193</v>
      </c>
      <c r="O1072" s="50"/>
      <c r="P1072" s="50"/>
      <c r="Q1072" s="50"/>
    </row>
    <row r="1073" customFormat="false" ht="15" hidden="false" customHeight="true" outlineLevel="0" collapsed="false">
      <c r="A1073" s="51" t="s">
        <v>664</v>
      </c>
      <c r="B1073" s="50" t="str">
        <f aca="false">IFERROR(VLOOKUP($A1073,Equipos!$C$2:$M$967,2,FALSE()),"")</f>
        <v>Incubadora</v>
      </c>
      <c r="C1073" s="50" t="str">
        <f aca="false">IFERROR(VLOOKUP($A1073,Equipos!$C$2:$M$967,9,FALSE()),"")</f>
        <v>ASJL-0013</v>
      </c>
      <c r="D1073" s="50" t="str">
        <f aca="false">IFERROR(VLOOKUP($A1073,Equipos!$C$2:$M$967,3,FALSE()),"")</f>
        <v>Neonatología</v>
      </c>
      <c r="E1073" s="50" t="str">
        <f aca="false">IFERROR(VLOOKUP($A1073,Equipos!$C$2:$M$967,7,FALSE()),"")</f>
        <v>DRAGER</v>
      </c>
      <c r="F1073" s="50" t="str">
        <f aca="false">IFERROR(VLOOKUP($A1073,Equipos!$C$2:$M$967,8,FALSE()),"")</f>
        <v>CALEO</v>
      </c>
      <c r="G1073" s="50" t="s">
        <v>1002</v>
      </c>
      <c r="H1073" s="50" t="s">
        <v>351</v>
      </c>
      <c r="I1073" s="50"/>
      <c r="J1073" s="50" t="s">
        <v>352</v>
      </c>
      <c r="K1073" s="50" t="str">
        <f aca="false">IFERROR(VLOOKUP($J1073,Catálogos!$M$4:$N$17,2,FALSE()),"")</f>
        <v>Mantención Preventiva Realizada</v>
      </c>
      <c r="L1073" s="52" t="n">
        <v>46164</v>
      </c>
      <c r="M1073" s="50" t="s">
        <v>353</v>
      </c>
      <c r="N1073" s="50" t="s">
        <v>193</v>
      </c>
      <c r="O1073" s="50"/>
      <c r="P1073" s="50"/>
      <c r="Q1073" s="50"/>
    </row>
    <row r="1074" customFormat="false" ht="15" hidden="false" customHeight="true" outlineLevel="0" collapsed="false">
      <c r="A1074" s="51" t="s">
        <v>668</v>
      </c>
      <c r="B1074" s="50" t="str">
        <f aca="false">IFERROR(VLOOKUP($A1074,Equipos!$C$2:$M$967,2,FALSE()),"")</f>
        <v>Incubadora</v>
      </c>
      <c r="C1074" s="50" t="str">
        <f aca="false">IFERROR(VLOOKUP($A1074,Equipos!$C$2:$M$967,9,FALSE()),"")</f>
        <v>ASJL-0039</v>
      </c>
      <c r="D1074" s="50" t="str">
        <f aca="false">IFERROR(VLOOKUP($A1074,Equipos!$C$2:$M$967,3,FALSE()),"")</f>
        <v>Neonatología</v>
      </c>
      <c r="E1074" s="50" t="str">
        <f aca="false">IFERROR(VLOOKUP($A1074,Equipos!$C$2:$M$967,7,FALSE()),"")</f>
        <v>DRAGER</v>
      </c>
      <c r="F1074" s="50" t="str">
        <f aca="false">IFERROR(VLOOKUP($A1074,Equipos!$C$2:$M$967,8,FALSE()),"")</f>
        <v>CALEO</v>
      </c>
      <c r="G1074" s="50" t="s">
        <v>1002</v>
      </c>
      <c r="H1074" s="50" t="s">
        <v>351</v>
      </c>
      <c r="I1074" s="50"/>
      <c r="J1074" s="50" t="s">
        <v>352</v>
      </c>
      <c r="K1074" s="50" t="str">
        <f aca="false">IFERROR(VLOOKUP($J1074,Catálogos!$M$4:$N$17,2,FALSE()),"")</f>
        <v>Mantención Preventiva Realizada</v>
      </c>
      <c r="L1074" s="52" t="n">
        <v>46164</v>
      </c>
      <c r="M1074" s="50" t="s">
        <v>353</v>
      </c>
      <c r="N1074" s="50" t="s">
        <v>193</v>
      </c>
      <c r="O1074" s="50"/>
      <c r="P1074" s="50"/>
      <c r="Q1074" s="50"/>
    </row>
    <row r="1075" customFormat="false" ht="15" hidden="false" customHeight="true" outlineLevel="0" collapsed="false">
      <c r="A1075" s="51" t="s">
        <v>677</v>
      </c>
      <c r="B1075" s="50" t="str">
        <f aca="false">IFERROR(VLOOKUP($A1075,Equipos!$C$2:$M$967,2,FALSE()),"")</f>
        <v>Incubadora</v>
      </c>
      <c r="C1075" s="50" t="str">
        <f aca="false">IFERROR(VLOOKUP($A1075,Equipos!$C$2:$M$967,9,FALSE()),"")</f>
        <v>ASDA-0010</v>
      </c>
      <c r="D1075" s="50" t="str">
        <f aca="false">IFERROR(VLOOKUP($A1075,Equipos!$C$2:$M$967,3,FALSE()),"")</f>
        <v>Neonatología</v>
      </c>
      <c r="E1075" s="50" t="str">
        <f aca="false">IFERROR(VLOOKUP($A1075,Equipos!$C$2:$M$967,7,FALSE()),"")</f>
        <v>DRAGER</v>
      </c>
      <c r="F1075" s="50" t="str">
        <f aca="false">IFERROR(VLOOKUP($A1075,Equipos!$C$2:$M$967,8,FALSE()),"")</f>
        <v>CALEO</v>
      </c>
      <c r="G1075" s="50" t="s">
        <v>1002</v>
      </c>
      <c r="H1075" s="50" t="s">
        <v>351</v>
      </c>
      <c r="I1075" s="50"/>
      <c r="J1075" s="50" t="s">
        <v>352</v>
      </c>
      <c r="K1075" s="50" t="str">
        <f aca="false">IFERROR(VLOOKUP($J1075,Catálogos!$M$4:$N$17,2,FALSE()),"")</f>
        <v>Mantención Preventiva Realizada</v>
      </c>
      <c r="L1075" s="52" t="n">
        <v>46164</v>
      </c>
      <c r="M1075" s="50" t="s">
        <v>353</v>
      </c>
      <c r="N1075" s="50" t="s">
        <v>193</v>
      </c>
      <c r="O1075" s="50"/>
      <c r="P1075" s="50"/>
      <c r="Q1075" s="50"/>
    </row>
    <row r="1076" customFormat="false" ht="15" hidden="false" customHeight="true" outlineLevel="0" collapsed="false">
      <c r="A1076" s="51" t="s">
        <v>678</v>
      </c>
      <c r="B1076" s="50" t="str">
        <f aca="false">IFERROR(VLOOKUP($A1076,Equipos!$C$2:$M$967,2,FALSE()),"")</f>
        <v>Incubadora</v>
      </c>
      <c r="C1076" s="50" t="str">
        <f aca="false">IFERROR(VLOOKUP($A1076,Equipos!$C$2:$M$967,9,FALSE()),"")</f>
        <v>ASDA-0009</v>
      </c>
      <c r="D1076" s="50" t="str">
        <f aca="false">IFERROR(VLOOKUP($A1076,Equipos!$C$2:$M$967,3,FALSE()),"")</f>
        <v>Neonatología</v>
      </c>
      <c r="E1076" s="50" t="str">
        <f aca="false">IFERROR(VLOOKUP($A1076,Equipos!$C$2:$M$967,7,FALSE()),"")</f>
        <v>DRAGER</v>
      </c>
      <c r="F1076" s="50" t="str">
        <f aca="false">IFERROR(VLOOKUP($A1076,Equipos!$C$2:$M$967,8,FALSE()),"")</f>
        <v>CALEO</v>
      </c>
      <c r="G1076" s="50" t="s">
        <v>1002</v>
      </c>
      <c r="H1076" s="50" t="s">
        <v>351</v>
      </c>
      <c r="I1076" s="50"/>
      <c r="J1076" s="50" t="s">
        <v>352</v>
      </c>
      <c r="K1076" s="50" t="str">
        <f aca="false">IFERROR(VLOOKUP($J1076,Catálogos!$M$4:$N$17,2,FALSE()),"")</f>
        <v>Mantención Preventiva Realizada</v>
      </c>
      <c r="L1076" s="52" t="n">
        <v>46164</v>
      </c>
      <c r="M1076" s="50" t="s">
        <v>353</v>
      </c>
      <c r="N1076" s="50" t="s">
        <v>193</v>
      </c>
      <c r="O1076" s="50"/>
      <c r="P1076" s="50"/>
      <c r="Q1076" s="50"/>
    </row>
    <row r="1077" customFormat="false" ht="15" hidden="false" customHeight="true" outlineLevel="0" collapsed="false">
      <c r="A1077" s="51" t="s">
        <v>680</v>
      </c>
      <c r="B1077" s="50" t="str">
        <f aca="false">IFERROR(VLOOKUP($A1077,Equipos!$C$2:$M$967,2,FALSE()),"")</f>
        <v>Incubadora</v>
      </c>
      <c r="C1077" s="50" t="str">
        <f aca="false">IFERROR(VLOOKUP($A1077,Equipos!$C$2:$M$967,9,FALSE()),"")</f>
        <v>ASLB-0009</v>
      </c>
      <c r="D1077" s="50" t="str">
        <f aca="false">IFERROR(VLOOKUP($A1077,Equipos!$C$2:$M$967,3,FALSE()),"")</f>
        <v>Neonatología</v>
      </c>
      <c r="E1077" s="50" t="str">
        <f aca="false">IFERROR(VLOOKUP($A1077,Equipos!$C$2:$M$967,7,FALSE()),"")</f>
        <v>DRAGER</v>
      </c>
      <c r="F1077" s="50" t="str">
        <f aca="false">IFERROR(VLOOKUP($A1077,Equipos!$C$2:$M$967,8,FALSE()),"")</f>
        <v>CALEO</v>
      </c>
      <c r="G1077" s="50" t="s">
        <v>1002</v>
      </c>
      <c r="H1077" s="50" t="s">
        <v>351</v>
      </c>
      <c r="I1077" s="50"/>
      <c r="J1077" s="50" t="s">
        <v>352</v>
      </c>
      <c r="K1077" s="50" t="str">
        <f aca="false">IFERROR(VLOOKUP($J1077,Catálogos!$M$4:$N$17,2,FALSE()),"")</f>
        <v>Mantención Preventiva Realizada</v>
      </c>
      <c r="L1077" s="52" t="n">
        <v>46164</v>
      </c>
      <c r="M1077" s="50" t="s">
        <v>353</v>
      </c>
      <c r="N1077" s="50" t="s">
        <v>193</v>
      </c>
      <c r="O1077" s="50"/>
      <c r="P1077" s="50"/>
      <c r="Q1077" s="50"/>
    </row>
    <row r="1078" customFormat="false" ht="15" hidden="false" customHeight="true" outlineLevel="0" collapsed="false">
      <c r="A1078" s="51" t="s">
        <v>1062</v>
      </c>
      <c r="B1078" s="50" t="str">
        <f aca="false">IFERROR(VLOOKUP($A1078,Equipos!$C$2:$M$967,2,FALSE()),"")</f>
        <v>Monitor Multiparámetros</v>
      </c>
      <c r="C1078" s="50" t="str">
        <f aca="false">IFERROR(VLOOKUP($A1078,Equipos!$C$2:$M$967,9,FALSE()),"")</f>
        <v>131641</v>
      </c>
      <c r="D1078" s="50" t="str">
        <f aca="false">IFERROR(VLOOKUP($A1078,Equipos!$C$2:$M$967,3,FALSE()),"")</f>
        <v>Unidad Evaluación Paciente Imputado</v>
      </c>
      <c r="E1078" s="50" t="str">
        <f aca="false">IFERROR(VLOOKUP($A1078,Equipos!$C$2:$M$967,7,FALSE()),"")</f>
        <v>Nihon Kohden </v>
      </c>
      <c r="F1078" s="50" t="str">
        <f aca="false">IFERROR(VLOOKUP($A1078,Equipos!$C$2:$M$967,8,FALSE()),"")</f>
        <v>Vismo 2701K</v>
      </c>
      <c r="G1078" s="50" t="s">
        <v>1002</v>
      </c>
      <c r="H1078" s="50" t="s">
        <v>351</v>
      </c>
      <c r="I1078" s="50"/>
      <c r="J1078" s="50" t="s">
        <v>352</v>
      </c>
      <c r="K1078" s="50" t="str">
        <f aca="false">IFERROR(VLOOKUP($J1078,Catálogos!$M$4:$N$17,2,FALSE()),"")</f>
        <v>Mantención Preventiva Realizada</v>
      </c>
      <c r="L1078" s="52" t="n">
        <v>46164</v>
      </c>
      <c r="M1078" s="50" t="s">
        <v>353</v>
      </c>
      <c r="N1078" s="50" t="s">
        <v>63</v>
      </c>
      <c r="O1078" s="50"/>
      <c r="P1078" s="50"/>
      <c r="Q1078" s="50"/>
    </row>
    <row r="1079" customFormat="false" ht="15" hidden="false" customHeight="true" outlineLevel="0" collapsed="false">
      <c r="A1079" s="51" t="s">
        <v>71</v>
      </c>
      <c r="B1079" s="50" t="str">
        <f aca="false">IFERROR(VLOOKUP($A1079,Equipos!$C$2:$M$967,2,FALSE()),"")</f>
        <v>DEA</v>
      </c>
      <c r="C1079" s="50" t="str">
        <f aca="false">IFERROR(VLOOKUP($A1079,Equipos!$C$2:$M$967,9,FALSE()),"")</f>
        <v>40361</v>
      </c>
      <c r="D1079" s="50" t="str">
        <f aca="false">IFERROR(VLOOKUP($A1079,Equipos!$C$2:$M$967,3,FALSE()),"")</f>
        <v>CDT</v>
      </c>
      <c r="E1079" s="50" t="str">
        <f aca="false">IFERROR(VLOOKUP($A1079,Equipos!$C$2:$M$967,7,FALSE()),"")</f>
        <v>Nihon Kohden</v>
      </c>
      <c r="F1079" s="50" t="str">
        <f aca="false">IFERROR(VLOOKUP($A1079,Equipos!$C$2:$M$967,8,FALSE()),"")</f>
        <v>AED-3100K</v>
      </c>
      <c r="G1079" s="50" t="s">
        <v>1002</v>
      </c>
      <c r="H1079" s="50" t="s">
        <v>351</v>
      </c>
      <c r="I1079" s="50"/>
      <c r="J1079" s="50" t="s">
        <v>352</v>
      </c>
      <c r="K1079" s="50" t="str">
        <f aca="false">IFERROR(VLOOKUP($J1079,Catálogos!$M$4:$N$17,2,FALSE()),"")</f>
        <v>Mantención Preventiva Realizada</v>
      </c>
      <c r="L1079" s="52" t="n">
        <v>46164</v>
      </c>
      <c r="M1079" s="50" t="s">
        <v>353</v>
      </c>
      <c r="N1079" s="50" t="s">
        <v>63</v>
      </c>
      <c r="O1079" s="50"/>
      <c r="P1079" s="50"/>
      <c r="Q1079" s="50"/>
    </row>
    <row r="1080" customFormat="false" ht="15" hidden="false" customHeight="true" outlineLevel="0" collapsed="false">
      <c r="A1080" s="51" t="s">
        <v>89</v>
      </c>
      <c r="B1080" s="50" t="str">
        <f aca="false">IFERROR(VLOOKUP($A1080,Equipos!$C$2:$M$967,2,FALSE()),"")</f>
        <v>DEA</v>
      </c>
      <c r="C1080" s="50" t="str">
        <f aca="false">IFERROR(VLOOKUP($A1080,Equipos!$C$2:$M$967,9,FALSE()),"")</f>
        <v>40422</v>
      </c>
      <c r="D1080" s="50" t="str">
        <f aca="false">IFERROR(VLOOKUP($A1080,Equipos!$C$2:$M$967,3,FALSE()),"")</f>
        <v>CDT</v>
      </c>
      <c r="E1080" s="50" t="str">
        <f aca="false">IFERROR(VLOOKUP($A1080,Equipos!$C$2:$M$967,7,FALSE()),"")</f>
        <v>Nihon Kohden</v>
      </c>
      <c r="F1080" s="50" t="str">
        <f aca="false">IFERROR(VLOOKUP($A1080,Equipos!$C$2:$M$967,8,FALSE()),"")</f>
        <v>AED-3100K</v>
      </c>
      <c r="G1080" s="50" t="s">
        <v>1002</v>
      </c>
      <c r="H1080" s="50" t="s">
        <v>351</v>
      </c>
      <c r="I1080" s="50"/>
      <c r="J1080" s="50" t="s">
        <v>352</v>
      </c>
      <c r="K1080" s="50" t="str">
        <f aca="false">IFERROR(VLOOKUP($J1080,Catálogos!$M$4:$N$17,2,FALSE()),"")</f>
        <v>Mantención Preventiva Realizada</v>
      </c>
      <c r="L1080" s="52" t="n">
        <v>46164</v>
      </c>
      <c r="M1080" s="50" t="s">
        <v>353</v>
      </c>
      <c r="N1080" s="50" t="s">
        <v>63</v>
      </c>
      <c r="O1080" s="50"/>
      <c r="P1080" s="50"/>
      <c r="Q1080" s="50"/>
    </row>
    <row r="1081" customFormat="false" ht="15" hidden="false" customHeight="true" outlineLevel="0" collapsed="false">
      <c r="A1081" s="51" t="s">
        <v>512</v>
      </c>
      <c r="B1081" s="50" t="str">
        <f aca="false">IFERROR(VLOOKUP($A1081,Equipos!$C$2:$M$967,2,FALSE()),"")</f>
        <v>DEA</v>
      </c>
      <c r="C1081" s="50" t="str">
        <f aca="false">IFERROR(VLOOKUP($A1081,Equipos!$C$2:$M$967,9,FALSE()),"")</f>
        <v>13042</v>
      </c>
      <c r="D1081" s="50" t="str">
        <f aca="false">IFERROR(VLOOKUP($A1081,Equipos!$C$2:$M$967,3,FALSE()),"")</f>
        <v>Unidad Evaluación Paciente Imputado</v>
      </c>
      <c r="E1081" s="50" t="str">
        <f aca="false">IFERROR(VLOOKUP($A1081,Equipos!$C$2:$M$967,7,FALSE()),"")</f>
        <v>Nihon Kohden</v>
      </c>
      <c r="F1081" s="50" t="str">
        <f aca="false">IFERROR(VLOOKUP($A1081,Equipos!$C$2:$M$967,8,FALSE()),"")</f>
        <v>AED-3100</v>
      </c>
      <c r="G1081" s="50" t="s">
        <v>1002</v>
      </c>
      <c r="H1081" s="50" t="s">
        <v>351</v>
      </c>
      <c r="I1081" s="50"/>
      <c r="J1081" s="50" t="s">
        <v>352</v>
      </c>
      <c r="K1081" s="50" t="str">
        <f aca="false">IFERROR(VLOOKUP($J1081,Catálogos!$M$4:$N$17,2,FALSE()),"")</f>
        <v>Mantención Preventiva Realizada</v>
      </c>
      <c r="L1081" s="52" t="n">
        <v>46164</v>
      </c>
      <c r="M1081" s="50" t="s">
        <v>353</v>
      </c>
      <c r="N1081" s="50" t="s">
        <v>63</v>
      </c>
      <c r="O1081" s="50"/>
      <c r="P1081" s="50"/>
      <c r="Q1081" s="50"/>
    </row>
    <row r="1082" customFormat="false" ht="15" hidden="false" customHeight="true" outlineLevel="0" collapsed="false">
      <c r="A1082" s="51" t="s">
        <v>148</v>
      </c>
      <c r="B1082" s="50" t="str">
        <f aca="false">IFERROR(VLOOKUP($A1082,Equipos!$C$2:$M$967,2,FALSE()),"")</f>
        <v>Monitor Multiparámetros</v>
      </c>
      <c r="C1082" s="50" t="str">
        <f aca="false">IFERROR(VLOOKUP($A1082,Equipos!$C$2:$M$967,9,FALSE()),"")</f>
        <v>G3HQ40045</v>
      </c>
      <c r="D1082" s="50" t="str">
        <f aca="false">IFERROR(VLOOKUP($A1082,Equipos!$C$2:$M$967,3,FALSE()),"")</f>
        <v>Servicio Social</v>
      </c>
      <c r="E1082" s="50" t="str">
        <f aca="false">IFERROR(VLOOKUP($A1082,Equipos!$C$2:$M$967,7,FALSE()),"")</f>
        <v>General Meditech</v>
      </c>
      <c r="F1082" s="50" t="str">
        <f aca="false">IFERROR(VLOOKUP($A1082,Equipos!$C$2:$M$967,8,FALSE()),"")</f>
        <v>G3H</v>
      </c>
      <c r="G1082" s="50" t="s">
        <v>1002</v>
      </c>
      <c r="H1082" s="50" t="s">
        <v>351</v>
      </c>
      <c r="I1082" s="50"/>
      <c r="J1082" s="50" t="s">
        <v>352</v>
      </c>
      <c r="K1082" s="50" t="str">
        <f aca="false">IFERROR(VLOOKUP($J1082,Catálogos!$M$4:$N$17,2,FALSE()),"")</f>
        <v>Mantención Preventiva Realizada</v>
      </c>
      <c r="L1082" s="52" t="n">
        <v>46168</v>
      </c>
      <c r="M1082" s="50" t="s">
        <v>353</v>
      </c>
      <c r="N1082" s="50" t="s">
        <v>141</v>
      </c>
      <c r="O1082" s="50"/>
      <c r="P1082" s="50"/>
      <c r="Q1082" s="50"/>
    </row>
    <row r="1083" customFormat="false" ht="15" hidden="false" customHeight="true" outlineLevel="0" collapsed="false">
      <c r="A1083" s="51" t="s">
        <v>144</v>
      </c>
      <c r="B1083" s="50" t="str">
        <f aca="false">IFERROR(VLOOKUP($A1083,Equipos!$C$2:$M$967,2,FALSE()),"")</f>
        <v>Monitor Multiparámetros</v>
      </c>
      <c r="C1083" s="50" t="str">
        <f aca="false">IFERROR(VLOOKUP($A1083,Equipos!$C$2:$M$967,9,FALSE()),"")</f>
        <v>PSHH501479</v>
      </c>
      <c r="D1083" s="50" t="str">
        <f aca="false">IFERROR(VLOOKUP($A1083,Equipos!$C$2:$M$967,3,FALSE()),"")</f>
        <v>Servicio Social</v>
      </c>
      <c r="E1083" s="50" t="str">
        <f aca="false">IFERROR(VLOOKUP($A1083,Equipos!$C$2:$M$967,7,FALSE()),"")</f>
        <v>Sinohero</v>
      </c>
      <c r="F1083" s="50" t="str">
        <f aca="false">IFERROR(VLOOKUP($A1083,Equipos!$C$2:$M$967,8,FALSE()),"")</f>
        <v>H5</v>
      </c>
      <c r="G1083" s="50" t="s">
        <v>1002</v>
      </c>
      <c r="H1083" s="50" t="s">
        <v>351</v>
      </c>
      <c r="I1083" s="50"/>
      <c r="J1083" s="50" t="s">
        <v>352</v>
      </c>
      <c r="K1083" s="50" t="str">
        <f aca="false">IFERROR(VLOOKUP($J1083,Catálogos!$M$4:$N$17,2,FALSE()),"")</f>
        <v>Mantención Preventiva Realizada</v>
      </c>
      <c r="L1083" s="52" t="n">
        <v>46168</v>
      </c>
      <c r="M1083" s="50" t="s">
        <v>353</v>
      </c>
      <c r="N1083" s="50" t="s">
        <v>141</v>
      </c>
      <c r="O1083" s="50"/>
      <c r="P1083" s="50"/>
      <c r="Q1083" s="50"/>
    </row>
    <row r="1084" customFormat="false" ht="15" hidden="false" customHeight="true" outlineLevel="0" collapsed="false">
      <c r="A1084" s="51" t="s">
        <v>25</v>
      </c>
      <c r="B1084" s="50" t="str">
        <f aca="false">IFERROR(VLOOKUP($A1084,Equipos!$C$2:$M$967,2,FALSE()),"")</f>
        <v>Ventilador Mecánico </v>
      </c>
      <c r="C1084" s="50" t="str">
        <f aca="false">IFERROR(VLOOKUP($A1084,Equipos!$C$2:$M$967,9,FALSE()),"")</f>
        <v>ASFN-0008</v>
      </c>
      <c r="D1084" s="50" t="str">
        <f aca="false">IFERROR(VLOOKUP($A1084,Equipos!$C$2:$M$967,3,FALSE()),"")</f>
        <v>UPC Adulto</v>
      </c>
      <c r="E1084" s="50" t="str">
        <f aca="false">IFERROR(VLOOKUP($A1084,Equipos!$C$2:$M$967,7,FALSE()),"")</f>
        <v>Drager</v>
      </c>
      <c r="F1084" s="50" t="str">
        <f aca="false">IFERROR(VLOOKUP($A1084,Equipos!$C$2:$M$967,8,FALSE()),"")</f>
        <v>Carina </v>
      </c>
      <c r="G1084" s="50" t="s">
        <v>1002</v>
      </c>
      <c r="H1084" s="50" t="s">
        <v>351</v>
      </c>
      <c r="I1084" s="50"/>
      <c r="J1084" s="50" t="s">
        <v>352</v>
      </c>
      <c r="K1084" s="50" t="str">
        <f aca="false">IFERROR(VLOOKUP($J1084,Catálogos!$M$4:$N$17,2,FALSE()),"")</f>
        <v>Mantención Preventiva Realizada</v>
      </c>
      <c r="L1084" s="52" t="n">
        <v>46168</v>
      </c>
      <c r="M1084" s="50" t="s">
        <v>353</v>
      </c>
      <c r="N1084" s="50" t="s">
        <v>162</v>
      </c>
      <c r="O1084" s="50"/>
      <c r="P1084" s="50"/>
      <c r="Q1084" s="50"/>
    </row>
    <row r="1085" customFormat="false" ht="15" hidden="false" customHeight="true" outlineLevel="0" collapsed="false">
      <c r="A1085" s="51" t="s">
        <v>161</v>
      </c>
      <c r="B1085" s="50" t="str">
        <f aca="false">IFERROR(VLOOKUP($A1085,Equipos!$C$2:$M$967,2,FALSE()),"")</f>
        <v>Ventilador Mecánico </v>
      </c>
      <c r="C1085" s="50" t="str">
        <f aca="false">IFERROR(VLOOKUP($A1085,Equipos!$C$2:$M$967,9,FALSE()),"")</f>
        <v>ASFN-0006</v>
      </c>
      <c r="D1085" s="50" t="str">
        <f aca="false">IFERROR(VLOOKUP($A1085,Equipos!$C$2:$M$967,3,FALSE()),"")</f>
        <v>UPC Adulto</v>
      </c>
      <c r="E1085" s="50" t="str">
        <f aca="false">IFERROR(VLOOKUP($A1085,Equipos!$C$2:$M$967,7,FALSE()),"")</f>
        <v>Drager</v>
      </c>
      <c r="F1085" s="50" t="str">
        <f aca="false">IFERROR(VLOOKUP($A1085,Equipos!$C$2:$M$967,8,FALSE()),"")</f>
        <v>Carina </v>
      </c>
      <c r="G1085" s="50" t="s">
        <v>1002</v>
      </c>
      <c r="H1085" s="50" t="s">
        <v>351</v>
      </c>
      <c r="I1085" s="50"/>
      <c r="J1085" s="50" t="s">
        <v>352</v>
      </c>
      <c r="K1085" s="50" t="str">
        <f aca="false">IFERROR(VLOOKUP($J1085,Catálogos!$M$4:$N$17,2,FALSE()),"")</f>
        <v>Mantención Preventiva Realizada</v>
      </c>
      <c r="L1085" s="52" t="n">
        <v>46168</v>
      </c>
      <c r="M1085" s="50" t="s">
        <v>353</v>
      </c>
      <c r="N1085" s="50" t="s">
        <v>162</v>
      </c>
      <c r="O1085" s="50"/>
      <c r="P1085" s="50"/>
      <c r="Q1085" s="50"/>
    </row>
    <row r="1086" customFormat="false" ht="15" hidden="false" customHeight="true" outlineLevel="0" collapsed="false">
      <c r="A1086" s="51" t="s">
        <v>1063</v>
      </c>
      <c r="B1086" s="50" t="str">
        <f aca="false">IFERROR(VLOOKUP($A1086,Equipos!$C$2:$M$967,2,FALSE()),"")</f>
        <v>Monitor Multiparámetros</v>
      </c>
      <c r="C1086" s="50" t="str">
        <f aca="false">IFERROR(VLOOKUP($A1086,Equipos!$C$2:$M$967,9,FALSE()),"")</f>
        <v>DE351C1465</v>
      </c>
      <c r="D1086" s="50" t="str">
        <f aca="false">IFERROR(VLOOKUP($A1086,Equipos!$C$2:$M$967,3,FALSE()),"")</f>
        <v>Pabellones Gineco-Obstétricos</v>
      </c>
      <c r="E1086" s="50" t="str">
        <f aca="false">IFERROR(VLOOKUP($A1086,Equipos!$C$2:$M$967,7,FALSE()),"")</f>
        <v>Philips</v>
      </c>
      <c r="F1086" s="50" t="str">
        <f aca="false">IFERROR(VLOOKUP($A1086,Equipos!$C$2:$M$967,8,FALSE()),"")</f>
        <v>MX450</v>
      </c>
      <c r="G1086" s="50" t="s">
        <v>1002</v>
      </c>
      <c r="H1086" s="50" t="s">
        <v>351</v>
      </c>
      <c r="I1086" s="50"/>
      <c r="J1086" s="50" t="s">
        <v>352</v>
      </c>
      <c r="K1086" s="50" t="str">
        <f aca="false">IFERROR(VLOOKUP($J1086,Catálogos!$M$4:$N$17,2,FALSE()),"")</f>
        <v>Mantención Preventiva Realizada</v>
      </c>
      <c r="L1086" s="52" t="n">
        <v>46169</v>
      </c>
      <c r="M1086" s="50" t="s">
        <v>353</v>
      </c>
      <c r="N1086" s="50" t="s">
        <v>128</v>
      </c>
      <c r="O1086" s="50"/>
      <c r="P1086" s="50"/>
      <c r="Q1086" s="50"/>
    </row>
    <row r="1087" customFormat="false" ht="15" hidden="false" customHeight="true" outlineLevel="0" collapsed="false">
      <c r="A1087" s="51" t="s">
        <v>184</v>
      </c>
      <c r="B1087" s="50" t="str">
        <f aca="false">IFERROR(VLOOKUP($A1087,Equipos!$C$2:$M$967,2,FALSE()),"")</f>
        <v>Monitor Multiparámetros</v>
      </c>
      <c r="C1087" s="50" t="str">
        <f aca="false">IFERROR(VLOOKUP($A1087,Equipos!$C$2:$M$967,9,FALSE()),"")</f>
        <v>DE351C1466</v>
      </c>
      <c r="D1087" s="50" t="str">
        <f aca="false">IFERROR(VLOOKUP($A1087,Equipos!$C$2:$M$967,3,FALSE()),"")</f>
        <v>Pabellones Gineco-Obstétricos</v>
      </c>
      <c r="E1087" s="50" t="str">
        <f aca="false">IFERROR(VLOOKUP($A1087,Equipos!$C$2:$M$967,7,FALSE()),"")</f>
        <v>Philips</v>
      </c>
      <c r="F1087" s="50" t="str">
        <f aca="false">IFERROR(VLOOKUP($A1087,Equipos!$C$2:$M$967,8,FALSE()),"")</f>
        <v>MX450</v>
      </c>
      <c r="G1087" s="50" t="s">
        <v>1002</v>
      </c>
      <c r="H1087" s="50" t="s">
        <v>351</v>
      </c>
      <c r="I1087" s="50"/>
      <c r="J1087" s="50" t="s">
        <v>352</v>
      </c>
      <c r="K1087" s="50" t="str">
        <f aca="false">IFERROR(VLOOKUP($J1087,Catálogos!$M$4:$N$17,2,FALSE()),"")</f>
        <v>Mantención Preventiva Realizada</v>
      </c>
      <c r="L1087" s="52" t="n">
        <v>46169</v>
      </c>
      <c r="M1087" s="50" t="s">
        <v>355</v>
      </c>
      <c r="N1087" s="50" t="s">
        <v>128</v>
      </c>
      <c r="O1087" s="50"/>
      <c r="P1087" s="50"/>
      <c r="Q1087" s="50" t="s">
        <v>1064</v>
      </c>
    </row>
    <row r="1088" customFormat="false" ht="15" hidden="false" customHeight="true" outlineLevel="0" collapsed="false">
      <c r="A1088" s="51" t="s">
        <v>1065</v>
      </c>
      <c r="B1088" s="50" t="str">
        <f aca="false">IFERROR(VLOOKUP($A1088,Equipos!$C$2:$M$967,2,FALSE()),"")</f>
        <v>Monitor Multiparámetros</v>
      </c>
      <c r="C1088" s="50" t="str">
        <f aca="false">IFERROR(VLOOKUP($A1088,Equipos!$C$2:$M$967,9,FALSE()),"")</f>
        <v>DE351C1464</v>
      </c>
      <c r="D1088" s="50" t="str">
        <f aca="false">IFERROR(VLOOKUP($A1088,Equipos!$C$2:$M$967,3,FALSE()),"")</f>
        <v>Pabellones Gineco-Obstétricos</v>
      </c>
      <c r="E1088" s="50" t="str">
        <f aca="false">IFERROR(VLOOKUP($A1088,Equipos!$C$2:$M$967,7,FALSE()),"")</f>
        <v>Philips</v>
      </c>
      <c r="F1088" s="50" t="str">
        <f aca="false">IFERROR(VLOOKUP($A1088,Equipos!$C$2:$M$967,8,FALSE()),"")</f>
        <v>MX450</v>
      </c>
      <c r="G1088" s="50" t="s">
        <v>1002</v>
      </c>
      <c r="H1088" s="50" t="s">
        <v>351</v>
      </c>
      <c r="I1088" s="50"/>
      <c r="J1088" s="50" t="s">
        <v>352</v>
      </c>
      <c r="K1088" s="50" t="str">
        <f aca="false">IFERROR(VLOOKUP($J1088,Catálogos!$M$4:$N$17,2,FALSE()),"")</f>
        <v>Mantención Preventiva Realizada</v>
      </c>
      <c r="L1088" s="52" t="n">
        <v>46169</v>
      </c>
      <c r="M1088" s="50" t="s">
        <v>353</v>
      </c>
      <c r="N1088" s="50" t="s">
        <v>128</v>
      </c>
      <c r="O1088" s="50"/>
      <c r="P1088" s="50"/>
      <c r="Q1088" s="50"/>
    </row>
    <row r="1089" customFormat="false" ht="15" hidden="false" customHeight="true" outlineLevel="0" collapsed="false">
      <c r="A1089" s="51" t="s">
        <v>1066</v>
      </c>
      <c r="B1089" s="50" t="str">
        <f aca="false">IFERROR(VLOOKUP($A1089,Equipos!$C$2:$M$967,2,FALSE()),"")</f>
        <v>Monitor Multiparámetros</v>
      </c>
      <c r="C1089" s="50" t="str">
        <f aca="false">IFERROR(VLOOKUP($A1089,Equipos!$C$2:$M$967,9,FALSE()),"")</f>
        <v>VTSHN0089</v>
      </c>
      <c r="D1089" s="50" t="str">
        <f aca="false">IFERROR(VLOOKUP($A1089,Equipos!$C$2:$M$967,3,FALSE()),"")</f>
        <v>Pabellones Gineco-Obstétricos</v>
      </c>
      <c r="E1089" s="50" t="str">
        <f aca="false">IFERROR(VLOOKUP($A1089,Equipos!$C$2:$M$967,7,FALSE()),"")</f>
        <v>Drager</v>
      </c>
      <c r="F1089" s="50" t="str">
        <f aca="false">IFERROR(VLOOKUP($A1089,Equipos!$C$2:$M$967,8,FALSE()),"")</f>
        <v>Vista 120</v>
      </c>
      <c r="G1089" s="50" t="s">
        <v>1002</v>
      </c>
      <c r="H1089" s="50" t="s">
        <v>351</v>
      </c>
      <c r="I1089" s="50"/>
      <c r="J1089" s="50" t="s">
        <v>352</v>
      </c>
      <c r="K1089" s="50" t="str">
        <f aca="false">IFERROR(VLOOKUP($J1089,Catálogos!$M$4:$N$17,2,FALSE()),"")</f>
        <v>Mantención Preventiva Realizada</v>
      </c>
      <c r="L1089" s="52" t="n">
        <v>46169</v>
      </c>
      <c r="M1089" s="50" t="s">
        <v>353</v>
      </c>
      <c r="N1089" s="50" t="s">
        <v>128</v>
      </c>
      <c r="O1089" s="50"/>
      <c r="P1089" s="50"/>
      <c r="Q1089" s="50"/>
    </row>
    <row r="1090" customFormat="false" ht="15" hidden="false" customHeight="true" outlineLevel="0" collapsed="false">
      <c r="A1090" s="51" t="s">
        <v>1067</v>
      </c>
      <c r="B1090" s="50" t="str">
        <f aca="false">IFERROR(VLOOKUP($A1090,Equipos!$C$2:$M$967,2,FALSE()),"")</f>
        <v>Ventilador Mecánico </v>
      </c>
      <c r="C1090" s="50" t="str">
        <f aca="false">IFERROR(VLOOKUP($A1090,Equipos!$C$2:$M$967,9,FALSE()),"")</f>
        <v>ASKK-0198</v>
      </c>
      <c r="D1090" s="50" t="str">
        <f aca="false">IFERROR(VLOOKUP($A1090,Equipos!$C$2:$M$967,3,FALSE()),"")</f>
        <v>Neonatología</v>
      </c>
      <c r="E1090" s="50" t="str">
        <f aca="false">IFERROR(VLOOKUP($A1090,Equipos!$C$2:$M$967,7,FALSE()),"")</f>
        <v>Drager</v>
      </c>
      <c r="F1090" s="50" t="str">
        <f aca="false">IFERROR(VLOOKUP($A1090,Equipos!$C$2:$M$967,8,FALSE()),"")</f>
        <v>VN500</v>
      </c>
      <c r="G1090" s="50" t="s">
        <v>1002</v>
      </c>
      <c r="H1090" s="50" t="s">
        <v>351</v>
      </c>
      <c r="I1090" s="50"/>
      <c r="J1090" s="50" t="s">
        <v>352</v>
      </c>
      <c r="K1090" s="50" t="str">
        <f aca="false">IFERROR(VLOOKUP($J1090,Catálogos!$M$4:$N$17,2,FALSE()),"")</f>
        <v>Mantención Preventiva Realizada</v>
      </c>
      <c r="L1090" s="52" t="n">
        <v>46169</v>
      </c>
      <c r="M1090" s="50" t="s">
        <v>353</v>
      </c>
      <c r="N1090" s="50" t="s">
        <v>162</v>
      </c>
      <c r="O1090" s="50"/>
      <c r="P1090" s="50"/>
      <c r="Q1090" s="50"/>
    </row>
    <row r="1091" customFormat="false" ht="15" hidden="false" customHeight="true" outlineLevel="0" collapsed="false">
      <c r="A1091" s="51" t="s">
        <v>1068</v>
      </c>
      <c r="B1091" s="50" t="str">
        <f aca="false">IFERROR(VLOOKUP($A1091,Equipos!$C$2:$M$967,2,FALSE()),"")</f>
        <v>Ventilador Mecánico </v>
      </c>
      <c r="C1091" s="50" t="str">
        <f aca="false">IFERROR(VLOOKUP($A1091,Equipos!$C$2:$M$967,9,FALSE()),"")</f>
        <v>ASHC-0026</v>
      </c>
      <c r="D1091" s="50" t="str">
        <f aca="false">IFERROR(VLOOKUP($A1091,Equipos!$C$2:$M$967,3,FALSE()),"")</f>
        <v>Urgencia Adulto</v>
      </c>
      <c r="E1091" s="50" t="str">
        <f aca="false">IFERROR(VLOOKUP($A1091,Equipos!$C$2:$M$967,7,FALSE()),"")</f>
        <v>Drager</v>
      </c>
      <c r="F1091" s="50" t="str">
        <f aca="false">IFERROR(VLOOKUP($A1091,Equipos!$C$2:$M$967,8,FALSE()),"")</f>
        <v>Carina </v>
      </c>
      <c r="G1091" s="50" t="s">
        <v>1002</v>
      </c>
      <c r="H1091" s="50" t="s">
        <v>351</v>
      </c>
      <c r="I1091" s="50"/>
      <c r="J1091" s="50" t="s">
        <v>352</v>
      </c>
      <c r="K1091" s="50" t="str">
        <f aca="false">IFERROR(VLOOKUP($J1091,Catálogos!$M$4:$N$17,2,FALSE()),"")</f>
        <v>Mantención Preventiva Realizada</v>
      </c>
      <c r="L1091" s="52" t="n">
        <v>46169</v>
      </c>
      <c r="M1091" s="50" t="s">
        <v>353</v>
      </c>
      <c r="N1091" s="50" t="s">
        <v>162</v>
      </c>
      <c r="O1091" s="50"/>
      <c r="P1091" s="50"/>
      <c r="Q1091" s="50"/>
    </row>
    <row r="1092" customFormat="false" ht="15" hidden="false" customHeight="true" outlineLevel="0" collapsed="false">
      <c r="A1092" s="51" t="s">
        <v>1069</v>
      </c>
      <c r="B1092" s="50" t="str">
        <f aca="false">IFERROR(VLOOKUP($A1092,Equipos!$C$2:$M$967,2,FALSE()),"")</f>
        <v>Ventilador Mecánico </v>
      </c>
      <c r="C1092" s="50" t="str">
        <f aca="false">IFERROR(VLOOKUP($A1092,Equipos!$C$2:$M$967,9,FALSE()),"")</f>
        <v>ASNH-0099</v>
      </c>
      <c r="D1092" s="50" t="str">
        <f aca="false">IFERROR(VLOOKUP($A1092,Equipos!$C$2:$M$967,3,FALSE()),"")</f>
        <v>Medicina</v>
      </c>
      <c r="E1092" s="50" t="str">
        <f aca="false">IFERROR(VLOOKUP($A1092,Equipos!$C$2:$M$967,7,FALSE()),"")</f>
        <v>Drager</v>
      </c>
      <c r="F1092" s="50" t="str">
        <f aca="false">IFERROR(VLOOKUP($A1092,Equipos!$C$2:$M$967,8,FALSE()),"")</f>
        <v>Oxylog 3000 </v>
      </c>
      <c r="G1092" s="50" t="s">
        <v>1002</v>
      </c>
      <c r="H1092" s="50" t="s">
        <v>351</v>
      </c>
      <c r="I1092" s="50"/>
      <c r="J1092" s="50" t="s">
        <v>352</v>
      </c>
      <c r="K1092" s="50" t="str">
        <f aca="false">IFERROR(VLOOKUP($J1092,Catálogos!$M$4:$N$17,2,FALSE()),"")</f>
        <v>Mantención Preventiva Realizada</v>
      </c>
      <c r="L1092" s="52" t="n">
        <v>46169</v>
      </c>
      <c r="M1092" s="50" t="s">
        <v>353</v>
      </c>
      <c r="N1092" s="50" t="s">
        <v>162</v>
      </c>
      <c r="O1092" s="50"/>
      <c r="P1092" s="50"/>
      <c r="Q1092" s="50"/>
    </row>
    <row r="1093" customFormat="false" ht="15" hidden="false" customHeight="true" outlineLevel="0" collapsed="false">
      <c r="A1093" s="51" t="s">
        <v>173</v>
      </c>
      <c r="B1093" s="50" t="str">
        <f aca="false">IFERROR(VLOOKUP($A1093,Equipos!$C$2:$M$967,2,FALSE()),"")</f>
        <v>Ventilador Mecánico </v>
      </c>
      <c r="C1093" s="50" t="str">
        <f aca="false">IFERROR(VLOOKUP($A1093,Equipos!$C$2:$M$967,9,FALSE()),"")</f>
        <v>ASFN-0009</v>
      </c>
      <c r="D1093" s="50" t="str">
        <f aca="false">IFERROR(VLOOKUP($A1093,Equipos!$C$2:$M$967,3,FALSE()),"")</f>
        <v>UPC Adulto</v>
      </c>
      <c r="E1093" s="50" t="str">
        <f aca="false">IFERROR(VLOOKUP($A1093,Equipos!$C$2:$M$967,7,FALSE()),"")</f>
        <v>Drager</v>
      </c>
      <c r="F1093" s="50" t="str">
        <f aca="false">IFERROR(VLOOKUP($A1093,Equipos!$C$2:$M$967,8,FALSE()),"")</f>
        <v>Carina </v>
      </c>
      <c r="G1093" s="50" t="s">
        <v>1002</v>
      </c>
      <c r="H1093" s="50" t="s">
        <v>351</v>
      </c>
      <c r="I1093" s="50"/>
      <c r="J1093" s="50" t="s">
        <v>352</v>
      </c>
      <c r="K1093" s="50" t="str">
        <f aca="false">IFERROR(VLOOKUP($J1093,Catálogos!$M$4:$N$17,2,FALSE()),"")</f>
        <v>Mantención Preventiva Realizada</v>
      </c>
      <c r="L1093" s="52" t="n">
        <v>46169</v>
      </c>
      <c r="M1093" s="50" t="s">
        <v>353</v>
      </c>
      <c r="N1093" s="50" t="s">
        <v>162</v>
      </c>
      <c r="O1093" s="50"/>
      <c r="P1093" s="50"/>
      <c r="Q1093" s="50"/>
    </row>
    <row r="1094" customFormat="false" ht="15" hidden="false" customHeight="true" outlineLevel="0" collapsed="false">
      <c r="A1094" s="51" t="s">
        <v>167</v>
      </c>
      <c r="B1094" s="50" t="str">
        <f aca="false">IFERROR(VLOOKUP($A1094,Equipos!$C$2:$M$967,2,FALSE()),"")</f>
        <v>Ventilador Mecánico </v>
      </c>
      <c r="C1094" s="50" t="str">
        <f aca="false">IFERROR(VLOOKUP($A1094,Equipos!$C$2:$M$967,9,FALSE()),"")</f>
        <v>ASKK-0200</v>
      </c>
      <c r="D1094" s="50" t="str">
        <f aca="false">IFERROR(VLOOKUP($A1094,Equipos!$C$2:$M$967,3,FALSE()),"")</f>
        <v>Neonatología</v>
      </c>
      <c r="E1094" s="50" t="str">
        <f aca="false">IFERROR(VLOOKUP($A1094,Equipos!$C$2:$M$967,7,FALSE()),"")</f>
        <v>Drager</v>
      </c>
      <c r="F1094" s="50" t="str">
        <f aca="false">IFERROR(VLOOKUP($A1094,Equipos!$C$2:$M$967,8,FALSE()),"")</f>
        <v>VN500</v>
      </c>
      <c r="G1094" s="50" t="s">
        <v>1002</v>
      </c>
      <c r="H1094" s="50" t="s">
        <v>351</v>
      </c>
      <c r="I1094" s="50"/>
      <c r="J1094" s="50" t="s">
        <v>352</v>
      </c>
      <c r="K1094" s="50" t="str">
        <f aca="false">IFERROR(VLOOKUP($J1094,Catálogos!$M$4:$N$17,2,FALSE()),"")</f>
        <v>Mantención Preventiva Realizada</v>
      </c>
      <c r="L1094" s="52" t="n">
        <v>46169</v>
      </c>
      <c r="M1094" s="50" t="s">
        <v>353</v>
      </c>
      <c r="N1094" s="50" t="s">
        <v>162</v>
      </c>
      <c r="O1094" s="50"/>
      <c r="P1094" s="50"/>
      <c r="Q1094" s="50"/>
    </row>
    <row r="1095" customFormat="false" ht="15" hidden="false" customHeight="true" outlineLevel="0" collapsed="false">
      <c r="A1095" s="51" t="s">
        <v>204</v>
      </c>
      <c r="B1095" s="50" t="str">
        <f aca="false">IFERROR(VLOOKUP($A1095,Equipos!$C$2:$M$967,2,FALSE()),"")</f>
        <v>Máquina Diálisis</v>
      </c>
      <c r="C1095" s="50" t="str">
        <f aca="false">IFERROR(VLOOKUP($A1095,Equipos!$C$2:$M$967,9,FALSE()),"")</f>
        <v>3SXA4HDJ</v>
      </c>
      <c r="D1095" s="50" t="str">
        <f aca="false">IFERROR(VLOOKUP($A1095,Equipos!$C$2:$M$967,3,FALSE()),"")</f>
        <v>Hemodiálisis</v>
      </c>
      <c r="E1095" s="50" t="str">
        <f aca="false">IFERROR(VLOOKUP($A1095,Equipos!$C$2:$M$967,7,FALSE()),"")</f>
        <v>Fresenius</v>
      </c>
      <c r="F1095" s="50" t="str">
        <f aca="false">IFERROR(VLOOKUP($A1095,Equipos!$C$2:$M$967,8,FALSE()),"")</f>
        <v>4008S</v>
      </c>
      <c r="G1095" s="50" t="s">
        <v>1002</v>
      </c>
      <c r="H1095" s="50" t="s">
        <v>351</v>
      </c>
      <c r="I1095" s="50"/>
      <c r="J1095" s="50" t="s">
        <v>352</v>
      </c>
      <c r="K1095" s="50" t="str">
        <f aca="false">IFERROR(VLOOKUP($J1095,Catálogos!$M$4:$N$17,2,FALSE()),"")</f>
        <v>Mantención Preventiva Realizada</v>
      </c>
      <c r="L1095" s="52" t="n">
        <v>46170</v>
      </c>
      <c r="M1095" s="50" t="s">
        <v>353</v>
      </c>
      <c r="N1095" s="50" t="s">
        <v>64</v>
      </c>
      <c r="O1095" s="50"/>
      <c r="P1095" s="50"/>
      <c r="Q1095" s="50"/>
    </row>
    <row r="1096" customFormat="false" ht="15" hidden="false" customHeight="true" outlineLevel="0" collapsed="false">
      <c r="A1096" s="51" t="s">
        <v>181</v>
      </c>
      <c r="B1096" s="50" t="str">
        <f aca="false">IFERROR(VLOOKUP($A1096,Equipos!$C$2:$M$967,2,FALSE()),"")</f>
        <v>Monitor Multiparámetros</v>
      </c>
      <c r="C1096" s="50" t="str">
        <f aca="false">IFERROR(VLOOKUP($A1096,Equipos!$C$2:$M$967,9,FALSE()),"")</f>
        <v>5495188658</v>
      </c>
      <c r="D1096" s="50" t="str">
        <f aca="false">IFERROR(VLOOKUP($A1096,Equipos!$C$2:$M$967,3,FALSE()),"")</f>
        <v>Pabellones Gineco-Obstétricos</v>
      </c>
      <c r="E1096" s="50" t="str">
        <f aca="false">IFERROR(VLOOKUP($A1096,Equipos!$C$2:$M$967,7,FALSE()),"")</f>
        <v>Drager</v>
      </c>
      <c r="F1096" s="50" t="str">
        <f aca="false">IFERROR(VLOOKUP($A1096,Equipos!$C$2:$M$967,8,FALSE()),"")</f>
        <v>Infinity Kappa</v>
      </c>
      <c r="G1096" s="50" t="s">
        <v>1002</v>
      </c>
      <c r="H1096" s="50" t="s">
        <v>351</v>
      </c>
      <c r="I1096" s="50"/>
      <c r="J1096" s="50" t="s">
        <v>352</v>
      </c>
      <c r="K1096" s="50" t="str">
        <f aca="false">IFERROR(VLOOKUP($J1096,Catálogos!$M$4:$N$17,2,FALSE()),"")</f>
        <v>Mantención Preventiva Realizada</v>
      </c>
      <c r="L1096" s="52" t="n">
        <v>46170</v>
      </c>
      <c r="M1096" s="50" t="s">
        <v>355</v>
      </c>
      <c r="N1096" s="50" t="s">
        <v>128</v>
      </c>
      <c r="O1096" s="50"/>
      <c r="P1096" s="50"/>
      <c r="Q1096" s="50"/>
    </row>
    <row r="1097" customFormat="false" ht="15" hidden="false" customHeight="true" outlineLevel="0" collapsed="false">
      <c r="A1097" s="51" t="s">
        <v>1070</v>
      </c>
      <c r="B1097" s="50" t="str">
        <f aca="false">IFERROR(VLOOKUP($A1097,Equipos!$C$2:$M$967,2,FALSE()),"")</f>
        <v>Monitor Multiparámetros</v>
      </c>
      <c r="C1097" s="50" t="str">
        <f aca="false">IFERROR(VLOOKUP($A1097,Equipos!$C$2:$M$967,9,FALSE()),"")</f>
        <v>VSSTA0230</v>
      </c>
      <c r="D1097" s="50" t="str">
        <f aca="false">IFERROR(VLOOKUP($A1097,Equipos!$C$2:$M$967,3,FALSE()),"")</f>
        <v>Pabellones Gineco-Obstétricos</v>
      </c>
      <c r="E1097" s="50" t="str">
        <f aca="false">IFERROR(VLOOKUP($A1097,Equipos!$C$2:$M$967,7,FALSE()),"")</f>
        <v>Drager </v>
      </c>
      <c r="F1097" s="50" t="str">
        <f aca="false">IFERROR(VLOOKUP($A1097,Equipos!$C$2:$M$967,8,FALSE()),"")</f>
        <v>Vista 300</v>
      </c>
      <c r="G1097" s="50" t="s">
        <v>1002</v>
      </c>
      <c r="H1097" s="50" t="s">
        <v>351</v>
      </c>
      <c r="I1097" s="50"/>
      <c r="J1097" s="50" t="s">
        <v>352</v>
      </c>
      <c r="K1097" s="50" t="str">
        <f aca="false">IFERROR(VLOOKUP($J1097,Catálogos!$M$4:$N$17,2,FALSE()),"")</f>
        <v>Mantención Preventiva Realizada</v>
      </c>
      <c r="L1097" s="52" t="n">
        <v>46170</v>
      </c>
      <c r="M1097" s="50" t="s">
        <v>353</v>
      </c>
      <c r="N1097" s="50" t="s">
        <v>128</v>
      </c>
      <c r="O1097" s="50"/>
      <c r="P1097" s="50"/>
      <c r="Q1097" s="50"/>
    </row>
    <row r="1098" customFormat="false" ht="15" hidden="false" customHeight="true" outlineLevel="0" collapsed="false">
      <c r="A1098" s="51" t="s">
        <v>1071</v>
      </c>
      <c r="B1098" s="50" t="str">
        <f aca="false">IFERROR(VLOOKUP($A1098,Equipos!$C$2:$M$967,2,FALSE()),"")</f>
        <v>Monitor Multiparámetros</v>
      </c>
      <c r="C1098" s="50" t="str">
        <f aca="false">IFERROR(VLOOKUP($A1098,Equipos!$C$2:$M$967,9,FALSE()),"")</f>
        <v>5494770058</v>
      </c>
      <c r="D1098" s="50" t="str">
        <f aca="false">IFERROR(VLOOKUP($A1098,Equipos!$C$2:$M$967,3,FALSE()),"")</f>
        <v>Pabellones Gineco-Obstétricos</v>
      </c>
      <c r="E1098" s="50" t="str">
        <f aca="false">IFERROR(VLOOKUP($A1098,Equipos!$C$2:$M$967,7,FALSE()),"")</f>
        <v>Drager </v>
      </c>
      <c r="F1098" s="50" t="str">
        <f aca="false">IFERROR(VLOOKUP($A1098,Equipos!$C$2:$M$967,8,FALSE()),"")</f>
        <v>Infinity Kappa</v>
      </c>
      <c r="G1098" s="50" t="s">
        <v>1002</v>
      </c>
      <c r="H1098" s="50" t="s">
        <v>351</v>
      </c>
      <c r="I1098" s="50"/>
      <c r="J1098" s="50" t="s">
        <v>352</v>
      </c>
      <c r="K1098" s="50" t="str">
        <f aca="false">IFERROR(VLOOKUP($J1098,Catálogos!$M$4:$N$17,2,FALSE()),"")</f>
        <v>Mantención Preventiva Realizada</v>
      </c>
      <c r="L1098" s="52" t="n">
        <v>46170</v>
      </c>
      <c r="M1098" s="50" t="s">
        <v>353</v>
      </c>
      <c r="N1098" s="50" t="s">
        <v>128</v>
      </c>
      <c r="O1098" s="50"/>
      <c r="P1098" s="50"/>
      <c r="Q1098" s="50"/>
    </row>
    <row r="1099" customFormat="false" ht="15" hidden="false" customHeight="true" outlineLevel="0" collapsed="false">
      <c r="A1099" s="51" t="s">
        <v>1072</v>
      </c>
      <c r="B1099" s="50" t="str">
        <f aca="false">IFERROR(VLOOKUP($A1099,Equipos!$C$2:$M$967,2,FALSE()),"")</f>
        <v>Monitor Multiparámetros</v>
      </c>
      <c r="C1099" s="50" t="str">
        <f aca="false">IFERROR(VLOOKUP($A1099,Equipos!$C$2:$M$967,9,FALSE()),"")</f>
        <v>DE351C1468</v>
      </c>
      <c r="D1099" s="50" t="str">
        <f aca="false">IFERROR(VLOOKUP($A1099,Equipos!$C$2:$M$967,3,FALSE()),"")</f>
        <v>Pabellones Gineco-Obstétricos</v>
      </c>
      <c r="E1099" s="50" t="str">
        <f aca="false">IFERROR(VLOOKUP($A1099,Equipos!$C$2:$M$967,7,FALSE()),"")</f>
        <v>Philips</v>
      </c>
      <c r="F1099" s="50" t="str">
        <f aca="false">IFERROR(VLOOKUP($A1099,Equipos!$C$2:$M$967,8,FALSE()),"")</f>
        <v>MX450</v>
      </c>
      <c r="G1099" s="50" t="s">
        <v>1002</v>
      </c>
      <c r="H1099" s="50" t="s">
        <v>351</v>
      </c>
      <c r="I1099" s="50"/>
      <c r="J1099" s="50" t="s">
        <v>352</v>
      </c>
      <c r="K1099" s="50" t="str">
        <f aca="false">IFERROR(VLOOKUP($J1099,Catálogos!$M$4:$N$17,2,FALSE()),"")</f>
        <v>Mantención Preventiva Realizada</v>
      </c>
      <c r="L1099" s="52" t="n">
        <v>46170</v>
      </c>
      <c r="M1099" s="50" t="s">
        <v>353</v>
      </c>
      <c r="N1099" s="50" t="s">
        <v>128</v>
      </c>
      <c r="O1099" s="50"/>
      <c r="P1099" s="50"/>
      <c r="Q1099" s="50"/>
    </row>
    <row r="1100" customFormat="false" ht="15" hidden="false" customHeight="true" outlineLevel="0" collapsed="false">
      <c r="A1100" s="51" t="s">
        <v>1073</v>
      </c>
      <c r="B1100" s="50" t="str">
        <f aca="false">IFERROR(VLOOKUP($A1100,Equipos!$C$2:$M$967,2,FALSE()),"")</f>
        <v>Ventilador Mecánico </v>
      </c>
      <c r="C1100" s="50" t="str">
        <f aca="false">IFERROR(VLOOKUP($A1100,Equipos!$C$2:$M$967,9,FALSE()),"")</f>
        <v>ASCL-0118</v>
      </c>
      <c r="D1100" s="50" t="str">
        <f aca="false">IFERROR(VLOOKUP($A1100,Equipos!$C$2:$M$967,3,FALSE()),"")</f>
        <v>Urgencia Adulto</v>
      </c>
      <c r="E1100" s="50" t="str">
        <f aca="false">IFERROR(VLOOKUP($A1100,Equipos!$C$2:$M$967,7,FALSE()),"")</f>
        <v>Drager</v>
      </c>
      <c r="F1100" s="50" t="str">
        <f aca="false">IFERROR(VLOOKUP($A1100,Equipos!$C$2:$M$967,8,FALSE()),"")</f>
        <v>Oxylog 3000</v>
      </c>
      <c r="G1100" s="50" t="s">
        <v>1002</v>
      </c>
      <c r="H1100" s="50" t="s">
        <v>351</v>
      </c>
      <c r="I1100" s="50"/>
      <c r="J1100" s="50" t="s">
        <v>352</v>
      </c>
      <c r="K1100" s="50" t="str">
        <f aca="false">IFERROR(VLOOKUP($J1100,Catálogos!$M$4:$N$17,2,FALSE()),"")</f>
        <v>Mantención Preventiva Realizada</v>
      </c>
      <c r="L1100" s="52" t="n">
        <v>46170</v>
      </c>
      <c r="M1100" s="50" t="s">
        <v>353</v>
      </c>
      <c r="N1100" s="50" t="s">
        <v>162</v>
      </c>
      <c r="O1100" s="50"/>
      <c r="P1100" s="50"/>
      <c r="Q1100" s="50"/>
    </row>
    <row r="1101" customFormat="false" ht="15" hidden="false" customHeight="true" outlineLevel="0" collapsed="false">
      <c r="A1101" s="51" t="s">
        <v>1074</v>
      </c>
      <c r="B1101" s="50" t="str">
        <f aca="false">IFERROR(VLOOKUP($A1101,Equipos!$C$2:$M$967,2,FALSE()),"")</f>
        <v>Ventilador Mecánico </v>
      </c>
      <c r="C1101" s="50" t="str">
        <f aca="false">IFERROR(VLOOKUP($A1101,Equipos!$C$2:$M$967,9,FALSE()),"")</f>
        <v>ASKL-0005</v>
      </c>
      <c r="D1101" s="50" t="str">
        <f aca="false">IFERROR(VLOOKUP($A1101,Equipos!$C$2:$M$967,3,FALSE()),"")</f>
        <v>Neonatología</v>
      </c>
      <c r="E1101" s="50" t="str">
        <f aca="false">IFERROR(VLOOKUP($A1101,Equipos!$C$2:$M$967,7,FALSE()),"")</f>
        <v>Drager</v>
      </c>
      <c r="F1101" s="50" t="str">
        <f aca="false">IFERROR(VLOOKUP($A1101,Equipos!$C$2:$M$967,8,FALSE()),"")</f>
        <v>VN500</v>
      </c>
      <c r="G1101" s="50" t="s">
        <v>1002</v>
      </c>
      <c r="H1101" s="50" t="s">
        <v>351</v>
      </c>
      <c r="I1101" s="50"/>
      <c r="J1101" s="50" t="s">
        <v>352</v>
      </c>
      <c r="K1101" s="50" t="str">
        <f aca="false">IFERROR(VLOOKUP($J1101,Catálogos!$M$4:$N$17,2,FALSE()),"")</f>
        <v>Mantención Preventiva Realizada</v>
      </c>
      <c r="L1101" s="52" t="n">
        <v>46170</v>
      </c>
      <c r="M1101" s="50" t="s">
        <v>353</v>
      </c>
      <c r="N1101" s="50" t="s">
        <v>162</v>
      </c>
      <c r="O1101" s="50"/>
      <c r="P1101" s="50"/>
      <c r="Q1101" s="50"/>
    </row>
    <row r="1102" customFormat="false" ht="15" hidden="false" customHeight="true" outlineLevel="0" collapsed="false">
      <c r="A1102" s="51" t="s">
        <v>170</v>
      </c>
      <c r="B1102" s="50" t="str">
        <f aca="false">IFERROR(VLOOKUP($A1102,Equipos!$C$2:$M$967,2,FALSE()),"")</f>
        <v>Ventilador Mecánico </v>
      </c>
      <c r="C1102" s="50" t="str">
        <f aca="false">IFERROR(VLOOKUP($A1102,Equipos!$C$2:$M$967,9,FALSE()),"")</f>
        <v>ASKL-0007</v>
      </c>
      <c r="D1102" s="50" t="str">
        <f aca="false">IFERROR(VLOOKUP($A1102,Equipos!$C$2:$M$967,3,FALSE()),"")</f>
        <v>Neonatología</v>
      </c>
      <c r="E1102" s="50" t="str">
        <f aca="false">IFERROR(VLOOKUP($A1102,Equipos!$C$2:$M$967,7,FALSE()),"")</f>
        <v>Drager</v>
      </c>
      <c r="F1102" s="50" t="str">
        <f aca="false">IFERROR(VLOOKUP($A1102,Equipos!$C$2:$M$967,8,FALSE()),"")</f>
        <v>VN500</v>
      </c>
      <c r="G1102" s="50" t="s">
        <v>1002</v>
      </c>
      <c r="H1102" s="50" t="s">
        <v>351</v>
      </c>
      <c r="I1102" s="50"/>
      <c r="J1102" s="50" t="s">
        <v>352</v>
      </c>
      <c r="K1102" s="50" t="str">
        <f aca="false">IFERROR(VLOOKUP($J1102,Catálogos!$M$4:$N$17,2,FALSE()),"")</f>
        <v>Mantención Preventiva Realizada</v>
      </c>
      <c r="L1102" s="52" t="n">
        <v>46170</v>
      </c>
      <c r="M1102" s="50" t="s">
        <v>353</v>
      </c>
      <c r="N1102" s="50" t="s">
        <v>162</v>
      </c>
      <c r="O1102" s="50"/>
      <c r="P1102" s="50"/>
      <c r="Q1102" s="50"/>
    </row>
    <row r="1103" customFormat="false" ht="15" hidden="false" customHeight="true" outlineLevel="0" collapsed="false">
      <c r="A1103" s="51" t="s">
        <v>175</v>
      </c>
      <c r="B1103" s="50" t="str">
        <f aca="false">IFERROR(VLOOKUP($A1103,Equipos!$C$2:$M$967,2,FALSE()),"")</f>
        <v>Monitor Multiparámetros</v>
      </c>
      <c r="C1103" s="50" t="str">
        <f aca="false">IFERROR(VLOOKUP($A1103,Equipos!$C$2:$M$967,9,FALSE()),"")</f>
        <v>5494528944</v>
      </c>
      <c r="D1103" s="50" t="str">
        <f aca="false">IFERROR(VLOOKUP($A1103,Equipos!$C$2:$M$967,3,FALSE()),"")</f>
        <v>Pabellón Quirúrgico</v>
      </c>
      <c r="E1103" s="50" t="str">
        <f aca="false">IFERROR(VLOOKUP($A1103,Equipos!$C$2:$M$967,7,FALSE()),"")</f>
        <v>Drager</v>
      </c>
      <c r="F1103" s="50" t="str">
        <f aca="false">IFERROR(VLOOKUP($A1103,Equipos!$C$2:$M$967,8,FALSE()),"")</f>
        <v>Infinity Kappa </v>
      </c>
      <c r="G1103" s="50" t="s">
        <v>1002</v>
      </c>
      <c r="H1103" s="50" t="s">
        <v>351</v>
      </c>
      <c r="I1103" s="50"/>
      <c r="J1103" s="50" t="s">
        <v>352</v>
      </c>
      <c r="K1103" s="50" t="str">
        <f aca="false">IFERROR(VLOOKUP($J1103,Catálogos!$M$4:$N$17,2,FALSE()),"")</f>
        <v>Mantención Preventiva Realizada</v>
      </c>
      <c r="L1103" s="52" t="n">
        <v>46171</v>
      </c>
      <c r="M1103" s="50" t="s">
        <v>355</v>
      </c>
      <c r="N1103" s="50" t="s">
        <v>128</v>
      </c>
      <c r="O1103" s="50"/>
      <c r="P1103" s="50"/>
      <c r="Q1103" s="50" t="s">
        <v>1075</v>
      </c>
    </row>
    <row r="1104" customFormat="false" ht="15" hidden="false" customHeight="true" outlineLevel="0" collapsed="false">
      <c r="A1104" s="51" t="s">
        <v>1076</v>
      </c>
      <c r="B1104" s="50" t="str">
        <f aca="false">IFERROR(VLOOKUP($A1104,Equipos!$C$2:$M$967,2,FALSE()),"")</f>
        <v>Monitor Multiparámetros</v>
      </c>
      <c r="C1104" s="50" t="str">
        <f aca="false">IFERROR(VLOOKUP($A1104,Equipos!$C$2:$M$967,9,FALSE()),"")</f>
        <v>5494286652</v>
      </c>
      <c r="D1104" s="50" t="str">
        <f aca="false">IFERROR(VLOOKUP($A1104,Equipos!$C$2:$M$967,3,FALSE()),"")</f>
        <v>Pabellones Gineco-Obstétricos</v>
      </c>
      <c r="E1104" s="50" t="str">
        <f aca="false">IFERROR(VLOOKUP($A1104,Equipos!$C$2:$M$967,7,FALSE()),"")</f>
        <v>Drager </v>
      </c>
      <c r="F1104" s="50" t="str">
        <f aca="false">IFERROR(VLOOKUP($A1104,Equipos!$C$2:$M$967,8,FALSE()),"")</f>
        <v>Infinity Kappa</v>
      </c>
      <c r="G1104" s="50" t="s">
        <v>1002</v>
      </c>
      <c r="H1104" s="50" t="s">
        <v>351</v>
      </c>
      <c r="I1104" s="50"/>
      <c r="J1104" s="50" t="s">
        <v>352</v>
      </c>
      <c r="K1104" s="50" t="str">
        <f aca="false">IFERROR(VLOOKUP($J1104,Catálogos!$M$4:$N$17,2,FALSE()),"")</f>
        <v>Mantención Preventiva Realizada</v>
      </c>
      <c r="L1104" s="52" t="n">
        <v>46171</v>
      </c>
      <c r="M1104" s="50" t="s">
        <v>353</v>
      </c>
      <c r="N1104" s="50" t="s">
        <v>128</v>
      </c>
      <c r="O1104" s="50"/>
      <c r="P1104" s="50"/>
      <c r="Q1104" s="50"/>
    </row>
    <row r="1105" customFormat="false" ht="15" hidden="false" customHeight="true" outlineLevel="0" collapsed="false">
      <c r="A1105" s="51" t="s">
        <v>686</v>
      </c>
      <c r="B1105" s="50" t="str">
        <f aca="false">IFERROR(VLOOKUP($A1105,Equipos!$C$2:$M$967,2,FALSE()),"")</f>
        <v>Incubadora</v>
      </c>
      <c r="C1105" s="50" t="str">
        <f aca="false">IFERROR(VLOOKUP($A1105,Equipos!$C$2:$M$967,9,FALSE()),"")</f>
        <v>ASHM-0118</v>
      </c>
      <c r="D1105" s="50" t="str">
        <f aca="false">IFERROR(VLOOKUP($A1105,Equipos!$C$2:$M$967,3,FALSE()),"")</f>
        <v>Neonatología</v>
      </c>
      <c r="E1105" s="50" t="str">
        <f aca="false">IFERROR(VLOOKUP($A1105,Equipos!$C$2:$M$967,7,FALSE()),"")</f>
        <v>DRAGER</v>
      </c>
      <c r="F1105" s="50" t="str">
        <f aca="false">IFERROR(VLOOKUP($A1105,Equipos!$C$2:$M$967,8,FALSE()),"")</f>
        <v>CALEO</v>
      </c>
      <c r="G1105" s="50" t="s">
        <v>1077</v>
      </c>
      <c r="H1105" s="50" t="s">
        <v>351</v>
      </c>
      <c r="I1105" s="50"/>
      <c r="J1105" s="50" t="s">
        <v>352</v>
      </c>
      <c r="K1105" s="50" t="str">
        <f aca="false">IFERROR(VLOOKUP($J1105,Catálogos!$M$4:$N$17,2,FALSE()),"")</f>
        <v>Mantención Preventiva Realizada</v>
      </c>
      <c r="L1105" s="52" t="n">
        <v>46193</v>
      </c>
      <c r="M1105" s="50" t="s">
        <v>353</v>
      </c>
      <c r="N1105" s="50" t="s">
        <v>193</v>
      </c>
      <c r="O1105" s="50"/>
      <c r="P1105" s="50"/>
      <c r="Q1105" s="50"/>
    </row>
    <row r="1106" customFormat="false" ht="15" hidden="false" customHeight="true" outlineLevel="0" collapsed="false">
      <c r="A1106" s="51"/>
      <c r="B1106" s="50"/>
      <c r="C1106" s="50"/>
      <c r="D1106" s="50"/>
      <c r="E1106" s="50"/>
      <c r="F1106" s="50"/>
      <c r="G1106" s="50"/>
      <c r="H1106" s="50"/>
      <c r="I1106" s="50"/>
      <c r="J1106" s="50"/>
      <c r="K1106" s="50"/>
      <c r="L1106" s="50"/>
      <c r="M1106" s="50"/>
      <c r="N1106" s="50"/>
      <c r="O1106" s="50"/>
      <c r="P1106" s="50"/>
      <c r="Q1106" s="50"/>
    </row>
    <row r="1107" customFormat="false" ht="15" hidden="false" customHeight="true" outlineLevel="0" collapsed="false">
      <c r="A1107" s="51"/>
      <c r="B1107" s="50"/>
      <c r="C1107" s="50"/>
      <c r="D1107" s="50"/>
      <c r="E1107" s="50"/>
      <c r="F1107" s="50"/>
      <c r="G1107" s="50"/>
      <c r="H1107" s="50"/>
      <c r="I1107" s="50"/>
      <c r="J1107" s="50"/>
      <c r="K1107" s="50"/>
      <c r="L1107" s="50"/>
      <c r="M1107" s="50"/>
      <c r="N1107" s="50"/>
      <c r="O1107" s="50"/>
      <c r="P1107" s="50"/>
      <c r="Q1107" s="50"/>
    </row>
    <row r="1108" customFormat="false" ht="15" hidden="false" customHeight="true" outlineLevel="0" collapsed="false">
      <c r="A1108" s="51"/>
      <c r="B1108" s="50"/>
      <c r="C1108" s="50"/>
      <c r="D1108" s="50"/>
      <c r="E1108" s="50"/>
      <c r="F1108" s="50"/>
      <c r="G1108" s="50"/>
      <c r="H1108" s="50"/>
      <c r="I1108" s="50"/>
      <c r="J1108" s="50"/>
      <c r="K1108" s="50"/>
      <c r="L1108" s="50"/>
      <c r="M1108" s="50"/>
      <c r="N1108" s="50"/>
      <c r="O1108" s="50"/>
      <c r="P1108" s="50"/>
      <c r="Q1108" s="50"/>
    </row>
    <row r="1109" customFormat="false" ht="15" hidden="false" customHeight="true" outlineLevel="0" collapsed="false">
      <c r="A1109" s="51"/>
      <c r="B1109" s="50"/>
      <c r="C1109" s="50"/>
      <c r="D1109" s="50"/>
      <c r="E1109" s="50"/>
      <c r="F1109" s="50"/>
      <c r="G1109" s="50"/>
      <c r="H1109" s="50"/>
      <c r="I1109" s="50"/>
      <c r="J1109" s="50"/>
      <c r="K1109" s="50"/>
      <c r="L1109" s="50"/>
      <c r="M1109" s="50"/>
      <c r="N1109" s="50"/>
      <c r="O1109" s="50"/>
      <c r="P1109" s="50"/>
      <c r="Q1109" s="50"/>
    </row>
    <row r="1110" customFormat="false" ht="15" hidden="false" customHeight="true" outlineLevel="0" collapsed="false">
      <c r="A1110" s="51"/>
      <c r="B1110" s="50"/>
      <c r="C1110" s="50"/>
      <c r="D1110" s="50"/>
      <c r="E1110" s="50"/>
      <c r="F1110" s="50"/>
      <c r="G1110" s="50"/>
      <c r="H1110" s="50"/>
      <c r="I1110" s="50"/>
      <c r="J1110" s="50"/>
      <c r="K1110" s="50"/>
      <c r="L1110" s="50"/>
      <c r="M1110" s="50"/>
      <c r="N1110" s="50"/>
      <c r="O1110" s="50"/>
      <c r="P1110" s="50"/>
      <c r="Q1110" s="50"/>
    </row>
    <row r="1111" customFormat="false" ht="15" hidden="false" customHeight="true" outlineLevel="0" collapsed="false">
      <c r="A1111" s="51"/>
      <c r="B1111" s="50"/>
      <c r="C1111" s="50"/>
      <c r="D1111" s="50"/>
      <c r="E1111" s="50"/>
      <c r="F1111" s="50"/>
      <c r="G1111" s="50"/>
      <c r="H1111" s="50"/>
      <c r="I1111" s="50"/>
      <c r="J1111" s="50"/>
      <c r="K1111" s="50"/>
      <c r="L1111" s="50"/>
      <c r="M1111" s="50"/>
      <c r="N1111" s="50"/>
      <c r="O1111" s="50"/>
      <c r="P1111" s="50"/>
      <c r="Q1111" s="50"/>
    </row>
    <row r="1112" customFormat="false" ht="15" hidden="false" customHeight="true" outlineLevel="0" collapsed="false">
      <c r="A1112" s="51"/>
      <c r="B1112" s="50"/>
      <c r="C1112" s="50"/>
      <c r="D1112" s="50"/>
      <c r="E1112" s="50"/>
      <c r="F1112" s="50"/>
      <c r="G1112" s="50"/>
      <c r="H1112" s="50"/>
      <c r="I1112" s="50"/>
      <c r="J1112" s="50"/>
      <c r="K1112" s="50"/>
      <c r="L1112" s="50"/>
      <c r="M1112" s="50"/>
      <c r="N1112" s="50"/>
      <c r="O1112" s="50"/>
      <c r="P1112" s="50"/>
      <c r="Q1112" s="50"/>
    </row>
    <row r="1113" customFormat="false" ht="15" hidden="false" customHeight="true" outlineLevel="0" collapsed="false">
      <c r="A1113" s="51"/>
      <c r="B1113" s="50"/>
      <c r="C1113" s="50"/>
      <c r="D1113" s="50"/>
      <c r="E1113" s="50"/>
      <c r="F1113" s="50"/>
      <c r="G1113" s="50"/>
      <c r="H1113" s="50"/>
      <c r="I1113" s="50"/>
      <c r="J1113" s="50"/>
      <c r="K1113" s="50"/>
      <c r="L1113" s="50"/>
      <c r="M1113" s="50"/>
      <c r="N1113" s="50"/>
      <c r="O1113" s="50"/>
      <c r="P1113" s="50"/>
      <c r="Q1113" s="50"/>
    </row>
    <row r="1114" customFormat="false" ht="15" hidden="false" customHeight="true" outlineLevel="0" collapsed="false">
      <c r="A1114" s="51"/>
      <c r="B1114" s="50"/>
      <c r="C1114" s="50"/>
      <c r="D1114" s="50"/>
      <c r="E1114" s="50"/>
      <c r="F1114" s="50"/>
      <c r="G1114" s="50"/>
      <c r="H1114" s="50"/>
      <c r="I1114" s="50"/>
      <c r="J1114" s="50"/>
      <c r="K1114" s="50"/>
      <c r="L1114" s="50"/>
      <c r="M1114" s="50"/>
      <c r="N1114" s="50"/>
      <c r="O1114" s="50"/>
      <c r="P1114" s="50"/>
      <c r="Q1114" s="50"/>
    </row>
    <row r="1115" customFormat="false" ht="15" hidden="false" customHeight="true" outlineLevel="0" collapsed="false">
      <c r="A1115" s="51"/>
      <c r="B1115" s="50"/>
      <c r="C1115" s="50"/>
      <c r="D1115" s="50"/>
      <c r="E1115" s="50"/>
      <c r="F1115" s="50"/>
      <c r="G1115" s="50"/>
      <c r="H1115" s="50"/>
      <c r="I1115" s="50"/>
      <c r="J1115" s="50"/>
      <c r="K1115" s="50"/>
      <c r="L1115" s="50"/>
      <c r="M1115" s="50"/>
      <c r="N1115" s="50"/>
      <c r="O1115" s="50"/>
      <c r="P1115" s="50"/>
      <c r="Q1115" s="50"/>
    </row>
    <row r="1116" customFormat="false" ht="15" hidden="false" customHeight="true" outlineLevel="0" collapsed="false">
      <c r="A1116" s="51"/>
      <c r="B1116" s="50"/>
      <c r="C1116" s="50"/>
      <c r="D1116" s="50"/>
      <c r="E1116" s="50"/>
      <c r="F1116" s="50"/>
      <c r="G1116" s="50"/>
      <c r="H1116" s="50"/>
      <c r="I1116" s="50"/>
      <c r="J1116" s="50"/>
      <c r="K1116" s="50"/>
      <c r="L1116" s="50"/>
      <c r="M1116" s="50"/>
      <c r="N1116" s="50"/>
      <c r="O1116" s="50"/>
      <c r="P1116" s="50"/>
      <c r="Q1116" s="50"/>
    </row>
    <row r="1117" customFormat="false" ht="15" hidden="false" customHeight="true" outlineLevel="0" collapsed="false">
      <c r="A1117" s="51"/>
      <c r="B1117" s="50"/>
      <c r="C1117" s="50"/>
      <c r="D1117" s="50"/>
      <c r="E1117" s="50"/>
      <c r="F1117" s="50"/>
      <c r="G1117" s="50"/>
      <c r="H1117" s="50"/>
      <c r="I1117" s="50"/>
      <c r="J1117" s="50"/>
      <c r="K1117" s="50"/>
      <c r="L1117" s="50"/>
      <c r="M1117" s="50"/>
      <c r="N1117" s="50"/>
      <c r="O1117" s="50"/>
      <c r="P1117" s="50"/>
      <c r="Q1117" s="50"/>
    </row>
    <row r="1118" customFormat="false" ht="15" hidden="false" customHeight="true" outlineLevel="0" collapsed="false">
      <c r="A1118" s="51"/>
      <c r="B1118" s="50"/>
      <c r="C1118" s="50"/>
      <c r="D1118" s="50"/>
      <c r="E1118" s="50"/>
      <c r="F1118" s="50"/>
      <c r="G1118" s="50"/>
      <c r="H1118" s="50"/>
      <c r="I1118" s="50"/>
      <c r="J1118" s="50"/>
      <c r="K1118" s="50"/>
      <c r="L1118" s="50"/>
      <c r="M1118" s="50"/>
      <c r="N1118" s="50"/>
      <c r="O1118" s="50"/>
      <c r="P1118" s="50"/>
      <c r="Q1118" s="50"/>
    </row>
    <row r="1119" customFormat="false" ht="15" hidden="false" customHeight="true" outlineLevel="0" collapsed="false">
      <c r="A1119" s="51"/>
      <c r="B1119" s="50"/>
      <c r="C1119" s="50"/>
      <c r="D1119" s="50"/>
      <c r="E1119" s="50"/>
      <c r="F1119" s="50"/>
      <c r="G1119" s="50"/>
      <c r="H1119" s="50"/>
      <c r="I1119" s="50"/>
      <c r="J1119" s="50"/>
      <c r="K1119" s="50"/>
      <c r="L1119" s="50"/>
      <c r="M1119" s="50"/>
      <c r="N1119" s="50"/>
      <c r="O1119" s="50"/>
      <c r="P1119" s="50"/>
      <c r="Q1119" s="50"/>
    </row>
    <row r="1120" customFormat="false" ht="15" hidden="false" customHeight="true" outlineLevel="0" collapsed="false">
      <c r="A1120" s="51"/>
      <c r="B1120" s="50"/>
      <c r="C1120" s="50"/>
      <c r="D1120" s="50"/>
      <c r="E1120" s="50"/>
      <c r="F1120" s="50"/>
      <c r="G1120" s="50"/>
      <c r="H1120" s="50"/>
      <c r="I1120" s="50"/>
      <c r="J1120" s="50"/>
      <c r="K1120" s="50"/>
      <c r="L1120" s="50"/>
      <c r="M1120" s="50"/>
      <c r="N1120" s="50"/>
      <c r="O1120" s="50"/>
      <c r="P1120" s="50"/>
      <c r="Q1120" s="50"/>
    </row>
    <row r="1121" customFormat="false" ht="15" hidden="false" customHeight="true" outlineLevel="0" collapsed="false">
      <c r="A1121" s="51"/>
      <c r="B1121" s="50"/>
      <c r="C1121" s="50"/>
      <c r="D1121" s="50"/>
      <c r="E1121" s="50"/>
      <c r="F1121" s="50"/>
      <c r="G1121" s="50"/>
      <c r="H1121" s="50"/>
      <c r="I1121" s="50"/>
      <c r="J1121" s="50"/>
      <c r="K1121" s="50"/>
      <c r="L1121" s="50"/>
      <c r="M1121" s="50"/>
      <c r="N1121" s="50"/>
      <c r="O1121" s="50"/>
      <c r="P1121" s="50"/>
      <c r="Q1121" s="50"/>
    </row>
    <row r="1122" customFormat="false" ht="15" hidden="false" customHeight="true" outlineLevel="0" collapsed="false">
      <c r="A1122" s="51"/>
      <c r="B1122" s="50"/>
      <c r="C1122" s="50"/>
      <c r="D1122" s="50"/>
      <c r="E1122" s="50"/>
      <c r="F1122" s="50"/>
      <c r="G1122" s="50"/>
      <c r="H1122" s="50"/>
      <c r="I1122" s="50"/>
      <c r="J1122" s="50"/>
      <c r="K1122" s="50"/>
      <c r="L1122" s="50"/>
      <c r="M1122" s="50"/>
      <c r="N1122" s="50"/>
      <c r="O1122" s="50"/>
      <c r="P1122" s="50"/>
      <c r="Q1122" s="50"/>
    </row>
    <row r="1123" customFormat="false" ht="15" hidden="false" customHeight="true" outlineLevel="0" collapsed="false">
      <c r="A1123" s="51"/>
      <c r="B1123" s="50"/>
      <c r="C1123" s="50"/>
      <c r="D1123" s="50"/>
      <c r="E1123" s="50"/>
      <c r="F1123" s="50"/>
      <c r="G1123" s="50"/>
      <c r="H1123" s="50"/>
      <c r="I1123" s="50"/>
      <c r="J1123" s="50"/>
      <c r="K1123" s="50"/>
      <c r="L1123" s="50"/>
      <c r="M1123" s="50"/>
      <c r="N1123" s="50"/>
      <c r="O1123" s="50"/>
      <c r="P1123" s="50"/>
      <c r="Q1123" s="50"/>
    </row>
    <row r="1124" customFormat="false" ht="15" hidden="false" customHeight="true" outlineLevel="0" collapsed="false">
      <c r="A1124" s="51"/>
      <c r="B1124" s="50"/>
      <c r="C1124" s="50"/>
      <c r="D1124" s="50"/>
      <c r="E1124" s="50"/>
      <c r="F1124" s="50"/>
      <c r="G1124" s="50"/>
      <c r="H1124" s="50"/>
      <c r="I1124" s="50"/>
      <c r="J1124" s="50"/>
      <c r="K1124" s="50"/>
      <c r="L1124" s="50"/>
      <c r="M1124" s="50"/>
      <c r="N1124" s="50"/>
      <c r="O1124" s="50"/>
      <c r="P1124" s="50"/>
      <c r="Q1124" s="50"/>
    </row>
    <row r="1125" customFormat="false" ht="15" hidden="false" customHeight="true" outlineLevel="0" collapsed="false">
      <c r="A1125" s="51"/>
      <c r="B1125" s="50"/>
      <c r="C1125" s="50"/>
      <c r="D1125" s="50"/>
      <c r="E1125" s="50"/>
      <c r="F1125" s="50"/>
      <c r="G1125" s="50"/>
      <c r="H1125" s="50"/>
      <c r="I1125" s="50"/>
      <c r="J1125" s="50"/>
      <c r="K1125" s="50"/>
      <c r="L1125" s="50"/>
      <c r="M1125" s="50"/>
      <c r="N1125" s="50"/>
      <c r="O1125" s="50"/>
      <c r="P1125" s="50"/>
      <c r="Q1125" s="50"/>
    </row>
    <row r="1126" customFormat="false" ht="15" hidden="false" customHeight="true" outlineLevel="0" collapsed="false">
      <c r="A1126" s="51"/>
      <c r="B1126" s="50"/>
      <c r="C1126" s="50"/>
      <c r="D1126" s="50"/>
      <c r="E1126" s="50"/>
      <c r="F1126" s="50"/>
      <c r="G1126" s="50"/>
      <c r="H1126" s="50"/>
      <c r="I1126" s="50"/>
      <c r="J1126" s="50"/>
      <c r="K1126" s="50"/>
      <c r="L1126" s="50"/>
      <c r="M1126" s="50"/>
      <c r="N1126" s="50"/>
      <c r="O1126" s="50"/>
      <c r="P1126" s="50"/>
      <c r="Q1126" s="50"/>
    </row>
    <row r="1127" customFormat="false" ht="15" hidden="false" customHeight="true" outlineLevel="0" collapsed="false">
      <c r="A1127" s="51"/>
      <c r="B1127" s="50"/>
      <c r="C1127" s="50"/>
      <c r="D1127" s="50"/>
      <c r="E1127" s="50"/>
      <c r="F1127" s="50"/>
      <c r="G1127" s="50"/>
      <c r="H1127" s="50"/>
      <c r="I1127" s="50"/>
      <c r="J1127" s="50"/>
      <c r="K1127" s="50"/>
      <c r="L1127" s="50"/>
      <c r="M1127" s="50"/>
      <c r="N1127" s="50"/>
      <c r="O1127" s="50"/>
      <c r="P1127" s="50"/>
      <c r="Q1127" s="50"/>
    </row>
    <row r="1128" customFormat="false" ht="15" hidden="false" customHeight="true" outlineLevel="0" collapsed="false">
      <c r="A1128" s="51"/>
      <c r="B1128" s="50"/>
      <c r="C1128" s="50"/>
      <c r="D1128" s="50"/>
      <c r="E1128" s="50"/>
      <c r="F1128" s="50"/>
      <c r="G1128" s="50"/>
      <c r="H1128" s="50"/>
      <c r="I1128" s="50"/>
      <c r="J1128" s="50"/>
      <c r="K1128" s="50"/>
      <c r="L1128" s="50"/>
      <c r="M1128" s="50"/>
      <c r="N1128" s="50"/>
      <c r="O1128" s="50"/>
      <c r="P1128" s="50"/>
      <c r="Q1128" s="50"/>
    </row>
    <row r="1129" customFormat="false" ht="15" hidden="false" customHeight="true" outlineLevel="0" collapsed="false">
      <c r="A1129" s="51"/>
      <c r="B1129" s="50"/>
      <c r="C1129" s="50"/>
      <c r="D1129" s="50"/>
      <c r="E1129" s="50"/>
      <c r="F1129" s="50"/>
      <c r="G1129" s="50"/>
      <c r="H1129" s="50"/>
      <c r="I1129" s="50"/>
      <c r="J1129" s="50"/>
      <c r="K1129" s="50"/>
      <c r="L1129" s="50"/>
      <c r="M1129" s="50"/>
      <c r="N1129" s="50"/>
      <c r="O1129" s="50"/>
      <c r="P1129" s="50"/>
      <c r="Q1129" s="50"/>
    </row>
    <row r="1130" customFormat="false" ht="15" hidden="false" customHeight="true" outlineLevel="0" collapsed="false">
      <c r="A1130" s="51"/>
      <c r="B1130" s="50"/>
      <c r="C1130" s="50"/>
      <c r="D1130" s="50"/>
      <c r="E1130" s="50"/>
      <c r="F1130" s="50"/>
      <c r="G1130" s="50"/>
      <c r="H1130" s="50"/>
      <c r="I1130" s="50"/>
      <c r="J1130" s="50"/>
      <c r="K1130" s="50"/>
      <c r="L1130" s="50"/>
      <c r="M1130" s="50"/>
      <c r="N1130" s="50"/>
      <c r="O1130" s="50"/>
      <c r="P1130" s="50"/>
      <c r="Q1130" s="50"/>
    </row>
    <row r="1131" customFormat="false" ht="15" hidden="false" customHeight="true" outlineLevel="0" collapsed="false">
      <c r="A1131" s="51"/>
      <c r="B1131" s="50"/>
      <c r="C1131" s="50"/>
      <c r="D1131" s="50"/>
      <c r="E1131" s="50"/>
      <c r="F1131" s="50"/>
      <c r="G1131" s="50"/>
      <c r="H1131" s="50"/>
      <c r="I1131" s="50"/>
      <c r="J1131" s="50"/>
      <c r="K1131" s="50"/>
      <c r="L1131" s="50"/>
      <c r="M1131" s="50"/>
      <c r="N1131" s="50"/>
      <c r="O1131" s="50"/>
      <c r="P1131" s="50"/>
      <c r="Q1131" s="50"/>
    </row>
    <row r="1132" customFormat="false" ht="15" hidden="false" customHeight="true" outlineLevel="0" collapsed="false">
      <c r="A1132" s="51"/>
      <c r="B1132" s="50"/>
      <c r="C1132" s="50"/>
      <c r="D1132" s="50"/>
      <c r="E1132" s="50"/>
      <c r="F1132" s="50"/>
      <c r="G1132" s="50"/>
      <c r="H1132" s="50"/>
      <c r="I1132" s="50"/>
      <c r="J1132" s="50"/>
      <c r="K1132" s="50"/>
      <c r="L1132" s="50"/>
      <c r="M1132" s="50"/>
      <c r="N1132" s="50"/>
      <c r="O1132" s="50"/>
      <c r="P1132" s="50"/>
      <c r="Q1132" s="50"/>
    </row>
    <row r="1133" customFormat="false" ht="15" hidden="false" customHeight="true" outlineLevel="0" collapsed="false">
      <c r="A1133" s="51"/>
      <c r="B1133" s="50"/>
      <c r="C1133" s="50"/>
      <c r="D1133" s="50"/>
      <c r="E1133" s="50"/>
      <c r="F1133" s="50"/>
      <c r="G1133" s="50"/>
      <c r="H1133" s="50"/>
      <c r="I1133" s="50"/>
      <c r="J1133" s="50"/>
      <c r="K1133" s="50"/>
      <c r="L1133" s="50"/>
      <c r="M1133" s="50"/>
      <c r="N1133" s="50"/>
      <c r="O1133" s="50"/>
      <c r="P1133" s="50"/>
      <c r="Q1133" s="50"/>
    </row>
    <row r="1134" customFormat="false" ht="15" hidden="false" customHeight="true" outlineLevel="0" collapsed="false">
      <c r="A1134" s="51"/>
      <c r="B1134" s="50"/>
      <c r="C1134" s="50"/>
      <c r="D1134" s="50"/>
      <c r="E1134" s="50"/>
      <c r="F1134" s="50"/>
      <c r="G1134" s="50"/>
      <c r="H1134" s="50"/>
      <c r="I1134" s="50"/>
      <c r="J1134" s="50"/>
      <c r="K1134" s="50"/>
      <c r="L1134" s="50"/>
      <c r="M1134" s="50"/>
      <c r="N1134" s="50"/>
      <c r="O1134" s="50"/>
      <c r="P1134" s="50"/>
      <c r="Q1134" s="50"/>
    </row>
    <row r="1135" customFormat="false" ht="15" hidden="false" customHeight="true" outlineLevel="0" collapsed="false">
      <c r="A1135" s="51"/>
      <c r="B1135" s="50"/>
      <c r="C1135" s="50"/>
      <c r="D1135" s="50"/>
      <c r="E1135" s="50"/>
      <c r="F1135" s="50"/>
      <c r="G1135" s="50"/>
      <c r="H1135" s="50"/>
      <c r="I1135" s="50"/>
      <c r="J1135" s="50"/>
      <c r="K1135" s="50"/>
      <c r="L1135" s="50"/>
      <c r="M1135" s="50"/>
      <c r="N1135" s="50"/>
      <c r="O1135" s="50"/>
      <c r="P1135" s="50"/>
      <c r="Q1135" s="50"/>
    </row>
    <row r="1136" customFormat="false" ht="15" hidden="false" customHeight="true" outlineLevel="0" collapsed="false">
      <c r="A1136" s="51"/>
      <c r="B1136" s="50"/>
      <c r="C1136" s="50"/>
      <c r="D1136" s="50"/>
      <c r="E1136" s="50"/>
      <c r="F1136" s="50"/>
      <c r="G1136" s="50"/>
      <c r="H1136" s="50"/>
      <c r="I1136" s="50"/>
      <c r="J1136" s="50"/>
      <c r="K1136" s="50"/>
      <c r="L1136" s="50"/>
      <c r="M1136" s="50"/>
      <c r="N1136" s="50"/>
      <c r="O1136" s="50"/>
      <c r="P1136" s="50"/>
      <c r="Q1136" s="50"/>
    </row>
    <row r="1137" customFormat="false" ht="15" hidden="false" customHeight="true" outlineLevel="0" collapsed="false">
      <c r="A1137" s="51"/>
      <c r="B1137" s="50"/>
      <c r="C1137" s="50"/>
      <c r="D1137" s="50"/>
      <c r="E1137" s="50"/>
      <c r="F1137" s="50"/>
      <c r="G1137" s="50"/>
      <c r="H1137" s="50"/>
      <c r="I1137" s="50"/>
      <c r="J1137" s="50"/>
      <c r="K1137" s="50"/>
      <c r="L1137" s="50"/>
      <c r="M1137" s="50"/>
      <c r="N1137" s="50"/>
      <c r="O1137" s="50"/>
      <c r="P1137" s="50"/>
      <c r="Q1137" s="50"/>
    </row>
    <row r="1138" customFormat="false" ht="15" hidden="false" customHeight="true" outlineLevel="0" collapsed="false">
      <c r="A1138" s="51"/>
      <c r="B1138" s="50"/>
      <c r="C1138" s="50"/>
      <c r="D1138" s="50"/>
      <c r="E1138" s="50"/>
      <c r="F1138" s="50"/>
      <c r="G1138" s="50"/>
      <c r="H1138" s="50"/>
      <c r="I1138" s="50"/>
      <c r="J1138" s="50"/>
      <c r="K1138" s="50"/>
      <c r="L1138" s="50"/>
      <c r="M1138" s="50"/>
      <c r="N1138" s="50"/>
      <c r="O1138" s="50"/>
      <c r="P1138" s="50"/>
      <c r="Q1138" s="50"/>
    </row>
    <row r="1139" customFormat="false" ht="15" hidden="false" customHeight="true" outlineLevel="0" collapsed="false">
      <c r="A1139" s="51"/>
      <c r="B1139" s="50"/>
      <c r="C1139" s="50"/>
      <c r="D1139" s="50"/>
      <c r="E1139" s="50"/>
      <c r="F1139" s="50"/>
      <c r="G1139" s="50"/>
      <c r="H1139" s="50"/>
      <c r="I1139" s="50"/>
      <c r="J1139" s="50"/>
      <c r="K1139" s="50"/>
      <c r="L1139" s="50"/>
      <c r="M1139" s="50"/>
      <c r="N1139" s="50"/>
      <c r="O1139" s="50"/>
      <c r="P1139" s="50"/>
      <c r="Q1139" s="50"/>
    </row>
    <row r="1140" customFormat="false" ht="15" hidden="false" customHeight="true" outlineLevel="0" collapsed="false">
      <c r="A1140" s="51"/>
      <c r="B1140" s="50"/>
      <c r="C1140" s="50"/>
      <c r="D1140" s="50"/>
      <c r="E1140" s="50"/>
      <c r="F1140" s="50"/>
      <c r="G1140" s="50"/>
      <c r="H1140" s="50"/>
      <c r="I1140" s="50"/>
      <c r="J1140" s="50"/>
      <c r="K1140" s="50"/>
      <c r="L1140" s="50"/>
      <c r="M1140" s="50"/>
      <c r="N1140" s="50"/>
      <c r="O1140" s="50"/>
      <c r="P1140" s="50"/>
      <c r="Q1140" s="50"/>
    </row>
    <row r="1141" customFormat="false" ht="15" hidden="false" customHeight="true" outlineLevel="0" collapsed="false">
      <c r="A1141" s="51"/>
      <c r="B1141" s="50"/>
      <c r="C1141" s="50"/>
      <c r="D1141" s="50"/>
      <c r="E1141" s="50"/>
      <c r="F1141" s="50"/>
      <c r="G1141" s="50"/>
      <c r="H1141" s="50"/>
      <c r="I1141" s="50"/>
      <c r="J1141" s="50"/>
      <c r="K1141" s="50"/>
      <c r="L1141" s="50"/>
      <c r="M1141" s="50"/>
      <c r="N1141" s="50"/>
      <c r="O1141" s="50"/>
      <c r="P1141" s="50"/>
      <c r="Q1141" s="50"/>
    </row>
    <row r="1142" customFormat="false" ht="15" hidden="false" customHeight="true" outlineLevel="0" collapsed="false">
      <c r="A1142" s="51"/>
      <c r="B1142" s="50"/>
      <c r="C1142" s="50"/>
      <c r="D1142" s="50"/>
      <c r="E1142" s="50"/>
      <c r="F1142" s="50"/>
      <c r="G1142" s="50"/>
      <c r="H1142" s="50"/>
      <c r="I1142" s="50"/>
      <c r="J1142" s="50"/>
      <c r="K1142" s="50"/>
      <c r="L1142" s="50"/>
      <c r="M1142" s="50"/>
      <c r="N1142" s="50"/>
      <c r="O1142" s="50"/>
      <c r="P1142" s="50"/>
      <c r="Q1142" s="50"/>
    </row>
    <row r="1143" customFormat="false" ht="15" hidden="false" customHeight="true" outlineLevel="0" collapsed="false">
      <c r="A1143" s="51"/>
      <c r="B1143" s="50"/>
      <c r="C1143" s="50"/>
      <c r="D1143" s="50"/>
      <c r="E1143" s="50"/>
      <c r="F1143" s="50"/>
      <c r="G1143" s="50"/>
      <c r="H1143" s="50"/>
      <c r="I1143" s="50"/>
      <c r="J1143" s="50"/>
      <c r="K1143" s="50"/>
      <c r="L1143" s="50"/>
      <c r="M1143" s="50"/>
      <c r="N1143" s="50"/>
      <c r="O1143" s="50"/>
      <c r="P1143" s="50"/>
      <c r="Q1143" s="50"/>
    </row>
    <row r="1144" customFormat="false" ht="15" hidden="false" customHeight="true" outlineLevel="0" collapsed="false">
      <c r="A1144" s="51"/>
      <c r="B1144" s="50"/>
      <c r="C1144" s="50"/>
      <c r="D1144" s="50"/>
      <c r="E1144" s="50"/>
      <c r="F1144" s="50"/>
      <c r="G1144" s="50"/>
      <c r="H1144" s="50"/>
      <c r="I1144" s="50"/>
      <c r="J1144" s="50"/>
      <c r="K1144" s="50"/>
      <c r="L1144" s="50"/>
      <c r="M1144" s="50"/>
      <c r="N1144" s="50"/>
      <c r="O1144" s="50"/>
      <c r="P1144" s="50"/>
      <c r="Q1144" s="50"/>
    </row>
    <row r="1145" customFormat="false" ht="15" hidden="false" customHeight="true" outlineLevel="0" collapsed="false">
      <c r="A1145" s="51"/>
      <c r="B1145" s="50"/>
      <c r="C1145" s="50"/>
      <c r="D1145" s="50"/>
      <c r="E1145" s="50"/>
      <c r="F1145" s="50"/>
      <c r="G1145" s="50"/>
      <c r="H1145" s="50"/>
      <c r="I1145" s="50"/>
      <c r="J1145" s="50"/>
      <c r="K1145" s="50"/>
      <c r="L1145" s="50"/>
      <c r="M1145" s="50"/>
      <c r="N1145" s="50"/>
      <c r="O1145" s="50"/>
      <c r="P1145" s="50"/>
      <c r="Q1145" s="50"/>
    </row>
    <row r="1146" customFormat="false" ht="15" hidden="false" customHeight="true" outlineLevel="0" collapsed="false">
      <c r="A1146" s="51"/>
      <c r="B1146" s="50"/>
      <c r="C1146" s="50"/>
      <c r="D1146" s="50"/>
      <c r="E1146" s="50"/>
      <c r="F1146" s="50"/>
      <c r="G1146" s="50"/>
      <c r="H1146" s="50"/>
      <c r="I1146" s="50"/>
      <c r="J1146" s="50"/>
      <c r="K1146" s="50"/>
      <c r="L1146" s="50"/>
      <c r="M1146" s="50"/>
      <c r="N1146" s="50"/>
      <c r="O1146" s="50"/>
      <c r="P1146" s="50"/>
      <c r="Q1146" s="50"/>
    </row>
    <row r="1147" customFormat="false" ht="15" hidden="false" customHeight="true" outlineLevel="0" collapsed="false">
      <c r="A1147" s="51"/>
      <c r="B1147" s="50"/>
      <c r="C1147" s="50"/>
      <c r="D1147" s="50"/>
      <c r="E1147" s="50"/>
      <c r="F1147" s="50"/>
      <c r="G1147" s="50"/>
      <c r="H1147" s="50"/>
      <c r="I1147" s="50"/>
      <c r="J1147" s="50"/>
      <c r="K1147" s="50"/>
      <c r="L1147" s="50"/>
      <c r="M1147" s="50"/>
      <c r="N1147" s="50"/>
      <c r="O1147" s="50"/>
      <c r="P1147" s="50"/>
      <c r="Q1147" s="50"/>
    </row>
    <row r="1148" customFormat="false" ht="15" hidden="false" customHeight="true" outlineLevel="0" collapsed="false">
      <c r="A1148" s="51"/>
      <c r="B1148" s="50"/>
      <c r="C1148" s="50"/>
      <c r="D1148" s="50"/>
      <c r="E1148" s="50"/>
      <c r="F1148" s="50"/>
      <c r="G1148" s="50"/>
      <c r="H1148" s="50"/>
      <c r="I1148" s="50"/>
      <c r="J1148" s="50"/>
      <c r="K1148" s="50"/>
      <c r="L1148" s="50"/>
      <c r="M1148" s="50"/>
      <c r="N1148" s="50"/>
      <c r="O1148" s="50"/>
      <c r="P1148" s="50"/>
      <c r="Q1148" s="50"/>
    </row>
    <row r="1149" customFormat="false" ht="15" hidden="false" customHeight="true" outlineLevel="0" collapsed="false">
      <c r="A1149" s="51"/>
      <c r="B1149" s="50"/>
      <c r="C1149" s="50"/>
      <c r="D1149" s="50"/>
      <c r="E1149" s="50"/>
      <c r="F1149" s="50"/>
      <c r="G1149" s="50"/>
      <c r="H1149" s="50"/>
      <c r="I1149" s="50"/>
      <c r="J1149" s="50"/>
      <c r="K1149" s="50"/>
      <c r="L1149" s="50"/>
      <c r="M1149" s="50"/>
      <c r="N1149" s="50"/>
      <c r="O1149" s="50"/>
      <c r="P1149" s="50"/>
      <c r="Q1149" s="50"/>
    </row>
    <row r="1150" customFormat="false" ht="15" hidden="false" customHeight="true" outlineLevel="0" collapsed="false">
      <c r="A1150" s="51"/>
      <c r="B1150" s="50"/>
      <c r="C1150" s="50"/>
      <c r="D1150" s="50"/>
      <c r="E1150" s="50"/>
      <c r="F1150" s="50"/>
      <c r="G1150" s="50"/>
      <c r="H1150" s="50"/>
      <c r="I1150" s="50"/>
      <c r="J1150" s="50"/>
      <c r="K1150" s="50"/>
      <c r="L1150" s="50"/>
      <c r="M1150" s="50"/>
      <c r="N1150" s="50"/>
      <c r="O1150" s="50"/>
      <c r="P1150" s="50"/>
      <c r="Q1150" s="50"/>
    </row>
    <row r="1151" customFormat="false" ht="15" hidden="false" customHeight="true" outlineLevel="0" collapsed="false">
      <c r="A1151" s="51"/>
      <c r="B1151" s="50"/>
      <c r="C1151" s="50"/>
      <c r="D1151" s="50"/>
      <c r="E1151" s="50"/>
      <c r="F1151" s="50"/>
      <c r="G1151" s="50"/>
      <c r="H1151" s="50"/>
      <c r="I1151" s="50"/>
      <c r="J1151" s="50"/>
      <c r="K1151" s="50"/>
      <c r="L1151" s="50"/>
      <c r="M1151" s="50"/>
      <c r="N1151" s="50"/>
      <c r="O1151" s="50"/>
      <c r="P1151" s="50"/>
      <c r="Q1151" s="50"/>
    </row>
    <row r="1152" customFormat="false" ht="15" hidden="false" customHeight="true" outlineLevel="0" collapsed="false">
      <c r="A1152" s="51"/>
      <c r="B1152" s="50"/>
      <c r="C1152" s="50"/>
      <c r="D1152" s="50"/>
      <c r="E1152" s="50"/>
      <c r="F1152" s="50"/>
      <c r="G1152" s="50"/>
      <c r="H1152" s="50"/>
      <c r="I1152" s="50"/>
      <c r="J1152" s="50"/>
      <c r="K1152" s="50"/>
      <c r="L1152" s="50"/>
      <c r="M1152" s="50"/>
      <c r="N1152" s="50"/>
      <c r="O1152" s="50"/>
      <c r="P1152" s="50"/>
      <c r="Q1152" s="50"/>
    </row>
    <row r="1153" customFormat="false" ht="15" hidden="false" customHeight="true" outlineLevel="0" collapsed="false">
      <c r="A1153" s="51"/>
      <c r="B1153" s="50"/>
      <c r="C1153" s="50"/>
      <c r="D1153" s="50"/>
      <c r="E1153" s="50"/>
      <c r="F1153" s="50"/>
      <c r="G1153" s="50"/>
      <c r="H1153" s="50"/>
      <c r="I1153" s="50"/>
      <c r="J1153" s="50"/>
      <c r="K1153" s="50"/>
      <c r="L1153" s="50"/>
      <c r="M1153" s="50"/>
      <c r="N1153" s="50"/>
      <c r="O1153" s="50"/>
      <c r="P1153" s="50"/>
      <c r="Q1153" s="50"/>
    </row>
    <row r="1154" customFormat="false" ht="15" hidden="false" customHeight="true" outlineLevel="0" collapsed="false">
      <c r="A1154" s="51"/>
      <c r="B1154" s="50"/>
      <c r="C1154" s="50"/>
      <c r="D1154" s="50"/>
      <c r="E1154" s="50"/>
      <c r="F1154" s="50"/>
      <c r="G1154" s="50"/>
      <c r="H1154" s="50"/>
      <c r="I1154" s="50"/>
      <c r="J1154" s="50"/>
      <c r="K1154" s="50"/>
      <c r="L1154" s="50"/>
      <c r="M1154" s="50"/>
      <c r="N1154" s="50"/>
      <c r="O1154" s="50"/>
      <c r="P1154" s="50"/>
      <c r="Q1154" s="50"/>
    </row>
    <row r="1155" customFormat="false" ht="15" hidden="false" customHeight="true" outlineLevel="0" collapsed="false">
      <c r="A1155" s="51"/>
      <c r="B1155" s="50"/>
      <c r="C1155" s="50"/>
      <c r="D1155" s="50"/>
      <c r="E1155" s="50"/>
      <c r="F1155" s="50"/>
      <c r="G1155" s="50"/>
      <c r="H1155" s="50"/>
      <c r="I1155" s="50"/>
      <c r="J1155" s="50"/>
      <c r="K1155" s="50"/>
      <c r="L1155" s="50"/>
      <c r="M1155" s="50"/>
      <c r="N1155" s="50"/>
      <c r="O1155" s="50"/>
      <c r="P1155" s="50"/>
      <c r="Q1155" s="50"/>
    </row>
    <row r="1156" customFormat="false" ht="15" hidden="false" customHeight="true" outlineLevel="0" collapsed="false">
      <c r="A1156" s="51"/>
      <c r="B1156" s="50"/>
      <c r="C1156" s="50"/>
      <c r="D1156" s="50"/>
      <c r="E1156" s="50"/>
      <c r="F1156" s="50"/>
      <c r="G1156" s="50"/>
      <c r="H1156" s="50"/>
      <c r="I1156" s="50"/>
      <c r="J1156" s="50"/>
      <c r="K1156" s="50"/>
      <c r="L1156" s="50"/>
      <c r="M1156" s="50"/>
      <c r="N1156" s="50"/>
      <c r="O1156" s="50"/>
      <c r="P1156" s="50"/>
      <c r="Q1156" s="50"/>
    </row>
    <row r="1157" customFormat="false" ht="15" hidden="false" customHeight="true" outlineLevel="0" collapsed="false">
      <c r="A1157" s="51"/>
      <c r="B1157" s="50"/>
      <c r="C1157" s="50"/>
      <c r="D1157" s="50"/>
      <c r="E1157" s="50"/>
      <c r="F1157" s="50"/>
      <c r="G1157" s="50"/>
      <c r="H1157" s="50"/>
      <c r="I1157" s="50"/>
      <c r="J1157" s="50"/>
      <c r="K1157" s="50"/>
      <c r="L1157" s="50"/>
      <c r="M1157" s="50"/>
      <c r="N1157" s="50"/>
      <c r="O1157" s="50"/>
      <c r="P1157" s="50"/>
      <c r="Q1157" s="50"/>
    </row>
    <row r="1158" customFormat="false" ht="15" hidden="false" customHeight="true" outlineLevel="0" collapsed="false">
      <c r="A1158" s="51"/>
      <c r="B1158" s="50"/>
      <c r="C1158" s="50"/>
      <c r="D1158" s="50"/>
      <c r="E1158" s="50"/>
      <c r="F1158" s="50"/>
      <c r="G1158" s="50"/>
      <c r="H1158" s="50"/>
      <c r="I1158" s="50"/>
      <c r="J1158" s="50"/>
      <c r="K1158" s="50"/>
      <c r="L1158" s="50"/>
      <c r="M1158" s="50"/>
      <c r="N1158" s="50"/>
      <c r="O1158" s="50"/>
      <c r="P1158" s="50"/>
      <c r="Q1158" s="50"/>
    </row>
    <row r="1159" customFormat="false" ht="15" hidden="false" customHeight="true" outlineLevel="0" collapsed="false">
      <c r="A1159" s="51"/>
      <c r="B1159" s="50"/>
      <c r="C1159" s="50"/>
      <c r="D1159" s="50"/>
      <c r="E1159" s="50"/>
      <c r="F1159" s="50"/>
      <c r="G1159" s="50"/>
      <c r="H1159" s="50"/>
      <c r="I1159" s="50"/>
      <c r="J1159" s="50"/>
      <c r="K1159" s="50"/>
      <c r="L1159" s="50"/>
      <c r="M1159" s="50"/>
      <c r="N1159" s="50"/>
      <c r="O1159" s="50"/>
      <c r="P1159" s="50"/>
      <c r="Q1159" s="50"/>
    </row>
    <row r="1160" customFormat="false" ht="15" hidden="false" customHeight="true" outlineLevel="0" collapsed="false">
      <c r="A1160" s="51"/>
      <c r="B1160" s="50"/>
      <c r="C1160" s="50"/>
      <c r="D1160" s="50"/>
      <c r="E1160" s="50"/>
      <c r="F1160" s="50"/>
      <c r="G1160" s="50"/>
      <c r="H1160" s="50"/>
      <c r="I1160" s="50"/>
      <c r="J1160" s="50"/>
      <c r="K1160" s="50"/>
      <c r="L1160" s="50"/>
      <c r="M1160" s="50"/>
      <c r="N1160" s="50"/>
      <c r="O1160" s="50"/>
      <c r="P1160" s="50"/>
      <c r="Q1160" s="50"/>
    </row>
    <row r="1161" customFormat="false" ht="15" hidden="false" customHeight="true" outlineLevel="0" collapsed="false">
      <c r="A1161" s="51"/>
      <c r="B1161" s="50"/>
      <c r="C1161" s="50"/>
      <c r="D1161" s="50"/>
      <c r="E1161" s="50"/>
      <c r="F1161" s="50"/>
      <c r="G1161" s="50"/>
      <c r="H1161" s="50"/>
      <c r="I1161" s="50"/>
      <c r="J1161" s="50"/>
      <c r="K1161" s="50"/>
      <c r="L1161" s="50"/>
      <c r="M1161" s="50"/>
      <c r="N1161" s="50"/>
      <c r="O1161" s="50"/>
      <c r="P1161" s="50"/>
      <c r="Q1161" s="50"/>
    </row>
    <row r="1162" customFormat="false" ht="15" hidden="false" customHeight="true" outlineLevel="0" collapsed="false">
      <c r="A1162" s="51"/>
      <c r="B1162" s="50"/>
      <c r="C1162" s="50"/>
      <c r="D1162" s="50"/>
      <c r="E1162" s="50"/>
      <c r="F1162" s="50"/>
      <c r="G1162" s="50"/>
      <c r="H1162" s="50"/>
      <c r="I1162" s="50"/>
      <c r="J1162" s="50"/>
      <c r="K1162" s="50"/>
      <c r="L1162" s="50"/>
      <c r="M1162" s="50"/>
      <c r="N1162" s="50"/>
      <c r="O1162" s="50"/>
      <c r="P1162" s="50"/>
      <c r="Q1162" s="50"/>
    </row>
    <row r="1163" customFormat="false" ht="15" hidden="false" customHeight="true" outlineLevel="0" collapsed="false">
      <c r="A1163" s="51"/>
      <c r="B1163" s="50"/>
      <c r="C1163" s="50"/>
      <c r="D1163" s="50"/>
      <c r="E1163" s="50"/>
      <c r="F1163" s="50"/>
      <c r="G1163" s="50"/>
      <c r="H1163" s="50"/>
      <c r="I1163" s="50"/>
      <c r="J1163" s="50"/>
      <c r="K1163" s="50"/>
      <c r="L1163" s="50"/>
      <c r="M1163" s="50"/>
      <c r="N1163" s="50"/>
      <c r="O1163" s="50"/>
      <c r="P1163" s="50"/>
      <c r="Q1163" s="50"/>
    </row>
    <row r="1164" customFormat="false" ht="15" hidden="false" customHeight="true" outlineLevel="0" collapsed="false">
      <c r="A1164" s="51"/>
      <c r="B1164" s="50"/>
      <c r="C1164" s="50"/>
      <c r="D1164" s="50"/>
      <c r="E1164" s="50"/>
      <c r="F1164" s="50"/>
      <c r="G1164" s="50"/>
      <c r="H1164" s="50"/>
      <c r="I1164" s="50"/>
      <c r="J1164" s="50"/>
      <c r="K1164" s="50"/>
      <c r="L1164" s="50"/>
      <c r="M1164" s="50"/>
      <c r="N1164" s="50"/>
      <c r="O1164" s="50"/>
      <c r="P1164" s="50"/>
      <c r="Q1164" s="50"/>
    </row>
    <row r="1165" customFormat="false" ht="15" hidden="false" customHeight="true" outlineLevel="0" collapsed="false">
      <c r="A1165" s="51"/>
      <c r="B1165" s="50"/>
      <c r="C1165" s="50"/>
      <c r="D1165" s="50"/>
      <c r="E1165" s="50"/>
      <c r="F1165" s="50"/>
      <c r="G1165" s="50"/>
      <c r="H1165" s="50"/>
      <c r="I1165" s="50"/>
      <c r="J1165" s="50"/>
      <c r="K1165" s="50"/>
      <c r="L1165" s="50"/>
      <c r="M1165" s="50"/>
      <c r="N1165" s="50"/>
      <c r="O1165" s="50"/>
      <c r="P1165" s="50"/>
      <c r="Q1165" s="50"/>
    </row>
    <row r="1166" customFormat="false" ht="15" hidden="false" customHeight="true" outlineLevel="0" collapsed="false">
      <c r="A1166" s="51"/>
      <c r="B1166" s="50"/>
      <c r="C1166" s="50"/>
      <c r="D1166" s="50"/>
      <c r="E1166" s="50"/>
      <c r="F1166" s="50"/>
      <c r="G1166" s="50"/>
      <c r="H1166" s="50"/>
      <c r="I1166" s="50"/>
      <c r="J1166" s="50"/>
      <c r="K1166" s="50"/>
      <c r="L1166" s="50"/>
      <c r="M1166" s="50"/>
      <c r="N1166" s="50"/>
      <c r="O1166" s="50"/>
      <c r="P1166" s="50"/>
      <c r="Q1166" s="50"/>
    </row>
    <row r="1167" customFormat="false" ht="15" hidden="false" customHeight="true" outlineLevel="0" collapsed="false">
      <c r="A1167" s="51"/>
      <c r="B1167" s="50"/>
      <c r="C1167" s="50"/>
      <c r="D1167" s="50"/>
      <c r="E1167" s="50"/>
      <c r="F1167" s="50"/>
      <c r="G1167" s="50"/>
      <c r="H1167" s="50"/>
      <c r="I1167" s="50"/>
      <c r="J1167" s="50"/>
      <c r="K1167" s="50"/>
      <c r="L1167" s="50"/>
      <c r="M1167" s="50"/>
      <c r="N1167" s="50"/>
      <c r="O1167" s="50"/>
      <c r="P1167" s="50"/>
      <c r="Q1167" s="50"/>
    </row>
    <row r="1168" customFormat="false" ht="15" hidden="false" customHeight="true" outlineLevel="0" collapsed="false">
      <c r="A1168" s="51"/>
      <c r="B1168" s="50"/>
      <c r="C1168" s="50"/>
      <c r="D1168" s="50"/>
      <c r="E1168" s="50"/>
      <c r="F1168" s="50"/>
      <c r="G1168" s="50"/>
      <c r="H1168" s="50"/>
      <c r="I1168" s="50"/>
      <c r="J1168" s="50"/>
      <c r="K1168" s="50"/>
      <c r="L1168" s="50"/>
      <c r="M1168" s="50"/>
      <c r="N1168" s="50"/>
      <c r="O1168" s="50"/>
      <c r="P1168" s="50"/>
      <c r="Q1168" s="50"/>
    </row>
    <row r="1169" customFormat="false" ht="15" hidden="false" customHeight="true" outlineLevel="0" collapsed="false">
      <c r="A1169" s="51"/>
      <c r="B1169" s="50"/>
      <c r="C1169" s="50"/>
      <c r="D1169" s="50"/>
      <c r="E1169" s="50"/>
      <c r="F1169" s="50"/>
      <c r="G1169" s="50"/>
      <c r="H1169" s="50"/>
      <c r="I1169" s="50"/>
      <c r="J1169" s="50"/>
      <c r="K1169" s="50"/>
      <c r="L1169" s="50"/>
      <c r="M1169" s="50"/>
      <c r="N1169" s="50"/>
      <c r="O1169" s="50"/>
      <c r="P1169" s="50"/>
      <c r="Q1169" s="50"/>
    </row>
    <row r="1170" customFormat="false" ht="15" hidden="false" customHeight="true" outlineLevel="0" collapsed="false">
      <c r="A1170" s="51"/>
      <c r="B1170" s="50"/>
      <c r="C1170" s="50"/>
      <c r="D1170" s="50"/>
      <c r="E1170" s="50"/>
      <c r="F1170" s="50"/>
      <c r="G1170" s="50"/>
      <c r="H1170" s="50"/>
      <c r="I1170" s="50"/>
      <c r="J1170" s="50"/>
      <c r="K1170" s="50"/>
      <c r="L1170" s="50"/>
      <c r="M1170" s="50"/>
      <c r="N1170" s="50"/>
      <c r="O1170" s="50"/>
      <c r="P1170" s="50"/>
      <c r="Q1170" s="50"/>
    </row>
    <row r="1171" customFormat="false" ht="15" hidden="false" customHeight="true" outlineLevel="0" collapsed="false">
      <c r="A1171" s="51"/>
      <c r="B1171" s="50"/>
      <c r="C1171" s="50"/>
      <c r="D1171" s="50"/>
      <c r="E1171" s="50"/>
      <c r="F1171" s="50"/>
      <c r="G1171" s="50"/>
      <c r="H1171" s="50"/>
      <c r="I1171" s="50"/>
      <c r="J1171" s="50"/>
      <c r="K1171" s="50"/>
      <c r="L1171" s="50"/>
      <c r="M1171" s="50"/>
      <c r="N1171" s="50"/>
      <c r="O1171" s="50"/>
      <c r="P1171" s="50"/>
      <c r="Q1171" s="50"/>
    </row>
    <row r="1172" customFormat="false" ht="15" hidden="false" customHeight="true" outlineLevel="0" collapsed="false">
      <c r="A1172" s="51"/>
      <c r="B1172" s="50"/>
      <c r="C1172" s="50"/>
      <c r="D1172" s="50"/>
      <c r="E1172" s="50"/>
      <c r="F1172" s="50"/>
      <c r="G1172" s="50"/>
      <c r="H1172" s="50"/>
      <c r="I1172" s="50"/>
      <c r="J1172" s="50"/>
      <c r="K1172" s="50"/>
      <c r="L1172" s="50"/>
      <c r="M1172" s="50"/>
      <c r="N1172" s="50"/>
      <c r="O1172" s="50"/>
      <c r="P1172" s="50"/>
      <c r="Q1172" s="50"/>
    </row>
    <row r="1173" customFormat="false" ht="15" hidden="false" customHeight="true" outlineLevel="0" collapsed="false">
      <c r="A1173" s="51"/>
      <c r="B1173" s="50"/>
      <c r="C1173" s="50"/>
      <c r="D1173" s="50"/>
      <c r="E1173" s="50"/>
      <c r="F1173" s="50"/>
      <c r="G1173" s="50"/>
      <c r="H1173" s="50"/>
      <c r="I1173" s="50"/>
      <c r="J1173" s="50"/>
      <c r="K1173" s="50"/>
      <c r="L1173" s="50"/>
      <c r="M1173" s="50"/>
      <c r="N1173" s="50"/>
      <c r="O1173" s="50"/>
      <c r="P1173" s="50"/>
      <c r="Q1173" s="50"/>
    </row>
    <row r="1174" customFormat="false" ht="15" hidden="false" customHeight="true" outlineLevel="0" collapsed="false">
      <c r="A1174" s="51"/>
      <c r="B1174" s="50"/>
      <c r="C1174" s="50"/>
      <c r="D1174" s="50"/>
      <c r="E1174" s="50"/>
      <c r="F1174" s="50"/>
      <c r="G1174" s="50"/>
      <c r="H1174" s="50"/>
      <c r="I1174" s="50"/>
      <c r="J1174" s="50"/>
      <c r="K1174" s="50"/>
      <c r="L1174" s="50"/>
      <c r="M1174" s="50"/>
      <c r="N1174" s="50"/>
      <c r="O1174" s="50"/>
      <c r="P1174" s="50"/>
      <c r="Q1174" s="50"/>
    </row>
    <row r="1175" customFormat="false" ht="15" hidden="false" customHeight="true" outlineLevel="0" collapsed="false">
      <c r="A1175" s="51"/>
      <c r="B1175" s="50"/>
      <c r="C1175" s="50"/>
      <c r="D1175" s="50"/>
      <c r="E1175" s="50"/>
      <c r="F1175" s="50"/>
      <c r="G1175" s="50"/>
      <c r="H1175" s="50"/>
      <c r="I1175" s="50"/>
      <c r="J1175" s="50"/>
      <c r="K1175" s="50"/>
      <c r="L1175" s="50"/>
      <c r="M1175" s="50"/>
      <c r="N1175" s="50"/>
      <c r="O1175" s="50"/>
      <c r="P1175" s="50"/>
      <c r="Q1175" s="50"/>
    </row>
    <row r="1176" customFormat="false" ht="15" hidden="false" customHeight="true" outlineLevel="0" collapsed="false">
      <c r="A1176" s="51"/>
      <c r="B1176" s="50"/>
      <c r="C1176" s="50"/>
      <c r="D1176" s="50"/>
      <c r="E1176" s="50"/>
      <c r="F1176" s="50"/>
      <c r="G1176" s="50"/>
      <c r="H1176" s="50"/>
      <c r="I1176" s="50"/>
      <c r="J1176" s="50"/>
      <c r="K1176" s="50"/>
      <c r="L1176" s="50"/>
      <c r="M1176" s="50"/>
      <c r="N1176" s="50"/>
      <c r="O1176" s="50"/>
      <c r="P1176" s="50"/>
      <c r="Q1176" s="50"/>
    </row>
    <row r="1177" customFormat="false" ht="15" hidden="false" customHeight="true" outlineLevel="0" collapsed="false">
      <c r="A1177" s="51"/>
      <c r="B1177" s="50"/>
      <c r="C1177" s="50"/>
      <c r="D1177" s="50"/>
      <c r="E1177" s="50"/>
      <c r="F1177" s="50"/>
      <c r="G1177" s="50"/>
      <c r="H1177" s="50"/>
      <c r="I1177" s="50"/>
      <c r="J1177" s="50"/>
      <c r="K1177" s="50"/>
      <c r="L1177" s="50"/>
      <c r="M1177" s="50"/>
      <c r="N1177" s="50"/>
      <c r="O1177" s="50"/>
      <c r="P1177" s="50"/>
      <c r="Q1177" s="50"/>
    </row>
    <row r="1178" customFormat="false" ht="15" hidden="false" customHeight="true" outlineLevel="0" collapsed="false">
      <c r="A1178" s="51"/>
      <c r="B1178" s="50"/>
      <c r="C1178" s="50"/>
      <c r="D1178" s="50"/>
      <c r="E1178" s="50"/>
      <c r="F1178" s="50"/>
      <c r="G1178" s="50"/>
      <c r="H1178" s="50"/>
      <c r="I1178" s="50"/>
      <c r="J1178" s="50"/>
      <c r="K1178" s="50"/>
      <c r="L1178" s="50"/>
      <c r="M1178" s="50"/>
      <c r="N1178" s="50"/>
      <c r="O1178" s="50"/>
      <c r="P1178" s="50"/>
      <c r="Q1178" s="50"/>
    </row>
    <row r="1179" customFormat="false" ht="15" hidden="false" customHeight="true" outlineLevel="0" collapsed="false">
      <c r="A1179" s="51"/>
      <c r="B1179" s="50"/>
      <c r="C1179" s="50"/>
      <c r="D1179" s="50"/>
      <c r="E1179" s="50"/>
      <c r="F1179" s="50"/>
      <c r="G1179" s="50"/>
      <c r="H1179" s="50"/>
      <c r="I1179" s="50"/>
      <c r="J1179" s="50"/>
      <c r="K1179" s="50"/>
      <c r="L1179" s="50"/>
      <c r="M1179" s="50"/>
      <c r="N1179" s="50"/>
      <c r="O1179" s="50"/>
      <c r="P1179" s="50"/>
      <c r="Q1179" s="50"/>
    </row>
    <row r="1180" customFormat="false" ht="15" hidden="false" customHeight="true" outlineLevel="0" collapsed="false">
      <c r="A1180" s="51"/>
      <c r="B1180" s="50"/>
      <c r="C1180" s="50"/>
      <c r="D1180" s="50"/>
      <c r="E1180" s="50"/>
      <c r="F1180" s="50"/>
      <c r="G1180" s="50"/>
      <c r="H1180" s="50"/>
      <c r="I1180" s="50"/>
      <c r="J1180" s="50"/>
      <c r="K1180" s="50"/>
      <c r="L1180" s="50"/>
      <c r="M1180" s="50"/>
      <c r="N1180" s="50"/>
      <c r="O1180" s="50"/>
      <c r="P1180" s="50"/>
      <c r="Q1180" s="50"/>
    </row>
    <row r="1181" customFormat="false" ht="15" hidden="false" customHeight="true" outlineLevel="0" collapsed="false">
      <c r="A1181" s="51"/>
      <c r="B1181" s="50"/>
      <c r="C1181" s="50"/>
      <c r="D1181" s="50"/>
      <c r="E1181" s="50"/>
      <c r="F1181" s="50"/>
      <c r="G1181" s="50"/>
      <c r="H1181" s="50"/>
      <c r="I1181" s="50"/>
      <c r="J1181" s="50"/>
      <c r="K1181" s="50"/>
      <c r="L1181" s="50"/>
      <c r="M1181" s="50"/>
      <c r="N1181" s="50"/>
      <c r="O1181" s="50"/>
      <c r="P1181" s="50"/>
      <c r="Q1181" s="50"/>
    </row>
    <row r="1182" customFormat="false" ht="15" hidden="false" customHeight="true" outlineLevel="0" collapsed="false">
      <c r="A1182" s="51"/>
      <c r="B1182" s="50"/>
      <c r="C1182" s="50"/>
      <c r="D1182" s="50"/>
      <c r="E1182" s="50"/>
      <c r="F1182" s="50"/>
      <c r="G1182" s="50"/>
      <c r="H1182" s="50"/>
      <c r="I1182" s="50"/>
      <c r="J1182" s="50"/>
      <c r="K1182" s="50"/>
      <c r="L1182" s="50"/>
      <c r="M1182" s="50"/>
      <c r="N1182" s="50"/>
      <c r="O1182" s="50"/>
      <c r="P1182" s="50"/>
      <c r="Q1182" s="50"/>
    </row>
    <row r="1183" customFormat="false" ht="15" hidden="false" customHeight="true" outlineLevel="0" collapsed="false">
      <c r="A1183" s="51"/>
      <c r="B1183" s="50"/>
      <c r="C1183" s="50"/>
      <c r="D1183" s="50"/>
      <c r="E1183" s="50"/>
      <c r="F1183" s="50"/>
      <c r="G1183" s="50"/>
      <c r="H1183" s="50"/>
      <c r="I1183" s="50"/>
      <c r="J1183" s="50"/>
      <c r="K1183" s="50"/>
      <c r="L1183" s="50"/>
      <c r="M1183" s="50"/>
      <c r="N1183" s="50"/>
      <c r="O1183" s="50"/>
      <c r="P1183" s="50"/>
      <c r="Q1183" s="50"/>
    </row>
    <row r="1184" customFormat="false" ht="15" hidden="false" customHeight="true" outlineLevel="0" collapsed="false">
      <c r="A1184" s="51"/>
      <c r="B1184" s="50"/>
      <c r="C1184" s="50"/>
      <c r="D1184" s="50"/>
      <c r="E1184" s="50"/>
      <c r="F1184" s="50"/>
      <c r="G1184" s="50"/>
      <c r="H1184" s="50"/>
      <c r="I1184" s="50"/>
      <c r="J1184" s="50"/>
      <c r="K1184" s="50"/>
      <c r="L1184" s="50"/>
      <c r="M1184" s="50"/>
      <c r="N1184" s="50"/>
      <c r="O1184" s="50"/>
      <c r="P1184" s="50"/>
      <c r="Q1184" s="50"/>
    </row>
    <row r="1185" customFormat="false" ht="15" hidden="false" customHeight="true" outlineLevel="0" collapsed="false">
      <c r="A1185" s="51"/>
      <c r="B1185" s="50"/>
      <c r="C1185" s="50"/>
      <c r="D1185" s="50"/>
      <c r="E1185" s="50"/>
      <c r="F1185" s="50"/>
      <c r="G1185" s="50"/>
      <c r="H1185" s="50"/>
      <c r="I1185" s="50"/>
      <c r="J1185" s="50"/>
      <c r="K1185" s="50"/>
      <c r="L1185" s="50"/>
      <c r="M1185" s="50"/>
      <c r="N1185" s="50"/>
      <c r="O1185" s="50"/>
      <c r="P1185" s="50"/>
      <c r="Q1185" s="50"/>
    </row>
    <row r="1186" customFormat="false" ht="15" hidden="false" customHeight="true" outlineLevel="0" collapsed="false">
      <c r="A1186" s="51"/>
      <c r="B1186" s="50"/>
      <c r="C1186" s="50"/>
      <c r="D1186" s="50"/>
      <c r="E1186" s="50"/>
      <c r="F1186" s="50"/>
      <c r="G1186" s="50"/>
      <c r="H1186" s="50"/>
      <c r="I1186" s="50"/>
      <c r="J1186" s="50"/>
      <c r="K1186" s="50"/>
      <c r="L1186" s="50"/>
      <c r="M1186" s="50"/>
      <c r="N1186" s="50"/>
      <c r="O1186" s="50"/>
      <c r="P1186" s="50"/>
      <c r="Q1186" s="50"/>
    </row>
    <row r="1187" customFormat="false" ht="15" hidden="false" customHeight="true" outlineLevel="0" collapsed="false">
      <c r="A1187" s="51"/>
      <c r="B1187" s="50"/>
      <c r="C1187" s="50"/>
      <c r="D1187" s="50"/>
      <c r="E1187" s="50"/>
      <c r="F1187" s="50"/>
      <c r="G1187" s="50"/>
      <c r="H1187" s="50"/>
      <c r="I1187" s="50"/>
      <c r="J1187" s="50"/>
      <c r="K1187" s="50"/>
      <c r="L1187" s="50"/>
      <c r="M1187" s="50"/>
      <c r="N1187" s="50"/>
      <c r="O1187" s="50"/>
      <c r="P1187" s="50"/>
      <c r="Q1187" s="50"/>
    </row>
    <row r="1188" customFormat="false" ht="15" hidden="false" customHeight="true" outlineLevel="0" collapsed="false">
      <c r="A1188" s="51"/>
      <c r="B1188" s="50"/>
      <c r="C1188" s="50"/>
      <c r="D1188" s="50"/>
      <c r="E1188" s="50"/>
      <c r="F1188" s="50"/>
      <c r="G1188" s="50"/>
      <c r="H1188" s="50"/>
      <c r="I1188" s="50"/>
      <c r="J1188" s="50"/>
      <c r="K1188" s="50"/>
      <c r="L1188" s="50"/>
      <c r="M1188" s="50"/>
      <c r="N1188" s="50"/>
      <c r="O1188" s="50"/>
      <c r="P1188" s="50"/>
      <c r="Q1188" s="50"/>
    </row>
    <row r="1189" customFormat="false" ht="15" hidden="false" customHeight="true" outlineLevel="0" collapsed="false">
      <c r="A1189" s="51"/>
      <c r="B1189" s="50"/>
      <c r="C1189" s="50"/>
      <c r="D1189" s="50"/>
      <c r="E1189" s="50"/>
      <c r="F1189" s="50"/>
      <c r="G1189" s="50"/>
      <c r="H1189" s="50"/>
      <c r="I1189" s="50"/>
      <c r="J1189" s="50"/>
      <c r="K1189" s="50"/>
      <c r="L1189" s="50"/>
      <c r="M1189" s="50"/>
      <c r="N1189" s="50"/>
      <c r="O1189" s="50"/>
      <c r="P1189" s="50"/>
      <c r="Q1189" s="50"/>
    </row>
    <row r="1190" customFormat="false" ht="15" hidden="false" customHeight="true" outlineLevel="0" collapsed="false">
      <c r="A1190" s="51"/>
      <c r="B1190" s="50"/>
      <c r="C1190" s="50"/>
      <c r="D1190" s="50"/>
      <c r="E1190" s="50"/>
      <c r="F1190" s="50"/>
      <c r="G1190" s="50"/>
      <c r="H1190" s="50"/>
      <c r="I1190" s="50"/>
      <c r="J1190" s="50"/>
      <c r="K1190" s="50"/>
      <c r="L1190" s="50"/>
      <c r="M1190" s="50"/>
      <c r="N1190" s="50"/>
      <c r="O1190" s="50"/>
      <c r="P1190" s="50"/>
      <c r="Q1190" s="50"/>
    </row>
    <row r="1191" customFormat="false" ht="15" hidden="false" customHeight="true" outlineLevel="0" collapsed="false">
      <c r="A1191" s="51"/>
      <c r="B1191" s="50"/>
      <c r="C1191" s="50"/>
      <c r="D1191" s="50"/>
      <c r="E1191" s="50"/>
      <c r="F1191" s="50"/>
      <c r="G1191" s="50"/>
      <c r="H1191" s="50"/>
      <c r="I1191" s="50"/>
      <c r="J1191" s="50"/>
      <c r="K1191" s="50"/>
      <c r="L1191" s="50"/>
      <c r="M1191" s="50"/>
      <c r="N1191" s="50"/>
      <c r="O1191" s="50"/>
      <c r="P1191" s="50"/>
      <c r="Q1191" s="50"/>
    </row>
    <row r="1192" customFormat="false" ht="15" hidden="false" customHeight="true" outlineLevel="0" collapsed="false">
      <c r="A1192" s="51"/>
      <c r="B1192" s="50"/>
      <c r="C1192" s="50"/>
      <c r="D1192" s="50"/>
      <c r="E1192" s="50"/>
      <c r="F1192" s="50"/>
      <c r="G1192" s="50"/>
      <c r="H1192" s="50"/>
      <c r="I1192" s="50"/>
      <c r="J1192" s="50"/>
      <c r="K1192" s="50"/>
      <c r="L1192" s="50"/>
      <c r="M1192" s="50"/>
      <c r="N1192" s="50"/>
      <c r="O1192" s="50"/>
      <c r="P1192" s="50"/>
      <c r="Q1192" s="50"/>
    </row>
    <row r="1193" customFormat="false" ht="15" hidden="false" customHeight="true" outlineLevel="0" collapsed="false">
      <c r="A1193" s="51"/>
      <c r="B1193" s="50"/>
      <c r="C1193" s="50"/>
      <c r="D1193" s="50"/>
      <c r="E1193" s="50"/>
      <c r="F1193" s="50"/>
      <c r="G1193" s="50"/>
      <c r="H1193" s="50"/>
      <c r="I1193" s="50"/>
      <c r="J1193" s="50"/>
      <c r="K1193" s="50"/>
      <c r="L1193" s="50"/>
      <c r="M1193" s="50"/>
      <c r="N1193" s="50"/>
      <c r="O1193" s="50"/>
      <c r="P1193" s="50"/>
      <c r="Q1193" s="50"/>
    </row>
    <row r="1194" customFormat="false" ht="15" hidden="false" customHeight="true" outlineLevel="0" collapsed="false">
      <c r="A1194" s="51"/>
      <c r="B1194" s="50"/>
      <c r="C1194" s="50"/>
      <c r="D1194" s="50"/>
      <c r="E1194" s="50"/>
      <c r="F1194" s="50"/>
      <c r="G1194" s="50"/>
      <c r="H1194" s="50"/>
      <c r="I1194" s="50"/>
      <c r="J1194" s="50"/>
      <c r="K1194" s="50"/>
      <c r="L1194" s="50"/>
      <c r="M1194" s="50"/>
      <c r="N1194" s="50"/>
      <c r="O1194" s="50"/>
      <c r="P1194" s="50"/>
      <c r="Q1194" s="50"/>
    </row>
    <row r="1195" customFormat="false" ht="15" hidden="false" customHeight="true" outlineLevel="0" collapsed="false">
      <c r="A1195" s="51"/>
      <c r="B1195" s="50"/>
      <c r="C1195" s="50"/>
      <c r="D1195" s="50"/>
      <c r="E1195" s="50"/>
      <c r="F1195" s="50"/>
      <c r="G1195" s="50"/>
      <c r="H1195" s="50"/>
      <c r="I1195" s="50"/>
      <c r="J1195" s="50"/>
      <c r="K1195" s="50"/>
      <c r="L1195" s="50"/>
      <c r="M1195" s="50"/>
      <c r="N1195" s="50"/>
      <c r="O1195" s="50"/>
      <c r="P1195" s="50"/>
      <c r="Q1195" s="50"/>
    </row>
    <row r="1196" customFormat="false" ht="15" hidden="false" customHeight="true" outlineLevel="0" collapsed="false">
      <c r="A1196" s="51"/>
      <c r="B1196" s="50"/>
      <c r="C1196" s="50"/>
      <c r="D1196" s="50"/>
      <c r="E1196" s="50"/>
      <c r="F1196" s="50"/>
      <c r="G1196" s="50"/>
      <c r="H1196" s="50"/>
      <c r="I1196" s="50"/>
      <c r="J1196" s="50"/>
      <c r="K1196" s="50"/>
      <c r="L1196" s="50"/>
      <c r="M1196" s="50"/>
      <c r="N1196" s="50"/>
      <c r="O1196" s="50"/>
      <c r="P1196" s="50"/>
      <c r="Q1196" s="50"/>
    </row>
    <row r="1197" customFormat="false" ht="15" hidden="false" customHeight="true" outlineLevel="0" collapsed="false">
      <c r="A1197" s="51"/>
      <c r="B1197" s="50"/>
      <c r="C1197" s="50"/>
      <c r="D1197" s="50"/>
      <c r="E1197" s="50"/>
      <c r="F1197" s="50"/>
      <c r="G1197" s="50"/>
      <c r="H1197" s="50"/>
      <c r="I1197" s="50"/>
      <c r="J1197" s="50"/>
      <c r="K1197" s="50"/>
      <c r="L1197" s="50"/>
      <c r="M1197" s="50"/>
      <c r="N1197" s="50"/>
      <c r="O1197" s="50"/>
      <c r="P1197" s="50"/>
      <c r="Q1197" s="50"/>
    </row>
    <row r="1198" customFormat="false" ht="15" hidden="false" customHeight="true" outlineLevel="0" collapsed="false">
      <c r="A1198" s="51"/>
      <c r="B1198" s="50"/>
      <c r="C1198" s="50"/>
      <c r="D1198" s="50"/>
      <c r="E1198" s="50"/>
      <c r="F1198" s="50"/>
      <c r="G1198" s="50"/>
      <c r="H1198" s="50"/>
      <c r="I1198" s="50"/>
      <c r="J1198" s="50"/>
      <c r="K1198" s="50"/>
      <c r="L1198" s="50"/>
      <c r="M1198" s="50"/>
      <c r="N1198" s="50"/>
      <c r="O1198" s="50"/>
      <c r="P1198" s="50"/>
      <c r="Q1198" s="50"/>
    </row>
    <row r="1199" customFormat="false" ht="15" hidden="false" customHeight="true" outlineLevel="0" collapsed="false">
      <c r="A1199" s="51"/>
      <c r="B1199" s="50"/>
      <c r="C1199" s="50"/>
      <c r="D1199" s="50"/>
      <c r="E1199" s="50"/>
      <c r="F1199" s="50"/>
      <c r="G1199" s="50"/>
      <c r="H1199" s="50"/>
      <c r="I1199" s="50"/>
      <c r="J1199" s="50"/>
      <c r="K1199" s="50"/>
      <c r="L1199" s="50"/>
      <c r="M1199" s="50"/>
      <c r="N1199" s="50"/>
      <c r="O1199" s="50"/>
      <c r="P1199" s="50"/>
      <c r="Q1199" s="50"/>
    </row>
    <row r="1200" customFormat="false" ht="15" hidden="false" customHeight="true" outlineLevel="0" collapsed="false">
      <c r="A1200" s="51"/>
      <c r="B1200" s="50"/>
      <c r="C1200" s="50"/>
      <c r="D1200" s="50"/>
      <c r="E1200" s="50"/>
      <c r="F1200" s="50"/>
      <c r="G1200" s="50"/>
      <c r="H1200" s="50"/>
      <c r="I1200" s="50"/>
      <c r="J1200" s="50"/>
      <c r="K1200" s="50"/>
      <c r="L1200" s="50"/>
      <c r="M1200" s="50"/>
      <c r="N1200" s="50"/>
      <c r="O1200" s="50"/>
      <c r="P1200" s="50"/>
      <c r="Q1200" s="50"/>
    </row>
    <row r="1201" customFormat="false" ht="15" hidden="false" customHeight="true" outlineLevel="0" collapsed="false">
      <c r="A1201" s="51"/>
      <c r="B1201" s="50"/>
      <c r="C1201" s="50"/>
      <c r="D1201" s="50"/>
      <c r="E1201" s="50"/>
      <c r="F1201" s="50"/>
      <c r="G1201" s="50"/>
      <c r="H1201" s="50"/>
      <c r="I1201" s="50"/>
      <c r="J1201" s="50"/>
      <c r="K1201" s="50"/>
      <c r="L1201" s="50"/>
      <c r="M1201" s="50"/>
      <c r="N1201" s="50"/>
      <c r="O1201" s="50"/>
      <c r="P1201" s="50"/>
      <c r="Q1201" s="50"/>
    </row>
    <row r="1202" customFormat="false" ht="15" hidden="false" customHeight="true" outlineLevel="0" collapsed="false">
      <c r="A1202" s="51"/>
      <c r="B1202" s="50"/>
      <c r="C1202" s="50"/>
      <c r="D1202" s="50"/>
      <c r="E1202" s="50"/>
      <c r="F1202" s="50"/>
      <c r="G1202" s="50"/>
      <c r="H1202" s="50"/>
      <c r="I1202" s="50"/>
      <c r="J1202" s="50"/>
      <c r="K1202" s="50"/>
      <c r="L1202" s="50"/>
      <c r="M1202" s="50"/>
      <c r="N1202" s="50"/>
      <c r="O1202" s="50"/>
      <c r="P1202" s="50"/>
      <c r="Q1202" s="50"/>
    </row>
    <row r="1203" customFormat="false" ht="15" hidden="false" customHeight="true" outlineLevel="0" collapsed="false">
      <c r="A1203" s="51"/>
      <c r="B1203" s="50"/>
      <c r="C1203" s="50"/>
      <c r="D1203" s="50"/>
      <c r="E1203" s="50"/>
      <c r="F1203" s="50"/>
      <c r="G1203" s="50"/>
      <c r="H1203" s="50"/>
      <c r="I1203" s="50"/>
      <c r="J1203" s="50"/>
      <c r="K1203" s="50"/>
      <c r="L1203" s="50"/>
      <c r="M1203" s="50"/>
      <c r="N1203" s="50"/>
      <c r="O1203" s="50"/>
      <c r="P1203" s="50"/>
      <c r="Q1203" s="50"/>
    </row>
    <row r="1204" customFormat="false" ht="15" hidden="false" customHeight="true" outlineLevel="0" collapsed="false">
      <c r="A1204" s="51"/>
      <c r="B1204" s="50"/>
      <c r="C1204" s="50"/>
      <c r="D1204" s="50"/>
      <c r="E1204" s="50"/>
      <c r="F1204" s="50"/>
      <c r="G1204" s="50"/>
      <c r="H1204" s="50"/>
      <c r="I1204" s="50"/>
      <c r="J1204" s="50"/>
      <c r="K1204" s="50"/>
      <c r="L1204" s="50"/>
      <c r="M1204" s="50"/>
      <c r="N1204" s="50"/>
      <c r="O1204" s="50"/>
      <c r="P1204" s="50"/>
      <c r="Q1204" s="50"/>
    </row>
    <row r="1205" customFormat="false" ht="15" hidden="false" customHeight="true" outlineLevel="0" collapsed="false">
      <c r="A1205" s="51"/>
      <c r="B1205" s="50"/>
      <c r="C1205" s="50"/>
      <c r="D1205" s="50"/>
      <c r="E1205" s="50"/>
      <c r="F1205" s="50"/>
      <c r="G1205" s="50"/>
      <c r="H1205" s="50"/>
      <c r="I1205" s="50"/>
      <c r="J1205" s="50"/>
      <c r="K1205" s="50"/>
      <c r="L1205" s="50"/>
      <c r="M1205" s="50"/>
      <c r="N1205" s="50"/>
      <c r="O1205" s="50"/>
      <c r="P1205" s="50"/>
      <c r="Q1205" s="50"/>
    </row>
    <row r="1206" customFormat="false" ht="15" hidden="false" customHeight="true" outlineLevel="0" collapsed="false">
      <c r="A1206" s="51"/>
      <c r="B1206" s="50"/>
      <c r="C1206" s="50"/>
      <c r="D1206" s="50"/>
      <c r="E1206" s="50"/>
      <c r="F1206" s="50"/>
      <c r="G1206" s="50"/>
      <c r="H1206" s="50"/>
      <c r="I1206" s="50"/>
      <c r="J1206" s="50"/>
      <c r="K1206" s="50"/>
      <c r="L1206" s="50"/>
      <c r="M1206" s="50"/>
      <c r="N1206" s="50"/>
      <c r="O1206" s="50"/>
      <c r="P1206" s="50"/>
      <c r="Q1206" s="50"/>
    </row>
    <row r="1207" customFormat="false" ht="15" hidden="false" customHeight="true" outlineLevel="0" collapsed="false">
      <c r="A1207" s="51"/>
      <c r="B1207" s="50"/>
      <c r="C1207" s="50"/>
      <c r="D1207" s="50"/>
      <c r="E1207" s="50"/>
      <c r="F1207" s="50"/>
      <c r="G1207" s="50"/>
      <c r="H1207" s="50"/>
      <c r="I1207" s="50"/>
      <c r="J1207" s="50"/>
      <c r="K1207" s="50"/>
      <c r="L1207" s="50"/>
      <c r="M1207" s="50"/>
      <c r="N1207" s="50"/>
      <c r="O1207" s="50"/>
      <c r="P1207" s="50"/>
      <c r="Q1207" s="50"/>
    </row>
    <row r="1208" customFormat="false" ht="15" hidden="false" customHeight="true" outlineLevel="0" collapsed="false">
      <c r="A1208" s="51"/>
      <c r="B1208" s="50"/>
      <c r="C1208" s="50"/>
      <c r="D1208" s="50"/>
      <c r="E1208" s="50"/>
      <c r="F1208" s="50"/>
      <c r="G1208" s="50"/>
      <c r="H1208" s="50"/>
      <c r="I1208" s="50"/>
      <c r="J1208" s="50"/>
      <c r="K1208" s="50"/>
      <c r="L1208" s="50"/>
      <c r="M1208" s="50"/>
      <c r="N1208" s="50"/>
      <c r="O1208" s="50"/>
      <c r="P1208" s="50"/>
      <c r="Q1208" s="50"/>
    </row>
    <row r="1209" customFormat="false" ht="15" hidden="false" customHeight="true" outlineLevel="0" collapsed="false">
      <c r="A1209" s="51"/>
      <c r="B1209" s="50"/>
      <c r="C1209" s="50"/>
      <c r="D1209" s="50"/>
      <c r="E1209" s="50"/>
      <c r="F1209" s="50"/>
      <c r="G1209" s="50"/>
      <c r="H1209" s="50"/>
      <c r="I1209" s="50"/>
      <c r="J1209" s="50"/>
      <c r="K1209" s="50"/>
      <c r="L1209" s="50"/>
      <c r="M1209" s="50"/>
      <c r="N1209" s="50"/>
      <c r="O1209" s="50"/>
      <c r="P1209" s="50"/>
      <c r="Q1209" s="50"/>
    </row>
    <row r="1210" customFormat="false" ht="15" hidden="false" customHeight="true" outlineLevel="0" collapsed="false">
      <c r="A1210" s="51"/>
      <c r="B1210" s="50"/>
      <c r="C1210" s="50"/>
      <c r="D1210" s="50"/>
      <c r="E1210" s="50"/>
      <c r="F1210" s="50"/>
      <c r="G1210" s="50"/>
      <c r="H1210" s="50"/>
      <c r="I1210" s="50"/>
      <c r="J1210" s="50"/>
      <c r="K1210" s="50"/>
      <c r="L1210" s="50"/>
      <c r="M1210" s="50"/>
      <c r="N1210" s="50"/>
      <c r="O1210" s="50"/>
      <c r="P1210" s="50"/>
      <c r="Q1210" s="50"/>
    </row>
    <row r="1211" customFormat="false" ht="15" hidden="false" customHeight="true" outlineLevel="0" collapsed="false">
      <c r="A1211" s="51"/>
      <c r="B1211" s="50"/>
      <c r="C1211" s="50"/>
      <c r="D1211" s="50"/>
      <c r="E1211" s="50"/>
      <c r="F1211" s="50"/>
      <c r="G1211" s="50"/>
      <c r="H1211" s="50"/>
      <c r="I1211" s="50"/>
      <c r="J1211" s="50"/>
      <c r="K1211" s="50"/>
      <c r="L1211" s="50"/>
      <c r="M1211" s="50"/>
      <c r="N1211" s="50"/>
      <c r="O1211" s="50"/>
      <c r="P1211" s="50"/>
      <c r="Q1211" s="50"/>
    </row>
    <row r="1212" customFormat="false" ht="15" hidden="false" customHeight="true" outlineLevel="0" collapsed="false">
      <c r="A1212" s="51"/>
      <c r="B1212" s="50"/>
      <c r="C1212" s="50"/>
      <c r="D1212" s="50"/>
      <c r="E1212" s="50"/>
      <c r="F1212" s="50"/>
      <c r="G1212" s="50"/>
      <c r="H1212" s="50"/>
      <c r="I1212" s="50"/>
      <c r="J1212" s="50"/>
      <c r="K1212" s="50"/>
      <c r="L1212" s="50"/>
      <c r="M1212" s="50"/>
      <c r="N1212" s="50"/>
      <c r="O1212" s="50"/>
      <c r="P1212" s="50"/>
      <c r="Q1212" s="50"/>
    </row>
    <row r="1213" customFormat="false" ht="15" hidden="false" customHeight="true" outlineLevel="0" collapsed="false">
      <c r="A1213" s="51"/>
      <c r="B1213" s="50"/>
      <c r="C1213" s="50"/>
      <c r="D1213" s="50"/>
      <c r="E1213" s="50"/>
      <c r="F1213" s="50"/>
      <c r="G1213" s="50"/>
      <c r="H1213" s="50"/>
      <c r="I1213" s="50"/>
      <c r="J1213" s="50"/>
      <c r="K1213" s="50"/>
      <c r="L1213" s="50"/>
      <c r="M1213" s="50"/>
      <c r="N1213" s="50"/>
      <c r="O1213" s="50"/>
      <c r="P1213" s="50"/>
      <c r="Q1213" s="50"/>
    </row>
    <row r="1214" customFormat="false" ht="15" hidden="false" customHeight="true" outlineLevel="0" collapsed="false">
      <c r="A1214" s="51"/>
      <c r="B1214" s="50"/>
      <c r="C1214" s="50"/>
      <c r="D1214" s="50"/>
      <c r="E1214" s="50"/>
      <c r="F1214" s="50"/>
      <c r="G1214" s="50"/>
      <c r="H1214" s="50"/>
      <c r="I1214" s="50"/>
      <c r="J1214" s="50"/>
      <c r="K1214" s="50"/>
      <c r="L1214" s="50"/>
      <c r="M1214" s="50"/>
      <c r="N1214" s="50"/>
      <c r="O1214" s="50"/>
      <c r="P1214" s="50"/>
      <c r="Q1214" s="50"/>
    </row>
    <row r="1215" customFormat="false" ht="15" hidden="false" customHeight="true" outlineLevel="0" collapsed="false">
      <c r="A1215" s="51"/>
      <c r="B1215" s="50"/>
      <c r="C1215" s="50"/>
      <c r="D1215" s="50"/>
      <c r="E1215" s="50"/>
      <c r="F1215" s="50"/>
      <c r="G1215" s="50"/>
      <c r="H1215" s="50"/>
      <c r="I1215" s="50"/>
      <c r="J1215" s="50"/>
      <c r="K1215" s="50"/>
      <c r="L1215" s="50"/>
      <c r="M1215" s="50"/>
      <c r="N1215" s="50"/>
      <c r="O1215" s="50"/>
      <c r="P1215" s="50"/>
      <c r="Q1215" s="50"/>
    </row>
    <row r="1216" customFormat="false" ht="15" hidden="false" customHeight="true" outlineLevel="0" collapsed="false">
      <c r="A1216" s="51"/>
      <c r="B1216" s="50"/>
      <c r="C1216" s="50"/>
      <c r="D1216" s="50"/>
      <c r="E1216" s="50"/>
      <c r="F1216" s="50"/>
      <c r="G1216" s="50"/>
      <c r="H1216" s="50"/>
      <c r="I1216" s="50"/>
      <c r="J1216" s="50"/>
      <c r="K1216" s="50"/>
      <c r="L1216" s="50"/>
      <c r="M1216" s="50"/>
      <c r="N1216" s="50"/>
      <c r="O1216" s="50"/>
      <c r="P1216" s="50"/>
      <c r="Q1216" s="50"/>
    </row>
    <row r="1217" customFormat="false" ht="15" hidden="false" customHeight="true" outlineLevel="0" collapsed="false">
      <c r="A1217" s="51"/>
      <c r="B1217" s="50"/>
      <c r="C1217" s="50"/>
      <c r="D1217" s="50"/>
      <c r="E1217" s="50"/>
      <c r="F1217" s="50"/>
      <c r="G1217" s="50"/>
      <c r="H1217" s="50"/>
      <c r="I1217" s="50"/>
      <c r="J1217" s="50"/>
      <c r="K1217" s="50"/>
      <c r="L1217" s="50"/>
      <c r="M1217" s="50"/>
      <c r="N1217" s="50"/>
      <c r="O1217" s="50"/>
      <c r="P1217" s="50"/>
      <c r="Q1217" s="50"/>
    </row>
    <row r="1218" customFormat="false" ht="15" hidden="false" customHeight="true" outlineLevel="0" collapsed="false">
      <c r="A1218" s="51"/>
      <c r="B1218" s="50"/>
      <c r="C1218" s="50"/>
      <c r="D1218" s="50"/>
      <c r="E1218" s="50"/>
      <c r="F1218" s="50"/>
      <c r="G1218" s="50"/>
      <c r="H1218" s="50"/>
      <c r="I1218" s="50"/>
      <c r="J1218" s="50"/>
      <c r="K1218" s="50"/>
      <c r="L1218" s="50"/>
      <c r="M1218" s="50"/>
      <c r="N1218" s="50"/>
      <c r="O1218" s="50"/>
      <c r="P1218" s="50"/>
      <c r="Q1218" s="50"/>
    </row>
    <row r="1219" customFormat="false" ht="15" hidden="false" customHeight="true" outlineLevel="0" collapsed="false">
      <c r="A1219" s="51"/>
      <c r="B1219" s="50"/>
      <c r="C1219" s="50"/>
      <c r="D1219" s="50"/>
      <c r="E1219" s="50"/>
      <c r="F1219" s="50"/>
      <c r="G1219" s="50"/>
      <c r="H1219" s="50"/>
      <c r="I1219" s="50"/>
      <c r="J1219" s="50"/>
      <c r="K1219" s="50"/>
      <c r="L1219" s="50"/>
      <c r="M1219" s="50"/>
      <c r="N1219" s="50"/>
      <c r="O1219" s="50"/>
      <c r="P1219" s="50"/>
      <c r="Q1219" s="50"/>
    </row>
    <row r="1220" customFormat="false" ht="15" hidden="false" customHeight="true" outlineLevel="0" collapsed="false">
      <c r="A1220" s="51"/>
      <c r="B1220" s="50"/>
      <c r="C1220" s="50"/>
      <c r="D1220" s="50"/>
      <c r="E1220" s="50"/>
      <c r="F1220" s="50"/>
      <c r="G1220" s="50"/>
      <c r="H1220" s="50"/>
      <c r="I1220" s="50"/>
      <c r="J1220" s="50"/>
      <c r="K1220" s="50"/>
      <c r="L1220" s="50"/>
      <c r="M1220" s="50"/>
      <c r="N1220" s="50"/>
      <c r="O1220" s="50"/>
      <c r="P1220" s="50"/>
      <c r="Q1220" s="50"/>
    </row>
    <row r="1221" customFormat="false" ht="15" hidden="false" customHeight="true" outlineLevel="0" collapsed="false">
      <c r="A1221" s="51"/>
      <c r="B1221" s="50"/>
      <c r="C1221" s="50"/>
      <c r="D1221" s="50"/>
      <c r="E1221" s="50"/>
      <c r="F1221" s="50"/>
      <c r="G1221" s="50"/>
      <c r="H1221" s="50"/>
      <c r="I1221" s="50"/>
      <c r="J1221" s="50"/>
      <c r="K1221" s="50"/>
      <c r="L1221" s="50"/>
      <c r="M1221" s="50"/>
      <c r="N1221" s="50"/>
      <c r="O1221" s="50"/>
      <c r="P1221" s="50"/>
      <c r="Q1221" s="50"/>
    </row>
    <row r="1222" customFormat="false" ht="15" hidden="false" customHeight="true" outlineLevel="0" collapsed="false">
      <c r="A1222" s="51"/>
      <c r="B1222" s="50"/>
      <c r="C1222" s="50"/>
      <c r="D1222" s="50"/>
      <c r="E1222" s="50"/>
      <c r="F1222" s="50"/>
      <c r="G1222" s="50"/>
      <c r="H1222" s="50"/>
      <c r="I1222" s="50"/>
      <c r="J1222" s="50"/>
      <c r="K1222" s="50"/>
      <c r="L1222" s="52"/>
      <c r="M1222" s="50"/>
      <c r="N1222" s="50"/>
      <c r="O1222" s="50"/>
      <c r="P1222" s="50"/>
      <c r="Q1222" s="50"/>
    </row>
    <row r="1223" customFormat="false" ht="15" hidden="false" customHeight="true" outlineLevel="0" collapsed="false">
      <c r="A1223" s="51"/>
      <c r="B1223" s="50"/>
      <c r="C1223" s="50"/>
      <c r="D1223" s="50"/>
      <c r="E1223" s="50"/>
      <c r="F1223" s="50"/>
      <c r="G1223" s="50"/>
      <c r="H1223" s="50"/>
      <c r="I1223" s="50"/>
      <c r="J1223" s="50"/>
      <c r="K1223" s="50"/>
      <c r="L1223" s="52"/>
      <c r="M1223" s="50"/>
      <c r="N1223" s="50"/>
      <c r="O1223" s="50"/>
      <c r="P1223" s="50"/>
      <c r="Q1223" s="50"/>
    </row>
    <row r="1224" customFormat="false" ht="15" hidden="false" customHeight="true" outlineLevel="0" collapsed="false">
      <c r="A1224" s="51"/>
      <c r="B1224" s="50"/>
      <c r="C1224" s="50"/>
      <c r="D1224" s="50"/>
      <c r="E1224" s="50"/>
      <c r="F1224" s="50"/>
      <c r="G1224" s="50"/>
      <c r="H1224" s="50"/>
      <c r="I1224" s="50"/>
      <c r="J1224" s="50"/>
      <c r="K1224" s="50"/>
      <c r="L1224" s="50"/>
      <c r="M1224" s="50"/>
      <c r="N1224" s="50"/>
      <c r="O1224" s="50"/>
      <c r="P1224" s="50"/>
      <c r="Q1224" s="50"/>
    </row>
    <row r="1225" customFormat="false" ht="15" hidden="false" customHeight="true" outlineLevel="0" collapsed="false">
      <c r="A1225" s="51"/>
      <c r="B1225" s="50"/>
      <c r="C1225" s="50"/>
      <c r="D1225" s="50"/>
      <c r="E1225" s="50"/>
      <c r="F1225" s="50"/>
      <c r="G1225" s="50"/>
      <c r="H1225" s="50"/>
      <c r="I1225" s="50"/>
      <c r="J1225" s="50"/>
      <c r="K1225" s="50"/>
      <c r="L1225" s="50"/>
      <c r="M1225" s="50"/>
      <c r="N1225" s="50"/>
      <c r="O1225" s="50"/>
      <c r="P1225" s="50"/>
      <c r="Q1225" s="50"/>
    </row>
    <row r="1226" customFormat="false" ht="15" hidden="false" customHeight="true" outlineLevel="0" collapsed="false">
      <c r="A1226" s="51"/>
      <c r="B1226" s="50"/>
      <c r="C1226" s="50"/>
      <c r="D1226" s="50"/>
      <c r="E1226" s="50"/>
      <c r="F1226" s="50"/>
      <c r="G1226" s="50"/>
      <c r="H1226" s="50"/>
      <c r="I1226" s="50"/>
      <c r="J1226" s="50"/>
      <c r="K1226" s="50"/>
      <c r="L1226" s="50"/>
      <c r="M1226" s="50"/>
      <c r="N1226" s="50"/>
      <c r="O1226" s="50"/>
      <c r="P1226" s="50"/>
      <c r="Q1226" s="50"/>
    </row>
    <row r="1227" customFormat="false" ht="15" hidden="false" customHeight="true" outlineLevel="0" collapsed="false">
      <c r="A1227" s="51"/>
      <c r="B1227" s="50"/>
      <c r="C1227" s="50"/>
      <c r="D1227" s="50"/>
      <c r="E1227" s="50"/>
      <c r="F1227" s="50"/>
      <c r="G1227" s="50"/>
      <c r="H1227" s="50"/>
      <c r="I1227" s="50"/>
      <c r="J1227" s="50"/>
      <c r="K1227" s="50"/>
      <c r="L1227" s="52"/>
      <c r="M1227" s="50"/>
      <c r="N1227" s="50"/>
      <c r="O1227" s="50"/>
      <c r="P1227" s="50"/>
      <c r="Q1227" s="50"/>
    </row>
    <row r="1228" customFormat="false" ht="15" hidden="false" customHeight="true" outlineLevel="0" collapsed="false">
      <c r="A1228" s="51"/>
      <c r="B1228" s="50"/>
      <c r="C1228" s="50"/>
      <c r="D1228" s="50"/>
      <c r="E1228" s="50"/>
      <c r="F1228" s="50"/>
      <c r="G1228" s="50"/>
      <c r="H1228" s="50"/>
      <c r="I1228" s="50"/>
      <c r="J1228" s="50"/>
      <c r="K1228" s="50"/>
      <c r="L1228" s="50"/>
      <c r="M1228" s="50"/>
      <c r="N1228" s="50"/>
      <c r="O1228" s="50"/>
      <c r="P1228" s="50"/>
      <c r="Q1228" s="50"/>
    </row>
    <row r="1229" customFormat="false" ht="15" hidden="false" customHeight="true" outlineLevel="0" collapsed="false">
      <c r="A1229" s="51"/>
      <c r="B1229" s="50"/>
      <c r="C1229" s="50"/>
      <c r="D1229" s="50"/>
      <c r="E1229" s="50"/>
      <c r="F1229" s="50"/>
      <c r="G1229" s="50"/>
      <c r="H1229" s="50"/>
      <c r="I1229" s="50"/>
      <c r="J1229" s="50"/>
      <c r="K1229" s="50"/>
      <c r="L1229" s="52"/>
      <c r="M1229" s="50"/>
      <c r="N1229" s="50"/>
      <c r="O1229" s="50"/>
      <c r="P1229" s="50"/>
      <c r="Q1229" s="50"/>
    </row>
    <row r="1230" customFormat="false" ht="15" hidden="false" customHeight="true" outlineLevel="0" collapsed="false">
      <c r="A1230" s="51"/>
      <c r="B1230" s="50"/>
      <c r="C1230" s="50"/>
      <c r="D1230" s="50"/>
      <c r="E1230" s="50"/>
      <c r="F1230" s="50"/>
      <c r="G1230" s="50"/>
      <c r="H1230" s="50"/>
      <c r="I1230" s="50"/>
      <c r="J1230" s="50"/>
      <c r="K1230" s="50"/>
      <c r="L1230" s="50"/>
      <c r="M1230" s="50"/>
      <c r="N1230" s="50"/>
      <c r="O1230" s="50"/>
      <c r="P1230" s="50"/>
      <c r="Q1230" s="50"/>
    </row>
    <row r="1231" customFormat="false" ht="15" hidden="false" customHeight="true" outlineLevel="0" collapsed="false">
      <c r="A1231" s="51"/>
      <c r="B1231" s="50"/>
      <c r="C1231" s="50"/>
      <c r="D1231" s="50"/>
      <c r="E1231" s="50"/>
      <c r="F1231" s="50"/>
      <c r="G1231" s="50"/>
      <c r="H1231" s="50"/>
      <c r="I1231" s="50"/>
      <c r="J1231" s="50"/>
      <c r="K1231" s="50"/>
      <c r="L1231" s="50"/>
      <c r="M1231" s="50"/>
      <c r="N1231" s="50"/>
      <c r="O1231" s="50"/>
      <c r="P1231" s="50"/>
      <c r="Q1231" s="50"/>
    </row>
    <row r="1232" customFormat="false" ht="15" hidden="false" customHeight="true" outlineLevel="0" collapsed="false">
      <c r="A1232" s="51"/>
      <c r="B1232" s="50"/>
      <c r="C1232" s="50"/>
      <c r="D1232" s="50"/>
      <c r="E1232" s="50"/>
      <c r="F1232" s="50"/>
      <c r="G1232" s="50"/>
      <c r="H1232" s="50"/>
      <c r="I1232" s="50"/>
      <c r="J1232" s="50"/>
      <c r="K1232" s="50"/>
      <c r="L1232" s="52"/>
      <c r="M1232" s="50"/>
      <c r="N1232" s="50"/>
      <c r="O1232" s="50"/>
      <c r="P1232" s="50"/>
      <c r="Q1232" s="50"/>
    </row>
    <row r="1233" customFormat="false" ht="15" hidden="false" customHeight="true" outlineLevel="0" collapsed="false">
      <c r="A1233" s="51"/>
      <c r="B1233" s="50"/>
      <c r="C1233" s="50"/>
      <c r="D1233" s="50"/>
      <c r="E1233" s="50"/>
      <c r="F1233" s="50"/>
      <c r="G1233" s="50"/>
      <c r="H1233" s="50"/>
      <c r="I1233" s="50"/>
      <c r="J1233" s="50"/>
      <c r="K1233" s="50"/>
      <c r="L1233" s="52"/>
      <c r="M1233" s="50"/>
      <c r="N1233" s="50"/>
      <c r="O1233" s="50"/>
      <c r="P1233" s="50"/>
      <c r="Q1233" s="50"/>
    </row>
    <row r="1234" customFormat="false" ht="15" hidden="false" customHeight="true" outlineLevel="0" collapsed="false">
      <c r="A1234" s="51"/>
      <c r="B1234" s="50"/>
      <c r="C1234" s="50"/>
      <c r="D1234" s="50"/>
      <c r="E1234" s="50"/>
      <c r="F1234" s="50"/>
      <c r="G1234" s="50"/>
      <c r="H1234" s="50"/>
      <c r="I1234" s="50"/>
      <c r="J1234" s="50"/>
      <c r="K1234" s="50"/>
      <c r="L1234" s="50"/>
      <c r="M1234" s="50"/>
      <c r="N1234" s="50"/>
      <c r="O1234" s="50"/>
      <c r="P1234" s="50"/>
      <c r="Q1234" s="50"/>
    </row>
    <row r="1235" customFormat="false" ht="15" hidden="false" customHeight="true" outlineLevel="0" collapsed="false">
      <c r="A1235" s="51"/>
      <c r="B1235" s="50"/>
      <c r="C1235" s="50"/>
      <c r="D1235" s="50"/>
      <c r="E1235" s="50"/>
      <c r="F1235" s="50"/>
      <c r="G1235" s="50"/>
      <c r="H1235" s="50"/>
      <c r="I1235" s="50"/>
      <c r="J1235" s="50"/>
      <c r="K1235" s="50"/>
      <c r="L1235" s="52"/>
      <c r="M1235" s="50"/>
      <c r="N1235" s="50"/>
      <c r="O1235" s="50"/>
      <c r="P1235" s="50"/>
      <c r="Q1235" s="50"/>
    </row>
    <row r="1236" customFormat="false" ht="15" hidden="false" customHeight="true" outlineLevel="0" collapsed="false">
      <c r="A1236" s="51"/>
      <c r="B1236" s="50"/>
      <c r="C1236" s="50"/>
      <c r="D1236" s="50"/>
      <c r="E1236" s="50"/>
      <c r="F1236" s="50"/>
      <c r="G1236" s="50"/>
      <c r="H1236" s="50"/>
      <c r="I1236" s="50"/>
      <c r="J1236" s="50"/>
      <c r="K1236" s="50"/>
      <c r="L1236" s="52"/>
      <c r="M1236" s="50"/>
      <c r="N1236" s="50"/>
      <c r="O1236" s="50"/>
      <c r="P1236" s="50"/>
      <c r="Q1236" s="50"/>
    </row>
    <row r="1237" customFormat="false" ht="15" hidden="false" customHeight="true" outlineLevel="0" collapsed="false">
      <c r="A1237" s="51"/>
      <c r="B1237" s="50"/>
      <c r="C1237" s="50"/>
      <c r="D1237" s="50"/>
      <c r="E1237" s="50"/>
      <c r="F1237" s="50"/>
      <c r="G1237" s="50"/>
      <c r="H1237" s="50"/>
      <c r="I1237" s="50"/>
      <c r="J1237" s="50"/>
      <c r="K1237" s="50"/>
      <c r="L1237" s="50"/>
      <c r="M1237" s="50"/>
      <c r="N1237" s="50"/>
      <c r="O1237" s="50"/>
      <c r="P1237" s="50"/>
      <c r="Q1237" s="50"/>
    </row>
    <row r="1238" customFormat="false" ht="15" hidden="false" customHeight="true" outlineLevel="0" collapsed="false">
      <c r="A1238" s="51"/>
      <c r="B1238" s="50"/>
      <c r="C1238" s="50"/>
      <c r="D1238" s="50"/>
      <c r="E1238" s="50"/>
      <c r="F1238" s="50"/>
      <c r="G1238" s="50"/>
      <c r="H1238" s="50"/>
      <c r="I1238" s="50"/>
      <c r="J1238" s="50"/>
      <c r="K1238" s="50"/>
      <c r="L1238" s="50"/>
      <c r="M1238" s="50"/>
      <c r="N1238" s="50"/>
      <c r="O1238" s="50"/>
      <c r="P1238" s="50"/>
      <c r="Q1238" s="50"/>
    </row>
    <row r="1239" customFormat="false" ht="15" hidden="false" customHeight="true" outlineLevel="0" collapsed="false">
      <c r="A1239" s="51"/>
      <c r="B1239" s="50"/>
      <c r="C1239" s="50"/>
      <c r="D1239" s="50"/>
      <c r="E1239" s="50"/>
      <c r="F1239" s="50"/>
      <c r="G1239" s="50"/>
      <c r="H1239" s="50"/>
      <c r="I1239" s="50"/>
      <c r="J1239" s="50"/>
      <c r="K1239" s="50"/>
      <c r="L1239" s="50"/>
      <c r="M1239" s="50"/>
      <c r="N1239" s="50"/>
      <c r="O1239" s="50"/>
      <c r="P1239" s="50"/>
      <c r="Q1239" s="50"/>
    </row>
    <row r="1240" customFormat="false" ht="15" hidden="false" customHeight="true" outlineLevel="0" collapsed="false">
      <c r="A1240" s="51"/>
      <c r="B1240" s="50"/>
      <c r="C1240" s="50"/>
      <c r="D1240" s="50"/>
      <c r="E1240" s="50"/>
      <c r="F1240" s="50"/>
      <c r="G1240" s="50"/>
      <c r="H1240" s="50"/>
      <c r="I1240" s="50"/>
      <c r="J1240" s="50"/>
      <c r="K1240" s="50"/>
      <c r="L1240" s="52"/>
      <c r="M1240" s="50"/>
      <c r="N1240" s="50"/>
      <c r="O1240" s="50"/>
      <c r="P1240" s="50"/>
      <c r="Q1240" s="50"/>
    </row>
    <row r="1241" customFormat="false" ht="15" hidden="false" customHeight="true" outlineLevel="0" collapsed="false">
      <c r="A1241" s="51"/>
      <c r="B1241" s="50"/>
      <c r="C1241" s="50"/>
      <c r="D1241" s="50"/>
      <c r="E1241" s="50"/>
      <c r="F1241" s="50"/>
      <c r="G1241" s="50"/>
      <c r="H1241" s="50"/>
      <c r="I1241" s="50"/>
      <c r="J1241" s="50"/>
      <c r="K1241" s="50"/>
      <c r="L1241" s="52"/>
      <c r="M1241" s="50"/>
      <c r="N1241" s="50"/>
      <c r="O1241" s="50"/>
      <c r="P1241" s="50"/>
      <c r="Q1241" s="50"/>
    </row>
    <row r="1242" customFormat="false" ht="15" hidden="false" customHeight="true" outlineLevel="0" collapsed="false">
      <c r="A1242" s="51"/>
      <c r="B1242" s="50"/>
      <c r="C1242" s="50"/>
      <c r="D1242" s="50"/>
      <c r="E1242" s="50"/>
      <c r="F1242" s="50"/>
      <c r="G1242" s="50"/>
      <c r="H1242" s="50"/>
      <c r="I1242" s="50"/>
      <c r="J1242" s="50"/>
      <c r="K1242" s="50"/>
      <c r="L1242" s="52"/>
      <c r="M1242" s="50"/>
      <c r="N1242" s="50"/>
      <c r="O1242" s="50"/>
      <c r="P1242" s="50"/>
      <c r="Q1242" s="50"/>
    </row>
    <row r="1243" customFormat="false" ht="15" hidden="false" customHeight="true" outlineLevel="0" collapsed="false">
      <c r="A1243" s="51"/>
      <c r="B1243" s="50"/>
      <c r="C1243" s="50"/>
      <c r="D1243" s="50"/>
      <c r="E1243" s="50"/>
      <c r="F1243" s="50"/>
      <c r="G1243" s="50"/>
      <c r="H1243" s="50"/>
      <c r="I1243" s="50"/>
      <c r="J1243" s="50"/>
      <c r="K1243" s="50"/>
      <c r="L1243" s="50"/>
      <c r="M1243" s="50"/>
      <c r="N1243" s="50"/>
      <c r="O1243" s="50"/>
      <c r="P1243" s="50"/>
      <c r="Q1243" s="50"/>
    </row>
  </sheetData>
  <autoFilter ref="A1:Q1"/>
  <dataValidations count="1">
    <dataValidation allowBlank="true" errorStyle="stop" operator="between" showDropDown="false" showErrorMessage="false" showInputMessage="false" sqref="O2:P1243"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94A6"/>
    <pageSetUpPr fitToPage="false"/>
  </sheetPr>
  <dimension ref="A1:S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7" activeCellId="0" sqref="A17"/>
    </sheetView>
  </sheetViews>
  <sheetFormatPr defaultColWidth="8.71484375" defaultRowHeight="15" zeroHeight="false" outlineLevelRow="0" outlineLevelCol="0"/>
  <cols>
    <col collapsed="false" customWidth="true" hidden="false" outlineLevel="0" max="6" min="1" style="0" width="26"/>
    <col collapsed="false" customWidth="true" hidden="false" outlineLevel="0" max="8" min="8" style="0" width="8"/>
    <col collapsed="false" customWidth="true" hidden="false" outlineLevel="0" max="9" min="9" style="0" width="32"/>
    <col collapsed="false" customWidth="true" hidden="false" outlineLevel="0" max="10" min="10" style="0" width="3"/>
    <col collapsed="false" customWidth="true" hidden="false" outlineLevel="0" max="11" min="11" style="0" width="16"/>
    <col collapsed="false" customWidth="true" hidden="false" outlineLevel="0" max="13" min="13" style="0" width="10"/>
    <col collapsed="false" customWidth="true" hidden="false" outlineLevel="0" max="14" min="14" style="0" width="42"/>
    <col collapsed="false" customWidth="true" hidden="false" outlineLevel="0" max="16" min="16" style="0" width="12"/>
    <col collapsed="false" customWidth="true" hidden="false" outlineLevel="0" max="18" min="18" style="0" width="12"/>
    <col collapsed="false" customWidth="true" hidden="false" outlineLevel="0" max="19" min="19" style="0" width="42"/>
  </cols>
  <sheetData>
    <row r="1" customFormat="false" ht="16.5" hidden="false" customHeight="true" outlineLevel="0" collapsed="false">
      <c r="A1" s="106" t="s">
        <v>1078</v>
      </c>
      <c r="B1" s="106"/>
      <c r="C1" s="106"/>
      <c r="D1" s="106"/>
      <c r="E1" s="106"/>
      <c r="F1" s="106"/>
    </row>
    <row r="3" customFormat="false" ht="15" hidden="false" customHeight="true" outlineLevel="0" collapsed="false">
      <c r="A3" s="107" t="s">
        <v>1079</v>
      </c>
      <c r="B3" s="107" t="s">
        <v>1080</v>
      </c>
      <c r="C3" s="107" t="s">
        <v>1081</v>
      </c>
      <c r="D3" s="107" t="s">
        <v>1082</v>
      </c>
      <c r="E3" s="107" t="s">
        <v>1083</v>
      </c>
      <c r="F3" s="107" t="s">
        <v>1084</v>
      </c>
      <c r="H3" s="108" t="s">
        <v>1085</v>
      </c>
      <c r="I3" s="108" t="s">
        <v>1086</v>
      </c>
      <c r="K3" s="108" t="s">
        <v>326</v>
      </c>
      <c r="M3" s="109" t="s">
        <v>1087</v>
      </c>
      <c r="N3" s="109" t="s">
        <v>1088</v>
      </c>
      <c r="P3" s="109" t="s">
        <v>1089</v>
      </c>
      <c r="R3" s="109" t="s">
        <v>1090</v>
      </c>
      <c r="S3" s="109" t="s">
        <v>1091</v>
      </c>
    </row>
    <row r="4" customFormat="false" ht="15" hidden="false" customHeight="true" outlineLevel="0" collapsed="false">
      <c r="A4" s="87" t="s">
        <v>63</v>
      </c>
      <c r="B4" s="87" t="s">
        <v>353</v>
      </c>
      <c r="C4" s="87" t="s">
        <v>1092</v>
      </c>
      <c r="D4" s="87" t="s">
        <v>1093</v>
      </c>
      <c r="E4" s="87" t="s">
        <v>1094</v>
      </c>
      <c r="F4" s="87" t="s">
        <v>1095</v>
      </c>
      <c r="H4" s="101" t="s">
        <v>329</v>
      </c>
      <c r="I4" s="101" t="s">
        <v>1096</v>
      </c>
      <c r="K4" s="101" t="s">
        <v>1097</v>
      </c>
      <c r="M4" s="101" t="s">
        <v>352</v>
      </c>
      <c r="N4" s="101" t="s">
        <v>1098</v>
      </c>
      <c r="P4" s="101" t="s">
        <v>351</v>
      </c>
      <c r="R4" s="101" t="s">
        <v>627</v>
      </c>
      <c r="S4" s="101" t="s">
        <v>1099</v>
      </c>
    </row>
    <row r="5" customFormat="false" ht="15" hidden="false" customHeight="true" outlineLevel="0" collapsed="false">
      <c r="A5" s="87" t="s">
        <v>64</v>
      </c>
      <c r="B5" s="87" t="s">
        <v>1100</v>
      </c>
      <c r="C5" s="87" t="s">
        <v>1101</v>
      </c>
      <c r="D5" s="87" t="s">
        <v>1102</v>
      </c>
      <c r="E5" s="87" t="s">
        <v>1103</v>
      </c>
      <c r="F5" s="87" t="s">
        <v>1104</v>
      </c>
      <c r="H5" s="101" t="s">
        <v>328</v>
      </c>
      <c r="I5" s="101" t="s">
        <v>1105</v>
      </c>
      <c r="K5" s="101" t="s">
        <v>1106</v>
      </c>
      <c r="M5" s="101" t="s">
        <v>627</v>
      </c>
      <c r="N5" s="101" t="s">
        <v>1107</v>
      </c>
      <c r="P5" s="101" t="s">
        <v>360</v>
      </c>
      <c r="R5" s="101" t="s">
        <v>332</v>
      </c>
      <c r="S5" s="101" t="s">
        <v>1108</v>
      </c>
    </row>
    <row r="6" customFormat="false" ht="15" hidden="false" customHeight="true" outlineLevel="0" collapsed="false">
      <c r="A6" s="87" t="s">
        <v>128</v>
      </c>
      <c r="B6" s="87" t="s">
        <v>1109</v>
      </c>
      <c r="F6" s="87" t="s">
        <v>1110</v>
      </c>
      <c r="H6" s="101" t="s">
        <v>332</v>
      </c>
      <c r="I6" s="101" t="s">
        <v>1111</v>
      </c>
      <c r="K6" s="101" t="s">
        <v>1112</v>
      </c>
      <c r="M6" s="101" t="s">
        <v>332</v>
      </c>
      <c r="N6" s="101" t="s">
        <v>1113</v>
      </c>
      <c r="R6" s="101" t="s">
        <v>331</v>
      </c>
      <c r="S6" s="101" t="s">
        <v>1114</v>
      </c>
    </row>
    <row r="7" customFormat="false" ht="15" hidden="false" customHeight="true" outlineLevel="0" collapsed="false">
      <c r="A7" s="87" t="s">
        <v>141</v>
      </c>
      <c r="F7" s="87" t="s">
        <v>361</v>
      </c>
      <c r="H7" s="101" t="s">
        <v>331</v>
      </c>
      <c r="I7" s="101" t="s">
        <v>1115</v>
      </c>
      <c r="K7" s="101" t="s">
        <v>1116</v>
      </c>
      <c r="M7" s="101" t="s">
        <v>331</v>
      </c>
      <c r="N7" s="101" t="s">
        <v>1117</v>
      </c>
      <c r="R7" s="101" t="s">
        <v>1118</v>
      </c>
      <c r="S7" s="101" t="s">
        <v>1119</v>
      </c>
    </row>
    <row r="8" customFormat="false" ht="15" hidden="false" customHeight="true" outlineLevel="0" collapsed="false">
      <c r="A8" s="87" t="s">
        <v>1120</v>
      </c>
      <c r="H8" s="101" t="s">
        <v>330</v>
      </c>
      <c r="I8" s="101" t="s">
        <v>1121</v>
      </c>
      <c r="K8" s="101" t="s">
        <v>1122</v>
      </c>
      <c r="M8" s="101" t="s">
        <v>1118</v>
      </c>
      <c r="N8" s="101" t="s">
        <v>1123</v>
      </c>
      <c r="R8" s="101" t="s">
        <v>364</v>
      </c>
      <c r="S8" s="101" t="s">
        <v>1124</v>
      </c>
    </row>
    <row r="9" customFormat="false" ht="15" hidden="false" customHeight="true" outlineLevel="0" collapsed="false">
      <c r="A9" s="87" t="s">
        <v>1125</v>
      </c>
      <c r="H9" s="101" t="s">
        <v>333</v>
      </c>
      <c r="I9" s="101" t="s">
        <v>361</v>
      </c>
      <c r="K9" s="101" t="s">
        <v>1126</v>
      </c>
      <c r="M9" s="101" t="s">
        <v>364</v>
      </c>
      <c r="N9" s="101" t="s">
        <v>1127</v>
      </c>
      <c r="R9" s="101" t="s">
        <v>805</v>
      </c>
      <c r="S9" s="101" t="s">
        <v>1128</v>
      </c>
    </row>
    <row r="10" customFormat="false" ht="15" hidden="false" customHeight="true" outlineLevel="0" collapsed="false">
      <c r="A10" s="87" t="s">
        <v>130</v>
      </c>
      <c r="M10" s="101" t="s">
        <v>805</v>
      </c>
      <c r="N10" s="101" t="s">
        <v>1129</v>
      </c>
      <c r="R10" s="101" t="s">
        <v>374</v>
      </c>
      <c r="S10" s="101" t="s">
        <v>1130</v>
      </c>
    </row>
    <row r="11" customFormat="false" ht="15" hidden="false" customHeight="true" outlineLevel="0" collapsed="false">
      <c r="A11" s="87" t="s">
        <v>219</v>
      </c>
      <c r="M11" s="101" t="s">
        <v>374</v>
      </c>
      <c r="N11" s="101" t="s">
        <v>1131</v>
      </c>
      <c r="R11" s="101" t="s">
        <v>1001</v>
      </c>
      <c r="S11" s="101" t="s">
        <v>1132</v>
      </c>
    </row>
    <row r="12" customFormat="false" ht="15" hidden="false" customHeight="true" outlineLevel="0" collapsed="false">
      <c r="A12" s="87" t="s">
        <v>162</v>
      </c>
      <c r="M12" s="101" t="s">
        <v>1001</v>
      </c>
      <c r="N12" s="101" t="s">
        <v>1133</v>
      </c>
    </row>
    <row r="13" customFormat="false" ht="15" hidden="false" customHeight="true" outlineLevel="0" collapsed="false">
      <c r="A13" s="87" t="s">
        <v>193</v>
      </c>
      <c r="M13" s="101" t="s">
        <v>1134</v>
      </c>
      <c r="N13" s="101" t="s">
        <v>1135</v>
      </c>
    </row>
    <row r="14" customFormat="false" ht="15" hidden="false" customHeight="true" outlineLevel="0" collapsed="false">
      <c r="A14" s="87" t="s">
        <v>1136</v>
      </c>
      <c r="M14" s="101" t="s">
        <v>1137</v>
      </c>
      <c r="N14" s="101" t="s">
        <v>1138</v>
      </c>
    </row>
    <row r="15" customFormat="false" ht="15" hidden="false" customHeight="true" outlineLevel="0" collapsed="false">
      <c r="M15" s="101" t="s">
        <v>357</v>
      </c>
      <c r="N15" s="101" t="s">
        <v>1139</v>
      </c>
    </row>
    <row r="16" customFormat="false" ht="15" hidden="false" customHeight="true" outlineLevel="0" collapsed="false">
      <c r="A16" s="110" t="s">
        <v>1140</v>
      </c>
      <c r="C16" s="110" t="s">
        <v>1141</v>
      </c>
      <c r="M16" s="101" t="s">
        <v>1000</v>
      </c>
      <c r="N16" s="101" t="s">
        <v>1142</v>
      </c>
    </row>
    <row r="17" customFormat="false" ht="15" hidden="false" customHeight="true" outlineLevel="0" collapsed="false">
      <c r="A17" s="93" t="s">
        <v>1143</v>
      </c>
      <c r="C17" s="87" t="s">
        <v>1144</v>
      </c>
      <c r="M17" s="101" t="s">
        <v>361</v>
      </c>
      <c r="N17" s="101" t="s">
        <v>1145</v>
      </c>
    </row>
    <row r="18" customFormat="false" ht="15" hidden="false" customHeight="true" outlineLevel="0" collapsed="false">
      <c r="A18" s="111" t="s">
        <v>1146</v>
      </c>
      <c r="C18" s="87" t="s">
        <v>1147</v>
      </c>
    </row>
    <row r="19" customFormat="false" ht="15" hidden="false" customHeight="true" outlineLevel="0" collapsed="false">
      <c r="A19" s="111" t="s">
        <v>1148</v>
      </c>
      <c r="C19" s="87" t="s">
        <v>1149</v>
      </c>
    </row>
    <row r="20" customFormat="false" ht="15" hidden="false" customHeight="true" outlineLevel="0" collapsed="false">
      <c r="A20" s="111" t="s">
        <v>1150</v>
      </c>
      <c r="C20" s="87" t="s">
        <v>1151</v>
      </c>
    </row>
    <row r="21" customFormat="false" ht="15" hidden="false" customHeight="true" outlineLevel="0" collapsed="false">
      <c r="A21" s="111" t="s">
        <v>1152</v>
      </c>
      <c r="C21" s="87" t="s">
        <v>1153</v>
      </c>
    </row>
    <row r="22" customFormat="false" ht="15" hidden="false" customHeight="true" outlineLevel="0" collapsed="false">
      <c r="A22" s="93"/>
      <c r="C22" s="87" t="s">
        <v>1154</v>
      </c>
    </row>
    <row r="23" customFormat="false" ht="15" hidden="false" customHeight="true" outlineLevel="0" collapsed="false">
      <c r="A23" s="93"/>
      <c r="C23" s="87" t="s">
        <v>1155</v>
      </c>
    </row>
    <row r="24" customFormat="false" ht="15" hidden="false" customHeight="true" outlineLevel="0" collapsed="false">
      <c r="A24" s="93"/>
      <c r="C24" s="87" t="s">
        <v>1156</v>
      </c>
    </row>
    <row r="25" customFormat="false" ht="15" hidden="false" customHeight="true" outlineLevel="0" collapsed="false">
      <c r="A25" s="93"/>
      <c r="C25" s="87" t="s">
        <v>1157</v>
      </c>
    </row>
    <row r="26" customFormat="false" ht="15" hidden="false" customHeight="true" outlineLevel="0" collapsed="false">
      <c r="A26" s="93"/>
      <c r="C26" s="87" t="s">
        <v>1158</v>
      </c>
    </row>
    <row r="27" customFormat="false" ht="15" hidden="false" customHeight="true" outlineLevel="0" collapsed="false">
      <c r="A27" s="93"/>
      <c r="C27" s="87" t="s">
        <v>1159</v>
      </c>
    </row>
    <row r="28" customFormat="false" ht="15" hidden="false" customHeight="true" outlineLevel="0" collapsed="false">
      <c r="A28" s="93"/>
      <c r="C28" s="87" t="s">
        <v>1160</v>
      </c>
    </row>
    <row r="29" customFormat="false" ht="15" hidden="false" customHeight="true" outlineLevel="0" collapsed="false">
      <c r="A29" s="93"/>
      <c r="C29" s="87" t="s">
        <v>1161</v>
      </c>
    </row>
    <row r="30" customFormat="false" ht="15" hidden="false" customHeight="true" outlineLevel="0" collapsed="false">
      <c r="A30" s="93"/>
      <c r="C30" s="87" t="s">
        <v>1162</v>
      </c>
    </row>
    <row r="31" customFormat="false" ht="15" hidden="false" customHeight="true" outlineLevel="0" collapsed="false">
      <c r="A31" s="93"/>
      <c r="C31" s="87" t="s">
        <v>1163</v>
      </c>
    </row>
    <row r="32" customFormat="false" ht="15" hidden="false" customHeight="true" outlineLevel="0" collapsed="false">
      <c r="A32" s="93"/>
      <c r="C32" s="87" t="s">
        <v>1164</v>
      </c>
    </row>
    <row r="33" customFormat="false" ht="15" hidden="false" customHeight="true" outlineLevel="0" collapsed="false">
      <c r="A33" s="93"/>
      <c r="C33" s="87" t="s">
        <v>1165</v>
      </c>
    </row>
    <row r="34" customFormat="false" ht="15" hidden="false" customHeight="true" outlineLevel="0" collapsed="false">
      <c r="A34" s="93"/>
      <c r="C34" s="87" t="s">
        <v>1166</v>
      </c>
    </row>
    <row r="35" customFormat="false" ht="15" hidden="false" customHeight="true" outlineLevel="0" collapsed="false">
      <c r="A35" s="93"/>
      <c r="C35" s="87" t="s">
        <v>1167</v>
      </c>
    </row>
    <row r="36" customFormat="false" ht="15" hidden="false" customHeight="true" outlineLevel="0" collapsed="false">
      <c r="A36" s="93"/>
      <c r="C36" s="87" t="s">
        <v>1168</v>
      </c>
    </row>
    <row r="37" customFormat="false" ht="15" hidden="false" customHeight="true" outlineLevel="0" collapsed="false">
      <c r="C37" s="87" t="s">
        <v>1169</v>
      </c>
    </row>
    <row r="38" customFormat="false" ht="15" hidden="false" customHeight="true" outlineLevel="0" collapsed="false">
      <c r="A38" s="112" t="s">
        <v>1170</v>
      </c>
      <c r="C38" s="87" t="s">
        <v>1171</v>
      </c>
    </row>
    <row r="39" customFormat="false" ht="15" hidden="false" customHeight="true" outlineLevel="0" collapsed="false">
      <c r="C39" s="87" t="s">
        <v>1172</v>
      </c>
    </row>
    <row r="40" customFormat="false" ht="15" hidden="false" customHeight="true" outlineLevel="0" collapsed="false">
      <c r="C40" s="87" t="s">
        <v>1173</v>
      </c>
    </row>
    <row r="41" customFormat="false" ht="15" hidden="false" customHeight="true" outlineLevel="0" collapsed="false">
      <c r="C41" s="87" t="s">
        <v>1174</v>
      </c>
    </row>
    <row r="42" customFormat="false" ht="15" hidden="false" customHeight="true" outlineLevel="0" collapsed="false">
      <c r="C42" s="87" t="s">
        <v>1175</v>
      </c>
    </row>
    <row r="43" customFormat="false" ht="15" hidden="false" customHeight="true" outlineLevel="0" collapsed="false">
      <c r="C43" s="87" t="s">
        <v>1176</v>
      </c>
    </row>
    <row r="44" customFormat="false" ht="15" hidden="false" customHeight="true" outlineLevel="0" collapsed="false">
      <c r="C44" s="87" t="s">
        <v>1177</v>
      </c>
    </row>
    <row r="45" customFormat="false" ht="15" hidden="false" customHeight="true" outlineLevel="0" collapsed="false">
      <c r="C45" s="87" t="s">
        <v>1178</v>
      </c>
    </row>
    <row r="46" customFormat="false" ht="15" hidden="false" customHeight="true" outlineLevel="0" collapsed="false">
      <c r="C46" s="87" t="s">
        <v>1179</v>
      </c>
    </row>
    <row r="47" customFormat="false" ht="15" hidden="false" customHeight="true" outlineLevel="0" collapsed="false">
      <c r="C47" s="87" t="s">
        <v>1180</v>
      </c>
    </row>
    <row r="48" customFormat="false" ht="15" hidden="false" customHeight="true" outlineLevel="0" collapsed="false">
      <c r="C48" s="87" t="s">
        <v>1181</v>
      </c>
    </row>
    <row r="49" customFormat="false" ht="15" hidden="false" customHeight="true" outlineLevel="0" collapsed="false">
      <c r="C49" s="87" t="s">
        <v>1182</v>
      </c>
    </row>
    <row r="50" customFormat="false" ht="15" hidden="false" customHeight="true" outlineLevel="0" collapsed="false">
      <c r="C50" s="87" t="s">
        <v>1183</v>
      </c>
    </row>
    <row r="51" customFormat="false" ht="15" hidden="false" customHeight="true" outlineLevel="0" collapsed="false">
      <c r="C51" s="87" t="s">
        <v>1184</v>
      </c>
    </row>
    <row r="52" customFormat="false" ht="15" hidden="false" customHeight="true" outlineLevel="0" collapsed="false">
      <c r="C52" s="87" t="s">
        <v>1185</v>
      </c>
    </row>
    <row r="53" customFormat="false" ht="15" hidden="false" customHeight="true" outlineLevel="0" collapsed="false">
      <c r="C53" s="87" t="s">
        <v>1186</v>
      </c>
    </row>
    <row r="54" customFormat="false" ht="15" hidden="false" customHeight="true" outlineLevel="0" collapsed="false">
      <c r="C54" s="87" t="s">
        <v>1187</v>
      </c>
    </row>
    <row r="55" customFormat="false" ht="15" hidden="false" customHeight="true" outlineLevel="0" collapsed="false">
      <c r="C55" s="87" t="s">
        <v>1188</v>
      </c>
    </row>
    <row r="56" customFormat="false" ht="15" hidden="false" customHeight="true" outlineLevel="0" collapsed="false">
      <c r="C56" s="87" t="s">
        <v>1189</v>
      </c>
    </row>
    <row r="57" customFormat="false" ht="15" hidden="false" customHeight="true" outlineLevel="0" collapsed="false">
      <c r="C57" s="87" t="s">
        <v>1190</v>
      </c>
    </row>
    <row r="58" customFormat="false" ht="15" hidden="false" customHeight="true" outlineLevel="0" collapsed="false">
      <c r="C58" s="87" t="s">
        <v>1191</v>
      </c>
    </row>
    <row r="59" customFormat="false" ht="15" hidden="false" customHeight="true" outlineLevel="0" collapsed="false">
      <c r="C59" s="87" t="s">
        <v>1192</v>
      </c>
    </row>
    <row r="60" customFormat="false" ht="15" hidden="false" customHeight="true" outlineLevel="0" collapsed="false">
      <c r="C60" s="87" t="s">
        <v>1193</v>
      </c>
    </row>
    <row r="61" customFormat="false" ht="15" hidden="false" customHeight="true" outlineLevel="0" collapsed="false">
      <c r="C61" s="87" t="s">
        <v>1194</v>
      </c>
    </row>
    <row r="62" customFormat="false" ht="15" hidden="false" customHeight="true" outlineLevel="0" collapsed="false">
      <c r="C62" s="87" t="s">
        <v>1195</v>
      </c>
    </row>
    <row r="63" customFormat="false" ht="15" hidden="false" customHeight="true" outlineLevel="0" collapsed="false">
      <c r="C63" s="87" t="s">
        <v>1196</v>
      </c>
    </row>
    <row r="64" customFormat="false" ht="15" hidden="false" customHeight="true" outlineLevel="0" collapsed="false">
      <c r="C64" s="87" t="s">
        <v>1197</v>
      </c>
    </row>
    <row r="65" customFormat="false" ht="15" hidden="false" customHeight="true" outlineLevel="0" collapsed="false">
      <c r="C65" s="87" t="s">
        <v>1198</v>
      </c>
    </row>
    <row r="66" customFormat="false" ht="15" hidden="false" customHeight="true" outlineLevel="0" collapsed="false">
      <c r="C66" s="87" t="s">
        <v>1199</v>
      </c>
    </row>
    <row r="67" customFormat="false" ht="15" hidden="false" customHeight="true" outlineLevel="0" collapsed="false">
      <c r="C67" s="87" t="s">
        <v>1200</v>
      </c>
    </row>
    <row r="68" customFormat="false" ht="15" hidden="false" customHeight="true" outlineLevel="0" collapsed="false">
      <c r="C68" s="87" t="s">
        <v>1201</v>
      </c>
    </row>
    <row r="69" customFormat="false" ht="15" hidden="false" customHeight="true" outlineLevel="0" collapsed="false">
      <c r="C69" s="87" t="s">
        <v>1202</v>
      </c>
    </row>
    <row r="70" customFormat="false" ht="15" hidden="false" customHeight="true" outlineLevel="0" collapsed="false">
      <c r="C70" s="87" t="s">
        <v>1203</v>
      </c>
    </row>
    <row r="71" customFormat="false" ht="15" hidden="false" customHeight="true" outlineLevel="0" collapsed="false">
      <c r="C71" s="87" t="s">
        <v>1204</v>
      </c>
    </row>
    <row r="72" customFormat="false" ht="15" hidden="false" customHeight="true" outlineLevel="0" collapsed="false">
      <c r="C72" s="87" t="s">
        <v>1205</v>
      </c>
    </row>
    <row r="73" customFormat="false" ht="15" hidden="false" customHeight="true" outlineLevel="0" collapsed="false">
      <c r="C73" s="87" t="s">
        <v>1206</v>
      </c>
    </row>
    <row r="74" customFormat="false" ht="15" hidden="false" customHeight="true" outlineLevel="0" collapsed="false">
      <c r="C74" s="87" t="s">
        <v>1207</v>
      </c>
    </row>
    <row r="75" customFormat="false" ht="15" hidden="false" customHeight="true" outlineLevel="0" collapsed="false">
      <c r="C75" s="87" t="s">
        <v>1208</v>
      </c>
    </row>
    <row r="76" customFormat="false" ht="15" hidden="false" customHeight="true" outlineLevel="0" collapsed="false">
      <c r="C76" s="87" t="s">
        <v>1209</v>
      </c>
    </row>
    <row r="77" customFormat="false" ht="15" hidden="false" customHeight="true" outlineLevel="0" collapsed="false">
      <c r="C77" s="87" t="s">
        <v>1210</v>
      </c>
    </row>
    <row r="78" customFormat="false" ht="15" hidden="false" customHeight="true" outlineLevel="0" collapsed="false">
      <c r="C78" s="87" t="s">
        <v>1211</v>
      </c>
    </row>
    <row r="79" customFormat="false" ht="15" hidden="false" customHeight="true" outlineLevel="0" collapsed="false">
      <c r="C79" s="87" t="s">
        <v>1212</v>
      </c>
    </row>
    <row r="80" customFormat="false" ht="15" hidden="false" customHeight="true" outlineLevel="0" collapsed="false">
      <c r="C80" s="87" t="s">
        <v>1213</v>
      </c>
    </row>
    <row r="81" customFormat="false" ht="15" hidden="false" customHeight="true" outlineLevel="0" collapsed="false">
      <c r="C81" s="87" t="s">
        <v>1214</v>
      </c>
    </row>
    <row r="82" customFormat="false" ht="15" hidden="false" customHeight="true" outlineLevel="0" collapsed="false">
      <c r="C82" s="87" t="s">
        <v>1215</v>
      </c>
    </row>
    <row r="83" customFormat="false" ht="15" hidden="false" customHeight="true" outlineLevel="0" collapsed="false">
      <c r="C83" s="87" t="s">
        <v>1216</v>
      </c>
    </row>
    <row r="84" customFormat="false" ht="15" hidden="false" customHeight="true" outlineLevel="0" collapsed="false">
      <c r="C84" s="87" t="s">
        <v>1217</v>
      </c>
    </row>
    <row r="85" customFormat="false" ht="15" hidden="false" customHeight="true" outlineLevel="0" collapsed="false">
      <c r="C85" s="87" t="s">
        <v>1218</v>
      </c>
    </row>
    <row r="86" customFormat="false" ht="15" hidden="false" customHeight="true" outlineLevel="0" collapsed="false">
      <c r="C86" s="87" t="s">
        <v>1219</v>
      </c>
    </row>
    <row r="87" customFormat="false" ht="15" hidden="false" customHeight="true" outlineLevel="0" collapsed="false">
      <c r="C87" s="87" t="s">
        <v>1220</v>
      </c>
    </row>
    <row r="88" customFormat="false" ht="15" hidden="false" customHeight="true" outlineLevel="0" collapsed="false">
      <c r="C88" s="87" t="s">
        <v>1221</v>
      </c>
    </row>
    <row r="89" customFormat="false" ht="15" hidden="false" customHeight="true" outlineLevel="0" collapsed="false">
      <c r="C89" s="87" t="s">
        <v>1222</v>
      </c>
    </row>
    <row r="90" customFormat="false" ht="15" hidden="false" customHeight="true" outlineLevel="0" collapsed="false">
      <c r="C90" s="87" t="s">
        <v>1223</v>
      </c>
    </row>
    <row r="91" customFormat="false" ht="15" hidden="false" customHeight="true" outlineLevel="0" collapsed="false">
      <c r="C91" s="87" t="s">
        <v>1224</v>
      </c>
    </row>
    <row r="92" customFormat="false" ht="15" hidden="false" customHeight="true" outlineLevel="0" collapsed="false">
      <c r="C92" s="87" t="s">
        <v>1225</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94A6"/>
    <pageSetUpPr fitToPage="false"/>
  </sheetPr>
  <dimension ref="A1:M9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14"/>
    <col collapsed="false" customWidth="true" hidden="false" outlineLevel="0" max="4" min="4" style="0" width="26"/>
    <col collapsed="false" customWidth="true" hidden="false" outlineLevel="0" max="5" min="5" style="0" width="24"/>
    <col collapsed="false" customWidth="true" hidden="false" outlineLevel="0" max="6" min="6" style="0" width="20"/>
    <col collapsed="false" customWidth="true" hidden="false" outlineLevel="0" max="7" min="7" style="0" width="18"/>
    <col collapsed="false" customWidth="true" hidden="false" outlineLevel="0" max="8" min="8" style="0" width="16"/>
    <col collapsed="false" customWidth="true" hidden="false" outlineLevel="0" max="9" min="9" style="0" width="18"/>
    <col collapsed="false" customWidth="true" hidden="false" outlineLevel="0" max="10" min="10" style="0" width="22"/>
    <col collapsed="false" customWidth="true" hidden="false" outlineLevel="0" max="11" min="11" style="0" width="14"/>
    <col collapsed="false" customWidth="true" hidden="false" outlineLevel="0" max="12" min="12" style="0" width="12"/>
    <col collapsed="false" customWidth="true" hidden="false" outlineLevel="0" max="13" min="13" style="0" width="14"/>
  </cols>
  <sheetData>
    <row r="1" customFormat="false" ht="27.75" hidden="false" customHeight="true" outlineLevel="0" collapsed="false">
      <c r="A1" s="86" t="s">
        <v>1226</v>
      </c>
      <c r="B1" s="86" t="s">
        <v>1227</v>
      </c>
      <c r="C1" s="86" t="s">
        <v>20</v>
      </c>
      <c r="D1" s="86" t="s">
        <v>21</v>
      </c>
      <c r="E1" s="86" t="s">
        <v>22</v>
      </c>
      <c r="F1" s="86" t="s">
        <v>1228</v>
      </c>
      <c r="G1" s="86" t="s">
        <v>266</v>
      </c>
      <c r="H1" s="86" t="s">
        <v>1229</v>
      </c>
      <c r="I1" s="86" t="s">
        <v>267</v>
      </c>
      <c r="J1" s="86" t="s">
        <v>268</v>
      </c>
      <c r="K1" s="86" t="s">
        <v>43</v>
      </c>
      <c r="L1" s="86" t="s">
        <v>1230</v>
      </c>
      <c r="M1" s="86" t="s">
        <v>1231</v>
      </c>
    </row>
    <row r="2" customFormat="false" ht="15" hidden="false" customHeight="true" outlineLevel="0" collapsed="false">
      <c r="A2" s="101" t="n">
        <v>1</v>
      </c>
      <c r="B2" s="100" t="n">
        <v>1</v>
      </c>
      <c r="C2" s="100" t="s">
        <v>689</v>
      </c>
      <c r="D2" s="101" t="s">
        <v>1232</v>
      </c>
      <c r="E2" s="101" t="s">
        <v>1175</v>
      </c>
      <c r="F2" s="101" t="s">
        <v>1233</v>
      </c>
      <c r="G2" s="101" t="s">
        <v>1234</v>
      </c>
      <c r="H2" s="101" t="s">
        <v>1235</v>
      </c>
      <c r="I2" s="101" t="s">
        <v>1236</v>
      </c>
      <c r="J2" s="101" t="s">
        <v>1237</v>
      </c>
      <c r="K2" s="100" t="s">
        <v>1238</v>
      </c>
      <c r="L2" s="101" t="n">
        <v>2018</v>
      </c>
      <c r="M2" s="101" t="s">
        <v>1239</v>
      </c>
    </row>
    <row r="3" customFormat="false" ht="15" hidden="false" customHeight="true" outlineLevel="0" collapsed="false">
      <c r="A3" s="101" t="n">
        <v>2</v>
      </c>
      <c r="B3" s="100" t="n">
        <v>2</v>
      </c>
      <c r="C3" s="100" t="s">
        <v>688</v>
      </c>
      <c r="D3" s="101" t="s">
        <v>1232</v>
      </c>
      <c r="E3" s="101" t="s">
        <v>1175</v>
      </c>
      <c r="F3" s="101" t="s">
        <v>1233</v>
      </c>
      <c r="G3" s="101" t="s">
        <v>1240</v>
      </c>
      <c r="H3" s="101" t="s">
        <v>1235</v>
      </c>
      <c r="I3" s="101" t="s">
        <v>1241</v>
      </c>
      <c r="J3" s="101" t="s">
        <v>1242</v>
      </c>
      <c r="K3" s="100" t="s">
        <v>1243</v>
      </c>
      <c r="L3" s="101" t="n">
        <v>2018</v>
      </c>
      <c r="M3" s="101" t="s">
        <v>1239</v>
      </c>
    </row>
    <row r="4" customFormat="false" ht="15" hidden="false" customHeight="true" outlineLevel="0" collapsed="false">
      <c r="A4" s="101" t="n">
        <v>3</v>
      </c>
      <c r="B4" s="100" t="n">
        <v>3</v>
      </c>
      <c r="C4" s="100" t="s">
        <v>687</v>
      </c>
      <c r="D4" s="101" t="s">
        <v>1232</v>
      </c>
      <c r="E4" s="101" t="s">
        <v>1175</v>
      </c>
      <c r="F4" s="101" t="s">
        <v>1233</v>
      </c>
      <c r="G4" s="101" t="s">
        <v>1244</v>
      </c>
      <c r="H4" s="101" t="s">
        <v>1235</v>
      </c>
      <c r="I4" s="101" t="s">
        <v>1241</v>
      </c>
      <c r="J4" s="101" t="s">
        <v>1242</v>
      </c>
      <c r="K4" s="100" t="s">
        <v>1245</v>
      </c>
      <c r="L4" s="101" t="n">
        <v>2018</v>
      </c>
      <c r="M4" s="101" t="s">
        <v>1239</v>
      </c>
    </row>
    <row r="5" customFormat="false" ht="15" hidden="false" customHeight="true" outlineLevel="0" collapsed="false">
      <c r="A5" s="101" t="n">
        <v>4</v>
      </c>
      <c r="B5" s="100" t="n">
        <v>4</v>
      </c>
      <c r="C5" s="100" t="s">
        <v>686</v>
      </c>
      <c r="D5" s="101" t="s">
        <v>1232</v>
      </c>
      <c r="E5" s="101" t="s">
        <v>1175</v>
      </c>
      <c r="F5" s="101" t="s">
        <v>1233</v>
      </c>
      <c r="G5" s="101" t="s">
        <v>1246</v>
      </c>
      <c r="H5" s="101" t="s">
        <v>1235</v>
      </c>
      <c r="I5" s="101" t="s">
        <v>1236</v>
      </c>
      <c r="J5" s="101" t="s">
        <v>1237</v>
      </c>
      <c r="K5" s="100" t="s">
        <v>1247</v>
      </c>
      <c r="L5" s="101" t="n">
        <v>2018</v>
      </c>
      <c r="M5" s="101" t="s">
        <v>1239</v>
      </c>
    </row>
    <row r="6" customFormat="false" ht="15" hidden="false" customHeight="true" outlineLevel="0" collapsed="false">
      <c r="A6" s="101" t="n">
        <v>5</v>
      </c>
      <c r="B6" s="100" t="n">
        <v>5</v>
      </c>
      <c r="C6" s="100" t="s">
        <v>685</v>
      </c>
      <c r="D6" s="101" t="s">
        <v>1232</v>
      </c>
      <c r="E6" s="101" t="s">
        <v>1175</v>
      </c>
      <c r="F6" s="101" t="s">
        <v>1233</v>
      </c>
      <c r="G6" s="101" t="s">
        <v>1248</v>
      </c>
      <c r="H6" s="101" t="s">
        <v>1235</v>
      </c>
      <c r="I6" s="101" t="s">
        <v>1241</v>
      </c>
      <c r="J6" s="101" t="s">
        <v>1242</v>
      </c>
      <c r="K6" s="100" t="s">
        <v>1249</v>
      </c>
      <c r="L6" s="101" t="n">
        <v>2018</v>
      </c>
      <c r="M6" s="101" t="s">
        <v>1239</v>
      </c>
    </row>
    <row r="7" customFormat="false" ht="15" hidden="false" customHeight="true" outlineLevel="0" collapsed="false">
      <c r="A7" s="101"/>
      <c r="B7" s="100"/>
      <c r="C7" s="100"/>
      <c r="D7" s="101"/>
      <c r="E7" s="101"/>
      <c r="F7" s="101"/>
      <c r="G7" s="101"/>
      <c r="H7" s="101"/>
      <c r="I7" s="101"/>
      <c r="J7" s="101"/>
      <c r="K7" s="100"/>
      <c r="L7" s="101"/>
      <c r="M7" s="101"/>
    </row>
    <row r="8" customFormat="false" ht="15" hidden="false" customHeight="true" outlineLevel="0" collapsed="false">
      <c r="A8" s="101" t="n">
        <v>7</v>
      </c>
      <c r="B8" s="100" t="n">
        <v>7</v>
      </c>
      <c r="C8" s="100" t="s">
        <v>684</v>
      </c>
      <c r="D8" s="101" t="s">
        <v>1232</v>
      </c>
      <c r="E8" s="101" t="s">
        <v>1175</v>
      </c>
      <c r="F8" s="101" t="s">
        <v>1233</v>
      </c>
      <c r="G8" s="101" t="s">
        <v>1250</v>
      </c>
      <c r="H8" s="101" t="s">
        <v>1251</v>
      </c>
      <c r="I8" s="101" t="s">
        <v>1252</v>
      </c>
      <c r="J8" s="101" t="s">
        <v>1253</v>
      </c>
      <c r="K8" s="100" t="s">
        <v>1254</v>
      </c>
      <c r="L8" s="101" t="n">
        <v>2002</v>
      </c>
      <c r="M8" s="101" t="s">
        <v>1255</v>
      </c>
    </row>
    <row r="9" customFormat="false" ht="15" hidden="false" customHeight="true" outlineLevel="0" collapsed="false">
      <c r="A9" s="101" t="n">
        <v>8</v>
      </c>
      <c r="B9" s="100" t="n">
        <v>8</v>
      </c>
      <c r="C9" s="100" t="s">
        <v>683</v>
      </c>
      <c r="D9" s="101" t="s">
        <v>1232</v>
      </c>
      <c r="E9" s="101" t="s">
        <v>1175</v>
      </c>
      <c r="F9" s="101" t="s">
        <v>1233</v>
      </c>
      <c r="G9" s="101" t="s">
        <v>1256</v>
      </c>
      <c r="H9" s="101" t="s">
        <v>1235</v>
      </c>
      <c r="I9" s="101" t="s">
        <v>1236</v>
      </c>
      <c r="J9" s="101" t="s">
        <v>1237</v>
      </c>
      <c r="K9" s="100" t="s">
        <v>1257</v>
      </c>
      <c r="L9" s="101" t="n">
        <v>2018</v>
      </c>
      <c r="M9" s="101" t="s">
        <v>1239</v>
      </c>
    </row>
    <row r="10" customFormat="false" ht="15" hidden="false" customHeight="true" outlineLevel="0" collapsed="false">
      <c r="A10" s="101" t="n">
        <v>9</v>
      </c>
      <c r="B10" s="100" t="n">
        <v>9</v>
      </c>
      <c r="C10" s="100" t="s">
        <v>682</v>
      </c>
      <c r="D10" s="101" t="s">
        <v>1232</v>
      </c>
      <c r="E10" s="101" t="s">
        <v>1175</v>
      </c>
      <c r="F10" s="101" t="s">
        <v>1233</v>
      </c>
      <c r="G10" s="101" t="s">
        <v>1258</v>
      </c>
      <c r="H10" s="101" t="s">
        <v>1235</v>
      </c>
      <c r="I10" s="101" t="s">
        <v>1241</v>
      </c>
      <c r="J10" s="101" t="s">
        <v>1242</v>
      </c>
      <c r="K10" s="100" t="s">
        <v>1259</v>
      </c>
      <c r="L10" s="101" t="n">
        <v>2018</v>
      </c>
      <c r="M10" s="101" t="s">
        <v>1239</v>
      </c>
    </row>
    <row r="11" customFormat="false" ht="15" hidden="false" customHeight="true" outlineLevel="0" collapsed="false">
      <c r="A11" s="101"/>
      <c r="B11" s="100"/>
      <c r="C11" s="100"/>
      <c r="D11" s="101"/>
      <c r="E11" s="101"/>
      <c r="F11" s="101"/>
      <c r="G11" s="101"/>
      <c r="H11" s="101"/>
      <c r="I11" s="101"/>
      <c r="J11" s="101"/>
      <c r="K11" s="100"/>
      <c r="L11" s="101"/>
      <c r="M11" s="101"/>
    </row>
    <row r="12" customFormat="false" ht="15" hidden="false" customHeight="true" outlineLevel="0" collapsed="false">
      <c r="A12" s="101" t="n">
        <v>11</v>
      </c>
      <c r="B12" s="100" t="n">
        <v>11</v>
      </c>
      <c r="C12" s="100" t="s">
        <v>681</v>
      </c>
      <c r="D12" s="101" t="s">
        <v>1232</v>
      </c>
      <c r="E12" s="101" t="s">
        <v>1196</v>
      </c>
      <c r="F12" s="101" t="s">
        <v>1196</v>
      </c>
      <c r="G12" s="101" t="s">
        <v>1260</v>
      </c>
      <c r="H12" s="101" t="s">
        <v>1235</v>
      </c>
      <c r="I12" s="101" t="s">
        <v>1261</v>
      </c>
      <c r="J12" s="101" t="s">
        <v>1262</v>
      </c>
      <c r="K12" s="100" t="s">
        <v>1263</v>
      </c>
      <c r="L12" s="101" t="n">
        <v>2023</v>
      </c>
      <c r="M12" s="101" t="s">
        <v>1255</v>
      </c>
    </row>
    <row r="13" customFormat="false" ht="15" hidden="false" customHeight="true" outlineLevel="0" collapsed="false">
      <c r="A13" s="101"/>
      <c r="B13" s="100"/>
      <c r="C13" s="100"/>
      <c r="D13" s="101"/>
      <c r="E13" s="101"/>
      <c r="F13" s="101"/>
      <c r="G13" s="101"/>
      <c r="H13" s="101"/>
      <c r="I13" s="101"/>
      <c r="J13" s="101"/>
      <c r="K13" s="100"/>
      <c r="L13" s="101"/>
      <c r="M13" s="101"/>
    </row>
    <row r="14" customFormat="false" ht="15" hidden="false" customHeight="true" outlineLevel="0" collapsed="false">
      <c r="A14" s="101"/>
      <c r="B14" s="100"/>
      <c r="C14" s="100"/>
      <c r="D14" s="101"/>
      <c r="E14" s="101"/>
      <c r="F14" s="101"/>
      <c r="G14" s="101"/>
      <c r="H14" s="101"/>
      <c r="I14" s="101"/>
      <c r="J14" s="101"/>
      <c r="K14" s="100"/>
      <c r="L14" s="101"/>
      <c r="M14" s="101"/>
    </row>
    <row r="15" customFormat="false" ht="15" hidden="false" customHeight="true" outlineLevel="0" collapsed="false">
      <c r="A15" s="101"/>
      <c r="B15" s="100"/>
      <c r="C15" s="100"/>
      <c r="D15" s="101"/>
      <c r="E15" s="101"/>
      <c r="F15" s="101"/>
      <c r="G15" s="101"/>
      <c r="H15" s="101"/>
      <c r="I15" s="101"/>
      <c r="J15" s="101"/>
      <c r="K15" s="100"/>
      <c r="L15" s="101"/>
      <c r="M15" s="101"/>
    </row>
    <row r="16" customFormat="false" ht="15" hidden="false" customHeight="true" outlineLevel="0" collapsed="false">
      <c r="A16" s="101"/>
      <c r="B16" s="100"/>
      <c r="C16" s="100"/>
      <c r="D16" s="101"/>
      <c r="E16" s="101"/>
      <c r="F16" s="101"/>
      <c r="G16" s="101"/>
      <c r="H16" s="101"/>
      <c r="I16" s="101"/>
      <c r="J16" s="101"/>
      <c r="K16" s="100"/>
      <c r="L16" s="101"/>
      <c r="M16" s="101"/>
    </row>
    <row r="17" customFormat="false" ht="15" hidden="false" customHeight="true" outlineLevel="0" collapsed="false">
      <c r="A17" s="101" t="n">
        <v>16</v>
      </c>
      <c r="B17" s="100" t="n">
        <v>16</v>
      </c>
      <c r="C17" s="100" t="s">
        <v>680</v>
      </c>
      <c r="D17" s="101" t="s">
        <v>1232</v>
      </c>
      <c r="E17" s="101" t="s">
        <v>1175</v>
      </c>
      <c r="F17" s="101" t="s">
        <v>1233</v>
      </c>
      <c r="G17" s="101" t="s">
        <v>1264</v>
      </c>
      <c r="H17" s="101" t="s">
        <v>1235</v>
      </c>
      <c r="I17" s="101" t="s">
        <v>1236</v>
      </c>
      <c r="J17" s="101" t="s">
        <v>1237</v>
      </c>
      <c r="K17" s="100" t="s">
        <v>1265</v>
      </c>
      <c r="L17" s="101" t="n">
        <v>2018</v>
      </c>
      <c r="M17" s="101" t="s">
        <v>1239</v>
      </c>
    </row>
    <row r="18" customFormat="false" ht="15" hidden="false" customHeight="true" outlineLevel="0" collapsed="false">
      <c r="A18" s="101"/>
      <c r="B18" s="100"/>
      <c r="C18" s="100"/>
      <c r="D18" s="101"/>
      <c r="E18" s="101"/>
      <c r="F18" s="101"/>
      <c r="G18" s="101"/>
      <c r="H18" s="101"/>
      <c r="I18" s="101"/>
      <c r="J18" s="101"/>
      <c r="K18" s="100"/>
      <c r="L18" s="101"/>
      <c r="M18" s="101"/>
    </row>
    <row r="19" customFormat="false" ht="15" hidden="false" customHeight="true" outlineLevel="0" collapsed="false">
      <c r="A19" s="101" t="n">
        <v>18</v>
      </c>
      <c r="B19" s="100" t="n">
        <v>18</v>
      </c>
      <c r="C19" s="100" t="s">
        <v>679</v>
      </c>
      <c r="D19" s="101" t="s">
        <v>1232</v>
      </c>
      <c r="E19" s="101" t="s">
        <v>1175</v>
      </c>
      <c r="F19" s="101" t="s">
        <v>1233</v>
      </c>
      <c r="G19" s="101" t="s">
        <v>1266</v>
      </c>
      <c r="H19" s="101" t="s">
        <v>1251</v>
      </c>
      <c r="I19" s="101" t="s">
        <v>1236</v>
      </c>
      <c r="J19" s="101" t="s">
        <v>1237</v>
      </c>
      <c r="K19" s="100" t="s">
        <v>1267</v>
      </c>
      <c r="L19" s="101" t="n">
        <v>2012</v>
      </c>
      <c r="M19" s="101" t="s">
        <v>1239</v>
      </c>
    </row>
    <row r="20" customFormat="false" ht="15" hidden="false" customHeight="true" outlineLevel="0" collapsed="false">
      <c r="A20" s="101" t="n">
        <v>19</v>
      </c>
      <c r="B20" s="100" t="n">
        <v>19</v>
      </c>
      <c r="C20" s="100" t="s">
        <v>678</v>
      </c>
      <c r="D20" s="101" t="s">
        <v>1232</v>
      </c>
      <c r="E20" s="101" t="s">
        <v>1175</v>
      </c>
      <c r="F20" s="101" t="s">
        <v>1233</v>
      </c>
      <c r="G20" s="101" t="s">
        <v>1268</v>
      </c>
      <c r="H20" s="101" t="s">
        <v>1251</v>
      </c>
      <c r="I20" s="101" t="s">
        <v>1236</v>
      </c>
      <c r="J20" s="101" t="s">
        <v>1237</v>
      </c>
      <c r="K20" s="100" t="s">
        <v>1269</v>
      </c>
      <c r="L20" s="101" t="n">
        <v>2012</v>
      </c>
      <c r="M20" s="101" t="s">
        <v>1239</v>
      </c>
    </row>
    <row r="21" customFormat="false" ht="15" hidden="false" customHeight="true" outlineLevel="0" collapsed="false">
      <c r="A21" s="101" t="n">
        <v>20</v>
      </c>
      <c r="B21" s="100" t="n">
        <v>20</v>
      </c>
      <c r="C21" s="100" t="s">
        <v>677</v>
      </c>
      <c r="D21" s="101" t="s">
        <v>1232</v>
      </c>
      <c r="E21" s="101" t="s">
        <v>1175</v>
      </c>
      <c r="F21" s="101" t="s">
        <v>1233</v>
      </c>
      <c r="G21" s="101" t="s">
        <v>1270</v>
      </c>
      <c r="H21" s="101" t="s">
        <v>1251</v>
      </c>
      <c r="I21" s="101" t="s">
        <v>1236</v>
      </c>
      <c r="J21" s="101" t="s">
        <v>1237</v>
      </c>
      <c r="K21" s="100" t="s">
        <v>1271</v>
      </c>
      <c r="L21" s="101" t="n">
        <v>2012</v>
      </c>
      <c r="M21" s="101" t="s">
        <v>1239</v>
      </c>
    </row>
    <row r="22" customFormat="false" ht="15" hidden="false" customHeight="true" outlineLevel="0" collapsed="false">
      <c r="A22" s="101" t="n">
        <v>21</v>
      </c>
      <c r="B22" s="100" t="n">
        <v>21</v>
      </c>
      <c r="C22" s="100" t="s">
        <v>676</v>
      </c>
      <c r="D22" s="101" t="s">
        <v>1232</v>
      </c>
      <c r="E22" s="101" t="s">
        <v>1175</v>
      </c>
      <c r="F22" s="101" t="s">
        <v>1233</v>
      </c>
      <c r="G22" s="101" t="s">
        <v>1272</v>
      </c>
      <c r="H22" s="101" t="s">
        <v>1251</v>
      </c>
      <c r="I22" s="101" t="s">
        <v>1236</v>
      </c>
      <c r="J22" s="101" t="s">
        <v>1237</v>
      </c>
      <c r="K22" s="100" t="s">
        <v>1273</v>
      </c>
      <c r="L22" s="101" t="n">
        <v>2012</v>
      </c>
      <c r="M22" s="101" t="s">
        <v>1239</v>
      </c>
    </row>
    <row r="23" customFormat="false" ht="15" hidden="false" customHeight="true" outlineLevel="0" collapsed="false">
      <c r="A23" s="101"/>
      <c r="B23" s="100"/>
      <c r="C23" s="100"/>
      <c r="D23" s="101"/>
      <c r="E23" s="101"/>
      <c r="F23" s="101"/>
      <c r="G23" s="101"/>
      <c r="H23" s="101"/>
      <c r="I23" s="101"/>
      <c r="J23" s="101"/>
      <c r="K23" s="100"/>
      <c r="L23" s="101"/>
      <c r="M23" s="101"/>
    </row>
    <row r="24" customFormat="false" ht="15" hidden="false" customHeight="true" outlineLevel="0" collapsed="false">
      <c r="A24" s="101"/>
      <c r="B24" s="100"/>
      <c r="C24" s="100"/>
      <c r="D24" s="101"/>
      <c r="E24" s="101"/>
      <c r="F24" s="101"/>
      <c r="G24" s="101"/>
      <c r="H24" s="101"/>
      <c r="I24" s="101"/>
      <c r="J24" s="101"/>
      <c r="K24" s="100"/>
      <c r="L24" s="101"/>
      <c r="M24" s="101"/>
    </row>
    <row r="25" customFormat="false" ht="15" hidden="false" customHeight="true" outlineLevel="0" collapsed="false">
      <c r="A25" s="101" t="n">
        <v>24</v>
      </c>
      <c r="B25" s="100" t="n">
        <v>24</v>
      </c>
      <c r="C25" s="100" t="s">
        <v>675</v>
      </c>
      <c r="D25" s="101" t="s">
        <v>1232</v>
      </c>
      <c r="E25" s="101" t="s">
        <v>1175</v>
      </c>
      <c r="F25" s="101" t="s">
        <v>1233</v>
      </c>
      <c r="G25" s="101" t="s">
        <v>1274</v>
      </c>
      <c r="H25" s="101" t="s">
        <v>1235</v>
      </c>
      <c r="I25" s="101" t="s">
        <v>1236</v>
      </c>
      <c r="J25" s="101" t="s">
        <v>1237</v>
      </c>
      <c r="K25" s="100" t="s">
        <v>1275</v>
      </c>
      <c r="L25" s="101" t="n">
        <v>2018</v>
      </c>
      <c r="M25" s="101" t="s">
        <v>1239</v>
      </c>
    </row>
    <row r="26" customFormat="false" ht="15" hidden="false" customHeight="true" outlineLevel="0" collapsed="false">
      <c r="A26" s="101"/>
      <c r="B26" s="100"/>
      <c r="C26" s="100"/>
      <c r="D26" s="101"/>
      <c r="E26" s="101"/>
      <c r="F26" s="101"/>
      <c r="G26" s="101"/>
      <c r="H26" s="101"/>
      <c r="I26" s="101"/>
      <c r="J26" s="101"/>
      <c r="K26" s="100"/>
      <c r="L26" s="101"/>
      <c r="M26" s="101"/>
    </row>
    <row r="27" customFormat="false" ht="15" hidden="false" customHeight="true" outlineLevel="0" collapsed="false">
      <c r="A27" s="101"/>
      <c r="B27" s="100"/>
      <c r="C27" s="100"/>
      <c r="D27" s="101"/>
      <c r="E27" s="101"/>
      <c r="F27" s="101"/>
      <c r="G27" s="101"/>
      <c r="H27" s="101"/>
      <c r="I27" s="101"/>
      <c r="J27" s="101"/>
      <c r="K27" s="100"/>
      <c r="L27" s="101"/>
      <c r="M27" s="101"/>
    </row>
    <row r="28" customFormat="false" ht="15" hidden="false" customHeight="true" outlineLevel="0" collapsed="false">
      <c r="A28" s="101"/>
      <c r="B28" s="100"/>
      <c r="C28" s="100"/>
      <c r="D28" s="101"/>
      <c r="E28" s="101"/>
      <c r="F28" s="101"/>
      <c r="G28" s="101"/>
      <c r="H28" s="101"/>
      <c r="I28" s="101"/>
      <c r="J28" s="101"/>
      <c r="K28" s="100"/>
      <c r="L28" s="101"/>
      <c r="M28" s="101"/>
    </row>
    <row r="29" customFormat="false" ht="15" hidden="false" customHeight="true" outlineLevel="0" collapsed="false">
      <c r="A29" s="101"/>
      <c r="B29" s="100"/>
      <c r="C29" s="100"/>
      <c r="D29" s="101"/>
      <c r="E29" s="101"/>
      <c r="F29" s="101"/>
      <c r="G29" s="101"/>
      <c r="H29" s="101"/>
      <c r="I29" s="101"/>
      <c r="J29" s="101"/>
      <c r="K29" s="100"/>
      <c r="L29" s="101"/>
      <c r="M29" s="101"/>
    </row>
    <row r="30" customFormat="false" ht="15" hidden="false" customHeight="true" outlineLevel="0" collapsed="false">
      <c r="A30" s="101"/>
      <c r="B30" s="100"/>
      <c r="C30" s="100"/>
      <c r="D30" s="101"/>
      <c r="E30" s="101"/>
      <c r="F30" s="101"/>
      <c r="G30" s="101"/>
      <c r="H30" s="101"/>
      <c r="I30" s="101"/>
      <c r="J30" s="101"/>
      <c r="K30" s="100"/>
      <c r="L30" s="101"/>
      <c r="M30" s="101"/>
    </row>
    <row r="31" customFormat="false" ht="15" hidden="false" customHeight="true" outlineLevel="0" collapsed="false">
      <c r="A31" s="101"/>
      <c r="B31" s="100"/>
      <c r="C31" s="100"/>
      <c r="D31" s="101"/>
      <c r="E31" s="101"/>
      <c r="F31" s="101"/>
      <c r="G31" s="101"/>
      <c r="H31" s="101"/>
      <c r="I31" s="101"/>
      <c r="J31" s="101"/>
      <c r="K31" s="100"/>
      <c r="L31" s="101"/>
      <c r="M31" s="101"/>
    </row>
    <row r="32" customFormat="false" ht="15" hidden="false" customHeight="true" outlineLevel="0" collapsed="false">
      <c r="A32" s="101" t="n">
        <v>31</v>
      </c>
      <c r="B32" s="100" t="n">
        <v>31</v>
      </c>
      <c r="C32" s="100" t="s">
        <v>674</v>
      </c>
      <c r="D32" s="101" t="s">
        <v>1232</v>
      </c>
      <c r="E32" s="101" t="s">
        <v>1175</v>
      </c>
      <c r="F32" s="101" t="s">
        <v>1276</v>
      </c>
      <c r="G32" s="101"/>
      <c r="H32" s="101" t="s">
        <v>1251</v>
      </c>
      <c r="I32" s="101" t="s">
        <v>1236</v>
      </c>
      <c r="J32" s="101" t="s">
        <v>1253</v>
      </c>
      <c r="K32" s="100" t="s">
        <v>1277</v>
      </c>
      <c r="L32" s="101" t="n">
        <v>2015</v>
      </c>
      <c r="M32" s="101" t="s">
        <v>1255</v>
      </c>
    </row>
    <row r="33" customFormat="false" ht="15" hidden="false" customHeight="true" outlineLevel="0" collapsed="false">
      <c r="A33" s="101" t="n">
        <v>32</v>
      </c>
      <c r="B33" s="100" t="n">
        <v>32</v>
      </c>
      <c r="C33" s="100" t="s">
        <v>673</v>
      </c>
      <c r="D33" s="101" t="s">
        <v>1232</v>
      </c>
      <c r="E33" s="101" t="s">
        <v>1175</v>
      </c>
      <c r="F33" s="101" t="s">
        <v>1233</v>
      </c>
      <c r="G33" s="101" t="s">
        <v>1278</v>
      </c>
      <c r="H33" s="101" t="s">
        <v>1235</v>
      </c>
      <c r="I33" s="101" t="s">
        <v>1236</v>
      </c>
      <c r="J33" s="101" t="s">
        <v>1237</v>
      </c>
      <c r="K33" s="100" t="s">
        <v>1279</v>
      </c>
      <c r="L33" s="101" t="n">
        <v>2018</v>
      </c>
      <c r="M33" s="101" t="s">
        <v>1239</v>
      </c>
    </row>
    <row r="34" customFormat="false" ht="15" hidden="false" customHeight="true" outlineLevel="0" collapsed="false">
      <c r="A34" s="101" t="n">
        <v>33</v>
      </c>
      <c r="B34" s="100" t="n">
        <v>33</v>
      </c>
      <c r="C34" s="100" t="s">
        <v>672</v>
      </c>
      <c r="D34" s="101" t="s">
        <v>1232</v>
      </c>
      <c r="E34" s="101" t="s">
        <v>1175</v>
      </c>
      <c r="F34" s="101" t="s">
        <v>1233</v>
      </c>
      <c r="G34" s="101" t="s">
        <v>1240</v>
      </c>
      <c r="H34" s="101" t="s">
        <v>1235</v>
      </c>
      <c r="I34" s="101" t="s">
        <v>1236</v>
      </c>
      <c r="J34" s="101" t="s">
        <v>1237</v>
      </c>
      <c r="K34" s="100" t="s">
        <v>1280</v>
      </c>
      <c r="L34" s="101" t="n">
        <v>2018</v>
      </c>
      <c r="M34" s="101" t="s">
        <v>1239</v>
      </c>
    </row>
    <row r="35" customFormat="false" ht="15" hidden="false" customHeight="true" outlineLevel="0" collapsed="false">
      <c r="A35" s="101" t="n">
        <v>34</v>
      </c>
      <c r="B35" s="100" t="n">
        <v>34</v>
      </c>
      <c r="C35" s="100" t="s">
        <v>671</v>
      </c>
      <c r="D35" s="101" t="s">
        <v>1232</v>
      </c>
      <c r="E35" s="101" t="s">
        <v>1175</v>
      </c>
      <c r="F35" s="101" t="s">
        <v>1233</v>
      </c>
      <c r="G35" s="101" t="s">
        <v>1281</v>
      </c>
      <c r="H35" s="101" t="s">
        <v>1235</v>
      </c>
      <c r="I35" s="101" t="s">
        <v>1236</v>
      </c>
      <c r="J35" s="101" t="s">
        <v>1237</v>
      </c>
      <c r="K35" s="100" t="s">
        <v>1282</v>
      </c>
      <c r="L35" s="101" t="n">
        <v>2018</v>
      </c>
      <c r="M35" s="101" t="s">
        <v>1239</v>
      </c>
    </row>
    <row r="36" customFormat="false" ht="15" hidden="false" customHeight="true" outlineLevel="0" collapsed="false">
      <c r="A36" s="101" t="n">
        <v>35</v>
      </c>
      <c r="B36" s="100" t="n">
        <v>35</v>
      </c>
      <c r="C36" s="100" t="s">
        <v>670</v>
      </c>
      <c r="D36" s="101" t="s">
        <v>1232</v>
      </c>
      <c r="E36" s="101" t="s">
        <v>1175</v>
      </c>
      <c r="F36" s="101" t="s">
        <v>1233</v>
      </c>
      <c r="G36" s="101" t="s">
        <v>1283</v>
      </c>
      <c r="H36" s="101" t="s">
        <v>1235</v>
      </c>
      <c r="I36" s="101" t="s">
        <v>1236</v>
      </c>
      <c r="J36" s="101" t="s">
        <v>1237</v>
      </c>
      <c r="K36" s="100" t="s">
        <v>1284</v>
      </c>
      <c r="L36" s="101" t="n">
        <v>2018</v>
      </c>
      <c r="M36" s="101" t="s">
        <v>1239</v>
      </c>
    </row>
    <row r="37" customFormat="false" ht="15" hidden="false" customHeight="true" outlineLevel="0" collapsed="false">
      <c r="A37" s="101" t="n">
        <v>36</v>
      </c>
      <c r="B37" s="100" t="n">
        <v>36</v>
      </c>
      <c r="C37" s="100" t="s">
        <v>669</v>
      </c>
      <c r="D37" s="101" t="s">
        <v>1232</v>
      </c>
      <c r="E37" s="101" t="s">
        <v>1175</v>
      </c>
      <c r="F37" s="101" t="s">
        <v>1233</v>
      </c>
      <c r="G37" s="101" t="s">
        <v>1285</v>
      </c>
      <c r="H37" s="101" t="s">
        <v>1235</v>
      </c>
      <c r="I37" s="101" t="s">
        <v>1236</v>
      </c>
      <c r="J37" s="101" t="s">
        <v>1237</v>
      </c>
      <c r="K37" s="100" t="s">
        <v>1286</v>
      </c>
      <c r="L37" s="101" t="n">
        <v>2018</v>
      </c>
      <c r="M37" s="101" t="s">
        <v>1239</v>
      </c>
    </row>
    <row r="38" customFormat="false" ht="15" hidden="false" customHeight="true" outlineLevel="0" collapsed="false">
      <c r="A38" s="101" t="n">
        <v>37</v>
      </c>
      <c r="B38" s="100" t="n">
        <v>37</v>
      </c>
      <c r="C38" s="100" t="s">
        <v>668</v>
      </c>
      <c r="D38" s="101" t="s">
        <v>1232</v>
      </c>
      <c r="E38" s="101" t="s">
        <v>1175</v>
      </c>
      <c r="F38" s="101" t="s">
        <v>1233</v>
      </c>
      <c r="G38" s="101" t="s">
        <v>1240</v>
      </c>
      <c r="H38" s="101" t="s">
        <v>1235</v>
      </c>
      <c r="I38" s="101" t="s">
        <v>1236</v>
      </c>
      <c r="J38" s="101" t="s">
        <v>1237</v>
      </c>
      <c r="K38" s="100" t="s">
        <v>1287</v>
      </c>
      <c r="L38" s="101" t="n">
        <v>2018</v>
      </c>
      <c r="M38" s="101" t="s">
        <v>1239</v>
      </c>
    </row>
    <row r="39" customFormat="false" ht="15" hidden="false" customHeight="true" outlineLevel="0" collapsed="false">
      <c r="A39" s="101" t="n">
        <v>38</v>
      </c>
      <c r="B39" s="100" t="n">
        <v>38</v>
      </c>
      <c r="C39" s="100" t="s">
        <v>667</v>
      </c>
      <c r="D39" s="101" t="s">
        <v>1232</v>
      </c>
      <c r="E39" s="101" t="s">
        <v>1175</v>
      </c>
      <c r="F39" s="101" t="s">
        <v>1233</v>
      </c>
      <c r="G39" s="101" t="s">
        <v>1288</v>
      </c>
      <c r="H39" s="101" t="s">
        <v>1235</v>
      </c>
      <c r="I39" s="101" t="s">
        <v>1236</v>
      </c>
      <c r="J39" s="101" t="s">
        <v>1237</v>
      </c>
      <c r="K39" s="100" t="s">
        <v>1289</v>
      </c>
      <c r="L39" s="101" t="n">
        <v>2018</v>
      </c>
      <c r="M39" s="101" t="s">
        <v>1239</v>
      </c>
    </row>
    <row r="40" customFormat="false" ht="15" hidden="false" customHeight="true" outlineLevel="0" collapsed="false">
      <c r="A40" s="101" t="n">
        <v>39</v>
      </c>
      <c r="B40" s="100" t="n">
        <v>39</v>
      </c>
      <c r="C40" s="100" t="s">
        <v>666</v>
      </c>
      <c r="D40" s="101" t="s">
        <v>1232</v>
      </c>
      <c r="E40" s="101" t="s">
        <v>1175</v>
      </c>
      <c r="F40" s="101" t="s">
        <v>1233</v>
      </c>
      <c r="G40" s="101" t="s">
        <v>1290</v>
      </c>
      <c r="H40" s="101" t="s">
        <v>1235</v>
      </c>
      <c r="I40" s="101" t="s">
        <v>1236</v>
      </c>
      <c r="J40" s="101" t="s">
        <v>1237</v>
      </c>
      <c r="K40" s="100" t="s">
        <v>1291</v>
      </c>
      <c r="L40" s="101" t="n">
        <v>2018</v>
      </c>
      <c r="M40" s="101" t="s">
        <v>1239</v>
      </c>
    </row>
    <row r="41" customFormat="false" ht="15" hidden="false" customHeight="true" outlineLevel="0" collapsed="false">
      <c r="A41" s="101" t="n">
        <v>40</v>
      </c>
      <c r="B41" s="100" t="n">
        <v>40</v>
      </c>
      <c r="C41" s="100" t="s">
        <v>665</v>
      </c>
      <c r="D41" s="101" t="s">
        <v>1232</v>
      </c>
      <c r="E41" s="101" t="s">
        <v>1175</v>
      </c>
      <c r="F41" s="101" t="s">
        <v>1233</v>
      </c>
      <c r="G41" s="101" t="s">
        <v>1292</v>
      </c>
      <c r="H41" s="101" t="s">
        <v>1235</v>
      </c>
      <c r="I41" s="101" t="s">
        <v>1236</v>
      </c>
      <c r="J41" s="101" t="s">
        <v>1237</v>
      </c>
      <c r="K41" s="100" t="s">
        <v>1293</v>
      </c>
      <c r="L41" s="101" t="n">
        <v>2018</v>
      </c>
      <c r="M41" s="101" t="s">
        <v>1239</v>
      </c>
    </row>
    <row r="42" customFormat="false" ht="15" hidden="false" customHeight="true" outlineLevel="0" collapsed="false">
      <c r="A42" s="101" t="n">
        <v>41</v>
      </c>
      <c r="B42" s="100" t="n">
        <v>41</v>
      </c>
      <c r="C42" s="100" t="s">
        <v>664</v>
      </c>
      <c r="D42" s="101" t="s">
        <v>1232</v>
      </c>
      <c r="E42" s="101" t="s">
        <v>1175</v>
      </c>
      <c r="F42" s="101" t="s">
        <v>1233</v>
      </c>
      <c r="G42" s="101" t="s">
        <v>1294</v>
      </c>
      <c r="H42" s="101" t="s">
        <v>1235</v>
      </c>
      <c r="I42" s="101" t="s">
        <v>1236</v>
      </c>
      <c r="J42" s="101" t="s">
        <v>1237</v>
      </c>
      <c r="K42" s="100" t="s">
        <v>1295</v>
      </c>
      <c r="L42" s="101" t="n">
        <v>2018</v>
      </c>
      <c r="M42" s="101" t="s">
        <v>1239</v>
      </c>
    </row>
    <row r="43" customFormat="false" ht="15" hidden="false" customHeight="true" outlineLevel="0" collapsed="false">
      <c r="A43" s="101" t="n">
        <v>42</v>
      </c>
      <c r="B43" s="100" t="n">
        <v>1</v>
      </c>
      <c r="C43" s="100" t="s">
        <v>983</v>
      </c>
      <c r="D43" s="101" t="s">
        <v>56</v>
      </c>
      <c r="E43" s="101" t="s">
        <v>1200</v>
      </c>
      <c r="F43" s="101"/>
      <c r="G43" s="101"/>
      <c r="H43" s="101" t="s">
        <v>1251</v>
      </c>
      <c r="I43" s="101" t="s">
        <v>1296</v>
      </c>
      <c r="J43" s="101" t="s">
        <v>1297</v>
      </c>
      <c r="K43" s="100" t="s">
        <v>1298</v>
      </c>
      <c r="L43" s="101" t="n">
        <v>2026</v>
      </c>
      <c r="M43" s="101"/>
    </row>
    <row r="44" customFormat="false" ht="15" hidden="false" customHeight="true" outlineLevel="0" collapsed="false">
      <c r="A44" s="101" t="n">
        <v>43</v>
      </c>
      <c r="B44" s="100" t="n">
        <v>2</v>
      </c>
      <c r="C44" s="100" t="s">
        <v>982</v>
      </c>
      <c r="D44" s="101" t="s">
        <v>106</v>
      </c>
      <c r="E44" s="101" t="s">
        <v>1178</v>
      </c>
      <c r="F44" s="101" t="s">
        <v>1299</v>
      </c>
      <c r="G44" s="101" t="s">
        <v>1300</v>
      </c>
      <c r="H44" s="101" t="s">
        <v>1251</v>
      </c>
      <c r="I44" s="101" t="s">
        <v>1301</v>
      </c>
      <c r="J44" s="101" t="s">
        <v>1302</v>
      </c>
      <c r="K44" s="100" t="s">
        <v>1303</v>
      </c>
      <c r="L44" s="101" t="n">
        <v>2012</v>
      </c>
      <c r="M44" s="101"/>
    </row>
    <row r="45" customFormat="false" ht="15" hidden="false" customHeight="true" outlineLevel="0" collapsed="false">
      <c r="A45" s="101" t="n">
        <v>44</v>
      </c>
      <c r="B45" s="100" t="n">
        <v>3</v>
      </c>
      <c r="C45" s="100" t="s">
        <v>663</v>
      </c>
      <c r="D45" s="101" t="s">
        <v>106</v>
      </c>
      <c r="E45" s="101" t="s">
        <v>1207</v>
      </c>
      <c r="F45" s="101" t="s">
        <v>1304</v>
      </c>
      <c r="G45" s="101" t="s">
        <v>1305</v>
      </c>
      <c r="H45" s="101" t="s">
        <v>1251</v>
      </c>
      <c r="I45" s="101" t="s">
        <v>1301</v>
      </c>
      <c r="J45" s="101" t="s">
        <v>1302</v>
      </c>
      <c r="K45" s="100" t="s">
        <v>1306</v>
      </c>
      <c r="L45" s="101" t="n">
        <v>2012</v>
      </c>
      <c r="M45" s="101"/>
    </row>
    <row r="46" customFormat="false" ht="15" hidden="false" customHeight="true" outlineLevel="0" collapsed="false">
      <c r="A46" s="101" t="n">
        <v>45</v>
      </c>
      <c r="B46" s="100" t="n">
        <v>4</v>
      </c>
      <c r="C46" s="100" t="s">
        <v>513</v>
      </c>
      <c r="D46" s="101" t="s">
        <v>106</v>
      </c>
      <c r="E46" s="101" t="s">
        <v>1168</v>
      </c>
      <c r="F46" s="101" t="s">
        <v>1307</v>
      </c>
      <c r="G46" s="101" t="s">
        <v>1308</v>
      </c>
      <c r="H46" s="101" t="s">
        <v>1251</v>
      </c>
      <c r="I46" s="101" t="s">
        <v>1309</v>
      </c>
      <c r="J46" s="101" t="s">
        <v>1310</v>
      </c>
      <c r="K46" s="100" t="s">
        <v>1311</v>
      </c>
      <c r="L46" s="101" t="n">
        <v>2009</v>
      </c>
      <c r="M46" s="101"/>
    </row>
    <row r="47" customFormat="false" ht="15" hidden="false" customHeight="true" outlineLevel="0" collapsed="false">
      <c r="A47" s="101" t="n">
        <v>46</v>
      </c>
      <c r="B47" s="100" t="n">
        <v>5</v>
      </c>
      <c r="C47" s="100" t="s">
        <v>120</v>
      </c>
      <c r="D47" s="101" t="s">
        <v>56</v>
      </c>
      <c r="E47" s="101" t="s">
        <v>1158</v>
      </c>
      <c r="F47" s="101" t="s">
        <v>1158</v>
      </c>
      <c r="G47" s="101" t="s">
        <v>1158</v>
      </c>
      <c r="H47" s="101" t="s">
        <v>1251</v>
      </c>
      <c r="I47" s="101" t="s">
        <v>1312</v>
      </c>
      <c r="J47" s="101" t="s">
        <v>1313</v>
      </c>
      <c r="K47" s="100" t="s">
        <v>119</v>
      </c>
      <c r="L47" s="101" t="n">
        <v>2022</v>
      </c>
      <c r="M47" s="101"/>
    </row>
    <row r="48" customFormat="false" ht="15" hidden="false" customHeight="true" outlineLevel="0" collapsed="false">
      <c r="A48" s="101" t="n">
        <v>47</v>
      </c>
      <c r="B48" s="100" t="n">
        <v>6</v>
      </c>
      <c r="C48" s="100" t="s">
        <v>512</v>
      </c>
      <c r="D48" s="101" t="s">
        <v>56</v>
      </c>
      <c r="E48" s="101" t="s">
        <v>1214</v>
      </c>
      <c r="F48" s="101" t="s">
        <v>1314</v>
      </c>
      <c r="G48" s="101" t="s">
        <v>1315</v>
      </c>
      <c r="H48" s="101" t="s">
        <v>1251</v>
      </c>
      <c r="I48" s="101" t="s">
        <v>1309</v>
      </c>
      <c r="J48" s="101" t="s">
        <v>1316</v>
      </c>
      <c r="K48" s="100" t="s">
        <v>1317</v>
      </c>
      <c r="L48" s="101" t="n">
        <v>2020</v>
      </c>
      <c r="M48" s="101"/>
    </row>
    <row r="49" customFormat="false" ht="15" hidden="false" customHeight="true" outlineLevel="0" collapsed="false">
      <c r="A49" s="101" t="n">
        <v>48</v>
      </c>
      <c r="B49" s="100" t="n">
        <v>7</v>
      </c>
      <c r="C49" s="100" t="s">
        <v>117</v>
      </c>
      <c r="D49" s="101" t="s">
        <v>56</v>
      </c>
      <c r="E49" s="101" t="s">
        <v>1196</v>
      </c>
      <c r="F49" s="101" t="s">
        <v>1196</v>
      </c>
      <c r="G49" s="101" t="s">
        <v>1318</v>
      </c>
      <c r="H49" s="101" t="s">
        <v>1251</v>
      </c>
      <c r="I49" s="101" t="s">
        <v>1296</v>
      </c>
      <c r="J49" s="101" t="s">
        <v>1319</v>
      </c>
      <c r="K49" s="100" t="s">
        <v>116</v>
      </c>
      <c r="L49" s="101" t="n">
        <v>2025</v>
      </c>
      <c r="M49" s="101"/>
    </row>
    <row r="50" customFormat="false" ht="15" hidden="false" customHeight="true" outlineLevel="0" collapsed="false">
      <c r="A50" s="101" t="n">
        <v>49</v>
      </c>
      <c r="B50" s="100" t="n">
        <v>8</v>
      </c>
      <c r="C50" s="100" t="s">
        <v>892</v>
      </c>
      <c r="D50" s="101" t="s">
        <v>106</v>
      </c>
      <c r="E50" s="101" t="s">
        <v>1222</v>
      </c>
      <c r="F50" s="101" t="s">
        <v>1222</v>
      </c>
      <c r="G50" s="101" t="s">
        <v>1320</v>
      </c>
      <c r="H50" s="101" t="s">
        <v>1251</v>
      </c>
      <c r="I50" s="101" t="s">
        <v>1309</v>
      </c>
      <c r="J50" s="101" t="s">
        <v>1310</v>
      </c>
      <c r="K50" s="100" t="s">
        <v>1321</v>
      </c>
      <c r="L50" s="101" t="n">
        <v>2009</v>
      </c>
      <c r="M50" s="101"/>
    </row>
    <row r="51" customFormat="false" ht="15" hidden="false" customHeight="true" outlineLevel="0" collapsed="false">
      <c r="A51" s="101" t="n">
        <v>50</v>
      </c>
      <c r="B51" s="100" t="n">
        <v>9</v>
      </c>
      <c r="C51" s="100" t="s">
        <v>891</v>
      </c>
      <c r="D51" s="101" t="s">
        <v>106</v>
      </c>
      <c r="E51" s="101" t="s">
        <v>1157</v>
      </c>
      <c r="F51" s="101" t="s">
        <v>1157</v>
      </c>
      <c r="G51" s="101" t="s">
        <v>1322</v>
      </c>
      <c r="H51" s="101" t="s">
        <v>1251</v>
      </c>
      <c r="I51" s="101" t="s">
        <v>1312</v>
      </c>
      <c r="J51" s="101" t="s">
        <v>1302</v>
      </c>
      <c r="K51" s="100" t="s">
        <v>1323</v>
      </c>
      <c r="L51" s="101" t="n">
        <v>2012</v>
      </c>
      <c r="M51" s="101"/>
    </row>
    <row r="52" customFormat="false" ht="15" hidden="false" customHeight="true" outlineLevel="0" collapsed="false">
      <c r="A52" s="101" t="n">
        <v>51</v>
      </c>
      <c r="B52" s="100" t="n">
        <v>10</v>
      </c>
      <c r="C52" s="100" t="s">
        <v>662</v>
      </c>
      <c r="D52" s="101" t="s">
        <v>106</v>
      </c>
      <c r="E52" s="101" t="s">
        <v>1204</v>
      </c>
      <c r="F52" s="101" t="s">
        <v>1324</v>
      </c>
      <c r="G52" s="101" t="s">
        <v>1325</v>
      </c>
      <c r="H52" s="101" t="s">
        <v>1251</v>
      </c>
      <c r="I52" s="101" t="s">
        <v>1309</v>
      </c>
      <c r="J52" s="101" t="s">
        <v>1310</v>
      </c>
      <c r="K52" s="100" t="s">
        <v>1326</v>
      </c>
      <c r="L52" s="101" t="n">
        <v>2007</v>
      </c>
      <c r="M52" s="101"/>
    </row>
    <row r="53" customFormat="false" ht="15" hidden="false" customHeight="true" outlineLevel="0" collapsed="false">
      <c r="A53" s="101" t="n">
        <v>52</v>
      </c>
      <c r="B53" s="100" t="n">
        <v>11</v>
      </c>
      <c r="C53" s="100" t="s">
        <v>511</v>
      </c>
      <c r="D53" s="101" t="s">
        <v>106</v>
      </c>
      <c r="E53" s="101" t="s">
        <v>1190</v>
      </c>
      <c r="F53" s="101" t="s">
        <v>1327</v>
      </c>
      <c r="G53" s="101" t="s">
        <v>1328</v>
      </c>
      <c r="H53" s="101" t="s">
        <v>1251</v>
      </c>
      <c r="I53" s="101" t="s">
        <v>1309</v>
      </c>
      <c r="J53" s="101" t="s">
        <v>1310</v>
      </c>
      <c r="K53" s="100" t="s">
        <v>1329</v>
      </c>
      <c r="L53" s="101" t="n">
        <v>2005</v>
      </c>
      <c r="M53" s="101"/>
    </row>
    <row r="54" customFormat="false" ht="15" hidden="false" customHeight="true" outlineLevel="0" collapsed="false">
      <c r="A54" s="101" t="n">
        <v>53</v>
      </c>
      <c r="B54" s="100" t="n">
        <v>12</v>
      </c>
      <c r="C54" s="100" t="s">
        <v>1330</v>
      </c>
      <c r="D54" s="101" t="s">
        <v>106</v>
      </c>
      <c r="E54" s="101" t="s">
        <v>1177</v>
      </c>
      <c r="F54" s="101" t="s">
        <v>1177</v>
      </c>
      <c r="G54" s="101" t="s">
        <v>1331</v>
      </c>
      <c r="H54" s="101" t="s">
        <v>1251</v>
      </c>
      <c r="I54" s="101" t="s">
        <v>1312</v>
      </c>
      <c r="J54" s="101" t="s">
        <v>1332</v>
      </c>
      <c r="K54" s="100" t="s">
        <v>1333</v>
      </c>
      <c r="L54" s="101" t="n">
        <v>2005</v>
      </c>
      <c r="M54" s="101"/>
    </row>
    <row r="55" customFormat="false" ht="15" hidden="false" customHeight="true" outlineLevel="0" collapsed="false">
      <c r="A55" s="101" t="n">
        <v>54</v>
      </c>
      <c r="B55" s="100" t="n">
        <v>13</v>
      </c>
      <c r="C55" s="100" t="s">
        <v>1334</v>
      </c>
      <c r="D55" s="101" t="s">
        <v>106</v>
      </c>
      <c r="E55" s="101" t="s">
        <v>1177</v>
      </c>
      <c r="F55" s="101" t="s">
        <v>1335</v>
      </c>
      <c r="G55" s="101" t="s">
        <v>1335</v>
      </c>
      <c r="H55" s="101" t="s">
        <v>1251</v>
      </c>
      <c r="I55" s="101" t="s">
        <v>1336</v>
      </c>
      <c r="J55" s="101" t="s">
        <v>1337</v>
      </c>
      <c r="K55" s="100" t="s">
        <v>1338</v>
      </c>
      <c r="L55" s="101" t="n">
        <v>2012</v>
      </c>
      <c r="M55" s="101"/>
    </row>
    <row r="56" customFormat="false" ht="15" hidden="false" customHeight="true" outlineLevel="0" collapsed="false">
      <c r="A56" s="101" t="n">
        <v>55</v>
      </c>
      <c r="B56" s="100" t="n">
        <v>14</v>
      </c>
      <c r="C56" s="100" t="s">
        <v>1035</v>
      </c>
      <c r="D56" s="101" t="s">
        <v>106</v>
      </c>
      <c r="E56" s="101" t="s">
        <v>1154</v>
      </c>
      <c r="F56" s="101" t="s">
        <v>1339</v>
      </c>
      <c r="G56" s="101" t="s">
        <v>1340</v>
      </c>
      <c r="H56" s="101" t="s">
        <v>1251</v>
      </c>
      <c r="I56" s="101" t="s">
        <v>1336</v>
      </c>
      <c r="J56" s="101" t="s">
        <v>1337</v>
      </c>
      <c r="K56" s="100" t="s">
        <v>1341</v>
      </c>
      <c r="L56" s="101" t="n">
        <v>2010</v>
      </c>
      <c r="M56" s="101"/>
    </row>
    <row r="57" customFormat="false" ht="15" hidden="false" customHeight="true" outlineLevel="0" collapsed="false">
      <c r="A57" s="101" t="n">
        <v>56</v>
      </c>
      <c r="B57" s="100" t="n">
        <v>15</v>
      </c>
      <c r="C57" s="100" t="s">
        <v>981</v>
      </c>
      <c r="D57" s="101" t="s">
        <v>106</v>
      </c>
      <c r="E57" s="101" t="s">
        <v>1184</v>
      </c>
      <c r="F57" s="101" t="s">
        <v>1342</v>
      </c>
      <c r="G57" s="101" t="s">
        <v>1343</v>
      </c>
      <c r="H57" s="101" t="s">
        <v>1251</v>
      </c>
      <c r="I57" s="101" t="s">
        <v>1309</v>
      </c>
      <c r="J57" s="101" t="s">
        <v>1310</v>
      </c>
      <c r="K57" s="100" t="s">
        <v>1344</v>
      </c>
      <c r="L57" s="101" t="n">
        <v>2007</v>
      </c>
      <c r="M57" s="101"/>
    </row>
    <row r="58" customFormat="false" ht="15" hidden="false" customHeight="true" outlineLevel="0" collapsed="false">
      <c r="A58" s="101" t="n">
        <v>57</v>
      </c>
      <c r="B58" s="100" t="n">
        <v>16</v>
      </c>
      <c r="C58" s="100" t="s">
        <v>980</v>
      </c>
      <c r="D58" s="101" t="s">
        <v>106</v>
      </c>
      <c r="E58" s="101" t="s">
        <v>1154</v>
      </c>
      <c r="F58" s="101"/>
      <c r="G58" s="101" t="s">
        <v>1345</v>
      </c>
      <c r="H58" s="101" t="s">
        <v>1251</v>
      </c>
      <c r="I58" s="101" t="s">
        <v>1309</v>
      </c>
      <c r="J58" s="101" t="s">
        <v>1310</v>
      </c>
      <c r="K58" s="100" t="s">
        <v>1346</v>
      </c>
      <c r="L58" s="101" t="n">
        <v>2007</v>
      </c>
      <c r="M58" s="101"/>
    </row>
    <row r="59" customFormat="false" ht="15" hidden="false" customHeight="true" outlineLevel="0" collapsed="false">
      <c r="A59" s="101" t="n">
        <v>58</v>
      </c>
      <c r="B59" s="100" t="n">
        <v>17</v>
      </c>
      <c r="C59" s="100" t="s">
        <v>1034</v>
      </c>
      <c r="D59" s="101" t="s">
        <v>106</v>
      </c>
      <c r="E59" s="101" t="s">
        <v>1182</v>
      </c>
      <c r="F59" s="101" t="s">
        <v>1182</v>
      </c>
      <c r="G59" s="101"/>
      <c r="H59" s="101" t="s">
        <v>1251</v>
      </c>
      <c r="I59" s="101" t="s">
        <v>1309</v>
      </c>
      <c r="J59" s="101" t="s">
        <v>1310</v>
      </c>
      <c r="K59" s="100" t="s">
        <v>1347</v>
      </c>
      <c r="L59" s="101" t="n">
        <v>2009</v>
      </c>
      <c r="M59" s="101"/>
    </row>
    <row r="60" customFormat="false" ht="15" hidden="false" customHeight="true" outlineLevel="0" collapsed="false">
      <c r="A60" s="101" t="n">
        <v>59</v>
      </c>
      <c r="B60" s="100" t="n">
        <v>18</v>
      </c>
      <c r="C60" s="100" t="s">
        <v>1033</v>
      </c>
      <c r="D60" s="101" t="s">
        <v>106</v>
      </c>
      <c r="E60" s="101" t="s">
        <v>1182</v>
      </c>
      <c r="F60" s="101" t="s">
        <v>1348</v>
      </c>
      <c r="G60" s="101"/>
      <c r="H60" s="101" t="s">
        <v>1251</v>
      </c>
      <c r="I60" s="101" t="s">
        <v>1309</v>
      </c>
      <c r="J60" s="101" t="s">
        <v>1310</v>
      </c>
      <c r="K60" s="100" t="s">
        <v>1349</v>
      </c>
      <c r="L60" s="101" t="n">
        <v>2005</v>
      </c>
      <c r="M60" s="101"/>
    </row>
    <row r="61" customFormat="false" ht="15" hidden="false" customHeight="true" outlineLevel="0" collapsed="false">
      <c r="A61" s="101" t="n">
        <v>60</v>
      </c>
      <c r="B61" s="100" t="n">
        <v>19</v>
      </c>
      <c r="C61" s="100" t="s">
        <v>979</v>
      </c>
      <c r="D61" s="101" t="s">
        <v>106</v>
      </c>
      <c r="E61" s="101" t="s">
        <v>1194</v>
      </c>
      <c r="F61" s="101" t="s">
        <v>1350</v>
      </c>
      <c r="G61" s="101" t="s">
        <v>1351</v>
      </c>
      <c r="H61" s="101" t="s">
        <v>1251</v>
      </c>
      <c r="I61" s="101" t="s">
        <v>1309</v>
      </c>
      <c r="J61" s="101" t="s">
        <v>1310</v>
      </c>
      <c r="K61" s="100" t="s">
        <v>1352</v>
      </c>
      <c r="L61" s="101" t="n">
        <v>2007</v>
      </c>
      <c r="M61" s="101"/>
    </row>
    <row r="62" customFormat="false" ht="15" hidden="false" customHeight="true" outlineLevel="0" collapsed="false">
      <c r="A62" s="101" t="n">
        <v>61</v>
      </c>
      <c r="B62" s="100" t="n">
        <v>20</v>
      </c>
      <c r="C62" s="100" t="s">
        <v>978</v>
      </c>
      <c r="D62" s="101" t="s">
        <v>106</v>
      </c>
      <c r="E62" s="101" t="s">
        <v>1194</v>
      </c>
      <c r="F62" s="101" t="s">
        <v>1353</v>
      </c>
      <c r="G62" s="101" t="s">
        <v>1354</v>
      </c>
      <c r="H62" s="101" t="s">
        <v>1251</v>
      </c>
      <c r="I62" s="101" t="s">
        <v>1309</v>
      </c>
      <c r="J62" s="101" t="s">
        <v>1355</v>
      </c>
      <c r="K62" s="100" t="s">
        <v>1356</v>
      </c>
      <c r="L62" s="101" t="n">
        <v>2007</v>
      </c>
      <c r="M62" s="101"/>
    </row>
    <row r="63" customFormat="false" ht="15" hidden="false" customHeight="true" outlineLevel="0" collapsed="false">
      <c r="A63" s="101" t="n">
        <v>62</v>
      </c>
      <c r="B63" s="100" t="n">
        <v>21</v>
      </c>
      <c r="C63" s="100" t="s">
        <v>510</v>
      </c>
      <c r="D63" s="101" t="s">
        <v>106</v>
      </c>
      <c r="E63" s="101" t="s">
        <v>1164</v>
      </c>
      <c r="F63" s="101" t="s">
        <v>1357</v>
      </c>
      <c r="G63" s="101" t="s">
        <v>1358</v>
      </c>
      <c r="H63" s="101" t="s">
        <v>1251</v>
      </c>
      <c r="I63" s="101" t="s">
        <v>1309</v>
      </c>
      <c r="J63" s="101" t="s">
        <v>1355</v>
      </c>
      <c r="K63" s="100" t="s">
        <v>1359</v>
      </c>
      <c r="L63" s="101" t="n">
        <v>2007</v>
      </c>
      <c r="M63" s="101"/>
    </row>
    <row r="64" customFormat="false" ht="15" hidden="false" customHeight="true" outlineLevel="0" collapsed="false">
      <c r="A64" s="101" t="n">
        <v>63</v>
      </c>
      <c r="B64" s="100" t="n">
        <v>22</v>
      </c>
      <c r="C64" s="100" t="s">
        <v>509</v>
      </c>
      <c r="D64" s="101" t="s">
        <v>106</v>
      </c>
      <c r="E64" s="101" t="s">
        <v>1164</v>
      </c>
      <c r="F64" s="101" t="s">
        <v>1357</v>
      </c>
      <c r="G64" s="101" t="s">
        <v>1360</v>
      </c>
      <c r="H64" s="101" t="s">
        <v>1251</v>
      </c>
      <c r="I64" s="101" t="s">
        <v>1309</v>
      </c>
      <c r="J64" s="101" t="s">
        <v>1355</v>
      </c>
      <c r="K64" s="100" t="s">
        <v>1361</v>
      </c>
      <c r="L64" s="101" t="n">
        <v>2007</v>
      </c>
      <c r="M64" s="101"/>
    </row>
    <row r="65" customFormat="false" ht="15" hidden="false" customHeight="true" outlineLevel="0" collapsed="false">
      <c r="A65" s="101" t="n">
        <v>64</v>
      </c>
      <c r="B65" s="100" t="n">
        <v>23</v>
      </c>
      <c r="C65" s="100" t="s">
        <v>890</v>
      </c>
      <c r="D65" s="101" t="s">
        <v>106</v>
      </c>
      <c r="E65" s="101" t="s">
        <v>1201</v>
      </c>
      <c r="F65" s="101" t="s">
        <v>1201</v>
      </c>
      <c r="G65" s="101" t="s">
        <v>1362</v>
      </c>
      <c r="H65" s="101" t="s">
        <v>1251</v>
      </c>
      <c r="I65" s="101" t="s">
        <v>1309</v>
      </c>
      <c r="J65" s="101" t="s">
        <v>1310</v>
      </c>
      <c r="K65" s="100" t="s">
        <v>1363</v>
      </c>
      <c r="L65" s="101" t="n">
        <v>2009</v>
      </c>
      <c r="M65" s="101"/>
    </row>
    <row r="66" customFormat="false" ht="15" hidden="false" customHeight="true" outlineLevel="0" collapsed="false">
      <c r="A66" s="101" t="n">
        <v>65</v>
      </c>
      <c r="B66" s="100" t="n">
        <v>24</v>
      </c>
      <c r="C66" s="100" t="s">
        <v>889</v>
      </c>
      <c r="D66" s="101" t="s">
        <v>106</v>
      </c>
      <c r="E66" s="101" t="s">
        <v>1176</v>
      </c>
      <c r="F66" s="101" t="s">
        <v>1176</v>
      </c>
      <c r="G66" s="101" t="s">
        <v>1364</v>
      </c>
      <c r="H66" s="101" t="s">
        <v>1251</v>
      </c>
      <c r="I66" s="101" t="s">
        <v>1309</v>
      </c>
      <c r="J66" s="101" t="s">
        <v>1355</v>
      </c>
      <c r="K66" s="100" t="s">
        <v>1365</v>
      </c>
      <c r="L66" s="101" t="n">
        <v>2008</v>
      </c>
      <c r="M66" s="101"/>
    </row>
    <row r="67" customFormat="false" ht="15" hidden="false" customHeight="true" outlineLevel="0" collapsed="false">
      <c r="A67" s="101" t="n">
        <v>66</v>
      </c>
      <c r="B67" s="100" t="n">
        <v>25</v>
      </c>
      <c r="C67" s="100" t="s">
        <v>1032</v>
      </c>
      <c r="D67" s="101" t="s">
        <v>106</v>
      </c>
      <c r="E67" s="101" t="s">
        <v>1154</v>
      </c>
      <c r="F67" s="101" t="s">
        <v>1366</v>
      </c>
      <c r="G67" s="101" t="s">
        <v>1367</v>
      </c>
      <c r="H67" s="101" t="s">
        <v>1251</v>
      </c>
      <c r="I67" s="101" t="s">
        <v>1309</v>
      </c>
      <c r="J67" s="101" t="s">
        <v>1310</v>
      </c>
      <c r="K67" s="100" t="s">
        <v>1368</v>
      </c>
      <c r="L67" s="101" t="n">
        <v>2009</v>
      </c>
      <c r="M67" s="101"/>
    </row>
    <row r="68" customFormat="false" ht="15" hidden="false" customHeight="true" outlineLevel="0" collapsed="false">
      <c r="A68" s="101" t="n">
        <v>67</v>
      </c>
      <c r="B68" s="100" t="n">
        <v>26</v>
      </c>
      <c r="C68" s="100" t="s">
        <v>1031</v>
      </c>
      <c r="D68" s="101" t="s">
        <v>106</v>
      </c>
      <c r="E68" s="101" t="s">
        <v>1202</v>
      </c>
      <c r="F68" s="101" t="s">
        <v>1369</v>
      </c>
      <c r="G68" s="101" t="s">
        <v>1370</v>
      </c>
      <c r="H68" s="101" t="s">
        <v>1251</v>
      </c>
      <c r="I68" s="101" t="s">
        <v>1309</v>
      </c>
      <c r="J68" s="101" t="s">
        <v>1310</v>
      </c>
      <c r="K68" s="100" t="s">
        <v>1371</v>
      </c>
      <c r="L68" s="101" t="n">
        <v>2010</v>
      </c>
      <c r="M68" s="101"/>
    </row>
    <row r="69" customFormat="false" ht="15" hidden="false" customHeight="true" outlineLevel="0" collapsed="false">
      <c r="A69" s="101" t="n">
        <v>68</v>
      </c>
      <c r="B69" s="100" t="n">
        <v>27</v>
      </c>
      <c r="C69" s="100" t="s">
        <v>1030</v>
      </c>
      <c r="D69" s="101" t="s">
        <v>106</v>
      </c>
      <c r="E69" s="101" t="s">
        <v>1159</v>
      </c>
      <c r="F69" s="101" t="s">
        <v>1159</v>
      </c>
      <c r="G69" s="101"/>
      <c r="H69" s="101" t="s">
        <v>1251</v>
      </c>
      <c r="I69" s="101" t="s">
        <v>1301</v>
      </c>
      <c r="J69" s="101" t="s">
        <v>1302</v>
      </c>
      <c r="K69" s="100" t="s">
        <v>1372</v>
      </c>
      <c r="L69" s="101" t="n">
        <v>2012</v>
      </c>
      <c r="M69" s="101"/>
    </row>
    <row r="70" customFormat="false" ht="15" hidden="false" customHeight="true" outlineLevel="0" collapsed="false">
      <c r="A70" s="101" t="n">
        <v>69</v>
      </c>
      <c r="B70" s="100" t="n">
        <v>28</v>
      </c>
      <c r="C70" s="100" t="s">
        <v>508</v>
      </c>
      <c r="D70" s="101" t="s">
        <v>106</v>
      </c>
      <c r="E70" s="101" t="s">
        <v>1175</v>
      </c>
      <c r="F70" s="101" t="s">
        <v>1233</v>
      </c>
      <c r="G70" s="101"/>
      <c r="H70" s="101" t="s">
        <v>1251</v>
      </c>
      <c r="I70" s="101" t="s">
        <v>1301</v>
      </c>
      <c r="J70" s="101" t="s">
        <v>1302</v>
      </c>
      <c r="K70" s="100" t="s">
        <v>1373</v>
      </c>
      <c r="L70" s="101" t="n">
        <v>2012</v>
      </c>
      <c r="M70" s="101"/>
    </row>
    <row r="71" customFormat="false" ht="15" hidden="false" customHeight="true" outlineLevel="0" collapsed="false">
      <c r="A71" s="101" t="n">
        <v>70</v>
      </c>
      <c r="B71" s="100" t="n">
        <v>29</v>
      </c>
      <c r="C71" s="100" t="s">
        <v>507</v>
      </c>
      <c r="D71" s="101" t="s">
        <v>106</v>
      </c>
      <c r="E71" s="101" t="s">
        <v>1164</v>
      </c>
      <c r="F71" s="101" t="s">
        <v>1357</v>
      </c>
      <c r="G71" s="101" t="s">
        <v>1360</v>
      </c>
      <c r="H71" s="101" t="s">
        <v>1374</v>
      </c>
      <c r="I71" s="101" t="s">
        <v>1309</v>
      </c>
      <c r="J71" s="101" t="s">
        <v>1375</v>
      </c>
      <c r="K71" s="100" t="s">
        <v>1376</v>
      </c>
      <c r="L71" s="101" t="n">
        <v>2025</v>
      </c>
      <c r="M71" s="101"/>
    </row>
    <row r="72" customFormat="false" ht="15" hidden="false" customHeight="true" outlineLevel="0" collapsed="false">
      <c r="A72" s="101" t="n">
        <v>71</v>
      </c>
      <c r="B72" s="100" t="n">
        <v>30</v>
      </c>
      <c r="C72" s="100" t="s">
        <v>888</v>
      </c>
      <c r="D72" s="101" t="s">
        <v>106</v>
      </c>
      <c r="E72" s="101" t="s">
        <v>1195</v>
      </c>
      <c r="F72" s="101" t="s">
        <v>1377</v>
      </c>
      <c r="G72" s="101" t="s">
        <v>1378</v>
      </c>
      <c r="H72" s="101" t="s">
        <v>1251</v>
      </c>
      <c r="I72" s="101" t="s">
        <v>1301</v>
      </c>
      <c r="J72" s="101" t="s">
        <v>1302</v>
      </c>
      <c r="K72" s="100" t="s">
        <v>1379</v>
      </c>
      <c r="L72" s="101" t="n">
        <v>2011</v>
      </c>
      <c r="M72" s="101"/>
    </row>
    <row r="73" customFormat="false" ht="15" hidden="false" customHeight="true" outlineLevel="0" collapsed="false">
      <c r="A73" s="101" t="n">
        <v>72</v>
      </c>
      <c r="B73" s="100" t="n">
        <v>31</v>
      </c>
      <c r="C73" s="100" t="s">
        <v>506</v>
      </c>
      <c r="D73" s="101" t="s">
        <v>106</v>
      </c>
      <c r="E73" s="101" t="s">
        <v>1190</v>
      </c>
      <c r="F73" s="101" t="s">
        <v>1380</v>
      </c>
      <c r="G73" s="101" t="s">
        <v>1370</v>
      </c>
      <c r="H73" s="101" t="s">
        <v>1251</v>
      </c>
      <c r="I73" s="101" t="s">
        <v>1309</v>
      </c>
      <c r="J73" s="101" t="s">
        <v>1310</v>
      </c>
      <c r="K73" s="100" t="s">
        <v>1381</v>
      </c>
      <c r="L73" s="101" t="n">
        <v>2009</v>
      </c>
      <c r="M73" s="101"/>
    </row>
    <row r="74" customFormat="false" ht="15" hidden="false" customHeight="true" outlineLevel="0" collapsed="false">
      <c r="A74" s="101" t="n">
        <v>73</v>
      </c>
      <c r="B74" s="100" t="n">
        <v>32</v>
      </c>
      <c r="C74" s="100" t="s">
        <v>887</v>
      </c>
      <c r="D74" s="101" t="s">
        <v>106</v>
      </c>
      <c r="E74" s="101" t="s">
        <v>1201</v>
      </c>
      <c r="F74" s="101"/>
      <c r="G74" s="101"/>
      <c r="H74" s="101" t="s">
        <v>1251</v>
      </c>
      <c r="I74" s="101" t="s">
        <v>1309</v>
      </c>
      <c r="J74" s="101" t="s">
        <v>1382</v>
      </c>
      <c r="K74" s="100" t="s">
        <v>1383</v>
      </c>
      <c r="L74" s="101" t="n">
        <v>2025</v>
      </c>
      <c r="M74" s="101"/>
    </row>
    <row r="75" customFormat="false" ht="15" hidden="false" customHeight="true" outlineLevel="0" collapsed="false">
      <c r="A75" s="101" t="n">
        <v>74</v>
      </c>
      <c r="B75" s="100" t="n">
        <v>33</v>
      </c>
      <c r="C75" s="100" t="s">
        <v>505</v>
      </c>
      <c r="D75" s="101" t="s">
        <v>106</v>
      </c>
      <c r="E75" s="101" t="s">
        <v>1190</v>
      </c>
      <c r="F75" s="101" t="s">
        <v>1384</v>
      </c>
      <c r="G75" s="101" t="s">
        <v>1250</v>
      </c>
      <c r="H75" s="101" t="s">
        <v>1251</v>
      </c>
      <c r="I75" s="101" t="s">
        <v>1309</v>
      </c>
      <c r="J75" s="101" t="s">
        <v>1355</v>
      </c>
      <c r="K75" s="100" t="s">
        <v>1385</v>
      </c>
      <c r="L75" s="101" t="n">
        <v>2005</v>
      </c>
      <c r="M75" s="101"/>
    </row>
    <row r="76" customFormat="false" ht="15" hidden="false" customHeight="true" outlineLevel="0" collapsed="false">
      <c r="A76" s="101" t="n">
        <v>75</v>
      </c>
      <c r="B76" s="100" t="n">
        <v>34</v>
      </c>
      <c r="C76" s="100" t="s">
        <v>661</v>
      </c>
      <c r="D76" s="101" t="s">
        <v>106</v>
      </c>
      <c r="E76" s="101" t="s">
        <v>1204</v>
      </c>
      <c r="F76" s="101" t="s">
        <v>1386</v>
      </c>
      <c r="G76" s="101" t="s">
        <v>1387</v>
      </c>
      <c r="H76" s="101" t="s">
        <v>1251</v>
      </c>
      <c r="I76" s="101" t="s">
        <v>1312</v>
      </c>
      <c r="J76" s="101" t="s">
        <v>1388</v>
      </c>
      <c r="K76" s="100" t="s">
        <v>1389</v>
      </c>
      <c r="L76" s="101" t="n">
        <v>2020</v>
      </c>
      <c r="M76" s="101"/>
    </row>
    <row r="77" customFormat="false" ht="15" hidden="false" customHeight="true" outlineLevel="0" collapsed="false">
      <c r="A77" s="101" t="n">
        <v>76</v>
      </c>
      <c r="B77" s="100" t="n">
        <v>35</v>
      </c>
      <c r="C77" s="100" t="s">
        <v>660</v>
      </c>
      <c r="D77" s="101" t="s">
        <v>106</v>
      </c>
      <c r="E77" s="101" t="s">
        <v>1166</v>
      </c>
      <c r="F77" s="101" t="s">
        <v>1390</v>
      </c>
      <c r="G77" s="101" t="s">
        <v>1391</v>
      </c>
      <c r="H77" s="101" t="s">
        <v>1251</v>
      </c>
      <c r="I77" s="101" t="s">
        <v>1309</v>
      </c>
      <c r="J77" s="101" t="s">
        <v>1310</v>
      </c>
      <c r="K77" s="100" t="s">
        <v>1392</v>
      </c>
      <c r="L77" s="101" t="n">
        <v>2009</v>
      </c>
      <c r="M77" s="101"/>
    </row>
    <row r="78" customFormat="false" ht="15" hidden="false" customHeight="true" outlineLevel="0" collapsed="false">
      <c r="A78" s="101" t="n">
        <v>77</v>
      </c>
      <c r="B78" s="100" t="n">
        <v>36</v>
      </c>
      <c r="C78" s="100" t="s">
        <v>659</v>
      </c>
      <c r="D78" s="101" t="s">
        <v>106</v>
      </c>
      <c r="E78" s="101" t="s">
        <v>1166</v>
      </c>
      <c r="F78" s="101" t="s">
        <v>1390</v>
      </c>
      <c r="G78" s="101" t="s">
        <v>1393</v>
      </c>
      <c r="H78" s="101" t="s">
        <v>1251</v>
      </c>
      <c r="I78" s="101" t="s">
        <v>1309</v>
      </c>
      <c r="J78" s="101" t="s">
        <v>1355</v>
      </c>
      <c r="K78" s="100" t="s">
        <v>1394</v>
      </c>
      <c r="L78" s="101" t="n">
        <v>2006</v>
      </c>
      <c r="M78" s="101"/>
    </row>
    <row r="79" customFormat="false" ht="15" hidden="false" customHeight="true" outlineLevel="0" collapsed="false">
      <c r="A79" s="101" t="n">
        <v>78</v>
      </c>
      <c r="B79" s="100" t="n">
        <v>37</v>
      </c>
      <c r="C79" s="100" t="s">
        <v>977</v>
      </c>
      <c r="D79" s="101" t="s">
        <v>106</v>
      </c>
      <c r="E79" s="101" t="s">
        <v>1200</v>
      </c>
      <c r="F79" s="101"/>
      <c r="G79" s="101"/>
      <c r="H79" s="101" t="s">
        <v>1251</v>
      </c>
      <c r="I79" s="101" t="s">
        <v>1296</v>
      </c>
      <c r="J79" s="101" t="s">
        <v>1395</v>
      </c>
      <c r="K79" s="100" t="s">
        <v>1396</v>
      </c>
      <c r="L79" s="101" t="n">
        <v>2026</v>
      </c>
      <c r="M79" s="101"/>
    </row>
    <row r="80" customFormat="false" ht="15" hidden="false" customHeight="true" outlineLevel="0" collapsed="false">
      <c r="A80" s="101" t="n">
        <v>79</v>
      </c>
      <c r="B80" s="100" t="n">
        <v>38</v>
      </c>
      <c r="C80" s="100" t="s">
        <v>504</v>
      </c>
      <c r="D80" s="101" t="s">
        <v>106</v>
      </c>
      <c r="E80" s="101" t="s">
        <v>1155</v>
      </c>
      <c r="F80" s="101" t="s">
        <v>1155</v>
      </c>
      <c r="G80" s="101" t="s">
        <v>1397</v>
      </c>
      <c r="H80" s="101" t="s">
        <v>1251</v>
      </c>
      <c r="I80" s="101" t="s">
        <v>1309</v>
      </c>
      <c r="J80" s="101" t="s">
        <v>1310</v>
      </c>
      <c r="K80" s="100" t="s">
        <v>1398</v>
      </c>
      <c r="L80" s="101" t="n">
        <v>2009</v>
      </c>
      <c r="M80" s="101"/>
    </row>
    <row r="81" customFormat="false" ht="15" hidden="false" customHeight="true" outlineLevel="0" collapsed="false">
      <c r="A81" s="101" t="n">
        <v>80</v>
      </c>
      <c r="B81" s="100" t="n">
        <v>39</v>
      </c>
      <c r="C81" s="100" t="s">
        <v>1029</v>
      </c>
      <c r="D81" s="101" t="s">
        <v>106</v>
      </c>
      <c r="E81" s="101" t="s">
        <v>1174</v>
      </c>
      <c r="F81" s="101" t="s">
        <v>1174</v>
      </c>
      <c r="G81" s="101" t="s">
        <v>1399</v>
      </c>
      <c r="H81" s="101" t="s">
        <v>1251</v>
      </c>
      <c r="I81" s="101" t="s">
        <v>1309</v>
      </c>
      <c r="J81" s="101" t="s">
        <v>1310</v>
      </c>
      <c r="K81" s="100" t="s">
        <v>1400</v>
      </c>
      <c r="L81" s="101" t="n">
        <v>2007</v>
      </c>
      <c r="M81" s="101"/>
    </row>
    <row r="82" customFormat="false" ht="15" hidden="false" customHeight="true" outlineLevel="0" collapsed="false">
      <c r="A82" s="101" t="n">
        <v>81</v>
      </c>
      <c r="B82" s="100" t="n">
        <v>40</v>
      </c>
      <c r="C82" s="100" t="s">
        <v>1028</v>
      </c>
      <c r="D82" s="101" t="s">
        <v>106</v>
      </c>
      <c r="E82" s="101" t="s">
        <v>1154</v>
      </c>
      <c r="F82" s="101" t="s">
        <v>1366</v>
      </c>
      <c r="G82" s="101" t="s">
        <v>1401</v>
      </c>
      <c r="H82" s="101" t="s">
        <v>1251</v>
      </c>
      <c r="I82" s="101" t="s">
        <v>1309</v>
      </c>
      <c r="J82" s="101" t="s">
        <v>1310</v>
      </c>
      <c r="K82" s="100" t="s">
        <v>1402</v>
      </c>
      <c r="L82" s="101" t="n">
        <v>2008</v>
      </c>
      <c r="M82" s="101"/>
    </row>
    <row r="83" customFormat="false" ht="15" hidden="false" customHeight="true" outlineLevel="0" collapsed="false">
      <c r="A83" s="101"/>
      <c r="B83" s="100"/>
      <c r="C83" s="100"/>
      <c r="D83" s="101"/>
      <c r="E83" s="101"/>
      <c r="F83" s="101"/>
      <c r="G83" s="101"/>
      <c r="H83" s="101"/>
      <c r="I83" s="101"/>
      <c r="J83" s="101"/>
      <c r="K83" s="100"/>
      <c r="L83" s="101"/>
      <c r="M83" s="101"/>
    </row>
    <row r="84" customFormat="false" ht="15" hidden="false" customHeight="true" outlineLevel="0" collapsed="false">
      <c r="A84" s="101" t="n">
        <v>83</v>
      </c>
      <c r="B84" s="100" t="n">
        <v>42</v>
      </c>
      <c r="C84" s="100" t="s">
        <v>886</v>
      </c>
      <c r="D84" s="101" t="s">
        <v>106</v>
      </c>
      <c r="E84" s="101" t="s">
        <v>1195</v>
      </c>
      <c r="F84" s="101" t="s">
        <v>1377</v>
      </c>
      <c r="G84" s="101" t="s">
        <v>1378</v>
      </c>
      <c r="H84" s="101" t="s">
        <v>1251</v>
      </c>
      <c r="I84" s="101" t="s">
        <v>1309</v>
      </c>
      <c r="J84" s="101" t="s">
        <v>1310</v>
      </c>
      <c r="K84" s="100" t="s">
        <v>1403</v>
      </c>
      <c r="L84" s="101" t="n">
        <v>2009</v>
      </c>
      <c r="M84" s="101"/>
    </row>
    <row r="85" customFormat="false" ht="15" hidden="false" customHeight="true" outlineLevel="0" collapsed="false">
      <c r="A85" s="101"/>
      <c r="B85" s="100"/>
      <c r="C85" s="100"/>
      <c r="D85" s="101"/>
      <c r="E85" s="101"/>
      <c r="F85" s="101"/>
      <c r="G85" s="101"/>
      <c r="H85" s="101"/>
      <c r="I85" s="101"/>
      <c r="J85" s="101"/>
      <c r="K85" s="100"/>
      <c r="L85" s="101"/>
      <c r="M85" s="101"/>
    </row>
    <row r="86" customFormat="false" ht="15" hidden="false" customHeight="true" outlineLevel="0" collapsed="false">
      <c r="A86" s="101" t="n">
        <v>85</v>
      </c>
      <c r="B86" s="100" t="n">
        <v>44</v>
      </c>
      <c r="C86" s="100" t="s">
        <v>1015</v>
      </c>
      <c r="D86" s="101" t="s">
        <v>106</v>
      </c>
      <c r="E86" s="101" t="s">
        <v>1225</v>
      </c>
      <c r="F86" s="101" t="s">
        <v>1404</v>
      </c>
      <c r="G86" s="101" t="s">
        <v>1405</v>
      </c>
      <c r="H86" s="101" t="s">
        <v>1251</v>
      </c>
      <c r="I86" s="101" t="s">
        <v>1301</v>
      </c>
      <c r="J86" s="101" t="s">
        <v>1302</v>
      </c>
      <c r="K86" s="100" t="s">
        <v>1406</v>
      </c>
      <c r="L86" s="101" t="n">
        <v>2012</v>
      </c>
      <c r="M86" s="101"/>
    </row>
    <row r="87" customFormat="false" ht="15" hidden="false" customHeight="true" outlineLevel="0" collapsed="false">
      <c r="A87" s="101"/>
      <c r="B87" s="100"/>
      <c r="C87" s="100"/>
      <c r="D87" s="101"/>
      <c r="E87" s="101"/>
      <c r="F87" s="101"/>
      <c r="G87" s="101"/>
      <c r="H87" s="101"/>
      <c r="I87" s="101"/>
      <c r="J87" s="101"/>
      <c r="K87" s="100"/>
      <c r="L87" s="101"/>
      <c r="M87" s="101"/>
    </row>
    <row r="88" customFormat="false" ht="15" hidden="false" customHeight="true" outlineLevel="0" collapsed="false">
      <c r="A88" s="101" t="n">
        <v>87</v>
      </c>
      <c r="B88" s="100" t="n">
        <v>46</v>
      </c>
      <c r="C88" s="100" t="s">
        <v>976</v>
      </c>
      <c r="D88" s="101" t="s">
        <v>106</v>
      </c>
      <c r="E88" s="101" t="s">
        <v>1184</v>
      </c>
      <c r="F88" s="101" t="s">
        <v>1407</v>
      </c>
      <c r="G88" s="101"/>
      <c r="H88" s="101" t="s">
        <v>1251</v>
      </c>
      <c r="I88" s="101" t="s">
        <v>1408</v>
      </c>
      <c r="J88" s="101" t="s">
        <v>1409</v>
      </c>
      <c r="K88" s="100" t="s">
        <v>1410</v>
      </c>
      <c r="L88" s="101" t="n">
        <v>2022</v>
      </c>
      <c r="M88" s="101"/>
    </row>
    <row r="89" customFormat="false" ht="15" hidden="false" customHeight="true" outlineLevel="0" collapsed="false">
      <c r="A89" s="101" t="n">
        <v>88</v>
      </c>
      <c r="B89" s="100" t="n">
        <v>47</v>
      </c>
      <c r="C89" s="100" t="s">
        <v>503</v>
      </c>
      <c r="D89" s="101" t="s">
        <v>106</v>
      </c>
      <c r="E89" s="101" t="s">
        <v>1208</v>
      </c>
      <c r="F89" s="101" t="s">
        <v>1156</v>
      </c>
      <c r="G89" s="101" t="s">
        <v>1411</v>
      </c>
      <c r="H89" s="101" t="s">
        <v>1251</v>
      </c>
      <c r="I89" s="101" t="s">
        <v>1336</v>
      </c>
      <c r="J89" s="101" t="s">
        <v>1337</v>
      </c>
      <c r="K89" s="100" t="s">
        <v>1412</v>
      </c>
      <c r="L89" s="101" t="n">
        <v>2012</v>
      </c>
      <c r="M89" s="101"/>
    </row>
    <row r="90" customFormat="false" ht="15" hidden="false" customHeight="true" outlineLevel="0" collapsed="false">
      <c r="A90" s="101" t="n">
        <v>89</v>
      </c>
      <c r="B90" s="100" t="n">
        <v>48</v>
      </c>
      <c r="C90" s="100" t="s">
        <v>58</v>
      </c>
      <c r="D90" s="101" t="s">
        <v>56</v>
      </c>
      <c r="E90" s="101" t="s">
        <v>1196</v>
      </c>
      <c r="F90" s="101" t="s">
        <v>1196</v>
      </c>
      <c r="G90" s="101" t="s">
        <v>1413</v>
      </c>
      <c r="H90" s="101" t="s">
        <v>1414</v>
      </c>
      <c r="I90" s="101" t="s">
        <v>1312</v>
      </c>
      <c r="J90" s="101" t="s">
        <v>1313</v>
      </c>
      <c r="K90" s="100" t="s">
        <v>57</v>
      </c>
      <c r="L90" s="101" t="n">
        <v>2022</v>
      </c>
      <c r="M90" s="101"/>
    </row>
    <row r="91" customFormat="false" ht="15" hidden="false" customHeight="true" outlineLevel="0" collapsed="false">
      <c r="A91" s="101" t="n">
        <v>90</v>
      </c>
      <c r="B91" s="100" t="n">
        <v>49</v>
      </c>
      <c r="C91" s="100" t="s">
        <v>975</v>
      </c>
      <c r="D91" s="101" t="s">
        <v>106</v>
      </c>
      <c r="E91" s="101" t="s">
        <v>1196</v>
      </c>
      <c r="F91" s="101" t="s">
        <v>1196</v>
      </c>
      <c r="G91" s="101" t="s">
        <v>1415</v>
      </c>
      <c r="H91" s="101" t="s">
        <v>1251</v>
      </c>
      <c r="I91" s="101" t="s">
        <v>1309</v>
      </c>
      <c r="J91" s="101" t="s">
        <v>1416</v>
      </c>
      <c r="K91" s="100" t="s">
        <v>1417</v>
      </c>
      <c r="L91" s="101" t="n">
        <v>2018</v>
      </c>
      <c r="M91" s="101"/>
    </row>
    <row r="92" customFormat="false" ht="15" hidden="false" customHeight="true" outlineLevel="0" collapsed="false">
      <c r="A92" s="101" t="n">
        <v>91</v>
      </c>
      <c r="B92" s="100" t="n">
        <v>50</v>
      </c>
      <c r="C92" s="100" t="s">
        <v>974</v>
      </c>
      <c r="D92" s="101" t="s">
        <v>106</v>
      </c>
      <c r="E92" s="101" t="s">
        <v>1196</v>
      </c>
      <c r="F92" s="101" t="s">
        <v>1196</v>
      </c>
      <c r="G92" s="101" t="s">
        <v>1418</v>
      </c>
      <c r="H92" s="101" t="s">
        <v>1251</v>
      </c>
      <c r="I92" s="101" t="s">
        <v>1301</v>
      </c>
      <c r="J92" s="101" t="s">
        <v>1302</v>
      </c>
      <c r="K92" s="100" t="s">
        <v>1419</v>
      </c>
      <c r="L92" s="101" t="n">
        <v>2012</v>
      </c>
      <c r="M92" s="101"/>
    </row>
    <row r="93" customFormat="false" ht="15" hidden="false" customHeight="true" outlineLevel="0" collapsed="false">
      <c r="A93" s="101" t="n">
        <v>92</v>
      </c>
      <c r="B93" s="100" t="n">
        <v>51</v>
      </c>
      <c r="C93" s="100" t="s">
        <v>86</v>
      </c>
      <c r="D93" s="101" t="s">
        <v>56</v>
      </c>
      <c r="E93" s="101" t="s">
        <v>1158</v>
      </c>
      <c r="F93" s="101" t="s">
        <v>1158</v>
      </c>
      <c r="G93" s="101" t="s">
        <v>1420</v>
      </c>
      <c r="H93" s="101" t="s">
        <v>1251</v>
      </c>
      <c r="I93" s="101" t="s">
        <v>1296</v>
      </c>
      <c r="J93" s="101" t="s">
        <v>1297</v>
      </c>
      <c r="K93" s="100" t="s">
        <v>85</v>
      </c>
      <c r="L93" s="101" t="n">
        <v>2023</v>
      </c>
      <c r="M93" s="101"/>
    </row>
    <row r="94" customFormat="false" ht="15" hidden="false" customHeight="true" outlineLevel="0" collapsed="false">
      <c r="A94" s="101" t="n">
        <v>93</v>
      </c>
      <c r="B94" s="100" t="n">
        <v>52</v>
      </c>
      <c r="C94" s="100" t="s">
        <v>108</v>
      </c>
      <c r="D94" s="101" t="s">
        <v>106</v>
      </c>
      <c r="E94" s="101" t="s">
        <v>1184</v>
      </c>
      <c r="F94" s="101" t="s">
        <v>1421</v>
      </c>
      <c r="G94" s="101" t="s">
        <v>1343</v>
      </c>
      <c r="H94" s="101" t="s">
        <v>1251</v>
      </c>
      <c r="I94" s="101" t="s">
        <v>1336</v>
      </c>
      <c r="J94" s="101" t="s">
        <v>1337</v>
      </c>
      <c r="K94" s="100" t="s">
        <v>107</v>
      </c>
      <c r="L94" s="101" t="n">
        <v>2012</v>
      </c>
      <c r="M94" s="101"/>
    </row>
    <row r="95" customFormat="false" ht="15" hidden="false" customHeight="true" outlineLevel="0" collapsed="false">
      <c r="A95" s="101" t="n">
        <v>94</v>
      </c>
      <c r="B95" s="100" t="n">
        <v>53</v>
      </c>
      <c r="C95" s="100" t="s">
        <v>89</v>
      </c>
      <c r="D95" s="101" t="s">
        <v>56</v>
      </c>
      <c r="E95" s="101" t="s">
        <v>1144</v>
      </c>
      <c r="F95" s="101" t="s">
        <v>1422</v>
      </c>
      <c r="G95" s="101"/>
      <c r="H95" s="101" t="s">
        <v>1251</v>
      </c>
      <c r="I95" s="101" t="s">
        <v>1309</v>
      </c>
      <c r="J95" s="101" t="s">
        <v>1423</v>
      </c>
      <c r="K95" s="100" t="s">
        <v>88</v>
      </c>
      <c r="L95" s="101" t="n">
        <v>2025</v>
      </c>
      <c r="M95" s="101"/>
    </row>
    <row r="96" customFormat="false" ht="15" hidden="false" customHeight="true" outlineLevel="0" collapsed="false">
      <c r="A96" s="101" t="n">
        <v>95</v>
      </c>
      <c r="B96" s="100" t="n">
        <v>54</v>
      </c>
      <c r="C96" s="100" t="s">
        <v>83</v>
      </c>
      <c r="D96" s="101" t="s">
        <v>56</v>
      </c>
      <c r="E96" s="101" t="s">
        <v>1192</v>
      </c>
      <c r="F96" s="101" t="s">
        <v>1192</v>
      </c>
      <c r="G96" s="101" t="s">
        <v>1424</v>
      </c>
      <c r="H96" s="101" t="s">
        <v>1251</v>
      </c>
      <c r="I96" s="101" t="s">
        <v>1425</v>
      </c>
      <c r="J96" s="101" t="s">
        <v>1426</v>
      </c>
      <c r="K96" s="100" t="s">
        <v>82</v>
      </c>
      <c r="L96" s="101" t="n">
        <v>2013</v>
      </c>
      <c r="M96" s="101"/>
    </row>
    <row r="97" customFormat="false" ht="15" hidden="false" customHeight="true" outlineLevel="0" collapsed="false">
      <c r="A97" s="101" t="n">
        <v>96</v>
      </c>
      <c r="B97" s="100" t="n">
        <v>55</v>
      </c>
      <c r="C97" s="100" t="s">
        <v>92</v>
      </c>
      <c r="D97" s="101" t="s">
        <v>56</v>
      </c>
      <c r="E97" s="101" t="s">
        <v>1192</v>
      </c>
      <c r="F97" s="101" t="s">
        <v>1192</v>
      </c>
      <c r="G97" s="101" t="s">
        <v>1427</v>
      </c>
      <c r="H97" s="101" t="s">
        <v>1251</v>
      </c>
      <c r="I97" s="101" t="s">
        <v>1425</v>
      </c>
      <c r="J97" s="101" t="s">
        <v>1426</v>
      </c>
      <c r="K97" s="100" t="s">
        <v>91</v>
      </c>
      <c r="L97" s="101" t="n">
        <v>2013</v>
      </c>
      <c r="M97" s="101"/>
    </row>
    <row r="98" customFormat="false" ht="15" hidden="false" customHeight="true" outlineLevel="0" collapsed="false">
      <c r="A98" s="101" t="n">
        <v>97</v>
      </c>
      <c r="B98" s="100" t="n">
        <v>56</v>
      </c>
      <c r="C98" s="100" t="s">
        <v>95</v>
      </c>
      <c r="D98" s="101" t="s">
        <v>56</v>
      </c>
      <c r="E98" s="101" t="s">
        <v>1192</v>
      </c>
      <c r="F98" s="101" t="s">
        <v>1192</v>
      </c>
      <c r="G98" s="101" t="s">
        <v>1222</v>
      </c>
      <c r="H98" s="101" t="s">
        <v>1251</v>
      </c>
      <c r="I98" s="101" t="s">
        <v>1425</v>
      </c>
      <c r="J98" s="101" t="s">
        <v>1426</v>
      </c>
      <c r="K98" s="100" t="s">
        <v>94</v>
      </c>
      <c r="L98" s="101" t="n">
        <v>2013</v>
      </c>
      <c r="M98" s="101"/>
    </row>
    <row r="99" customFormat="false" ht="15" hidden="false" customHeight="true" outlineLevel="0" collapsed="false">
      <c r="A99" s="101" t="n">
        <v>98</v>
      </c>
      <c r="B99" s="100" t="n">
        <v>57</v>
      </c>
      <c r="C99" s="100" t="s">
        <v>99</v>
      </c>
      <c r="D99" s="101" t="s">
        <v>56</v>
      </c>
      <c r="E99" s="101" t="s">
        <v>1193</v>
      </c>
      <c r="F99" s="101" t="s">
        <v>1192</v>
      </c>
      <c r="G99" s="101" t="s">
        <v>1428</v>
      </c>
      <c r="H99" s="101" t="s">
        <v>1251</v>
      </c>
      <c r="I99" s="101" t="s">
        <v>1425</v>
      </c>
      <c r="J99" s="101" t="s">
        <v>1426</v>
      </c>
      <c r="K99" s="100" t="s">
        <v>98</v>
      </c>
      <c r="L99" s="101" t="n">
        <v>2013</v>
      </c>
      <c r="M99" s="101"/>
    </row>
    <row r="100" customFormat="false" ht="15" hidden="false" customHeight="true" outlineLevel="0" collapsed="false">
      <c r="A100" s="101" t="n">
        <v>99</v>
      </c>
      <c r="B100" s="100" t="n">
        <v>58</v>
      </c>
      <c r="C100" s="100" t="s">
        <v>102</v>
      </c>
      <c r="D100" s="101" t="s">
        <v>56</v>
      </c>
      <c r="E100" s="101" t="s">
        <v>1192</v>
      </c>
      <c r="F100" s="101" t="s">
        <v>1192</v>
      </c>
      <c r="G100" s="101" t="s">
        <v>1429</v>
      </c>
      <c r="H100" s="101" t="s">
        <v>1251</v>
      </c>
      <c r="I100" s="101" t="s">
        <v>1425</v>
      </c>
      <c r="J100" s="101" t="s">
        <v>1426</v>
      </c>
      <c r="K100" s="100" t="s">
        <v>101</v>
      </c>
      <c r="L100" s="101" t="n">
        <v>2013</v>
      </c>
      <c r="M100" s="101"/>
    </row>
    <row r="101" customFormat="false" ht="15" hidden="false" customHeight="true" outlineLevel="0" collapsed="false">
      <c r="A101" s="101" t="n">
        <v>100</v>
      </c>
      <c r="B101" s="100" t="n">
        <v>59</v>
      </c>
      <c r="C101" s="100" t="s">
        <v>207</v>
      </c>
      <c r="D101" s="101" t="s">
        <v>56</v>
      </c>
      <c r="E101" s="101" t="s">
        <v>1192</v>
      </c>
      <c r="F101" s="101" t="s">
        <v>1192</v>
      </c>
      <c r="G101" s="101" t="s">
        <v>1430</v>
      </c>
      <c r="H101" s="101" t="s">
        <v>1251</v>
      </c>
      <c r="I101" s="101" t="s">
        <v>1425</v>
      </c>
      <c r="J101" s="101" t="s">
        <v>1426</v>
      </c>
      <c r="K101" s="100" t="s">
        <v>206</v>
      </c>
      <c r="L101" s="101" t="n">
        <v>2013</v>
      </c>
      <c r="M101" s="101"/>
    </row>
    <row r="102" customFormat="false" ht="15" hidden="false" customHeight="true" outlineLevel="0" collapsed="false">
      <c r="A102" s="101" t="n">
        <v>101</v>
      </c>
      <c r="B102" s="100" t="n">
        <v>60</v>
      </c>
      <c r="C102" s="100" t="s">
        <v>105</v>
      </c>
      <c r="D102" s="101" t="s">
        <v>56</v>
      </c>
      <c r="E102" s="101" t="s">
        <v>1192</v>
      </c>
      <c r="F102" s="101" t="s">
        <v>1192</v>
      </c>
      <c r="G102" s="101" t="s">
        <v>1431</v>
      </c>
      <c r="H102" s="101" t="s">
        <v>1251</v>
      </c>
      <c r="I102" s="101" t="s">
        <v>1425</v>
      </c>
      <c r="J102" s="101" t="s">
        <v>1426</v>
      </c>
      <c r="K102" s="100" t="s">
        <v>104</v>
      </c>
      <c r="L102" s="101" t="n">
        <v>2013</v>
      </c>
      <c r="M102" s="101"/>
    </row>
    <row r="103" customFormat="false" ht="15" hidden="false" customHeight="true" outlineLevel="0" collapsed="false">
      <c r="A103" s="101" t="n">
        <v>102</v>
      </c>
      <c r="B103" s="100" t="n">
        <v>61</v>
      </c>
      <c r="C103" s="100" t="s">
        <v>68</v>
      </c>
      <c r="D103" s="101" t="s">
        <v>56</v>
      </c>
      <c r="E103" s="101" t="s">
        <v>1192</v>
      </c>
      <c r="F103" s="101" t="s">
        <v>1192</v>
      </c>
      <c r="G103" s="101" t="s">
        <v>1432</v>
      </c>
      <c r="H103" s="101" t="s">
        <v>1251</v>
      </c>
      <c r="I103" s="101" t="s">
        <v>1425</v>
      </c>
      <c r="J103" s="101" t="s">
        <v>1426</v>
      </c>
      <c r="K103" s="100" t="s">
        <v>67</v>
      </c>
      <c r="L103" s="101" t="n">
        <v>2013</v>
      </c>
      <c r="M103" s="101"/>
    </row>
    <row r="104" customFormat="false" ht="15" hidden="false" customHeight="true" outlineLevel="0" collapsed="false">
      <c r="A104" s="101" t="n">
        <v>103</v>
      </c>
      <c r="B104" s="100" t="n">
        <v>62</v>
      </c>
      <c r="C104" s="100" t="s">
        <v>71</v>
      </c>
      <c r="D104" s="101" t="s">
        <v>56</v>
      </c>
      <c r="E104" s="101" t="s">
        <v>1144</v>
      </c>
      <c r="F104" s="101" t="s">
        <v>1422</v>
      </c>
      <c r="G104" s="101"/>
      <c r="H104" s="101" t="s">
        <v>1251</v>
      </c>
      <c r="I104" s="101" t="s">
        <v>1309</v>
      </c>
      <c r="J104" s="101" t="s">
        <v>1423</v>
      </c>
      <c r="K104" s="100" t="s">
        <v>70</v>
      </c>
      <c r="L104" s="101" t="n">
        <v>2025</v>
      </c>
      <c r="M104" s="101"/>
    </row>
    <row r="105" customFormat="false" ht="15" hidden="false" customHeight="true" outlineLevel="0" collapsed="false">
      <c r="A105" s="101" t="n">
        <v>104</v>
      </c>
      <c r="B105" s="100" t="n">
        <v>63</v>
      </c>
      <c r="C105" s="100" t="s">
        <v>903</v>
      </c>
      <c r="D105" s="101" t="s">
        <v>106</v>
      </c>
      <c r="E105" s="101" t="s">
        <v>1162</v>
      </c>
      <c r="F105" s="101" t="s">
        <v>1161</v>
      </c>
      <c r="G105" s="101" t="s">
        <v>1433</v>
      </c>
      <c r="H105" s="101" t="s">
        <v>1434</v>
      </c>
      <c r="I105" s="101" t="s">
        <v>1296</v>
      </c>
      <c r="J105" s="101" t="s">
        <v>1435</v>
      </c>
      <c r="K105" s="100" t="s">
        <v>1436</v>
      </c>
      <c r="L105" s="101" t="n">
        <v>2014</v>
      </c>
      <c r="M105" s="101"/>
    </row>
    <row r="106" customFormat="false" ht="15" hidden="false" customHeight="true" outlineLevel="0" collapsed="false">
      <c r="A106" s="101" t="n">
        <v>105</v>
      </c>
      <c r="B106" s="100" t="n">
        <v>64</v>
      </c>
      <c r="C106" s="100" t="s">
        <v>885</v>
      </c>
      <c r="D106" s="101" t="s">
        <v>106</v>
      </c>
      <c r="E106" s="101" t="s">
        <v>1222</v>
      </c>
      <c r="F106" s="101" t="s">
        <v>1222</v>
      </c>
      <c r="G106" s="101" t="s">
        <v>1437</v>
      </c>
      <c r="H106" s="101" t="s">
        <v>1434</v>
      </c>
      <c r="I106" s="101" t="s">
        <v>1296</v>
      </c>
      <c r="J106" s="101" t="s">
        <v>1435</v>
      </c>
      <c r="K106" s="100" t="s">
        <v>1438</v>
      </c>
      <c r="L106" s="101" t="n">
        <v>2014</v>
      </c>
      <c r="M106" s="101"/>
    </row>
    <row r="107" customFormat="false" ht="15" hidden="false" customHeight="true" outlineLevel="0" collapsed="false">
      <c r="A107" s="101" t="n">
        <v>106</v>
      </c>
      <c r="B107" s="100" t="n">
        <v>65</v>
      </c>
      <c r="C107" s="100" t="s">
        <v>1013</v>
      </c>
      <c r="D107" s="101" t="s">
        <v>106</v>
      </c>
      <c r="E107" s="101" t="s">
        <v>1154</v>
      </c>
      <c r="F107" s="101" t="s">
        <v>1439</v>
      </c>
      <c r="G107" s="101" t="s">
        <v>1440</v>
      </c>
      <c r="H107" s="101" t="s">
        <v>1251</v>
      </c>
      <c r="I107" s="101" t="s">
        <v>1301</v>
      </c>
      <c r="J107" s="101" t="s">
        <v>1302</v>
      </c>
      <c r="K107" s="100" t="s">
        <v>1441</v>
      </c>
      <c r="L107" s="101" t="n">
        <v>2015</v>
      </c>
      <c r="M107" s="101"/>
    </row>
    <row r="108" customFormat="false" ht="15" hidden="false" customHeight="true" outlineLevel="0" collapsed="false">
      <c r="A108" s="101" t="n">
        <v>107</v>
      </c>
      <c r="B108" s="100" t="n">
        <v>66</v>
      </c>
      <c r="C108" s="100" t="s">
        <v>502</v>
      </c>
      <c r="D108" s="101" t="s">
        <v>106</v>
      </c>
      <c r="E108" s="101" t="s">
        <v>1208</v>
      </c>
      <c r="F108" s="101" t="s">
        <v>1442</v>
      </c>
      <c r="G108" s="101" t="s">
        <v>1250</v>
      </c>
      <c r="H108" s="101" t="s">
        <v>1251</v>
      </c>
      <c r="I108" s="101" t="s">
        <v>1301</v>
      </c>
      <c r="J108" s="101" t="s">
        <v>1302</v>
      </c>
      <c r="K108" s="100" t="s">
        <v>1443</v>
      </c>
      <c r="L108" s="101" t="n">
        <v>2015</v>
      </c>
      <c r="M108" s="101"/>
    </row>
    <row r="109" customFormat="false" ht="15" hidden="false" customHeight="true" outlineLevel="0" collapsed="false">
      <c r="A109" s="101" t="n">
        <v>108</v>
      </c>
      <c r="B109" s="100" t="n">
        <v>67</v>
      </c>
      <c r="C109" s="100" t="s">
        <v>884</v>
      </c>
      <c r="D109" s="101" t="s">
        <v>106</v>
      </c>
      <c r="E109" s="101" t="s">
        <v>1156</v>
      </c>
      <c r="F109" s="101" t="s">
        <v>1156</v>
      </c>
      <c r="G109" s="101" t="s">
        <v>1444</v>
      </c>
      <c r="H109" s="101" t="s">
        <v>1251</v>
      </c>
      <c r="I109" s="101" t="s">
        <v>1301</v>
      </c>
      <c r="J109" s="101" t="s">
        <v>1302</v>
      </c>
      <c r="K109" s="100" t="s">
        <v>1445</v>
      </c>
      <c r="L109" s="101" t="n">
        <v>2016</v>
      </c>
      <c r="M109" s="101"/>
    </row>
    <row r="110" customFormat="false" ht="15" hidden="false" customHeight="true" outlineLevel="0" collapsed="false">
      <c r="A110" s="101" t="n">
        <v>109</v>
      </c>
      <c r="B110" s="100" t="n">
        <v>68</v>
      </c>
      <c r="C110" s="100" t="s">
        <v>902</v>
      </c>
      <c r="D110" s="101" t="s">
        <v>106</v>
      </c>
      <c r="E110" s="101" t="s">
        <v>1196</v>
      </c>
      <c r="F110" s="101" t="s">
        <v>1196</v>
      </c>
      <c r="G110" s="101" t="s">
        <v>1446</v>
      </c>
      <c r="H110" s="101" t="s">
        <v>1251</v>
      </c>
      <c r="I110" s="101" t="s">
        <v>1447</v>
      </c>
      <c r="J110" s="101" t="s">
        <v>1448</v>
      </c>
      <c r="K110" s="100" t="s">
        <v>1449</v>
      </c>
      <c r="L110" s="101" t="n">
        <v>2015</v>
      </c>
      <c r="M110" s="101"/>
    </row>
    <row r="111" customFormat="false" ht="15" hidden="false" customHeight="true" outlineLevel="0" collapsed="false">
      <c r="A111" s="101" t="n">
        <v>110</v>
      </c>
      <c r="B111" s="100" t="n">
        <v>69</v>
      </c>
      <c r="C111" s="100" t="s">
        <v>883</v>
      </c>
      <c r="D111" s="101" t="s">
        <v>106</v>
      </c>
      <c r="E111" s="101" t="s">
        <v>1222</v>
      </c>
      <c r="F111" s="101" t="s">
        <v>1450</v>
      </c>
      <c r="G111" s="101"/>
      <c r="H111" s="101" t="s">
        <v>1251</v>
      </c>
      <c r="I111" s="101" t="s">
        <v>1309</v>
      </c>
      <c r="J111" s="101" t="s">
        <v>1451</v>
      </c>
      <c r="K111" s="100" t="s">
        <v>1452</v>
      </c>
      <c r="L111" s="101" t="n">
        <v>2025</v>
      </c>
      <c r="M111" s="101"/>
    </row>
    <row r="112" customFormat="false" ht="15" hidden="false" customHeight="true" outlineLevel="0" collapsed="false">
      <c r="A112" s="101" t="n">
        <v>111</v>
      </c>
      <c r="B112" s="100" t="n">
        <v>70</v>
      </c>
      <c r="C112" s="100" t="s">
        <v>658</v>
      </c>
      <c r="D112" s="101" t="s">
        <v>106</v>
      </c>
      <c r="E112" s="101" t="s">
        <v>1204</v>
      </c>
      <c r="F112" s="101" t="s">
        <v>1324</v>
      </c>
      <c r="G112" s="101" t="s">
        <v>1325</v>
      </c>
      <c r="H112" s="101" t="s">
        <v>1251</v>
      </c>
      <c r="I112" s="101" t="s">
        <v>1296</v>
      </c>
      <c r="J112" s="101" t="s">
        <v>1435</v>
      </c>
      <c r="K112" s="100" t="s">
        <v>1453</v>
      </c>
      <c r="L112" s="101" t="n">
        <v>2015</v>
      </c>
      <c r="M112" s="101"/>
    </row>
    <row r="113" customFormat="false" ht="15" hidden="false" customHeight="true" outlineLevel="0" collapsed="false">
      <c r="A113" s="101" t="n">
        <v>112</v>
      </c>
      <c r="B113" s="100" t="n">
        <v>71</v>
      </c>
      <c r="C113" s="100" t="s">
        <v>657</v>
      </c>
      <c r="D113" s="101" t="s">
        <v>106</v>
      </c>
      <c r="E113" s="101" t="s">
        <v>1204</v>
      </c>
      <c r="F113" s="101" t="s">
        <v>1386</v>
      </c>
      <c r="G113" s="101" t="s">
        <v>1454</v>
      </c>
      <c r="H113" s="101" t="s">
        <v>1251</v>
      </c>
      <c r="I113" s="101" t="s">
        <v>1296</v>
      </c>
      <c r="J113" s="101" t="s">
        <v>1435</v>
      </c>
      <c r="K113" s="100" t="s">
        <v>1455</v>
      </c>
      <c r="L113" s="101" t="n">
        <v>2015</v>
      </c>
      <c r="M113" s="101"/>
    </row>
    <row r="114" customFormat="false" ht="15" hidden="false" customHeight="true" outlineLevel="0" collapsed="false">
      <c r="A114" s="101" t="n">
        <v>113</v>
      </c>
      <c r="B114" s="100" t="n">
        <v>72</v>
      </c>
      <c r="C114" s="100" t="s">
        <v>656</v>
      </c>
      <c r="D114" s="101" t="s">
        <v>106</v>
      </c>
      <c r="E114" s="101" t="s">
        <v>1204</v>
      </c>
      <c r="F114" s="101" t="s">
        <v>1324</v>
      </c>
      <c r="G114" s="101" t="s">
        <v>1456</v>
      </c>
      <c r="H114" s="101" t="s">
        <v>1251</v>
      </c>
      <c r="I114" s="101" t="s">
        <v>1296</v>
      </c>
      <c r="J114" s="101" t="s">
        <v>1435</v>
      </c>
      <c r="K114" s="100" t="s">
        <v>1457</v>
      </c>
      <c r="L114" s="101" t="n">
        <v>2015</v>
      </c>
      <c r="M114" s="101"/>
    </row>
    <row r="115" customFormat="false" ht="15" hidden="false" customHeight="true" outlineLevel="0" collapsed="false">
      <c r="A115" s="101" t="n">
        <v>114</v>
      </c>
      <c r="B115" s="100" t="n">
        <v>73</v>
      </c>
      <c r="C115" s="100" t="s">
        <v>655</v>
      </c>
      <c r="D115" s="101" t="s">
        <v>106</v>
      </c>
      <c r="E115" s="101" t="s">
        <v>1205</v>
      </c>
      <c r="F115" s="101" t="s">
        <v>1458</v>
      </c>
      <c r="G115" s="101" t="s">
        <v>1459</v>
      </c>
      <c r="H115" s="101" t="s">
        <v>1251</v>
      </c>
      <c r="I115" s="101" t="s">
        <v>1296</v>
      </c>
      <c r="J115" s="101" t="s">
        <v>1435</v>
      </c>
      <c r="K115" s="100" t="s">
        <v>1460</v>
      </c>
      <c r="L115" s="101" t="n">
        <v>2015</v>
      </c>
      <c r="M115" s="101"/>
    </row>
    <row r="116" customFormat="false" ht="15" hidden="false" customHeight="true" outlineLevel="0" collapsed="false">
      <c r="A116" s="101" t="n">
        <v>115</v>
      </c>
      <c r="B116" s="100" t="n">
        <v>74</v>
      </c>
      <c r="C116" s="100" t="s">
        <v>654</v>
      </c>
      <c r="D116" s="101" t="s">
        <v>106</v>
      </c>
      <c r="E116" s="101" t="s">
        <v>1204</v>
      </c>
      <c r="F116" s="101" t="s">
        <v>1324</v>
      </c>
      <c r="G116" s="101" t="s">
        <v>1461</v>
      </c>
      <c r="H116" s="101" t="s">
        <v>1251</v>
      </c>
      <c r="I116" s="101" t="s">
        <v>1296</v>
      </c>
      <c r="J116" s="101" t="s">
        <v>1435</v>
      </c>
      <c r="K116" s="100" t="s">
        <v>1462</v>
      </c>
      <c r="L116" s="101" t="n">
        <v>2015</v>
      </c>
      <c r="M116" s="101"/>
    </row>
    <row r="117" customFormat="false" ht="15" hidden="false" customHeight="true" outlineLevel="0" collapsed="false">
      <c r="A117" s="101" t="n">
        <v>116</v>
      </c>
      <c r="B117" s="100" t="n">
        <v>75</v>
      </c>
      <c r="C117" s="100" t="s">
        <v>905</v>
      </c>
      <c r="D117" s="101" t="s">
        <v>106</v>
      </c>
      <c r="E117" s="101" t="s">
        <v>1196</v>
      </c>
      <c r="F117" s="101" t="s">
        <v>1196</v>
      </c>
      <c r="G117" s="101"/>
      <c r="H117" s="101" t="s">
        <v>1251</v>
      </c>
      <c r="I117" s="101" t="s">
        <v>1463</v>
      </c>
      <c r="J117" s="101" t="s">
        <v>1416</v>
      </c>
      <c r="K117" s="100" t="s">
        <v>1464</v>
      </c>
      <c r="L117" s="101" t="n">
        <v>2016</v>
      </c>
      <c r="M117" s="101"/>
    </row>
    <row r="118" customFormat="false" ht="15" hidden="false" customHeight="true" outlineLevel="0" collapsed="false">
      <c r="A118" s="101" t="n">
        <v>117</v>
      </c>
      <c r="B118" s="100" t="n">
        <v>76</v>
      </c>
      <c r="C118" s="100" t="s">
        <v>901</v>
      </c>
      <c r="D118" s="101" t="s">
        <v>106</v>
      </c>
      <c r="E118" s="101" t="s">
        <v>1215</v>
      </c>
      <c r="F118" s="101" t="s">
        <v>1215</v>
      </c>
      <c r="G118" s="101" t="s">
        <v>1465</v>
      </c>
      <c r="H118" s="101" t="s">
        <v>1251</v>
      </c>
      <c r="I118" s="101" t="s">
        <v>1463</v>
      </c>
      <c r="J118" s="101" t="s">
        <v>1416</v>
      </c>
      <c r="K118" s="100" t="s">
        <v>1466</v>
      </c>
      <c r="L118" s="101" t="n">
        <v>2016</v>
      </c>
      <c r="M118" s="101"/>
    </row>
    <row r="119" customFormat="false" ht="15" hidden="false" customHeight="true" outlineLevel="0" collapsed="false">
      <c r="A119" s="101" t="n">
        <v>118</v>
      </c>
      <c r="B119" s="100" t="n">
        <v>77</v>
      </c>
      <c r="C119" s="100" t="s">
        <v>501</v>
      </c>
      <c r="D119" s="101" t="s">
        <v>106</v>
      </c>
      <c r="E119" s="101" t="s">
        <v>1467</v>
      </c>
      <c r="F119" s="101" t="s">
        <v>1468</v>
      </c>
      <c r="G119" s="101"/>
      <c r="H119" s="101" t="s">
        <v>1251</v>
      </c>
      <c r="I119" s="101" t="s">
        <v>1312</v>
      </c>
      <c r="J119" s="101" t="s">
        <v>1302</v>
      </c>
      <c r="K119" s="100" t="s">
        <v>1469</v>
      </c>
      <c r="L119" s="101" t="n">
        <v>2019</v>
      </c>
      <c r="M119" s="101"/>
    </row>
    <row r="120" customFormat="false" ht="15" hidden="false" customHeight="true" outlineLevel="0" collapsed="false">
      <c r="A120" s="101" t="n">
        <v>119</v>
      </c>
      <c r="B120" s="100" t="n">
        <v>78</v>
      </c>
      <c r="C120" s="100" t="s">
        <v>500</v>
      </c>
      <c r="D120" s="101" t="s">
        <v>106</v>
      </c>
      <c r="E120" s="101" t="s">
        <v>1213</v>
      </c>
      <c r="F120" s="101" t="s">
        <v>1470</v>
      </c>
      <c r="G120" s="101"/>
      <c r="H120" s="101" t="s">
        <v>1251</v>
      </c>
      <c r="I120" s="101" t="s">
        <v>1312</v>
      </c>
      <c r="J120" s="101" t="s">
        <v>1302</v>
      </c>
      <c r="K120" s="100" t="s">
        <v>1471</v>
      </c>
      <c r="L120" s="101" t="n">
        <v>2019</v>
      </c>
      <c r="M120" s="101"/>
    </row>
    <row r="121" customFormat="false" ht="15" hidden="false" customHeight="true" outlineLevel="0" collapsed="false">
      <c r="A121" s="101" t="n">
        <v>120</v>
      </c>
      <c r="B121" s="100" t="n">
        <v>79</v>
      </c>
      <c r="C121" s="100" t="s">
        <v>899</v>
      </c>
      <c r="D121" s="101" t="s">
        <v>106</v>
      </c>
      <c r="E121" s="101" t="s">
        <v>1180</v>
      </c>
      <c r="F121" s="101" t="s">
        <v>1472</v>
      </c>
      <c r="G121" s="101" t="s">
        <v>1370</v>
      </c>
      <c r="H121" s="101" t="s">
        <v>1251</v>
      </c>
      <c r="I121" s="101" t="s">
        <v>1312</v>
      </c>
      <c r="J121" s="101" t="s">
        <v>1302</v>
      </c>
      <c r="K121" s="100" t="s">
        <v>1473</v>
      </c>
      <c r="L121" s="101" t="n">
        <v>2019</v>
      </c>
      <c r="M121" s="101"/>
    </row>
    <row r="122" customFormat="false" ht="15" hidden="false" customHeight="true" outlineLevel="0" collapsed="false">
      <c r="A122" s="101" t="n">
        <v>121</v>
      </c>
      <c r="B122" s="100" t="n">
        <v>80</v>
      </c>
      <c r="C122" s="100" t="s">
        <v>1009</v>
      </c>
      <c r="D122" s="101" t="s">
        <v>106</v>
      </c>
      <c r="E122" s="101" t="s">
        <v>1182</v>
      </c>
      <c r="F122" s="101" t="s">
        <v>1348</v>
      </c>
      <c r="G122" s="101"/>
      <c r="H122" s="101" t="s">
        <v>1251</v>
      </c>
      <c r="I122" s="101" t="s">
        <v>1312</v>
      </c>
      <c r="J122" s="101" t="s">
        <v>1302</v>
      </c>
      <c r="K122" s="100" t="s">
        <v>1474</v>
      </c>
      <c r="L122" s="101" t="n">
        <v>2019</v>
      </c>
      <c r="M122" s="101"/>
    </row>
    <row r="123" customFormat="false" ht="15" hidden="false" customHeight="true" outlineLevel="0" collapsed="false">
      <c r="A123" s="101" t="n">
        <v>122</v>
      </c>
      <c r="B123" s="100" t="n">
        <v>81</v>
      </c>
      <c r="C123" s="100" t="s">
        <v>898</v>
      </c>
      <c r="D123" s="101" t="s">
        <v>106</v>
      </c>
      <c r="E123" s="101" t="s">
        <v>1184</v>
      </c>
      <c r="F123" s="101" t="s">
        <v>1421</v>
      </c>
      <c r="G123" s="101"/>
      <c r="H123" s="101" t="s">
        <v>1251</v>
      </c>
      <c r="I123" s="101" t="s">
        <v>1312</v>
      </c>
      <c r="J123" s="101" t="s">
        <v>1302</v>
      </c>
      <c r="K123" s="100" t="s">
        <v>1475</v>
      </c>
      <c r="L123" s="101" t="n">
        <v>2019</v>
      </c>
      <c r="M123" s="101"/>
    </row>
    <row r="124" customFormat="false" ht="15" hidden="false" customHeight="true" outlineLevel="0" collapsed="false">
      <c r="A124" s="101" t="n">
        <v>123</v>
      </c>
      <c r="B124" s="100" t="n">
        <v>82</v>
      </c>
      <c r="C124" s="100" t="s">
        <v>897</v>
      </c>
      <c r="D124" s="101" t="s">
        <v>106</v>
      </c>
      <c r="E124" s="101" t="s">
        <v>1184</v>
      </c>
      <c r="F124" s="101" t="s">
        <v>1421</v>
      </c>
      <c r="G124" s="101"/>
      <c r="H124" s="101" t="s">
        <v>1251</v>
      </c>
      <c r="I124" s="101" t="s">
        <v>1312</v>
      </c>
      <c r="J124" s="101" t="s">
        <v>1302</v>
      </c>
      <c r="K124" s="100" t="s">
        <v>1476</v>
      </c>
      <c r="L124" s="101" t="n">
        <v>2019</v>
      </c>
      <c r="M124" s="101"/>
    </row>
    <row r="125" customFormat="false" ht="15" hidden="false" customHeight="true" outlineLevel="0" collapsed="false">
      <c r="A125" s="101" t="n">
        <v>124</v>
      </c>
      <c r="B125" s="100" t="n">
        <v>83</v>
      </c>
      <c r="C125" s="100" t="s">
        <v>499</v>
      </c>
      <c r="D125" s="101" t="s">
        <v>106</v>
      </c>
      <c r="E125" s="101" t="s">
        <v>1208</v>
      </c>
      <c r="F125" s="101" t="s">
        <v>1477</v>
      </c>
      <c r="G125" s="101" t="s">
        <v>1250</v>
      </c>
      <c r="H125" s="101" t="s">
        <v>1251</v>
      </c>
      <c r="I125" s="101" t="s">
        <v>1312</v>
      </c>
      <c r="J125" s="101" t="s">
        <v>1302</v>
      </c>
      <c r="K125" s="100" t="s">
        <v>1478</v>
      </c>
      <c r="L125" s="101" t="n">
        <v>2019</v>
      </c>
      <c r="M125" s="101"/>
    </row>
    <row r="126" customFormat="false" ht="15" hidden="false" customHeight="true" outlineLevel="0" collapsed="false">
      <c r="A126" s="101" t="n">
        <v>125</v>
      </c>
      <c r="B126" s="100" t="n">
        <v>84</v>
      </c>
      <c r="C126" s="100" t="s">
        <v>1017</v>
      </c>
      <c r="D126" s="101" t="s">
        <v>106</v>
      </c>
      <c r="E126" s="101" t="s">
        <v>1149</v>
      </c>
      <c r="F126" s="101" t="s">
        <v>1479</v>
      </c>
      <c r="G126" s="101" t="s">
        <v>1480</v>
      </c>
      <c r="H126" s="101" t="s">
        <v>1481</v>
      </c>
      <c r="I126" s="101" t="s">
        <v>1309</v>
      </c>
      <c r="J126" s="101" t="s">
        <v>1310</v>
      </c>
      <c r="K126" s="100" t="s">
        <v>1482</v>
      </c>
      <c r="L126" s="101" t="n">
        <v>2020</v>
      </c>
      <c r="M126" s="101"/>
    </row>
    <row r="127" customFormat="false" ht="15" hidden="false" customHeight="true" outlineLevel="0" collapsed="false">
      <c r="A127" s="101" t="n">
        <v>126</v>
      </c>
      <c r="B127" s="100" t="n">
        <v>85</v>
      </c>
      <c r="C127" s="100" t="s">
        <v>1010</v>
      </c>
      <c r="D127" s="101" t="s">
        <v>106</v>
      </c>
      <c r="E127" s="101" t="s">
        <v>1202</v>
      </c>
      <c r="F127" s="101" t="s">
        <v>1483</v>
      </c>
      <c r="G127" s="101" t="s">
        <v>1370</v>
      </c>
      <c r="H127" s="101" t="s">
        <v>1481</v>
      </c>
      <c r="I127" s="101" t="s">
        <v>1309</v>
      </c>
      <c r="J127" s="101" t="s">
        <v>1310</v>
      </c>
      <c r="K127" s="100" t="s">
        <v>1484</v>
      </c>
      <c r="L127" s="101" t="n">
        <v>2020</v>
      </c>
      <c r="M127" s="101"/>
    </row>
    <row r="128" customFormat="false" ht="15" hidden="false" customHeight="true" outlineLevel="0" collapsed="false">
      <c r="A128" s="101" t="n">
        <v>127</v>
      </c>
      <c r="B128" s="100" t="n">
        <v>86</v>
      </c>
      <c r="C128" s="100" t="s">
        <v>882</v>
      </c>
      <c r="D128" s="101" t="s">
        <v>106</v>
      </c>
      <c r="E128" s="101" t="s">
        <v>1215</v>
      </c>
      <c r="F128" s="101" t="s">
        <v>1215</v>
      </c>
      <c r="G128" s="101" t="s">
        <v>1485</v>
      </c>
      <c r="H128" s="101" t="s">
        <v>1251</v>
      </c>
      <c r="I128" s="101" t="s">
        <v>1309</v>
      </c>
      <c r="J128" s="101" t="s">
        <v>1486</v>
      </c>
      <c r="K128" s="100" t="s">
        <v>1487</v>
      </c>
      <c r="L128" s="101" t="n">
        <v>2020</v>
      </c>
      <c r="M128" s="101"/>
    </row>
    <row r="129" customFormat="false" ht="15" hidden="false" customHeight="true" outlineLevel="0" collapsed="false">
      <c r="A129" s="101" t="n">
        <v>128</v>
      </c>
      <c r="B129" s="100" t="n">
        <v>87</v>
      </c>
      <c r="C129" s="100" t="s">
        <v>653</v>
      </c>
      <c r="D129" s="101" t="s">
        <v>106</v>
      </c>
      <c r="E129" s="101" t="s">
        <v>1196</v>
      </c>
      <c r="F129" s="101" t="s">
        <v>1196</v>
      </c>
      <c r="G129" s="101" t="s">
        <v>1446</v>
      </c>
      <c r="H129" s="101" t="s">
        <v>1251</v>
      </c>
      <c r="I129" s="101" t="s">
        <v>1312</v>
      </c>
      <c r="J129" s="101" t="s">
        <v>1388</v>
      </c>
      <c r="K129" s="100" t="s">
        <v>1488</v>
      </c>
      <c r="L129" s="101" t="n">
        <v>2021</v>
      </c>
      <c r="M129" s="101"/>
    </row>
    <row r="130" customFormat="false" ht="15" hidden="false" customHeight="true" outlineLevel="0" collapsed="false">
      <c r="A130" s="101" t="n">
        <v>129</v>
      </c>
      <c r="B130" s="100" t="n">
        <v>88</v>
      </c>
      <c r="C130" s="100" t="s">
        <v>1489</v>
      </c>
      <c r="D130" s="101" t="s">
        <v>106</v>
      </c>
      <c r="E130" s="101" t="s">
        <v>1197</v>
      </c>
      <c r="F130" s="101" t="s">
        <v>1196</v>
      </c>
      <c r="G130" s="101" t="s">
        <v>1446</v>
      </c>
      <c r="H130" s="101" t="s">
        <v>1251</v>
      </c>
      <c r="I130" s="101" t="s">
        <v>1309</v>
      </c>
      <c r="J130" s="101" t="s">
        <v>1375</v>
      </c>
      <c r="K130" s="100" t="s">
        <v>1490</v>
      </c>
      <c r="L130" s="101" t="n">
        <v>2021</v>
      </c>
      <c r="M130" s="101"/>
    </row>
    <row r="131" customFormat="false" ht="15" hidden="false" customHeight="true" outlineLevel="0" collapsed="false">
      <c r="A131" s="101" t="n">
        <v>130</v>
      </c>
      <c r="B131" s="100" t="n">
        <v>89</v>
      </c>
      <c r="C131" s="100" t="s">
        <v>76</v>
      </c>
      <c r="D131" s="101" t="s">
        <v>56</v>
      </c>
      <c r="E131" s="101" t="s">
        <v>1196</v>
      </c>
      <c r="F131" s="101" t="s">
        <v>1196</v>
      </c>
      <c r="G131" s="101" t="s">
        <v>1196</v>
      </c>
      <c r="H131" s="101" t="s">
        <v>1251</v>
      </c>
      <c r="I131" s="101" t="s">
        <v>1309</v>
      </c>
      <c r="J131" s="101" t="s">
        <v>1423</v>
      </c>
      <c r="K131" s="100" t="s">
        <v>75</v>
      </c>
      <c r="L131" s="101" t="n">
        <v>2021</v>
      </c>
      <c r="M131" s="101"/>
    </row>
    <row r="132" customFormat="false" ht="15" hidden="false" customHeight="true" outlineLevel="0" collapsed="false">
      <c r="A132" s="101" t="n">
        <v>131</v>
      </c>
      <c r="B132" s="100" t="n">
        <v>90</v>
      </c>
      <c r="C132" s="100" t="s">
        <v>652</v>
      </c>
      <c r="D132" s="101" t="s">
        <v>106</v>
      </c>
      <c r="E132" s="101" t="s">
        <v>1166</v>
      </c>
      <c r="F132" s="101" t="s">
        <v>1390</v>
      </c>
      <c r="G132" s="101" t="s">
        <v>1491</v>
      </c>
      <c r="H132" s="101" t="s">
        <v>1235</v>
      </c>
      <c r="I132" s="101" t="s">
        <v>1309</v>
      </c>
      <c r="J132" s="101" t="s">
        <v>1375</v>
      </c>
      <c r="K132" s="100" t="s">
        <v>1492</v>
      </c>
      <c r="L132" s="101" t="n">
        <v>2021</v>
      </c>
      <c r="M132" s="101"/>
    </row>
    <row r="133" customFormat="false" ht="15" hidden="false" customHeight="true" outlineLevel="0" collapsed="false">
      <c r="A133" s="101" t="n">
        <v>132</v>
      </c>
      <c r="B133" s="100" t="n">
        <v>91</v>
      </c>
      <c r="C133" s="100" t="s">
        <v>651</v>
      </c>
      <c r="D133" s="101" t="s">
        <v>106</v>
      </c>
      <c r="E133" s="101" t="s">
        <v>1166</v>
      </c>
      <c r="F133" s="101" t="s">
        <v>1390</v>
      </c>
      <c r="G133" s="101" t="s">
        <v>1493</v>
      </c>
      <c r="H133" s="101" t="s">
        <v>1235</v>
      </c>
      <c r="I133" s="101" t="s">
        <v>1309</v>
      </c>
      <c r="J133" s="101" t="s">
        <v>1375</v>
      </c>
      <c r="K133" s="100" t="s">
        <v>1494</v>
      </c>
      <c r="L133" s="101" t="n">
        <v>2021</v>
      </c>
      <c r="M133" s="101"/>
    </row>
    <row r="134" customFormat="false" ht="15" hidden="false" customHeight="true" outlineLevel="0" collapsed="false">
      <c r="A134" s="101" t="n">
        <v>133</v>
      </c>
      <c r="B134" s="100" t="n">
        <v>92</v>
      </c>
      <c r="C134" s="100" t="s">
        <v>79</v>
      </c>
      <c r="D134" s="101" t="s">
        <v>56</v>
      </c>
      <c r="E134" s="101" t="s">
        <v>1158</v>
      </c>
      <c r="F134" s="101" t="s">
        <v>1158</v>
      </c>
      <c r="G134" s="101" t="s">
        <v>1495</v>
      </c>
      <c r="H134" s="101" t="s">
        <v>1496</v>
      </c>
      <c r="I134" s="101" t="s">
        <v>1312</v>
      </c>
      <c r="J134" s="101" t="s">
        <v>1313</v>
      </c>
      <c r="K134" s="100" t="s">
        <v>78</v>
      </c>
      <c r="L134" s="101" t="n">
        <v>2021</v>
      </c>
      <c r="M134" s="101"/>
    </row>
    <row r="135" customFormat="false" ht="15" hidden="false" customHeight="true" outlineLevel="0" collapsed="false">
      <c r="A135" s="101" t="n">
        <v>134</v>
      </c>
      <c r="B135" s="100" t="n">
        <v>93</v>
      </c>
      <c r="C135" s="100" t="s">
        <v>881</v>
      </c>
      <c r="D135" s="101" t="s">
        <v>106</v>
      </c>
      <c r="E135" s="101" t="s">
        <v>1160</v>
      </c>
      <c r="F135" s="101" t="s">
        <v>1160</v>
      </c>
      <c r="G135" s="101" t="s">
        <v>1497</v>
      </c>
      <c r="H135" s="101" t="s">
        <v>1251</v>
      </c>
      <c r="I135" s="101" t="s">
        <v>1309</v>
      </c>
      <c r="J135" s="101" t="s">
        <v>1375</v>
      </c>
      <c r="K135" s="100" t="s">
        <v>1498</v>
      </c>
      <c r="L135" s="101" t="n">
        <v>2021</v>
      </c>
      <c r="M135" s="101"/>
    </row>
    <row r="136" customFormat="false" ht="15" hidden="false" customHeight="true" outlineLevel="0" collapsed="false">
      <c r="A136" s="101" t="n">
        <v>135</v>
      </c>
      <c r="B136" s="100" t="n">
        <v>1</v>
      </c>
      <c r="C136" s="100" t="s">
        <v>880</v>
      </c>
      <c r="D136" s="101" t="s">
        <v>125</v>
      </c>
      <c r="E136" s="101" t="s">
        <v>1177</v>
      </c>
      <c r="F136" s="101" t="s">
        <v>1177</v>
      </c>
      <c r="G136" s="101" t="s">
        <v>1499</v>
      </c>
      <c r="H136" s="101" t="s">
        <v>1251</v>
      </c>
      <c r="I136" s="101" t="s">
        <v>1500</v>
      </c>
      <c r="J136" s="101" t="s">
        <v>1501</v>
      </c>
      <c r="K136" s="100" t="s">
        <v>1502</v>
      </c>
      <c r="L136" s="101" t="n">
        <v>2018</v>
      </c>
      <c r="M136" s="101"/>
    </row>
    <row r="137" customFormat="false" ht="15" hidden="false" customHeight="true" outlineLevel="0" collapsed="false">
      <c r="A137" s="101" t="n">
        <v>136</v>
      </c>
      <c r="B137" s="100" t="n">
        <v>2</v>
      </c>
      <c r="C137" s="100" t="s">
        <v>879</v>
      </c>
      <c r="D137" s="101" t="s">
        <v>125</v>
      </c>
      <c r="E137" s="101" t="s">
        <v>1177</v>
      </c>
      <c r="F137" s="101" t="s">
        <v>1177</v>
      </c>
      <c r="G137" s="101"/>
      <c r="H137" s="101" t="s">
        <v>1251</v>
      </c>
      <c r="I137" s="101" t="s">
        <v>1500</v>
      </c>
      <c r="J137" s="101" t="s">
        <v>1503</v>
      </c>
      <c r="K137" s="100" t="s">
        <v>1504</v>
      </c>
      <c r="L137" s="101" t="n">
        <v>2024</v>
      </c>
      <c r="M137" s="101"/>
    </row>
    <row r="138" customFormat="false" ht="15" hidden="false" customHeight="true" outlineLevel="0" collapsed="false">
      <c r="A138" s="101" t="n">
        <v>137</v>
      </c>
      <c r="B138" s="100" t="n">
        <v>3</v>
      </c>
      <c r="C138" s="100" t="s">
        <v>973</v>
      </c>
      <c r="D138" s="101" t="s">
        <v>125</v>
      </c>
      <c r="E138" s="101" t="s">
        <v>1200</v>
      </c>
      <c r="F138" s="101"/>
      <c r="G138" s="101"/>
      <c r="H138" s="101" t="s">
        <v>1251</v>
      </c>
      <c r="I138" s="101" t="s">
        <v>1505</v>
      </c>
      <c r="J138" s="101" t="s">
        <v>1506</v>
      </c>
      <c r="K138" s="100" t="s">
        <v>1507</v>
      </c>
      <c r="L138" s="101" t="n">
        <v>2025</v>
      </c>
      <c r="M138" s="101"/>
    </row>
    <row r="139" customFormat="false" ht="15" hidden="false" customHeight="true" outlineLevel="0" collapsed="false">
      <c r="A139" s="101" t="n">
        <v>138</v>
      </c>
      <c r="B139" s="100" t="n">
        <v>4</v>
      </c>
      <c r="C139" s="100" t="s">
        <v>878</v>
      </c>
      <c r="D139" s="101" t="s">
        <v>125</v>
      </c>
      <c r="E139" s="101" t="s">
        <v>1185</v>
      </c>
      <c r="F139" s="101" t="s">
        <v>1156</v>
      </c>
      <c r="G139" s="101" t="s">
        <v>1508</v>
      </c>
      <c r="H139" s="101" t="s">
        <v>1251</v>
      </c>
      <c r="I139" s="101" t="s">
        <v>1500</v>
      </c>
      <c r="J139" s="101" t="s">
        <v>1509</v>
      </c>
      <c r="K139" s="100" t="s">
        <v>1510</v>
      </c>
      <c r="L139" s="101" t="n">
        <v>2007</v>
      </c>
      <c r="M139" s="101"/>
    </row>
    <row r="140" customFormat="false" ht="15" hidden="false" customHeight="true" outlineLevel="0" collapsed="false">
      <c r="A140" s="101" t="n">
        <v>139</v>
      </c>
      <c r="B140" s="100" t="n">
        <v>5</v>
      </c>
      <c r="C140" s="100" t="s">
        <v>252</v>
      </c>
      <c r="D140" s="101" t="s">
        <v>125</v>
      </c>
      <c r="E140" s="101" t="s">
        <v>1187</v>
      </c>
      <c r="F140" s="101" t="s">
        <v>1357</v>
      </c>
      <c r="G140" s="101" t="s">
        <v>1358</v>
      </c>
      <c r="H140" s="101" t="s">
        <v>1251</v>
      </c>
      <c r="I140" s="101" t="s">
        <v>1500</v>
      </c>
      <c r="J140" s="101" t="s">
        <v>1511</v>
      </c>
      <c r="K140" s="100" t="s">
        <v>251</v>
      </c>
      <c r="L140" s="101" t="n">
        <v>2007</v>
      </c>
      <c r="M140" s="101"/>
    </row>
    <row r="141" customFormat="false" ht="15" hidden="false" customHeight="true" outlineLevel="0" collapsed="false">
      <c r="A141" s="101"/>
      <c r="B141" s="100"/>
      <c r="C141" s="100"/>
      <c r="D141" s="101"/>
      <c r="E141" s="101"/>
      <c r="F141" s="101"/>
      <c r="G141" s="101"/>
      <c r="H141" s="101"/>
      <c r="I141" s="101"/>
      <c r="J141" s="101"/>
      <c r="K141" s="100"/>
      <c r="L141" s="101"/>
      <c r="M141" s="101"/>
    </row>
    <row r="142" customFormat="false" ht="15" hidden="false" customHeight="true" outlineLevel="0" collapsed="false">
      <c r="A142" s="101" t="n">
        <v>141</v>
      </c>
      <c r="B142" s="100" t="n">
        <v>7</v>
      </c>
      <c r="C142" s="100" t="s">
        <v>877</v>
      </c>
      <c r="D142" s="101" t="s">
        <v>125</v>
      </c>
      <c r="E142" s="101" t="s">
        <v>1184</v>
      </c>
      <c r="F142" s="101" t="s">
        <v>1421</v>
      </c>
      <c r="G142" s="101" t="s">
        <v>1250</v>
      </c>
      <c r="H142" s="101" t="s">
        <v>1251</v>
      </c>
      <c r="I142" s="101" t="s">
        <v>1500</v>
      </c>
      <c r="J142" s="101" t="s">
        <v>1512</v>
      </c>
      <c r="K142" s="100" t="s">
        <v>1513</v>
      </c>
      <c r="L142" s="101" t="n">
        <v>2006</v>
      </c>
      <c r="M142" s="101"/>
    </row>
    <row r="143" customFormat="false" ht="15" hidden="false" customHeight="true" outlineLevel="0" collapsed="false">
      <c r="A143" s="101" t="n">
        <v>142</v>
      </c>
      <c r="B143" s="100" t="n">
        <v>8</v>
      </c>
      <c r="C143" s="100" t="s">
        <v>876</v>
      </c>
      <c r="D143" s="101" t="s">
        <v>125</v>
      </c>
      <c r="E143" s="101" t="s">
        <v>1188</v>
      </c>
      <c r="F143" s="101" t="s">
        <v>1182</v>
      </c>
      <c r="G143" s="101" t="s">
        <v>1514</v>
      </c>
      <c r="H143" s="101" t="s">
        <v>1235</v>
      </c>
      <c r="I143" s="101" t="s">
        <v>1505</v>
      </c>
      <c r="J143" s="101" t="s">
        <v>1501</v>
      </c>
      <c r="K143" s="100" t="s">
        <v>1515</v>
      </c>
      <c r="L143" s="101" t="n">
        <v>2019</v>
      </c>
      <c r="M143" s="101"/>
    </row>
    <row r="144" customFormat="false" ht="15" hidden="false" customHeight="true" outlineLevel="0" collapsed="false">
      <c r="A144" s="101" t="n">
        <v>143</v>
      </c>
      <c r="B144" s="100" t="n">
        <v>9</v>
      </c>
      <c r="C144" s="100" t="s">
        <v>875</v>
      </c>
      <c r="D144" s="101" t="s">
        <v>125</v>
      </c>
      <c r="E144" s="101" t="s">
        <v>1187</v>
      </c>
      <c r="F144" s="101" t="s">
        <v>1164</v>
      </c>
      <c r="G144" s="101" t="s">
        <v>1516</v>
      </c>
      <c r="H144" s="101" t="s">
        <v>1251</v>
      </c>
      <c r="I144" s="101" t="s">
        <v>1500</v>
      </c>
      <c r="J144" s="101" t="s">
        <v>1511</v>
      </c>
      <c r="K144" s="100" t="s">
        <v>1517</v>
      </c>
      <c r="L144" s="101" t="n">
        <v>2005</v>
      </c>
      <c r="M144" s="101"/>
    </row>
    <row r="145" customFormat="false" ht="15" hidden="false" customHeight="true" outlineLevel="0" collapsed="false">
      <c r="A145" s="101" t="n">
        <v>144</v>
      </c>
      <c r="B145" s="100" t="n">
        <v>10</v>
      </c>
      <c r="C145" s="100" t="s">
        <v>874</v>
      </c>
      <c r="D145" s="101" t="s">
        <v>125</v>
      </c>
      <c r="E145" s="101" t="s">
        <v>1184</v>
      </c>
      <c r="F145" s="101" t="s">
        <v>1421</v>
      </c>
      <c r="G145" s="101" t="s">
        <v>1518</v>
      </c>
      <c r="H145" s="101" t="s">
        <v>1251</v>
      </c>
      <c r="I145" s="101" t="s">
        <v>1500</v>
      </c>
      <c r="J145" s="101" t="s">
        <v>1512</v>
      </c>
      <c r="K145" s="100" t="s">
        <v>1519</v>
      </c>
      <c r="L145" s="101" t="n">
        <v>2011</v>
      </c>
      <c r="M145" s="101"/>
    </row>
    <row r="146" customFormat="false" ht="15" hidden="false" customHeight="true" outlineLevel="0" collapsed="false">
      <c r="A146" s="101"/>
      <c r="B146" s="100"/>
      <c r="C146" s="100"/>
      <c r="D146" s="101"/>
      <c r="E146" s="101"/>
      <c r="F146" s="101"/>
      <c r="G146" s="101"/>
      <c r="H146" s="101"/>
      <c r="I146" s="101"/>
      <c r="J146" s="101"/>
      <c r="K146" s="100"/>
      <c r="L146" s="101"/>
      <c r="M146" s="101"/>
    </row>
    <row r="147" customFormat="false" ht="15" hidden="false" customHeight="true" outlineLevel="0" collapsed="false">
      <c r="A147" s="101" t="n">
        <v>146</v>
      </c>
      <c r="B147" s="100" t="n">
        <v>12</v>
      </c>
      <c r="C147" s="100" t="s">
        <v>127</v>
      </c>
      <c r="D147" s="101" t="s">
        <v>125</v>
      </c>
      <c r="E147" s="101" t="s">
        <v>1184</v>
      </c>
      <c r="F147" s="101" t="s">
        <v>1421</v>
      </c>
      <c r="G147" s="101" t="s">
        <v>1461</v>
      </c>
      <c r="H147" s="101" t="s">
        <v>1235</v>
      </c>
      <c r="I147" s="101" t="s">
        <v>1505</v>
      </c>
      <c r="J147" s="101" t="s">
        <v>1501</v>
      </c>
      <c r="K147" s="100" t="s">
        <v>126</v>
      </c>
      <c r="L147" s="101" t="n">
        <v>2019</v>
      </c>
      <c r="M147" s="101"/>
    </row>
    <row r="148" customFormat="false" ht="15" hidden="false" customHeight="true" outlineLevel="0" collapsed="false">
      <c r="A148" s="101" t="n">
        <v>147</v>
      </c>
      <c r="B148" s="100" t="n">
        <v>13</v>
      </c>
      <c r="C148" s="100" t="s">
        <v>133</v>
      </c>
      <c r="D148" s="101" t="s">
        <v>125</v>
      </c>
      <c r="E148" s="101" t="s">
        <v>1184</v>
      </c>
      <c r="F148" s="101" t="s">
        <v>1421</v>
      </c>
      <c r="G148" s="101" t="s">
        <v>1520</v>
      </c>
      <c r="H148" s="101" t="s">
        <v>1235</v>
      </c>
      <c r="I148" s="101" t="s">
        <v>1505</v>
      </c>
      <c r="J148" s="101" t="s">
        <v>1501</v>
      </c>
      <c r="K148" s="100" t="s">
        <v>132</v>
      </c>
      <c r="L148" s="101" t="n">
        <v>2019</v>
      </c>
      <c r="M148" s="101"/>
    </row>
    <row r="149" customFormat="false" ht="15" hidden="false" customHeight="true" outlineLevel="0" collapsed="false">
      <c r="A149" s="101" t="n">
        <v>148</v>
      </c>
      <c r="B149" s="100" t="n">
        <v>14</v>
      </c>
      <c r="C149" s="100" t="s">
        <v>136</v>
      </c>
      <c r="D149" s="101" t="s">
        <v>125</v>
      </c>
      <c r="E149" s="101" t="s">
        <v>1184</v>
      </c>
      <c r="F149" s="101" t="s">
        <v>1421</v>
      </c>
      <c r="G149" s="101" t="s">
        <v>1521</v>
      </c>
      <c r="H149" s="101" t="s">
        <v>1251</v>
      </c>
      <c r="I149" s="101" t="s">
        <v>1505</v>
      </c>
      <c r="J149" s="101" t="s">
        <v>1511</v>
      </c>
      <c r="K149" s="100" t="s">
        <v>135</v>
      </c>
      <c r="L149" s="101" t="n">
        <v>2011</v>
      </c>
      <c r="M149" s="101"/>
    </row>
    <row r="150" customFormat="false" ht="15" hidden="false" customHeight="true" outlineLevel="0" collapsed="false">
      <c r="A150" s="101"/>
      <c r="B150" s="100"/>
      <c r="C150" s="100"/>
      <c r="D150" s="101"/>
      <c r="E150" s="101"/>
      <c r="F150" s="101"/>
      <c r="G150" s="101"/>
      <c r="H150" s="101"/>
      <c r="I150" s="101"/>
      <c r="J150" s="101"/>
      <c r="K150" s="100"/>
      <c r="L150" s="101"/>
      <c r="M150" s="101"/>
    </row>
    <row r="151" customFormat="false" ht="15" hidden="false" customHeight="true" outlineLevel="0" collapsed="false">
      <c r="A151" s="101" t="n">
        <v>150</v>
      </c>
      <c r="B151" s="100" t="n">
        <v>16</v>
      </c>
      <c r="C151" s="100" t="s">
        <v>259</v>
      </c>
      <c r="D151" s="101" t="s">
        <v>125</v>
      </c>
      <c r="E151" s="101" t="s">
        <v>1184</v>
      </c>
      <c r="F151" s="101" t="s">
        <v>1421</v>
      </c>
      <c r="G151" s="101" t="s">
        <v>1522</v>
      </c>
      <c r="H151" s="101" t="s">
        <v>1251</v>
      </c>
      <c r="I151" s="101" t="s">
        <v>1500</v>
      </c>
      <c r="J151" s="101" t="s">
        <v>1511</v>
      </c>
      <c r="K151" s="100" t="s">
        <v>258</v>
      </c>
      <c r="L151" s="101" t="n">
        <v>2012</v>
      </c>
      <c r="M151" s="101"/>
    </row>
    <row r="152" customFormat="false" ht="15" hidden="false" customHeight="true" outlineLevel="0" collapsed="false">
      <c r="A152" s="101"/>
      <c r="B152" s="100"/>
      <c r="C152" s="100"/>
      <c r="D152" s="101"/>
      <c r="E152" s="101"/>
      <c r="F152" s="101"/>
      <c r="G152" s="101"/>
      <c r="H152" s="101"/>
      <c r="I152" s="101"/>
      <c r="J152" s="101"/>
      <c r="K152" s="100"/>
      <c r="L152" s="101"/>
      <c r="M152" s="101"/>
    </row>
    <row r="153" customFormat="false" ht="15" hidden="false" customHeight="true" outlineLevel="0" collapsed="false">
      <c r="A153" s="101" t="n">
        <v>152</v>
      </c>
      <c r="B153" s="100" t="n">
        <v>18</v>
      </c>
      <c r="C153" s="100" t="s">
        <v>873</v>
      </c>
      <c r="D153" s="101" t="s">
        <v>125</v>
      </c>
      <c r="E153" s="101" t="s">
        <v>1184</v>
      </c>
      <c r="F153" s="101" t="s">
        <v>1421</v>
      </c>
      <c r="G153" s="101" t="s">
        <v>1461</v>
      </c>
      <c r="H153" s="101" t="s">
        <v>1251</v>
      </c>
      <c r="I153" s="101" t="s">
        <v>1505</v>
      </c>
      <c r="J153" s="101" t="s">
        <v>1509</v>
      </c>
      <c r="K153" s="100" t="s">
        <v>1523</v>
      </c>
      <c r="L153" s="101" t="n">
        <v>2007</v>
      </c>
      <c r="M153" s="101"/>
    </row>
    <row r="154" customFormat="false" ht="15" hidden="false" customHeight="true" outlineLevel="0" collapsed="false">
      <c r="A154" s="101" t="n">
        <v>153</v>
      </c>
      <c r="B154" s="100" t="n">
        <v>19</v>
      </c>
      <c r="C154" s="100" t="s">
        <v>872</v>
      </c>
      <c r="D154" s="101" t="s">
        <v>125</v>
      </c>
      <c r="E154" s="101" t="s">
        <v>1164</v>
      </c>
      <c r="F154" s="101" t="s">
        <v>1357</v>
      </c>
      <c r="G154" s="101" t="s">
        <v>1524</v>
      </c>
      <c r="H154" s="101" t="s">
        <v>1251</v>
      </c>
      <c r="I154" s="101" t="s">
        <v>1525</v>
      </c>
      <c r="J154" s="101" t="s">
        <v>1526</v>
      </c>
      <c r="K154" s="100" t="s">
        <v>1527</v>
      </c>
      <c r="L154" s="101" t="n">
        <v>2012</v>
      </c>
      <c r="M154" s="101"/>
    </row>
    <row r="155" customFormat="false" ht="15" hidden="false" customHeight="true" outlineLevel="0" collapsed="false">
      <c r="A155" s="101"/>
      <c r="B155" s="100"/>
      <c r="C155" s="100"/>
      <c r="D155" s="101"/>
      <c r="E155" s="101"/>
      <c r="F155" s="101"/>
      <c r="G155" s="101"/>
      <c r="H155" s="101"/>
      <c r="I155" s="101"/>
      <c r="J155" s="101"/>
      <c r="K155" s="100"/>
      <c r="L155" s="101"/>
      <c r="M155" s="101"/>
    </row>
    <row r="156" customFormat="false" ht="15" hidden="false" customHeight="true" outlineLevel="0" collapsed="false">
      <c r="A156" s="101" t="n">
        <v>155</v>
      </c>
      <c r="B156" s="100" t="n">
        <v>21</v>
      </c>
      <c r="C156" s="100" t="s">
        <v>871</v>
      </c>
      <c r="D156" s="101" t="s">
        <v>125</v>
      </c>
      <c r="E156" s="101" t="s">
        <v>1179</v>
      </c>
      <c r="F156" s="101" t="s">
        <v>1528</v>
      </c>
      <c r="G156" s="101" t="s">
        <v>1529</v>
      </c>
      <c r="H156" s="101" t="s">
        <v>1251</v>
      </c>
      <c r="I156" s="101" t="s">
        <v>1505</v>
      </c>
      <c r="J156" s="101" t="s">
        <v>1512</v>
      </c>
      <c r="K156" s="100" t="s">
        <v>1530</v>
      </c>
      <c r="L156" s="101" t="n">
        <v>2006</v>
      </c>
      <c r="M156" s="101"/>
    </row>
    <row r="157" customFormat="false" ht="15" hidden="false" customHeight="true" outlineLevel="0" collapsed="false">
      <c r="A157" s="101" t="n">
        <v>156</v>
      </c>
      <c r="B157" s="100" t="n">
        <v>22</v>
      </c>
      <c r="C157" s="100" t="s">
        <v>870</v>
      </c>
      <c r="D157" s="101" t="s">
        <v>125</v>
      </c>
      <c r="E157" s="101" t="s">
        <v>1177</v>
      </c>
      <c r="F157" s="101" t="s">
        <v>1177</v>
      </c>
      <c r="G157" s="101" t="s">
        <v>1531</v>
      </c>
      <c r="H157" s="101" t="s">
        <v>1251</v>
      </c>
      <c r="I157" s="101" t="s">
        <v>1505</v>
      </c>
      <c r="J157" s="101" t="s">
        <v>1501</v>
      </c>
      <c r="K157" s="100" t="s">
        <v>1532</v>
      </c>
      <c r="L157" s="101" t="n">
        <v>2015</v>
      </c>
      <c r="M157" s="101"/>
    </row>
    <row r="158" customFormat="false" ht="15" hidden="false" customHeight="true" outlineLevel="0" collapsed="false">
      <c r="A158" s="101" t="n">
        <v>157</v>
      </c>
      <c r="B158" s="100" t="n">
        <v>23</v>
      </c>
      <c r="C158" s="100" t="s">
        <v>869</v>
      </c>
      <c r="D158" s="101" t="s">
        <v>125</v>
      </c>
      <c r="E158" s="101" t="s">
        <v>1184</v>
      </c>
      <c r="F158" s="101" t="s">
        <v>1421</v>
      </c>
      <c r="G158" s="101" t="s">
        <v>1531</v>
      </c>
      <c r="H158" s="101" t="s">
        <v>1251</v>
      </c>
      <c r="I158" s="101" t="s">
        <v>1500</v>
      </c>
      <c r="J158" s="101" t="s">
        <v>1501</v>
      </c>
      <c r="K158" s="100" t="s">
        <v>1533</v>
      </c>
      <c r="L158" s="101" t="n">
        <v>2015</v>
      </c>
      <c r="M158" s="101"/>
    </row>
    <row r="159" customFormat="false" ht="15" hidden="false" customHeight="true" outlineLevel="0" collapsed="false">
      <c r="A159" s="101" t="n">
        <v>158</v>
      </c>
      <c r="B159" s="100" t="n">
        <v>24</v>
      </c>
      <c r="C159" s="100" t="s">
        <v>256</v>
      </c>
      <c r="D159" s="101" t="s">
        <v>125</v>
      </c>
      <c r="E159" s="101" t="s">
        <v>1184</v>
      </c>
      <c r="F159" s="101" t="s">
        <v>1177</v>
      </c>
      <c r="G159" s="101" t="s">
        <v>1531</v>
      </c>
      <c r="H159" s="101" t="s">
        <v>1251</v>
      </c>
      <c r="I159" s="101" t="s">
        <v>1500</v>
      </c>
      <c r="J159" s="101" t="s">
        <v>1501</v>
      </c>
      <c r="K159" s="100" t="s">
        <v>255</v>
      </c>
      <c r="L159" s="101" t="n">
        <v>2015</v>
      </c>
      <c r="M159" s="101"/>
    </row>
    <row r="160" customFormat="false" ht="15" hidden="false" customHeight="true" outlineLevel="0" collapsed="false">
      <c r="A160" s="101" t="n">
        <v>159</v>
      </c>
      <c r="B160" s="100" t="n">
        <v>25</v>
      </c>
      <c r="C160" s="100" t="s">
        <v>868</v>
      </c>
      <c r="D160" s="101" t="s">
        <v>125</v>
      </c>
      <c r="E160" s="101" t="s">
        <v>1184</v>
      </c>
      <c r="F160" s="101" t="s">
        <v>1529</v>
      </c>
      <c r="G160" s="101" t="s">
        <v>1534</v>
      </c>
      <c r="H160" s="101" t="s">
        <v>1251</v>
      </c>
      <c r="I160" s="101" t="s">
        <v>1505</v>
      </c>
      <c r="J160" s="101" t="s">
        <v>1501</v>
      </c>
      <c r="K160" s="100" t="s">
        <v>1535</v>
      </c>
      <c r="L160" s="101" t="n">
        <v>2019</v>
      </c>
      <c r="M160" s="101"/>
    </row>
    <row r="161" customFormat="false" ht="15" hidden="false" customHeight="true" outlineLevel="0" collapsed="false">
      <c r="A161" s="101" t="n">
        <v>160</v>
      </c>
      <c r="B161" s="100" t="n">
        <v>26</v>
      </c>
      <c r="C161" s="100" t="s">
        <v>867</v>
      </c>
      <c r="D161" s="101" t="s">
        <v>125</v>
      </c>
      <c r="E161" s="101" t="s">
        <v>1188</v>
      </c>
      <c r="F161" s="101" t="s">
        <v>1182</v>
      </c>
      <c r="G161" s="101" t="s">
        <v>1536</v>
      </c>
      <c r="H161" s="101" t="s">
        <v>1251</v>
      </c>
      <c r="I161" s="101" t="s">
        <v>1505</v>
      </c>
      <c r="J161" s="101" t="s">
        <v>1512</v>
      </c>
      <c r="K161" s="100" t="s">
        <v>1537</v>
      </c>
      <c r="L161" s="101" t="n">
        <v>2019</v>
      </c>
      <c r="M161" s="101"/>
    </row>
    <row r="162" customFormat="false" ht="15" hidden="false" customHeight="true" outlineLevel="0" collapsed="false">
      <c r="A162" s="101" t="n">
        <v>161</v>
      </c>
      <c r="B162" s="100" t="n">
        <v>27</v>
      </c>
      <c r="C162" s="100" t="s">
        <v>866</v>
      </c>
      <c r="D162" s="101" t="s">
        <v>125</v>
      </c>
      <c r="E162" s="101" t="s">
        <v>1184</v>
      </c>
      <c r="F162" s="101" t="s">
        <v>1421</v>
      </c>
      <c r="G162" s="101" t="s">
        <v>1499</v>
      </c>
      <c r="H162" s="101" t="s">
        <v>1251</v>
      </c>
      <c r="I162" s="101" t="s">
        <v>1505</v>
      </c>
      <c r="J162" s="101" t="s">
        <v>1503</v>
      </c>
      <c r="K162" s="100" t="s">
        <v>1538</v>
      </c>
      <c r="L162" s="101" t="n">
        <v>2019</v>
      </c>
      <c r="M162" s="101"/>
    </row>
    <row r="163" customFormat="false" ht="15" hidden="false" customHeight="true" outlineLevel="0" collapsed="false">
      <c r="A163" s="101" t="n">
        <v>162</v>
      </c>
      <c r="B163" s="100" t="n">
        <v>28</v>
      </c>
      <c r="C163" s="100" t="s">
        <v>865</v>
      </c>
      <c r="D163" s="101" t="s">
        <v>125</v>
      </c>
      <c r="E163" s="101" t="s">
        <v>1184</v>
      </c>
      <c r="F163" s="101" t="s">
        <v>1421</v>
      </c>
      <c r="G163" s="101" t="s">
        <v>1539</v>
      </c>
      <c r="H163" s="101" t="s">
        <v>1251</v>
      </c>
      <c r="I163" s="101" t="s">
        <v>1505</v>
      </c>
      <c r="J163" s="101" t="s">
        <v>1503</v>
      </c>
      <c r="K163" s="100" t="s">
        <v>1540</v>
      </c>
      <c r="L163" s="101" t="n">
        <v>2019</v>
      </c>
      <c r="M163" s="101"/>
    </row>
    <row r="164" customFormat="false" ht="15" hidden="false" customHeight="true" outlineLevel="0" collapsed="false">
      <c r="A164" s="101" t="n">
        <v>163</v>
      </c>
      <c r="B164" s="100" t="n">
        <v>29</v>
      </c>
      <c r="C164" s="100" t="s">
        <v>864</v>
      </c>
      <c r="D164" s="101" t="s">
        <v>125</v>
      </c>
      <c r="E164" s="101" t="s">
        <v>1184</v>
      </c>
      <c r="F164" s="101" t="s">
        <v>1421</v>
      </c>
      <c r="G164" s="101" t="s">
        <v>1541</v>
      </c>
      <c r="H164" s="101" t="s">
        <v>1251</v>
      </c>
      <c r="I164" s="101" t="s">
        <v>1505</v>
      </c>
      <c r="J164" s="101" t="s">
        <v>1503</v>
      </c>
      <c r="K164" s="100" t="s">
        <v>1542</v>
      </c>
      <c r="L164" s="101" t="n">
        <v>2019</v>
      </c>
      <c r="M164" s="101"/>
    </row>
    <row r="165" customFormat="false" ht="15" hidden="false" customHeight="true" outlineLevel="0" collapsed="false">
      <c r="A165" s="101" t="n">
        <v>164</v>
      </c>
      <c r="B165" s="100" t="n">
        <v>30</v>
      </c>
      <c r="C165" s="100" t="s">
        <v>863</v>
      </c>
      <c r="D165" s="101" t="s">
        <v>125</v>
      </c>
      <c r="E165" s="101" t="s">
        <v>1184</v>
      </c>
      <c r="F165" s="101" t="s">
        <v>1421</v>
      </c>
      <c r="G165" s="101" t="s">
        <v>1543</v>
      </c>
      <c r="H165" s="101" t="s">
        <v>1251</v>
      </c>
      <c r="I165" s="101" t="s">
        <v>1505</v>
      </c>
      <c r="J165" s="101" t="s">
        <v>1512</v>
      </c>
      <c r="K165" s="100" t="s">
        <v>1544</v>
      </c>
      <c r="L165" s="101" t="n">
        <v>2019</v>
      </c>
      <c r="M165" s="101"/>
    </row>
    <row r="166" customFormat="false" ht="15" hidden="false" customHeight="true" outlineLevel="0" collapsed="false">
      <c r="A166" s="101" t="n">
        <v>165</v>
      </c>
      <c r="B166" s="100" t="n">
        <v>31</v>
      </c>
      <c r="C166" s="100" t="s">
        <v>862</v>
      </c>
      <c r="D166" s="101" t="s">
        <v>125</v>
      </c>
      <c r="E166" s="101" t="s">
        <v>1184</v>
      </c>
      <c r="F166" s="101" t="s">
        <v>1421</v>
      </c>
      <c r="G166" s="101" t="s">
        <v>1545</v>
      </c>
      <c r="H166" s="101" t="s">
        <v>1251</v>
      </c>
      <c r="I166" s="101" t="s">
        <v>1505</v>
      </c>
      <c r="J166" s="101" t="s">
        <v>1512</v>
      </c>
      <c r="K166" s="100" t="s">
        <v>1546</v>
      </c>
      <c r="L166" s="101" t="n">
        <v>2019</v>
      </c>
      <c r="M166" s="101"/>
    </row>
    <row r="167" customFormat="false" ht="15" hidden="false" customHeight="true" outlineLevel="0" collapsed="false">
      <c r="A167" s="101" t="n">
        <v>166</v>
      </c>
      <c r="B167" s="100" t="n">
        <v>32</v>
      </c>
      <c r="C167" s="100" t="s">
        <v>861</v>
      </c>
      <c r="D167" s="101" t="s">
        <v>125</v>
      </c>
      <c r="E167" s="101" t="s">
        <v>1187</v>
      </c>
      <c r="F167" s="101" t="s">
        <v>1357</v>
      </c>
      <c r="G167" s="101" t="s">
        <v>1524</v>
      </c>
      <c r="H167" s="101" t="s">
        <v>1251</v>
      </c>
      <c r="I167" s="101" t="s">
        <v>1505</v>
      </c>
      <c r="J167" s="101" t="s">
        <v>1547</v>
      </c>
      <c r="K167" s="100" t="s">
        <v>1548</v>
      </c>
      <c r="L167" s="101" t="n">
        <v>2019</v>
      </c>
      <c r="M167" s="101"/>
    </row>
    <row r="168" customFormat="false" ht="15" hidden="false" customHeight="true" outlineLevel="0" collapsed="false">
      <c r="A168" s="101" t="n">
        <v>167</v>
      </c>
      <c r="B168" s="100" t="n">
        <v>1</v>
      </c>
      <c r="C168" s="100" t="s">
        <v>860</v>
      </c>
      <c r="D168" s="101" t="s">
        <v>159</v>
      </c>
      <c r="E168" s="101" t="s">
        <v>1204</v>
      </c>
      <c r="F168" s="101" t="s">
        <v>1324</v>
      </c>
      <c r="G168" s="101" t="s">
        <v>1549</v>
      </c>
      <c r="H168" s="101" t="s">
        <v>1251</v>
      </c>
      <c r="I168" s="101" t="s">
        <v>1550</v>
      </c>
      <c r="J168" s="101" t="s">
        <v>1551</v>
      </c>
      <c r="K168" s="100" t="s">
        <v>1552</v>
      </c>
      <c r="L168" s="101" t="n">
        <v>2010</v>
      </c>
      <c r="M168" s="101" t="s">
        <v>1553</v>
      </c>
    </row>
    <row r="169" customFormat="false" ht="15" hidden="false" customHeight="true" outlineLevel="0" collapsed="false">
      <c r="A169" s="101" t="n">
        <v>168</v>
      </c>
      <c r="B169" s="100" t="n">
        <v>2</v>
      </c>
      <c r="C169" s="100" t="s">
        <v>972</v>
      </c>
      <c r="D169" s="101" t="s">
        <v>159</v>
      </c>
      <c r="E169" s="101" t="s">
        <v>1204</v>
      </c>
      <c r="F169" s="101" t="s">
        <v>1204</v>
      </c>
      <c r="G169" s="101"/>
      <c r="H169" s="101" t="s">
        <v>1554</v>
      </c>
      <c r="I169" s="101" t="s">
        <v>1555</v>
      </c>
      <c r="J169" s="101" t="s">
        <v>1556</v>
      </c>
      <c r="K169" s="100" t="s">
        <v>1557</v>
      </c>
      <c r="L169" s="101" t="n">
        <v>2021</v>
      </c>
      <c r="M169" s="101" t="s">
        <v>1558</v>
      </c>
    </row>
    <row r="170" customFormat="false" ht="15" hidden="false" customHeight="true" outlineLevel="0" collapsed="false">
      <c r="A170" s="101" t="n">
        <v>169</v>
      </c>
      <c r="B170" s="100" t="n">
        <v>3</v>
      </c>
      <c r="C170" s="100" t="s">
        <v>247</v>
      </c>
      <c r="D170" s="101" t="s">
        <v>159</v>
      </c>
      <c r="E170" s="101" t="s">
        <v>1204</v>
      </c>
      <c r="F170" s="101"/>
      <c r="G170" s="101"/>
      <c r="H170" s="101" t="s">
        <v>1559</v>
      </c>
      <c r="I170" s="101" t="s">
        <v>1505</v>
      </c>
      <c r="J170" s="101" t="s">
        <v>1560</v>
      </c>
      <c r="K170" s="100" t="s">
        <v>246</v>
      </c>
      <c r="L170" s="101" t="n">
        <v>2026</v>
      </c>
      <c r="M170" s="101" t="s">
        <v>1561</v>
      </c>
    </row>
    <row r="171" customFormat="false" ht="15" hidden="false" customHeight="true" outlineLevel="0" collapsed="false">
      <c r="A171" s="101" t="n">
        <v>170</v>
      </c>
      <c r="B171" s="100" t="n">
        <v>4</v>
      </c>
      <c r="C171" s="100" t="s">
        <v>859</v>
      </c>
      <c r="D171" s="101" t="s">
        <v>159</v>
      </c>
      <c r="E171" s="101" t="s">
        <v>1204</v>
      </c>
      <c r="F171" s="101" t="s">
        <v>1324</v>
      </c>
      <c r="G171" s="101" t="s">
        <v>1562</v>
      </c>
      <c r="H171" s="101" t="s">
        <v>1251</v>
      </c>
      <c r="I171" s="101" t="s">
        <v>1550</v>
      </c>
      <c r="J171" s="101" t="n">
        <v>840</v>
      </c>
      <c r="K171" s="100" t="s">
        <v>1563</v>
      </c>
      <c r="L171" s="101" t="n">
        <v>2010</v>
      </c>
      <c r="M171" s="101" t="s">
        <v>1553</v>
      </c>
    </row>
    <row r="172" customFormat="false" ht="15" hidden="false" customHeight="true" outlineLevel="0" collapsed="false">
      <c r="A172" s="101" t="n">
        <v>171</v>
      </c>
      <c r="B172" s="100" t="n">
        <v>5</v>
      </c>
      <c r="C172" s="100" t="s">
        <v>858</v>
      </c>
      <c r="D172" s="101" t="s">
        <v>159</v>
      </c>
      <c r="E172" s="101" t="s">
        <v>1204</v>
      </c>
      <c r="F172" s="101" t="s">
        <v>1324</v>
      </c>
      <c r="G172" s="101" t="s">
        <v>1562</v>
      </c>
      <c r="H172" s="101" t="s">
        <v>1251</v>
      </c>
      <c r="I172" s="101" t="s">
        <v>1550</v>
      </c>
      <c r="J172" s="101" t="s">
        <v>1551</v>
      </c>
      <c r="K172" s="100" t="s">
        <v>1564</v>
      </c>
      <c r="L172" s="101" t="n">
        <v>2010</v>
      </c>
      <c r="M172" s="101" t="s">
        <v>1553</v>
      </c>
    </row>
    <row r="173" customFormat="false" ht="15" hidden="false" customHeight="true" outlineLevel="0" collapsed="false">
      <c r="A173" s="101" t="n">
        <v>172</v>
      </c>
      <c r="B173" s="100" t="n">
        <v>6</v>
      </c>
      <c r="C173" s="100" t="s">
        <v>857</v>
      </c>
      <c r="D173" s="101" t="s">
        <v>159</v>
      </c>
      <c r="E173" s="101" t="s">
        <v>1208</v>
      </c>
      <c r="F173" s="101" t="s">
        <v>1442</v>
      </c>
      <c r="G173" s="101"/>
      <c r="H173" s="101" t="s">
        <v>1554</v>
      </c>
      <c r="I173" s="101" t="s">
        <v>1550</v>
      </c>
      <c r="J173" s="101" t="s">
        <v>1565</v>
      </c>
      <c r="K173" s="100" t="s">
        <v>1566</v>
      </c>
      <c r="L173" s="101" t="n">
        <v>2022</v>
      </c>
      <c r="M173" s="101" t="s">
        <v>1553</v>
      </c>
    </row>
    <row r="174" customFormat="false" ht="15" hidden="false" customHeight="true" outlineLevel="0" collapsed="false">
      <c r="A174" s="101" t="n">
        <v>173</v>
      </c>
      <c r="B174" s="100" t="n">
        <v>7</v>
      </c>
      <c r="C174" s="100" t="s">
        <v>971</v>
      </c>
      <c r="D174" s="101" t="s">
        <v>159</v>
      </c>
      <c r="E174" s="101" t="s">
        <v>1208</v>
      </c>
      <c r="F174" s="101" t="s">
        <v>1208</v>
      </c>
      <c r="G174" s="101"/>
      <c r="H174" s="101" t="s">
        <v>1554</v>
      </c>
      <c r="I174" s="101" t="s">
        <v>1555</v>
      </c>
      <c r="J174" s="101" t="s">
        <v>1556</v>
      </c>
      <c r="K174" s="100" t="s">
        <v>1567</v>
      </c>
      <c r="L174" s="101" t="n">
        <v>2021</v>
      </c>
      <c r="M174" s="101" t="s">
        <v>1558</v>
      </c>
    </row>
    <row r="175" customFormat="false" ht="15" hidden="false" customHeight="true" outlineLevel="0" collapsed="false">
      <c r="A175" s="101" t="n">
        <v>174</v>
      </c>
      <c r="B175" s="100" t="n">
        <v>8</v>
      </c>
      <c r="C175" s="100" t="s">
        <v>856</v>
      </c>
      <c r="D175" s="101" t="s">
        <v>159</v>
      </c>
      <c r="E175" s="101" t="s">
        <v>1208</v>
      </c>
      <c r="F175" s="101" t="s">
        <v>1442</v>
      </c>
      <c r="G175" s="101"/>
      <c r="H175" s="101" t="s">
        <v>1554</v>
      </c>
      <c r="I175" s="101" t="s">
        <v>1550</v>
      </c>
      <c r="J175" s="101" t="s">
        <v>1565</v>
      </c>
      <c r="K175" s="100" t="s">
        <v>1568</v>
      </c>
      <c r="L175" s="101" t="n">
        <v>2022</v>
      </c>
      <c r="M175" s="101" t="s">
        <v>1553</v>
      </c>
    </row>
    <row r="176" customFormat="false" ht="15" hidden="false" customHeight="true" outlineLevel="0" collapsed="false">
      <c r="A176" s="101" t="n">
        <v>175</v>
      </c>
      <c r="B176" s="100" t="n">
        <v>9</v>
      </c>
      <c r="C176" s="100" t="s">
        <v>498</v>
      </c>
      <c r="D176" s="101" t="s">
        <v>159</v>
      </c>
      <c r="E176" s="101" t="s">
        <v>1204</v>
      </c>
      <c r="F176" s="101"/>
      <c r="G176" s="101"/>
      <c r="H176" s="101" t="s">
        <v>1569</v>
      </c>
      <c r="I176" s="101" t="s">
        <v>1570</v>
      </c>
      <c r="J176" s="101" t="s">
        <v>1571</v>
      </c>
      <c r="K176" s="100" t="s">
        <v>1572</v>
      </c>
      <c r="L176" s="101" t="n">
        <v>2026</v>
      </c>
      <c r="M176" s="101" t="s">
        <v>1558</v>
      </c>
    </row>
    <row r="177" customFormat="false" ht="15" hidden="false" customHeight="true" outlineLevel="0" collapsed="false">
      <c r="A177" s="101" t="n">
        <v>176</v>
      </c>
      <c r="B177" s="100" t="n">
        <v>10</v>
      </c>
      <c r="C177" s="100" t="s">
        <v>855</v>
      </c>
      <c r="D177" s="101" t="s">
        <v>159</v>
      </c>
      <c r="E177" s="101" t="s">
        <v>1208</v>
      </c>
      <c r="F177" s="101" t="s">
        <v>1442</v>
      </c>
      <c r="G177" s="101"/>
      <c r="H177" s="101" t="s">
        <v>1554</v>
      </c>
      <c r="I177" s="101" t="s">
        <v>1550</v>
      </c>
      <c r="J177" s="101" t="s">
        <v>1565</v>
      </c>
      <c r="K177" s="100" t="s">
        <v>1573</v>
      </c>
      <c r="L177" s="101" t="n">
        <v>2022</v>
      </c>
      <c r="M177" s="101" t="s">
        <v>1553</v>
      </c>
    </row>
    <row r="178" customFormat="false" ht="15" hidden="false" customHeight="true" outlineLevel="0" collapsed="false">
      <c r="A178" s="101" t="n">
        <v>177</v>
      </c>
      <c r="B178" s="100" t="n">
        <v>11</v>
      </c>
      <c r="C178" s="100" t="s">
        <v>497</v>
      </c>
      <c r="D178" s="101" t="s">
        <v>159</v>
      </c>
      <c r="E178" s="101" t="s">
        <v>1208</v>
      </c>
      <c r="F178" s="101"/>
      <c r="G178" s="101"/>
      <c r="H178" s="101" t="s">
        <v>1574</v>
      </c>
      <c r="I178" s="101" t="s">
        <v>1550</v>
      </c>
      <c r="J178" s="101" t="n">
        <v>980</v>
      </c>
      <c r="K178" s="100" t="s">
        <v>1575</v>
      </c>
      <c r="L178" s="101" t="n">
        <v>2026</v>
      </c>
      <c r="M178" s="101" t="s">
        <v>1553</v>
      </c>
    </row>
    <row r="179" customFormat="false" ht="15" hidden="false" customHeight="true" outlineLevel="0" collapsed="false">
      <c r="A179" s="101"/>
      <c r="B179" s="100"/>
      <c r="C179" s="100"/>
      <c r="D179" s="101"/>
      <c r="E179" s="101"/>
      <c r="F179" s="101"/>
      <c r="G179" s="101"/>
      <c r="H179" s="101"/>
      <c r="I179" s="101"/>
      <c r="J179" s="101"/>
      <c r="K179" s="100"/>
      <c r="L179" s="101"/>
      <c r="M179" s="101"/>
    </row>
    <row r="180" customFormat="false" ht="15" hidden="false" customHeight="true" outlineLevel="0" collapsed="false">
      <c r="A180" s="101"/>
      <c r="B180" s="100"/>
      <c r="C180" s="100"/>
      <c r="D180" s="101"/>
      <c r="E180" s="101"/>
      <c r="F180" s="101"/>
      <c r="G180" s="101"/>
      <c r="H180" s="101"/>
      <c r="I180" s="101"/>
      <c r="J180" s="101"/>
      <c r="K180" s="100"/>
      <c r="L180" s="101"/>
      <c r="M180" s="101"/>
    </row>
    <row r="181" customFormat="false" ht="15" hidden="false" customHeight="true" outlineLevel="0" collapsed="false">
      <c r="A181" s="101"/>
      <c r="B181" s="100"/>
      <c r="C181" s="100"/>
      <c r="D181" s="101"/>
      <c r="E181" s="101"/>
      <c r="F181" s="101"/>
      <c r="G181" s="101"/>
      <c r="H181" s="101"/>
      <c r="I181" s="101"/>
      <c r="J181" s="101"/>
      <c r="K181" s="100"/>
      <c r="L181" s="101"/>
      <c r="M181" s="101"/>
    </row>
    <row r="182" customFormat="false" ht="15" hidden="false" customHeight="true" outlineLevel="0" collapsed="false">
      <c r="A182" s="101"/>
      <c r="B182" s="100"/>
      <c r="C182" s="100"/>
      <c r="D182" s="101"/>
      <c r="E182" s="101"/>
      <c r="F182" s="101"/>
      <c r="G182" s="101"/>
      <c r="H182" s="101"/>
      <c r="I182" s="101"/>
      <c r="J182" s="101"/>
      <c r="K182" s="100"/>
      <c r="L182" s="101"/>
      <c r="M182" s="101"/>
    </row>
    <row r="183" customFormat="false" ht="15" hidden="false" customHeight="true" outlineLevel="0" collapsed="false">
      <c r="A183" s="101" t="n">
        <v>182</v>
      </c>
      <c r="B183" s="100" t="n">
        <v>16</v>
      </c>
      <c r="C183" s="100" t="s">
        <v>1576</v>
      </c>
      <c r="D183" s="101" t="s">
        <v>159</v>
      </c>
      <c r="E183" s="101" t="s">
        <v>1204</v>
      </c>
      <c r="F183" s="101" t="s">
        <v>1324</v>
      </c>
      <c r="G183" s="101" t="s">
        <v>1577</v>
      </c>
      <c r="H183" s="101" t="s">
        <v>1251</v>
      </c>
      <c r="I183" s="101" t="s">
        <v>1500</v>
      </c>
      <c r="J183" s="101" t="s">
        <v>1578</v>
      </c>
      <c r="K183" s="100" t="s">
        <v>1579</v>
      </c>
      <c r="L183" s="101" t="n">
        <v>2011</v>
      </c>
      <c r="M183" s="101" t="s">
        <v>1558</v>
      </c>
    </row>
    <row r="184" customFormat="false" ht="15" hidden="false" customHeight="true" outlineLevel="0" collapsed="false">
      <c r="A184" s="101" t="n">
        <v>183</v>
      </c>
      <c r="B184" s="100" t="n">
        <v>17</v>
      </c>
      <c r="C184" s="100" t="s">
        <v>1580</v>
      </c>
      <c r="D184" s="101" t="s">
        <v>159</v>
      </c>
      <c r="E184" s="101" t="s">
        <v>1213</v>
      </c>
      <c r="F184" s="101" t="s">
        <v>1468</v>
      </c>
      <c r="G184" s="101" t="s">
        <v>1581</v>
      </c>
      <c r="H184" s="101" t="s">
        <v>1235</v>
      </c>
      <c r="I184" s="101" t="s">
        <v>1505</v>
      </c>
      <c r="J184" s="101" t="s">
        <v>1582</v>
      </c>
      <c r="K184" s="100" t="s">
        <v>1583</v>
      </c>
      <c r="L184" s="101" t="n">
        <v>2018</v>
      </c>
      <c r="M184" s="101" t="s">
        <v>1553</v>
      </c>
    </row>
    <row r="185" customFormat="false" ht="15" hidden="false" customHeight="true" outlineLevel="0" collapsed="false">
      <c r="A185" s="101"/>
      <c r="B185" s="100"/>
      <c r="C185" s="100"/>
      <c r="D185" s="101"/>
      <c r="E185" s="101"/>
      <c r="F185" s="101"/>
      <c r="G185" s="101"/>
      <c r="H185" s="101"/>
      <c r="I185" s="101"/>
      <c r="J185" s="101"/>
      <c r="K185" s="100"/>
      <c r="L185" s="101"/>
      <c r="M185" s="101"/>
    </row>
    <row r="186" customFormat="false" ht="15" hidden="false" customHeight="true" outlineLevel="0" collapsed="false">
      <c r="A186" s="101"/>
      <c r="B186" s="100"/>
      <c r="C186" s="100"/>
      <c r="D186" s="101"/>
      <c r="E186" s="101"/>
      <c r="F186" s="101"/>
      <c r="G186" s="101"/>
      <c r="H186" s="101"/>
      <c r="I186" s="101"/>
      <c r="J186" s="101"/>
      <c r="K186" s="100"/>
      <c r="L186" s="101"/>
      <c r="M186" s="101"/>
    </row>
    <row r="187" customFormat="false" ht="15" hidden="false" customHeight="true" outlineLevel="0" collapsed="false">
      <c r="A187" s="101"/>
      <c r="B187" s="100"/>
      <c r="C187" s="100"/>
      <c r="D187" s="101"/>
      <c r="E187" s="101"/>
      <c r="F187" s="101"/>
      <c r="G187" s="101"/>
      <c r="H187" s="101"/>
      <c r="I187" s="101"/>
      <c r="J187" s="101"/>
      <c r="K187" s="100"/>
      <c r="L187" s="101"/>
      <c r="M187" s="101"/>
    </row>
    <row r="188" customFormat="false" ht="15" hidden="false" customHeight="true" outlineLevel="0" collapsed="false">
      <c r="A188" s="101" t="n">
        <v>187</v>
      </c>
      <c r="B188" s="100" t="n">
        <v>21</v>
      </c>
      <c r="C188" s="100" t="s">
        <v>854</v>
      </c>
      <c r="D188" s="101" t="s">
        <v>159</v>
      </c>
      <c r="E188" s="101" t="s">
        <v>1208</v>
      </c>
      <c r="F188" s="101" t="s">
        <v>1442</v>
      </c>
      <c r="G188" s="101" t="s">
        <v>1240</v>
      </c>
      <c r="H188" s="101" t="s">
        <v>1251</v>
      </c>
      <c r="I188" s="101" t="s">
        <v>1550</v>
      </c>
      <c r="J188" s="101" t="s">
        <v>1551</v>
      </c>
      <c r="K188" s="100" t="s">
        <v>1584</v>
      </c>
      <c r="L188" s="101" t="n">
        <v>2007</v>
      </c>
      <c r="M188" s="101" t="s">
        <v>1553</v>
      </c>
    </row>
    <row r="189" customFormat="false" ht="15" hidden="false" customHeight="true" outlineLevel="0" collapsed="false">
      <c r="A189" s="101" t="n">
        <v>188</v>
      </c>
      <c r="B189" s="100" t="n">
        <v>22</v>
      </c>
      <c r="C189" s="100" t="s">
        <v>853</v>
      </c>
      <c r="D189" s="101" t="s">
        <v>159</v>
      </c>
      <c r="E189" s="101" t="s">
        <v>1196</v>
      </c>
      <c r="F189" s="101" t="s">
        <v>1196</v>
      </c>
      <c r="G189" s="101"/>
      <c r="H189" s="101" t="s">
        <v>1251</v>
      </c>
      <c r="I189" s="101" t="s">
        <v>1585</v>
      </c>
      <c r="J189" s="101" t="s">
        <v>1586</v>
      </c>
      <c r="K189" s="100" t="s">
        <v>1587</v>
      </c>
      <c r="L189" s="101" t="n">
        <v>2025</v>
      </c>
      <c r="M189" s="101"/>
    </row>
    <row r="190" customFormat="false" ht="15" hidden="false" customHeight="true" outlineLevel="0" collapsed="false">
      <c r="A190" s="101"/>
      <c r="B190" s="100"/>
      <c r="C190" s="100"/>
      <c r="D190" s="101"/>
      <c r="E190" s="101"/>
      <c r="F190" s="101"/>
      <c r="G190" s="101"/>
      <c r="H190" s="101"/>
      <c r="I190" s="101"/>
      <c r="J190" s="101"/>
      <c r="K190" s="100"/>
      <c r="L190" s="101"/>
      <c r="M190" s="101"/>
    </row>
    <row r="191" customFormat="false" ht="15" hidden="false" customHeight="true" outlineLevel="0" collapsed="false">
      <c r="A191" s="101"/>
      <c r="B191" s="100"/>
      <c r="C191" s="100"/>
      <c r="D191" s="101"/>
      <c r="E191" s="101"/>
      <c r="F191" s="101"/>
      <c r="G191" s="101"/>
      <c r="H191" s="101"/>
      <c r="I191" s="101"/>
      <c r="J191" s="101"/>
      <c r="K191" s="100"/>
      <c r="L191" s="101"/>
      <c r="M191" s="101"/>
    </row>
    <row r="192" customFormat="false" ht="15" hidden="false" customHeight="true" outlineLevel="0" collapsed="false">
      <c r="A192" s="101" t="n">
        <v>191</v>
      </c>
      <c r="B192" s="100" t="n">
        <v>25</v>
      </c>
      <c r="C192" s="100" t="s">
        <v>852</v>
      </c>
      <c r="D192" s="101" t="s">
        <v>159</v>
      </c>
      <c r="E192" s="101" t="s">
        <v>1208</v>
      </c>
      <c r="F192" s="101" t="s">
        <v>1442</v>
      </c>
      <c r="G192" s="101" t="s">
        <v>1240</v>
      </c>
      <c r="H192" s="101" t="s">
        <v>1251</v>
      </c>
      <c r="I192" s="101" t="s">
        <v>1550</v>
      </c>
      <c r="J192" s="101" t="n">
        <v>840</v>
      </c>
      <c r="K192" s="100" t="s">
        <v>1588</v>
      </c>
      <c r="L192" s="101" t="n">
        <v>2007</v>
      </c>
      <c r="M192" s="101" t="s">
        <v>1553</v>
      </c>
    </row>
    <row r="193" customFormat="false" ht="15" hidden="false" customHeight="true" outlineLevel="0" collapsed="false">
      <c r="A193" s="101" t="n">
        <v>192</v>
      </c>
      <c r="B193" s="100" t="n">
        <v>26</v>
      </c>
      <c r="C193" s="100" t="s">
        <v>851</v>
      </c>
      <c r="D193" s="101" t="s">
        <v>159</v>
      </c>
      <c r="E193" s="101" t="s">
        <v>1208</v>
      </c>
      <c r="F193" s="101" t="s">
        <v>1442</v>
      </c>
      <c r="G193" s="101" t="s">
        <v>1240</v>
      </c>
      <c r="H193" s="101" t="s">
        <v>1251</v>
      </c>
      <c r="I193" s="101" t="s">
        <v>1550</v>
      </c>
      <c r="J193" s="101" t="n">
        <v>840</v>
      </c>
      <c r="K193" s="100" t="s">
        <v>1589</v>
      </c>
      <c r="L193" s="101" t="n">
        <v>2007</v>
      </c>
      <c r="M193" s="101" t="s">
        <v>1553</v>
      </c>
    </row>
    <row r="194" customFormat="false" ht="15" hidden="false" customHeight="true" outlineLevel="0" collapsed="false">
      <c r="A194" s="101"/>
      <c r="B194" s="100"/>
      <c r="C194" s="100"/>
      <c r="D194" s="101"/>
      <c r="E194" s="101"/>
      <c r="F194" s="101"/>
      <c r="G194" s="101"/>
      <c r="H194" s="101"/>
      <c r="I194" s="101"/>
      <c r="J194" s="101"/>
      <c r="K194" s="100"/>
      <c r="L194" s="101"/>
      <c r="M194" s="101"/>
    </row>
    <row r="195" customFormat="false" ht="15" hidden="false" customHeight="true" outlineLevel="0" collapsed="false">
      <c r="A195" s="101" t="n">
        <v>194</v>
      </c>
      <c r="B195" s="100" t="n">
        <v>28</v>
      </c>
      <c r="C195" s="100" t="s">
        <v>970</v>
      </c>
      <c r="D195" s="101" t="s">
        <v>1590</v>
      </c>
      <c r="E195" s="101" t="s">
        <v>1467</v>
      </c>
      <c r="F195" s="101" t="s">
        <v>1468</v>
      </c>
      <c r="G195" s="101" t="s">
        <v>1591</v>
      </c>
      <c r="H195" s="101" t="s">
        <v>1251</v>
      </c>
      <c r="I195" s="101" t="s">
        <v>1592</v>
      </c>
      <c r="J195" s="101" t="s">
        <v>1593</v>
      </c>
      <c r="K195" s="100" t="s">
        <v>1594</v>
      </c>
      <c r="L195" s="101" t="n">
        <v>2008</v>
      </c>
      <c r="M195" s="101" t="s">
        <v>1553</v>
      </c>
    </row>
    <row r="196" customFormat="false" ht="15" hidden="false" customHeight="true" outlineLevel="0" collapsed="false">
      <c r="A196" s="101" t="n">
        <v>195</v>
      </c>
      <c r="B196" s="100" t="n">
        <v>29</v>
      </c>
      <c r="C196" s="100" t="s">
        <v>189</v>
      </c>
      <c r="D196" s="101" t="s">
        <v>159</v>
      </c>
      <c r="E196" s="101" t="s">
        <v>1204</v>
      </c>
      <c r="F196" s="101" t="s">
        <v>1324</v>
      </c>
      <c r="G196" s="101" t="s">
        <v>1595</v>
      </c>
      <c r="H196" s="101" t="s">
        <v>1251</v>
      </c>
      <c r="I196" s="101" t="s">
        <v>1505</v>
      </c>
      <c r="J196" s="101" t="s">
        <v>1596</v>
      </c>
      <c r="K196" s="100" t="s">
        <v>188</v>
      </c>
      <c r="L196" s="101" t="n">
        <v>2020</v>
      </c>
      <c r="M196" s="101" t="s">
        <v>1553</v>
      </c>
    </row>
    <row r="197" customFormat="false" ht="15" hidden="false" customHeight="true" outlineLevel="0" collapsed="false">
      <c r="A197" s="101" t="n">
        <v>196</v>
      </c>
      <c r="B197" s="100" t="n">
        <v>30</v>
      </c>
      <c r="C197" s="100" t="s">
        <v>969</v>
      </c>
      <c r="D197" s="101" t="s">
        <v>159</v>
      </c>
      <c r="E197" s="101" t="s">
        <v>1204</v>
      </c>
      <c r="F197" s="101" t="s">
        <v>1324</v>
      </c>
      <c r="G197" s="101"/>
      <c r="H197" s="101" t="s">
        <v>1554</v>
      </c>
      <c r="I197" s="101" t="s">
        <v>1555</v>
      </c>
      <c r="J197" s="101" t="s">
        <v>1597</v>
      </c>
      <c r="K197" s="100" t="s">
        <v>1598</v>
      </c>
      <c r="L197" s="101" t="n">
        <v>2021</v>
      </c>
      <c r="M197" s="101" t="s">
        <v>1553</v>
      </c>
    </row>
    <row r="198" customFormat="false" ht="15" hidden="false" customHeight="true" outlineLevel="0" collapsed="false">
      <c r="A198" s="101"/>
      <c r="B198" s="100"/>
      <c r="C198" s="100"/>
      <c r="D198" s="101"/>
      <c r="E198" s="101"/>
      <c r="F198" s="101"/>
      <c r="G198" s="101"/>
      <c r="H198" s="101"/>
      <c r="I198" s="101"/>
      <c r="J198" s="101"/>
      <c r="K198" s="100"/>
      <c r="L198" s="101"/>
      <c r="M198" s="101"/>
    </row>
    <row r="199" customFormat="false" ht="15" hidden="false" customHeight="true" outlineLevel="0" collapsed="false">
      <c r="A199" s="101" t="n">
        <v>198</v>
      </c>
      <c r="B199" s="100" t="n">
        <v>32</v>
      </c>
      <c r="C199" s="100" t="s">
        <v>850</v>
      </c>
      <c r="D199" s="101" t="s">
        <v>159</v>
      </c>
      <c r="E199" s="101" t="s">
        <v>1467</v>
      </c>
      <c r="F199" s="101" t="s">
        <v>1468</v>
      </c>
      <c r="G199" s="101" t="s">
        <v>1591</v>
      </c>
      <c r="H199" s="101" t="s">
        <v>1251</v>
      </c>
      <c r="I199" s="101" t="s">
        <v>1599</v>
      </c>
      <c r="J199" s="101" t="s">
        <v>1600</v>
      </c>
      <c r="K199" s="100" t="s">
        <v>1601</v>
      </c>
      <c r="L199" s="101" t="n">
        <v>2004</v>
      </c>
      <c r="M199" s="101" t="s">
        <v>1553</v>
      </c>
    </row>
    <row r="200" customFormat="false" ht="15" hidden="false" customHeight="true" outlineLevel="0" collapsed="false">
      <c r="A200" s="101" t="n">
        <v>199</v>
      </c>
      <c r="B200" s="100" t="n">
        <v>33</v>
      </c>
      <c r="C200" s="100" t="s">
        <v>849</v>
      </c>
      <c r="D200" s="101" t="s">
        <v>159</v>
      </c>
      <c r="E200" s="101" t="s">
        <v>1467</v>
      </c>
      <c r="F200" s="101" t="s">
        <v>1468</v>
      </c>
      <c r="G200" s="101" t="s">
        <v>1591</v>
      </c>
      <c r="H200" s="101" t="s">
        <v>1251</v>
      </c>
      <c r="I200" s="101" t="s">
        <v>1599</v>
      </c>
      <c r="J200" s="101" t="s">
        <v>1600</v>
      </c>
      <c r="K200" s="100" t="s">
        <v>1602</v>
      </c>
      <c r="L200" s="101" t="n">
        <v>2005</v>
      </c>
      <c r="M200" s="101" t="s">
        <v>1553</v>
      </c>
    </row>
    <row r="201" customFormat="false" ht="15" hidden="false" customHeight="true" outlineLevel="0" collapsed="false">
      <c r="A201" s="101"/>
      <c r="B201" s="100"/>
      <c r="C201" s="100"/>
      <c r="D201" s="101"/>
      <c r="E201" s="101"/>
      <c r="F201" s="101"/>
      <c r="G201" s="101"/>
      <c r="H201" s="101"/>
      <c r="I201" s="101"/>
      <c r="J201" s="101"/>
      <c r="K201" s="100"/>
      <c r="L201" s="101"/>
      <c r="M201" s="101"/>
    </row>
    <row r="202" customFormat="false" ht="15" hidden="false" customHeight="true" outlineLevel="0" collapsed="false">
      <c r="A202" s="101" t="n">
        <v>201</v>
      </c>
      <c r="B202" s="100" t="n">
        <v>35</v>
      </c>
      <c r="C202" s="100" t="s">
        <v>848</v>
      </c>
      <c r="D202" s="101" t="s">
        <v>159</v>
      </c>
      <c r="E202" s="101" t="s">
        <v>1467</v>
      </c>
      <c r="F202" s="101" t="s">
        <v>1468</v>
      </c>
      <c r="G202" s="101" t="s">
        <v>1591</v>
      </c>
      <c r="H202" s="101" t="s">
        <v>1251</v>
      </c>
      <c r="I202" s="101" t="s">
        <v>1599</v>
      </c>
      <c r="J202" s="101" t="s">
        <v>1603</v>
      </c>
      <c r="K202" s="100" t="s">
        <v>1604</v>
      </c>
      <c r="L202" s="101" t="n">
        <v>2005</v>
      </c>
      <c r="M202" s="101" t="s">
        <v>1553</v>
      </c>
    </row>
    <row r="203" customFormat="false" ht="15" hidden="false" customHeight="true" outlineLevel="0" collapsed="false">
      <c r="A203" s="101"/>
      <c r="B203" s="100"/>
      <c r="C203" s="100"/>
      <c r="D203" s="101"/>
      <c r="E203" s="101"/>
      <c r="F203" s="101"/>
      <c r="G203" s="101"/>
      <c r="H203" s="101"/>
      <c r="I203" s="101"/>
      <c r="J203" s="101"/>
      <c r="K203" s="100"/>
      <c r="L203" s="101"/>
      <c r="M203" s="101"/>
    </row>
    <row r="204" customFormat="false" ht="15" hidden="false" customHeight="true" outlineLevel="0" collapsed="false">
      <c r="A204" s="101" t="n">
        <v>203</v>
      </c>
      <c r="B204" s="100" t="n">
        <v>37</v>
      </c>
      <c r="C204" s="100" t="s">
        <v>847</v>
      </c>
      <c r="D204" s="101" t="s">
        <v>159</v>
      </c>
      <c r="E204" s="101" t="s">
        <v>1213</v>
      </c>
      <c r="F204" s="101" t="s">
        <v>1213</v>
      </c>
      <c r="G204" s="101" t="s">
        <v>1605</v>
      </c>
      <c r="H204" s="101" t="s">
        <v>1606</v>
      </c>
      <c r="I204" s="101" t="s">
        <v>1607</v>
      </c>
      <c r="J204" s="101" t="s">
        <v>1608</v>
      </c>
      <c r="K204" s="100" t="s">
        <v>1609</v>
      </c>
      <c r="L204" s="101" t="n">
        <v>2020</v>
      </c>
      <c r="M204" s="101" t="s">
        <v>1561</v>
      </c>
    </row>
    <row r="205" customFormat="false" ht="15" hidden="false" customHeight="true" outlineLevel="0" collapsed="false">
      <c r="A205" s="101" t="n">
        <v>204</v>
      </c>
      <c r="B205" s="100" t="n">
        <v>38</v>
      </c>
      <c r="C205" s="100" t="s">
        <v>1610</v>
      </c>
      <c r="D205" s="101" t="s">
        <v>159</v>
      </c>
      <c r="E205" s="101" t="s">
        <v>1467</v>
      </c>
      <c r="F205" s="101" t="s">
        <v>1468</v>
      </c>
      <c r="G205" s="101" t="s">
        <v>1581</v>
      </c>
      <c r="H205" s="101" t="s">
        <v>1235</v>
      </c>
      <c r="I205" s="101" t="s">
        <v>1505</v>
      </c>
      <c r="J205" s="101" t="s">
        <v>1582</v>
      </c>
      <c r="K205" s="100" t="s">
        <v>1611</v>
      </c>
      <c r="L205" s="101" t="n">
        <v>2018</v>
      </c>
      <c r="M205" s="101" t="s">
        <v>1553</v>
      </c>
    </row>
    <row r="206" customFormat="false" ht="15" hidden="false" customHeight="true" outlineLevel="0" collapsed="false">
      <c r="A206" s="101" t="n">
        <v>205</v>
      </c>
      <c r="B206" s="100" t="n">
        <v>39</v>
      </c>
      <c r="C206" s="100" t="s">
        <v>1612</v>
      </c>
      <c r="D206" s="101" t="s">
        <v>159</v>
      </c>
      <c r="E206" s="101" t="s">
        <v>1467</v>
      </c>
      <c r="F206" s="101" t="s">
        <v>1468</v>
      </c>
      <c r="G206" s="101" t="s">
        <v>1581</v>
      </c>
      <c r="H206" s="101" t="s">
        <v>1235</v>
      </c>
      <c r="I206" s="101" t="s">
        <v>1505</v>
      </c>
      <c r="J206" s="101" t="s">
        <v>1582</v>
      </c>
      <c r="K206" s="100" t="s">
        <v>1613</v>
      </c>
      <c r="L206" s="101" t="n">
        <v>2018</v>
      </c>
      <c r="M206" s="101" t="s">
        <v>1553</v>
      </c>
    </row>
    <row r="207" customFormat="false" ht="15" hidden="false" customHeight="true" outlineLevel="0" collapsed="false">
      <c r="A207" s="101" t="n">
        <v>206</v>
      </c>
      <c r="B207" s="100" t="n">
        <v>40</v>
      </c>
      <c r="C207" s="100" t="s">
        <v>1614</v>
      </c>
      <c r="D207" s="101" t="s">
        <v>159</v>
      </c>
      <c r="E207" s="101" t="s">
        <v>1467</v>
      </c>
      <c r="F207" s="101" t="s">
        <v>1468</v>
      </c>
      <c r="G207" s="101" t="s">
        <v>1581</v>
      </c>
      <c r="H207" s="101" t="s">
        <v>1235</v>
      </c>
      <c r="I207" s="101" t="s">
        <v>1505</v>
      </c>
      <c r="J207" s="101" t="s">
        <v>1582</v>
      </c>
      <c r="K207" s="100" t="s">
        <v>1615</v>
      </c>
      <c r="L207" s="101" t="n">
        <v>2018</v>
      </c>
      <c r="M207" s="101" t="s">
        <v>1553</v>
      </c>
    </row>
    <row r="208" customFormat="false" ht="15" hidden="false" customHeight="true" outlineLevel="0" collapsed="false">
      <c r="A208" s="101" t="n">
        <v>207</v>
      </c>
      <c r="B208" s="100" t="n">
        <v>41</v>
      </c>
      <c r="C208" s="100" t="s">
        <v>1616</v>
      </c>
      <c r="D208" s="101" t="s">
        <v>159</v>
      </c>
      <c r="E208" s="101" t="s">
        <v>1213</v>
      </c>
      <c r="F208" s="101" t="s">
        <v>1468</v>
      </c>
      <c r="G208" s="101" t="s">
        <v>1581</v>
      </c>
      <c r="H208" s="101" t="s">
        <v>1235</v>
      </c>
      <c r="I208" s="101" t="s">
        <v>1505</v>
      </c>
      <c r="J208" s="101" t="s">
        <v>1582</v>
      </c>
      <c r="K208" s="100" t="s">
        <v>1617</v>
      </c>
      <c r="L208" s="101" t="n">
        <v>2018</v>
      </c>
      <c r="M208" s="101" t="s">
        <v>1553</v>
      </c>
    </row>
    <row r="209" customFormat="false" ht="15" hidden="false" customHeight="true" outlineLevel="0" collapsed="false">
      <c r="A209" s="101" t="n">
        <v>208</v>
      </c>
      <c r="B209" s="100" t="n">
        <v>42</v>
      </c>
      <c r="C209" s="100" t="s">
        <v>1618</v>
      </c>
      <c r="D209" s="101" t="s">
        <v>159</v>
      </c>
      <c r="E209" s="101" t="s">
        <v>1213</v>
      </c>
      <c r="F209" s="101" t="s">
        <v>1468</v>
      </c>
      <c r="G209" s="101" t="s">
        <v>1581</v>
      </c>
      <c r="H209" s="101" t="s">
        <v>1235</v>
      </c>
      <c r="I209" s="101" t="s">
        <v>1505</v>
      </c>
      <c r="J209" s="101" t="s">
        <v>1582</v>
      </c>
      <c r="K209" s="100" t="s">
        <v>1619</v>
      </c>
      <c r="L209" s="101" t="n">
        <v>2018</v>
      </c>
      <c r="M209" s="101" t="s">
        <v>1553</v>
      </c>
    </row>
    <row r="210" customFormat="false" ht="15" hidden="false" customHeight="true" outlineLevel="0" collapsed="false">
      <c r="A210" s="101" t="n">
        <v>209</v>
      </c>
      <c r="B210" s="100" t="n">
        <v>43</v>
      </c>
      <c r="C210" s="100" t="s">
        <v>1620</v>
      </c>
      <c r="D210" s="101" t="s">
        <v>159</v>
      </c>
      <c r="E210" s="101" t="s">
        <v>1213</v>
      </c>
      <c r="F210" s="101" t="s">
        <v>1468</v>
      </c>
      <c r="G210" s="101" t="s">
        <v>1581</v>
      </c>
      <c r="H210" s="101" t="s">
        <v>1235</v>
      </c>
      <c r="I210" s="101" t="s">
        <v>1505</v>
      </c>
      <c r="J210" s="101" t="s">
        <v>1582</v>
      </c>
      <c r="K210" s="100" t="s">
        <v>1621</v>
      </c>
      <c r="L210" s="101" t="n">
        <v>2018</v>
      </c>
      <c r="M210" s="101" t="s">
        <v>1553</v>
      </c>
    </row>
    <row r="211" customFormat="false" ht="15" hidden="false" customHeight="true" outlineLevel="0" collapsed="false">
      <c r="A211" s="101" t="n">
        <v>210</v>
      </c>
      <c r="B211" s="100" t="n">
        <v>44</v>
      </c>
      <c r="C211" s="100" t="s">
        <v>650</v>
      </c>
      <c r="D211" s="101" t="s">
        <v>159</v>
      </c>
      <c r="E211" s="101" t="s">
        <v>1204</v>
      </c>
      <c r="F211" s="101" t="s">
        <v>1324</v>
      </c>
      <c r="G211" s="101" t="s">
        <v>1562</v>
      </c>
      <c r="H211" s="101" t="s">
        <v>1251</v>
      </c>
      <c r="I211" s="101" t="s">
        <v>1500</v>
      </c>
      <c r="J211" s="101" t="s">
        <v>1622</v>
      </c>
      <c r="K211" s="100" t="s">
        <v>1623</v>
      </c>
      <c r="L211" s="101" t="n">
        <v>2007</v>
      </c>
      <c r="M211" s="101" t="s">
        <v>1561</v>
      </c>
    </row>
    <row r="212" customFormat="false" ht="15" hidden="false" customHeight="true" outlineLevel="0" collapsed="false">
      <c r="A212" s="101" t="n">
        <v>211</v>
      </c>
      <c r="B212" s="100" t="n">
        <v>45</v>
      </c>
      <c r="C212" s="100" t="s">
        <v>1624</v>
      </c>
      <c r="D212" s="101" t="s">
        <v>159</v>
      </c>
      <c r="E212" s="101" t="s">
        <v>1175</v>
      </c>
      <c r="F212" s="101" t="s">
        <v>1233</v>
      </c>
      <c r="G212" s="101"/>
      <c r="H212" s="101" t="s">
        <v>1251</v>
      </c>
      <c r="I212" s="101" t="s">
        <v>1500</v>
      </c>
      <c r="J212" s="101" t="s">
        <v>1625</v>
      </c>
      <c r="K212" s="100" t="s">
        <v>1626</v>
      </c>
      <c r="L212" s="101" t="n">
        <v>2012</v>
      </c>
      <c r="M212" s="101" t="s">
        <v>1553</v>
      </c>
    </row>
    <row r="213" customFormat="false" ht="15" hidden="false" customHeight="true" outlineLevel="0" collapsed="false">
      <c r="A213" s="101" t="n">
        <v>212</v>
      </c>
      <c r="B213" s="100" t="n">
        <v>46</v>
      </c>
      <c r="C213" s="100" t="s">
        <v>968</v>
      </c>
      <c r="D213" s="101" t="s">
        <v>1590</v>
      </c>
      <c r="E213" s="101" t="s">
        <v>1175</v>
      </c>
      <c r="F213" s="101" t="s">
        <v>1233</v>
      </c>
      <c r="G213" s="101"/>
      <c r="H213" s="101" t="s">
        <v>1251</v>
      </c>
      <c r="I213" s="101" t="s">
        <v>1592</v>
      </c>
      <c r="J213" s="101" t="s">
        <v>1627</v>
      </c>
      <c r="K213" s="100" t="s">
        <v>1628</v>
      </c>
      <c r="L213" s="101" t="n">
        <v>2004</v>
      </c>
      <c r="M213" s="101" t="s">
        <v>1553</v>
      </c>
    </row>
    <row r="214" customFormat="false" ht="15" hidden="false" customHeight="true" outlineLevel="0" collapsed="false">
      <c r="A214" s="101" t="n">
        <v>213</v>
      </c>
      <c r="B214" s="100" t="n">
        <v>47</v>
      </c>
      <c r="C214" s="100" t="s">
        <v>967</v>
      </c>
      <c r="D214" s="101" t="s">
        <v>1590</v>
      </c>
      <c r="E214" s="101" t="s">
        <v>1213</v>
      </c>
      <c r="F214" s="101" t="s">
        <v>1468</v>
      </c>
      <c r="G214" s="101" t="s">
        <v>1591</v>
      </c>
      <c r="H214" s="101" t="s">
        <v>1251</v>
      </c>
      <c r="I214" s="101" t="s">
        <v>1592</v>
      </c>
      <c r="J214" s="101" t="s">
        <v>1629</v>
      </c>
      <c r="K214" s="100" t="s">
        <v>1630</v>
      </c>
      <c r="L214" s="101" t="n">
        <v>2007</v>
      </c>
      <c r="M214" s="101" t="s">
        <v>1553</v>
      </c>
    </row>
    <row r="215" customFormat="false" ht="15" hidden="false" customHeight="true" outlineLevel="0" collapsed="false">
      <c r="A215" s="101" t="n">
        <v>214</v>
      </c>
      <c r="B215" s="100" t="n">
        <v>48</v>
      </c>
      <c r="C215" s="100" t="s">
        <v>846</v>
      </c>
      <c r="D215" s="101" t="s">
        <v>159</v>
      </c>
      <c r="E215" s="101" t="s">
        <v>1213</v>
      </c>
      <c r="F215" s="101" t="s">
        <v>1213</v>
      </c>
      <c r="G215" s="101" t="s">
        <v>1605</v>
      </c>
      <c r="H215" s="101" t="s">
        <v>1606</v>
      </c>
      <c r="I215" s="101" t="s">
        <v>1607</v>
      </c>
      <c r="J215" s="101" t="s">
        <v>1608</v>
      </c>
      <c r="K215" s="100" t="s">
        <v>1631</v>
      </c>
      <c r="L215" s="101" t="n">
        <v>2020</v>
      </c>
      <c r="M215" s="101" t="s">
        <v>1561</v>
      </c>
    </row>
    <row r="216" customFormat="false" ht="15" hidden="false" customHeight="true" outlineLevel="0" collapsed="false">
      <c r="A216" s="101" t="n">
        <v>215</v>
      </c>
      <c r="B216" s="100" t="n">
        <v>49</v>
      </c>
      <c r="C216" s="100" t="s">
        <v>845</v>
      </c>
      <c r="D216" s="101" t="s">
        <v>159</v>
      </c>
      <c r="E216" s="101" t="s">
        <v>1221</v>
      </c>
      <c r="F216" s="101" t="s">
        <v>1222</v>
      </c>
      <c r="G216" s="101" t="s">
        <v>1465</v>
      </c>
      <c r="H216" s="101" t="s">
        <v>1606</v>
      </c>
      <c r="I216" s="101" t="s">
        <v>1607</v>
      </c>
      <c r="J216" s="101" t="s">
        <v>1608</v>
      </c>
      <c r="K216" s="100" t="s">
        <v>1632</v>
      </c>
      <c r="L216" s="101" t="n">
        <v>2020</v>
      </c>
      <c r="M216" s="101" t="s">
        <v>1561</v>
      </c>
    </row>
    <row r="217" customFormat="false" ht="15" hidden="false" customHeight="true" outlineLevel="0" collapsed="false">
      <c r="A217" s="101" t="n">
        <v>216</v>
      </c>
      <c r="B217" s="100" t="n">
        <v>50</v>
      </c>
      <c r="C217" s="100" t="s">
        <v>1068</v>
      </c>
      <c r="D217" s="101" t="s">
        <v>159</v>
      </c>
      <c r="E217" s="101" t="s">
        <v>1215</v>
      </c>
      <c r="F217" s="101" t="s">
        <v>1215</v>
      </c>
      <c r="G217" s="101" t="s">
        <v>1633</v>
      </c>
      <c r="H217" s="101" t="s">
        <v>1634</v>
      </c>
      <c r="I217" s="101" t="s">
        <v>1505</v>
      </c>
      <c r="J217" s="101" t="s">
        <v>1622</v>
      </c>
      <c r="K217" s="100" t="s">
        <v>1635</v>
      </c>
      <c r="L217" s="101" t="n">
        <v>2019</v>
      </c>
      <c r="M217" s="101" t="s">
        <v>1561</v>
      </c>
    </row>
    <row r="218" customFormat="false" ht="15" hidden="false" customHeight="true" outlineLevel="0" collapsed="false">
      <c r="A218" s="101" t="n">
        <v>217</v>
      </c>
      <c r="B218" s="100" t="n">
        <v>51</v>
      </c>
      <c r="C218" s="100" t="s">
        <v>844</v>
      </c>
      <c r="D218" s="101" t="s">
        <v>159</v>
      </c>
      <c r="E218" s="101" t="s">
        <v>1208</v>
      </c>
      <c r="F218" s="101" t="s">
        <v>1442</v>
      </c>
      <c r="G218" s="101" t="s">
        <v>1240</v>
      </c>
      <c r="H218" s="101" t="s">
        <v>1251</v>
      </c>
      <c r="I218" s="101" t="s">
        <v>1607</v>
      </c>
      <c r="J218" s="101" t="s">
        <v>1636</v>
      </c>
      <c r="K218" s="100" t="s">
        <v>1637</v>
      </c>
      <c r="L218" s="101" t="n">
        <v>2019</v>
      </c>
      <c r="M218" s="101" t="s">
        <v>1561</v>
      </c>
    </row>
    <row r="219" customFormat="false" ht="15" hidden="false" customHeight="true" outlineLevel="0" collapsed="false">
      <c r="A219" s="101" t="n">
        <v>218</v>
      </c>
      <c r="B219" s="100" t="n">
        <v>52</v>
      </c>
      <c r="C219" s="100" t="s">
        <v>843</v>
      </c>
      <c r="D219" s="101" t="s">
        <v>159</v>
      </c>
      <c r="E219" s="101" t="s">
        <v>1215</v>
      </c>
      <c r="F219" s="101" t="s">
        <v>1215</v>
      </c>
      <c r="G219" s="101" t="s">
        <v>1633</v>
      </c>
      <c r="H219" s="101" t="s">
        <v>1606</v>
      </c>
      <c r="I219" s="101" t="s">
        <v>1607</v>
      </c>
      <c r="J219" s="101" t="s">
        <v>1608</v>
      </c>
      <c r="K219" s="100" t="s">
        <v>1638</v>
      </c>
      <c r="L219" s="101" t="n">
        <v>2020</v>
      </c>
      <c r="M219" s="101" t="s">
        <v>1561</v>
      </c>
    </row>
    <row r="220" customFormat="false" ht="15" hidden="false" customHeight="true" outlineLevel="0" collapsed="false">
      <c r="A220" s="101" t="n">
        <v>219</v>
      </c>
      <c r="B220" s="100" t="n">
        <v>53</v>
      </c>
      <c r="C220" s="100" t="s">
        <v>1006</v>
      </c>
      <c r="D220" s="101" t="s">
        <v>159</v>
      </c>
      <c r="E220" s="101" t="s">
        <v>1175</v>
      </c>
      <c r="F220" s="101" t="s">
        <v>1233</v>
      </c>
      <c r="G220" s="101"/>
      <c r="H220" s="101" t="s">
        <v>1235</v>
      </c>
      <c r="I220" s="101" t="s">
        <v>1505</v>
      </c>
      <c r="J220" s="101" t="s">
        <v>1625</v>
      </c>
      <c r="K220" s="100" t="s">
        <v>1639</v>
      </c>
      <c r="L220" s="101" t="n">
        <v>2018</v>
      </c>
      <c r="M220" s="101" t="s">
        <v>1553</v>
      </c>
    </row>
    <row r="221" customFormat="false" ht="15" hidden="false" customHeight="true" outlineLevel="0" collapsed="false">
      <c r="A221" s="101" t="n">
        <v>220</v>
      </c>
      <c r="B221" s="100" t="n">
        <v>54</v>
      </c>
      <c r="C221" s="100" t="s">
        <v>842</v>
      </c>
      <c r="D221" s="101" t="s">
        <v>159</v>
      </c>
      <c r="E221" s="101" t="s">
        <v>1213</v>
      </c>
      <c r="F221" s="101" t="s">
        <v>1213</v>
      </c>
      <c r="G221" s="101" t="s">
        <v>1605</v>
      </c>
      <c r="H221" s="101" t="s">
        <v>1606</v>
      </c>
      <c r="I221" s="101" t="s">
        <v>1607</v>
      </c>
      <c r="J221" s="101" t="s">
        <v>1608</v>
      </c>
      <c r="K221" s="100" t="s">
        <v>1640</v>
      </c>
      <c r="L221" s="101" t="n">
        <v>2020</v>
      </c>
      <c r="M221" s="101" t="s">
        <v>1561</v>
      </c>
    </row>
    <row r="222" customFormat="false" ht="15" hidden="false" customHeight="true" outlineLevel="0" collapsed="false">
      <c r="A222" s="101" t="n">
        <v>221</v>
      </c>
      <c r="B222" s="100" t="n">
        <v>55</v>
      </c>
      <c r="C222" s="100" t="s">
        <v>1007</v>
      </c>
      <c r="D222" s="101" t="s">
        <v>159</v>
      </c>
      <c r="E222" s="101" t="s">
        <v>1175</v>
      </c>
      <c r="F222" s="101" t="s">
        <v>1233</v>
      </c>
      <c r="G222" s="101"/>
      <c r="H222" s="101" t="s">
        <v>1235</v>
      </c>
      <c r="I222" s="101" t="s">
        <v>1505</v>
      </c>
      <c r="J222" s="101" t="s">
        <v>1625</v>
      </c>
      <c r="K222" s="100" t="s">
        <v>1641</v>
      </c>
      <c r="L222" s="101" t="n">
        <v>2018</v>
      </c>
      <c r="M222" s="101" t="s">
        <v>1553</v>
      </c>
    </row>
    <row r="223" customFormat="false" ht="15" hidden="false" customHeight="true" outlineLevel="0" collapsed="false">
      <c r="A223" s="101"/>
      <c r="B223" s="100"/>
      <c r="C223" s="100"/>
      <c r="D223" s="101"/>
      <c r="E223" s="101"/>
      <c r="F223" s="101"/>
      <c r="G223" s="101"/>
      <c r="H223" s="101"/>
      <c r="I223" s="101"/>
      <c r="J223" s="101"/>
      <c r="K223" s="100"/>
      <c r="L223" s="101"/>
      <c r="M223" s="101"/>
    </row>
    <row r="224" customFormat="false" ht="15" hidden="false" customHeight="true" outlineLevel="0" collapsed="false">
      <c r="A224" s="101"/>
      <c r="B224" s="100"/>
      <c r="C224" s="100"/>
      <c r="D224" s="101"/>
      <c r="E224" s="101"/>
      <c r="F224" s="101"/>
      <c r="G224" s="101"/>
      <c r="H224" s="101"/>
      <c r="I224" s="101"/>
      <c r="J224" s="101"/>
      <c r="K224" s="100"/>
      <c r="L224" s="101"/>
      <c r="M224" s="101"/>
    </row>
    <row r="225" customFormat="false" ht="15" hidden="false" customHeight="true" outlineLevel="0" collapsed="false">
      <c r="A225" s="101"/>
      <c r="B225" s="100"/>
      <c r="C225" s="100"/>
      <c r="D225" s="101"/>
      <c r="E225" s="101"/>
      <c r="F225" s="101"/>
      <c r="G225" s="101"/>
      <c r="H225" s="101"/>
      <c r="I225" s="101"/>
      <c r="J225" s="101"/>
      <c r="K225" s="100"/>
      <c r="L225" s="101"/>
      <c r="M225" s="101"/>
    </row>
    <row r="226" customFormat="false" ht="15" hidden="false" customHeight="true" outlineLevel="0" collapsed="false">
      <c r="A226" s="101"/>
      <c r="B226" s="100"/>
      <c r="C226" s="100"/>
      <c r="D226" s="101"/>
      <c r="E226" s="101"/>
      <c r="F226" s="101"/>
      <c r="G226" s="101"/>
      <c r="H226" s="101"/>
      <c r="I226" s="101"/>
      <c r="J226" s="101"/>
      <c r="K226" s="100"/>
      <c r="L226" s="101"/>
      <c r="M226" s="101"/>
    </row>
    <row r="227" customFormat="false" ht="15" hidden="false" customHeight="true" outlineLevel="0" collapsed="false">
      <c r="A227" s="101" t="n">
        <v>226</v>
      </c>
      <c r="B227" s="100" t="n">
        <v>60</v>
      </c>
      <c r="C227" s="100" t="s">
        <v>841</v>
      </c>
      <c r="D227" s="101" t="s">
        <v>159</v>
      </c>
      <c r="E227" s="101" t="s">
        <v>1196</v>
      </c>
      <c r="F227" s="101" t="s">
        <v>1196</v>
      </c>
      <c r="G227" s="101"/>
      <c r="H227" s="101" t="s">
        <v>1235</v>
      </c>
      <c r="I227" s="101" t="s">
        <v>1642</v>
      </c>
      <c r="J227" s="101" t="s">
        <v>1643</v>
      </c>
      <c r="K227" s="100" t="s">
        <v>1644</v>
      </c>
      <c r="L227" s="101" t="n">
        <v>2023</v>
      </c>
      <c r="M227" s="101" t="s">
        <v>1558</v>
      </c>
    </row>
    <row r="228" customFormat="false" ht="15" hidden="false" customHeight="true" outlineLevel="0" collapsed="false">
      <c r="A228" s="101" t="n">
        <v>227</v>
      </c>
      <c r="B228" s="100" t="n">
        <v>61</v>
      </c>
      <c r="C228" s="100" t="s">
        <v>1073</v>
      </c>
      <c r="D228" s="101" t="s">
        <v>159</v>
      </c>
      <c r="E228" s="101" t="s">
        <v>1215</v>
      </c>
      <c r="F228" s="101" t="s">
        <v>1215</v>
      </c>
      <c r="G228" s="101" t="s">
        <v>1633</v>
      </c>
      <c r="H228" s="101" t="s">
        <v>1251</v>
      </c>
      <c r="I228" s="101" t="s">
        <v>1505</v>
      </c>
      <c r="J228" s="101" t="s">
        <v>1578</v>
      </c>
      <c r="K228" s="100" t="s">
        <v>1645</v>
      </c>
      <c r="L228" s="101" t="n">
        <v>2011</v>
      </c>
      <c r="M228" s="101" t="s">
        <v>1558</v>
      </c>
    </row>
    <row r="229" customFormat="false" ht="15" hidden="false" customHeight="true" outlineLevel="0" collapsed="false">
      <c r="A229" s="101"/>
      <c r="B229" s="100"/>
      <c r="C229" s="100"/>
      <c r="D229" s="101"/>
      <c r="E229" s="101"/>
      <c r="F229" s="101"/>
      <c r="G229" s="101"/>
      <c r="H229" s="101"/>
      <c r="I229" s="101"/>
      <c r="J229" s="101"/>
      <c r="K229" s="100"/>
      <c r="L229" s="101"/>
      <c r="M229" s="101"/>
    </row>
    <row r="230" customFormat="false" ht="15" hidden="false" customHeight="true" outlineLevel="0" collapsed="false">
      <c r="A230" s="101" t="n">
        <v>229</v>
      </c>
      <c r="B230" s="100" t="n">
        <v>63</v>
      </c>
      <c r="C230" s="100" t="s">
        <v>840</v>
      </c>
      <c r="D230" s="101" t="s">
        <v>159</v>
      </c>
      <c r="E230" s="101" t="s">
        <v>1204</v>
      </c>
      <c r="F230" s="101" t="s">
        <v>1324</v>
      </c>
      <c r="G230" s="101"/>
      <c r="H230" s="101" t="s">
        <v>1251</v>
      </c>
      <c r="I230" s="101" t="s">
        <v>1550</v>
      </c>
      <c r="J230" s="101" t="s">
        <v>1551</v>
      </c>
      <c r="K230" s="100" t="s">
        <v>1646</v>
      </c>
      <c r="L230" s="101" t="n">
        <v>2010</v>
      </c>
      <c r="M230" s="101" t="s">
        <v>1553</v>
      </c>
    </row>
    <row r="231" customFormat="false" ht="15" hidden="false" customHeight="true" outlineLevel="0" collapsed="false">
      <c r="A231" s="101" t="n">
        <v>230</v>
      </c>
      <c r="B231" s="100" t="n">
        <v>64</v>
      </c>
      <c r="C231" s="100" t="s">
        <v>839</v>
      </c>
      <c r="D231" s="101" t="s">
        <v>159</v>
      </c>
      <c r="E231" s="101" t="s">
        <v>1208</v>
      </c>
      <c r="F231" s="101" t="s">
        <v>1442</v>
      </c>
      <c r="G231" s="101"/>
      <c r="H231" s="101" t="s">
        <v>1554</v>
      </c>
      <c r="I231" s="101" t="s">
        <v>1550</v>
      </c>
      <c r="J231" s="101" t="s">
        <v>1565</v>
      </c>
      <c r="K231" s="100" t="s">
        <v>1647</v>
      </c>
      <c r="L231" s="101" t="n">
        <v>2022</v>
      </c>
      <c r="M231" s="101" t="s">
        <v>1553</v>
      </c>
    </row>
    <row r="232" customFormat="false" ht="15" hidden="false" customHeight="true" outlineLevel="0" collapsed="false">
      <c r="A232" s="101" t="n">
        <v>231</v>
      </c>
      <c r="B232" s="100" t="n">
        <v>65</v>
      </c>
      <c r="C232" s="100" t="s">
        <v>838</v>
      </c>
      <c r="D232" s="101" t="s">
        <v>159</v>
      </c>
      <c r="E232" s="101" t="s">
        <v>1196</v>
      </c>
      <c r="F232" s="101" t="s">
        <v>1196</v>
      </c>
      <c r="G232" s="101"/>
      <c r="H232" s="101" t="s">
        <v>1235</v>
      </c>
      <c r="I232" s="101" t="s">
        <v>1642</v>
      </c>
      <c r="J232" s="101" t="s">
        <v>1643</v>
      </c>
      <c r="K232" s="100" t="s">
        <v>1648</v>
      </c>
      <c r="L232" s="101" t="n">
        <v>2023</v>
      </c>
      <c r="M232" s="101" t="s">
        <v>1558</v>
      </c>
    </row>
    <row r="233" customFormat="false" ht="15" hidden="false" customHeight="true" outlineLevel="0" collapsed="false">
      <c r="A233" s="101" t="n">
        <v>232</v>
      </c>
      <c r="B233" s="100" t="n">
        <v>66</v>
      </c>
      <c r="C233" s="100" t="s">
        <v>1067</v>
      </c>
      <c r="D233" s="101" t="s">
        <v>159</v>
      </c>
      <c r="E233" s="101" t="s">
        <v>1175</v>
      </c>
      <c r="F233" s="101" t="s">
        <v>1233</v>
      </c>
      <c r="G233" s="101"/>
      <c r="H233" s="101" t="s">
        <v>1235</v>
      </c>
      <c r="I233" s="101" t="s">
        <v>1505</v>
      </c>
      <c r="J233" s="101" t="s">
        <v>1625</v>
      </c>
      <c r="K233" s="100" t="s">
        <v>1649</v>
      </c>
      <c r="L233" s="101" t="n">
        <v>2018</v>
      </c>
      <c r="M233" s="101" t="s">
        <v>1553</v>
      </c>
    </row>
    <row r="234" customFormat="false" ht="15" hidden="false" customHeight="true" outlineLevel="0" collapsed="false">
      <c r="A234" s="101" t="n">
        <v>233</v>
      </c>
      <c r="B234" s="100" t="n">
        <v>67</v>
      </c>
      <c r="C234" s="100" t="s">
        <v>241</v>
      </c>
      <c r="D234" s="101" t="s">
        <v>159</v>
      </c>
      <c r="E234" s="101" t="s">
        <v>1215</v>
      </c>
      <c r="F234" s="101" t="s">
        <v>1215</v>
      </c>
      <c r="G234" s="101"/>
      <c r="H234" s="101" t="s">
        <v>1251</v>
      </c>
      <c r="I234" s="101" t="s">
        <v>1642</v>
      </c>
      <c r="J234" s="101" t="s">
        <v>1650</v>
      </c>
      <c r="K234" s="100" t="s">
        <v>240</v>
      </c>
      <c r="L234" s="101" t="n">
        <v>2024</v>
      </c>
      <c r="M234" s="101" t="s">
        <v>1558</v>
      </c>
    </row>
    <row r="235" customFormat="false" ht="15" hidden="false" customHeight="true" outlineLevel="0" collapsed="false">
      <c r="A235" s="101"/>
      <c r="B235" s="100"/>
      <c r="C235" s="100"/>
      <c r="D235" s="101"/>
      <c r="E235" s="101"/>
      <c r="F235" s="101"/>
      <c r="G235" s="101"/>
      <c r="H235" s="101"/>
      <c r="I235" s="101"/>
      <c r="J235" s="101"/>
      <c r="K235" s="100"/>
      <c r="L235" s="101"/>
      <c r="M235" s="101"/>
    </row>
    <row r="236" customFormat="false" ht="15" hidden="false" customHeight="true" outlineLevel="0" collapsed="false">
      <c r="A236" s="101" t="n">
        <v>235</v>
      </c>
      <c r="B236" s="100" t="n">
        <v>69</v>
      </c>
      <c r="C236" s="100" t="s">
        <v>837</v>
      </c>
      <c r="D236" s="101" t="s">
        <v>159</v>
      </c>
      <c r="E236" s="101" t="s">
        <v>1220</v>
      </c>
      <c r="F236" s="101" t="s">
        <v>1208</v>
      </c>
      <c r="G236" s="101" t="s">
        <v>1208</v>
      </c>
      <c r="H236" s="101" t="s">
        <v>1251</v>
      </c>
      <c r="I236" s="101" t="s">
        <v>1550</v>
      </c>
      <c r="J236" s="101" t="s">
        <v>1551</v>
      </c>
      <c r="K236" s="100" t="s">
        <v>1651</v>
      </c>
      <c r="L236" s="101" t="n">
        <v>2014</v>
      </c>
      <c r="M236" s="101" t="s">
        <v>1553</v>
      </c>
    </row>
    <row r="237" customFormat="false" ht="15" hidden="false" customHeight="true" outlineLevel="0" collapsed="false">
      <c r="A237" s="101" t="n">
        <v>236</v>
      </c>
      <c r="B237" s="100" t="n">
        <v>70</v>
      </c>
      <c r="C237" s="100" t="s">
        <v>1652</v>
      </c>
      <c r="D237" s="101" t="s">
        <v>159</v>
      </c>
      <c r="E237" s="101" t="s">
        <v>1204</v>
      </c>
      <c r="F237" s="101" t="s">
        <v>1324</v>
      </c>
      <c r="G237" s="101" t="s">
        <v>1562</v>
      </c>
      <c r="H237" s="101" t="s">
        <v>1251</v>
      </c>
      <c r="I237" s="101" t="s">
        <v>1500</v>
      </c>
      <c r="J237" s="101" t="s">
        <v>1578</v>
      </c>
      <c r="K237" s="100" t="s">
        <v>1653</v>
      </c>
      <c r="L237" s="101" t="n">
        <v>2015</v>
      </c>
      <c r="M237" s="101" t="s">
        <v>1558</v>
      </c>
    </row>
    <row r="238" customFormat="false" ht="15" hidden="false" customHeight="true" outlineLevel="0" collapsed="false">
      <c r="A238" s="101" t="n">
        <v>237</v>
      </c>
      <c r="B238" s="100" t="n">
        <v>71</v>
      </c>
      <c r="C238" s="100" t="s">
        <v>1654</v>
      </c>
      <c r="D238" s="101" t="s">
        <v>159</v>
      </c>
      <c r="E238" s="101" t="s">
        <v>1204</v>
      </c>
      <c r="F238" s="101" t="s">
        <v>1324</v>
      </c>
      <c r="G238" s="101" t="s">
        <v>1562</v>
      </c>
      <c r="H238" s="101" t="s">
        <v>1251</v>
      </c>
      <c r="I238" s="101" t="s">
        <v>1500</v>
      </c>
      <c r="J238" s="101" t="s">
        <v>1578</v>
      </c>
      <c r="K238" s="100" t="s">
        <v>1655</v>
      </c>
      <c r="L238" s="101" t="n">
        <v>2015</v>
      </c>
      <c r="M238" s="101" t="s">
        <v>1558</v>
      </c>
    </row>
    <row r="239" customFormat="false" ht="15" hidden="false" customHeight="true" outlineLevel="0" collapsed="false">
      <c r="A239" s="101" t="n">
        <v>238</v>
      </c>
      <c r="B239" s="100" t="n">
        <v>72</v>
      </c>
      <c r="C239" s="100" t="s">
        <v>1656</v>
      </c>
      <c r="D239" s="101" t="s">
        <v>159</v>
      </c>
      <c r="E239" s="101" t="s">
        <v>1204</v>
      </c>
      <c r="F239" s="101" t="s">
        <v>1324</v>
      </c>
      <c r="G239" s="101"/>
      <c r="H239" s="101" t="s">
        <v>1251</v>
      </c>
      <c r="I239" s="101" t="s">
        <v>1505</v>
      </c>
      <c r="J239" s="101" t="s">
        <v>1622</v>
      </c>
      <c r="K239" s="100" t="s">
        <v>1657</v>
      </c>
      <c r="L239" s="101" t="n">
        <v>2015</v>
      </c>
      <c r="M239" s="101" t="s">
        <v>1561</v>
      </c>
    </row>
    <row r="240" customFormat="false" ht="15" hidden="false" customHeight="true" outlineLevel="0" collapsed="false">
      <c r="A240" s="101" t="n">
        <v>239</v>
      </c>
      <c r="B240" s="100" t="n">
        <v>73</v>
      </c>
      <c r="C240" s="100" t="s">
        <v>25</v>
      </c>
      <c r="D240" s="101" t="s">
        <v>159</v>
      </c>
      <c r="E240" s="101" t="s">
        <v>1204</v>
      </c>
      <c r="F240" s="101" t="s">
        <v>1324</v>
      </c>
      <c r="G240" s="101" t="s">
        <v>1562</v>
      </c>
      <c r="H240" s="101" t="s">
        <v>1251</v>
      </c>
      <c r="I240" s="101" t="s">
        <v>1505</v>
      </c>
      <c r="J240" s="101" t="s">
        <v>1622</v>
      </c>
      <c r="K240" s="100" t="s">
        <v>164</v>
      </c>
      <c r="L240" s="101" t="n">
        <v>2015</v>
      </c>
      <c r="M240" s="101" t="s">
        <v>1561</v>
      </c>
    </row>
    <row r="241" customFormat="false" ht="15" hidden="false" customHeight="true" outlineLevel="0" collapsed="false">
      <c r="A241" s="101" t="n">
        <v>240</v>
      </c>
      <c r="B241" s="100" t="n">
        <v>74</v>
      </c>
      <c r="C241" s="100" t="s">
        <v>1658</v>
      </c>
      <c r="D241" s="101" t="s">
        <v>159</v>
      </c>
      <c r="E241" s="101" t="s">
        <v>1204</v>
      </c>
      <c r="F241" s="101" t="s">
        <v>1324</v>
      </c>
      <c r="G241" s="101" t="s">
        <v>1562</v>
      </c>
      <c r="H241" s="101" t="s">
        <v>1251</v>
      </c>
      <c r="I241" s="101" t="s">
        <v>1505</v>
      </c>
      <c r="J241" s="101" t="s">
        <v>1622</v>
      </c>
      <c r="K241" s="100" t="s">
        <v>1659</v>
      </c>
      <c r="L241" s="101" t="n">
        <v>2015</v>
      </c>
      <c r="M241" s="101" t="s">
        <v>1561</v>
      </c>
    </row>
    <row r="242" customFormat="false" ht="15" hidden="false" customHeight="true" outlineLevel="0" collapsed="false">
      <c r="A242" s="101" t="n">
        <v>241</v>
      </c>
      <c r="B242" s="100" t="n">
        <v>75</v>
      </c>
      <c r="C242" s="100" t="s">
        <v>161</v>
      </c>
      <c r="D242" s="101" t="s">
        <v>159</v>
      </c>
      <c r="E242" s="101" t="s">
        <v>1204</v>
      </c>
      <c r="F242" s="101" t="s">
        <v>1324</v>
      </c>
      <c r="G242" s="101" t="s">
        <v>1562</v>
      </c>
      <c r="H242" s="101" t="s">
        <v>1251</v>
      </c>
      <c r="I242" s="101" t="s">
        <v>1505</v>
      </c>
      <c r="J242" s="101" t="s">
        <v>1622</v>
      </c>
      <c r="K242" s="100" t="s">
        <v>160</v>
      </c>
      <c r="L242" s="101" t="n">
        <v>2015</v>
      </c>
      <c r="M242" s="101" t="s">
        <v>1561</v>
      </c>
    </row>
    <row r="243" customFormat="false" ht="15" hidden="false" customHeight="true" outlineLevel="0" collapsed="false">
      <c r="A243" s="101" t="n">
        <v>242</v>
      </c>
      <c r="B243" s="100" t="n">
        <v>76</v>
      </c>
      <c r="C243" s="100" t="s">
        <v>173</v>
      </c>
      <c r="D243" s="101" t="s">
        <v>159</v>
      </c>
      <c r="E243" s="101" t="s">
        <v>1204</v>
      </c>
      <c r="F243" s="101" t="s">
        <v>1324</v>
      </c>
      <c r="G243" s="101"/>
      <c r="H243" s="101" t="s">
        <v>1251</v>
      </c>
      <c r="I243" s="101" t="s">
        <v>1505</v>
      </c>
      <c r="J243" s="101" t="s">
        <v>1622</v>
      </c>
      <c r="K243" s="100" t="s">
        <v>172</v>
      </c>
      <c r="L243" s="101" t="n">
        <v>2015</v>
      </c>
      <c r="M243" s="101" t="s">
        <v>1561</v>
      </c>
    </row>
    <row r="244" customFormat="false" ht="15" hidden="false" customHeight="true" outlineLevel="0" collapsed="false">
      <c r="A244" s="101" t="n">
        <v>243</v>
      </c>
      <c r="B244" s="100" t="n">
        <v>77</v>
      </c>
      <c r="C244" s="100" t="s">
        <v>1660</v>
      </c>
      <c r="D244" s="101" t="s">
        <v>159</v>
      </c>
      <c r="E244" s="101" t="s">
        <v>1204</v>
      </c>
      <c r="F244" s="101" t="s">
        <v>1324</v>
      </c>
      <c r="G244" s="101" t="s">
        <v>1661</v>
      </c>
      <c r="H244" s="101" t="s">
        <v>1251</v>
      </c>
      <c r="I244" s="101" t="s">
        <v>1505</v>
      </c>
      <c r="J244" s="101" t="s">
        <v>1582</v>
      </c>
      <c r="K244" s="100" t="s">
        <v>1662</v>
      </c>
      <c r="L244" s="101" t="n">
        <v>2016</v>
      </c>
      <c r="M244" s="101" t="s">
        <v>1553</v>
      </c>
    </row>
    <row r="245" customFormat="false" ht="15" hidden="false" customHeight="true" outlineLevel="0" collapsed="false">
      <c r="A245" s="101" t="n">
        <v>244</v>
      </c>
      <c r="B245" s="100" t="n">
        <v>78</v>
      </c>
      <c r="C245" s="100" t="s">
        <v>1663</v>
      </c>
      <c r="D245" s="101" t="s">
        <v>159</v>
      </c>
      <c r="E245" s="101" t="s">
        <v>1204</v>
      </c>
      <c r="F245" s="101" t="s">
        <v>1324</v>
      </c>
      <c r="G245" s="101" t="s">
        <v>1661</v>
      </c>
      <c r="H245" s="101" t="s">
        <v>1251</v>
      </c>
      <c r="I245" s="101" t="s">
        <v>1505</v>
      </c>
      <c r="J245" s="101" t="s">
        <v>1582</v>
      </c>
      <c r="K245" s="100" t="s">
        <v>1664</v>
      </c>
      <c r="L245" s="101" t="n">
        <v>2016</v>
      </c>
      <c r="M245" s="101" t="s">
        <v>1553</v>
      </c>
    </row>
    <row r="246" customFormat="false" ht="15" hidden="false" customHeight="true" outlineLevel="0" collapsed="false">
      <c r="A246" s="101" t="n">
        <v>245</v>
      </c>
      <c r="B246" s="100" t="n">
        <v>79</v>
      </c>
      <c r="C246" s="100" t="s">
        <v>1665</v>
      </c>
      <c r="D246" s="101" t="s">
        <v>159</v>
      </c>
      <c r="E246" s="101" t="s">
        <v>1204</v>
      </c>
      <c r="F246" s="101" t="s">
        <v>1324</v>
      </c>
      <c r="G246" s="101" t="s">
        <v>1661</v>
      </c>
      <c r="H246" s="101" t="s">
        <v>1251</v>
      </c>
      <c r="I246" s="101" t="s">
        <v>1505</v>
      </c>
      <c r="J246" s="101" t="s">
        <v>1582</v>
      </c>
      <c r="K246" s="100" t="s">
        <v>1666</v>
      </c>
      <c r="L246" s="101" t="n">
        <v>2016</v>
      </c>
      <c r="M246" s="101" t="s">
        <v>1553</v>
      </c>
    </row>
    <row r="247" customFormat="false" ht="15" hidden="false" customHeight="true" outlineLevel="0" collapsed="false">
      <c r="A247" s="101" t="n">
        <v>246</v>
      </c>
      <c r="B247" s="100" t="n">
        <v>80</v>
      </c>
      <c r="C247" s="100" t="s">
        <v>1667</v>
      </c>
      <c r="D247" s="101" t="s">
        <v>159</v>
      </c>
      <c r="E247" s="101" t="s">
        <v>1204</v>
      </c>
      <c r="F247" s="101" t="s">
        <v>1324</v>
      </c>
      <c r="G247" s="101" t="s">
        <v>1661</v>
      </c>
      <c r="H247" s="101" t="s">
        <v>1251</v>
      </c>
      <c r="I247" s="101" t="s">
        <v>1505</v>
      </c>
      <c r="J247" s="101" t="s">
        <v>1582</v>
      </c>
      <c r="K247" s="100" t="s">
        <v>1668</v>
      </c>
      <c r="L247" s="101" t="n">
        <v>2016</v>
      </c>
      <c r="M247" s="101" t="s">
        <v>1553</v>
      </c>
    </row>
    <row r="248" customFormat="false" ht="15" hidden="false" customHeight="true" outlineLevel="0" collapsed="false">
      <c r="A248" s="101" t="n">
        <v>247</v>
      </c>
      <c r="B248" s="100" t="n">
        <v>81</v>
      </c>
      <c r="C248" s="100" t="s">
        <v>26</v>
      </c>
      <c r="D248" s="101" t="s">
        <v>159</v>
      </c>
      <c r="E248" s="101" t="s">
        <v>1204</v>
      </c>
      <c r="F248" s="101" t="s">
        <v>1324</v>
      </c>
      <c r="G248" s="101" t="s">
        <v>1661</v>
      </c>
      <c r="H248" s="101" t="s">
        <v>1251</v>
      </c>
      <c r="I248" s="101" t="s">
        <v>1505</v>
      </c>
      <c r="J248" s="101" t="s">
        <v>1582</v>
      </c>
      <c r="K248" s="100" t="s">
        <v>151</v>
      </c>
      <c r="L248" s="101" t="n">
        <v>2016</v>
      </c>
      <c r="M248" s="101" t="s">
        <v>1553</v>
      </c>
    </row>
    <row r="249" customFormat="false" ht="15" hidden="false" customHeight="true" outlineLevel="0" collapsed="false">
      <c r="A249" s="101" t="n">
        <v>248</v>
      </c>
      <c r="B249" s="100" t="n">
        <v>82</v>
      </c>
      <c r="C249" s="100" t="s">
        <v>1669</v>
      </c>
      <c r="D249" s="101" t="s">
        <v>159</v>
      </c>
      <c r="E249" s="101" t="s">
        <v>1204</v>
      </c>
      <c r="F249" s="101" t="s">
        <v>1324</v>
      </c>
      <c r="G249" s="101" t="s">
        <v>1661</v>
      </c>
      <c r="H249" s="101" t="s">
        <v>1251</v>
      </c>
      <c r="I249" s="101" t="s">
        <v>1505</v>
      </c>
      <c r="J249" s="101" t="s">
        <v>1582</v>
      </c>
      <c r="K249" s="100" t="s">
        <v>1670</v>
      </c>
      <c r="L249" s="101" t="n">
        <v>2016</v>
      </c>
      <c r="M249" s="101" t="s">
        <v>1553</v>
      </c>
    </row>
    <row r="250" customFormat="false" ht="15" hidden="false" customHeight="true" outlineLevel="0" collapsed="false">
      <c r="A250" s="101" t="n">
        <v>249</v>
      </c>
      <c r="B250" s="100" t="n">
        <v>83</v>
      </c>
      <c r="C250" s="100" t="s">
        <v>1671</v>
      </c>
      <c r="D250" s="101" t="s">
        <v>159</v>
      </c>
      <c r="E250" s="101" t="s">
        <v>1204</v>
      </c>
      <c r="F250" s="101" t="s">
        <v>1324</v>
      </c>
      <c r="G250" s="101" t="s">
        <v>1661</v>
      </c>
      <c r="H250" s="101" t="s">
        <v>1251</v>
      </c>
      <c r="I250" s="101" t="s">
        <v>1505</v>
      </c>
      <c r="J250" s="101" t="s">
        <v>1582</v>
      </c>
      <c r="K250" s="100" t="s">
        <v>1672</v>
      </c>
      <c r="L250" s="101" t="n">
        <v>2016</v>
      </c>
      <c r="M250" s="101" t="s">
        <v>1553</v>
      </c>
    </row>
    <row r="251" customFormat="false" ht="15" hidden="false" customHeight="true" outlineLevel="0" collapsed="false">
      <c r="A251" s="101" t="n">
        <v>250</v>
      </c>
      <c r="B251" s="100" t="n">
        <v>84</v>
      </c>
      <c r="C251" s="100" t="s">
        <v>1673</v>
      </c>
      <c r="D251" s="101" t="s">
        <v>159</v>
      </c>
      <c r="E251" s="101" t="s">
        <v>1204</v>
      </c>
      <c r="F251" s="101" t="s">
        <v>1324</v>
      </c>
      <c r="G251" s="101" t="s">
        <v>1661</v>
      </c>
      <c r="H251" s="101" t="s">
        <v>1251</v>
      </c>
      <c r="I251" s="101" t="s">
        <v>1505</v>
      </c>
      <c r="J251" s="101" t="s">
        <v>1582</v>
      </c>
      <c r="K251" s="100" t="s">
        <v>1674</v>
      </c>
      <c r="L251" s="101" t="n">
        <v>2016</v>
      </c>
      <c r="M251" s="101" t="s">
        <v>1553</v>
      </c>
    </row>
    <row r="252" customFormat="false" ht="15" hidden="false" customHeight="true" outlineLevel="0" collapsed="false">
      <c r="A252" s="101" t="n">
        <v>251</v>
      </c>
      <c r="B252" s="100" t="n">
        <v>85</v>
      </c>
      <c r="C252" s="100" t="s">
        <v>1675</v>
      </c>
      <c r="D252" s="101" t="s">
        <v>159</v>
      </c>
      <c r="E252" s="101" t="s">
        <v>1204</v>
      </c>
      <c r="F252" s="101" t="s">
        <v>1324</v>
      </c>
      <c r="G252" s="101" t="s">
        <v>1661</v>
      </c>
      <c r="H252" s="101" t="s">
        <v>1251</v>
      </c>
      <c r="I252" s="101" t="s">
        <v>1505</v>
      </c>
      <c r="J252" s="101" t="s">
        <v>1582</v>
      </c>
      <c r="K252" s="100" t="s">
        <v>1676</v>
      </c>
      <c r="L252" s="101" t="n">
        <v>2016</v>
      </c>
      <c r="M252" s="101" t="s">
        <v>1553</v>
      </c>
    </row>
    <row r="253" customFormat="false" ht="15" hidden="false" customHeight="true" outlineLevel="0" collapsed="false">
      <c r="A253" s="101" t="n">
        <v>252</v>
      </c>
      <c r="B253" s="100" t="n">
        <v>86</v>
      </c>
      <c r="C253" s="100" t="s">
        <v>1677</v>
      </c>
      <c r="D253" s="101" t="s">
        <v>159</v>
      </c>
      <c r="E253" s="101" t="s">
        <v>1204</v>
      </c>
      <c r="F253" s="101" t="s">
        <v>1324</v>
      </c>
      <c r="G253" s="101" t="s">
        <v>1661</v>
      </c>
      <c r="H253" s="101" t="s">
        <v>1251</v>
      </c>
      <c r="I253" s="101" t="s">
        <v>1505</v>
      </c>
      <c r="J253" s="101" t="s">
        <v>1582</v>
      </c>
      <c r="K253" s="100" t="s">
        <v>1678</v>
      </c>
      <c r="L253" s="101" t="n">
        <v>2016</v>
      </c>
      <c r="M253" s="101" t="s">
        <v>1553</v>
      </c>
    </row>
    <row r="254" customFormat="false" ht="15" hidden="false" customHeight="true" outlineLevel="0" collapsed="false">
      <c r="A254" s="101" t="n">
        <v>253</v>
      </c>
      <c r="B254" s="100" t="n">
        <v>87</v>
      </c>
      <c r="C254" s="100" t="s">
        <v>1679</v>
      </c>
      <c r="D254" s="101" t="s">
        <v>159</v>
      </c>
      <c r="E254" s="101" t="s">
        <v>1204</v>
      </c>
      <c r="F254" s="101" t="s">
        <v>1324</v>
      </c>
      <c r="G254" s="101" t="s">
        <v>1661</v>
      </c>
      <c r="H254" s="101" t="s">
        <v>1251</v>
      </c>
      <c r="I254" s="101" t="s">
        <v>1505</v>
      </c>
      <c r="J254" s="101" t="s">
        <v>1582</v>
      </c>
      <c r="K254" s="100" t="s">
        <v>1680</v>
      </c>
      <c r="L254" s="101" t="n">
        <v>2016</v>
      </c>
      <c r="M254" s="101" t="s">
        <v>1553</v>
      </c>
    </row>
    <row r="255" customFormat="false" ht="15" hidden="false" customHeight="true" outlineLevel="0" collapsed="false">
      <c r="A255" s="101" t="n">
        <v>254</v>
      </c>
      <c r="B255" s="100" t="n">
        <v>88</v>
      </c>
      <c r="C255" s="100" t="s">
        <v>1681</v>
      </c>
      <c r="D255" s="101" t="s">
        <v>159</v>
      </c>
      <c r="E255" s="101" t="s">
        <v>1204</v>
      </c>
      <c r="F255" s="101" t="s">
        <v>1324</v>
      </c>
      <c r="G255" s="101" t="s">
        <v>1661</v>
      </c>
      <c r="H255" s="101" t="s">
        <v>1251</v>
      </c>
      <c r="I255" s="101" t="s">
        <v>1505</v>
      </c>
      <c r="J255" s="101" t="s">
        <v>1582</v>
      </c>
      <c r="K255" s="100" t="s">
        <v>1682</v>
      </c>
      <c r="L255" s="101" t="n">
        <v>2016</v>
      </c>
      <c r="M255" s="101" t="s">
        <v>1553</v>
      </c>
    </row>
    <row r="256" customFormat="false" ht="15" hidden="false" customHeight="true" outlineLevel="0" collapsed="false">
      <c r="A256" s="101" t="n">
        <v>255</v>
      </c>
      <c r="B256" s="100" t="n">
        <v>89</v>
      </c>
      <c r="C256" s="100" t="s">
        <v>1683</v>
      </c>
      <c r="D256" s="101" t="s">
        <v>159</v>
      </c>
      <c r="E256" s="101" t="s">
        <v>1204</v>
      </c>
      <c r="F256" s="101" t="s">
        <v>1324</v>
      </c>
      <c r="G256" s="101" t="s">
        <v>1661</v>
      </c>
      <c r="H256" s="101" t="s">
        <v>1251</v>
      </c>
      <c r="I256" s="101" t="s">
        <v>1505</v>
      </c>
      <c r="J256" s="101" t="s">
        <v>1582</v>
      </c>
      <c r="K256" s="100" t="s">
        <v>1684</v>
      </c>
      <c r="L256" s="101" t="n">
        <v>2016</v>
      </c>
      <c r="M256" s="101" t="s">
        <v>1553</v>
      </c>
    </row>
    <row r="257" customFormat="false" ht="15" hidden="false" customHeight="true" outlineLevel="0" collapsed="false">
      <c r="A257" s="101" t="n">
        <v>256</v>
      </c>
      <c r="B257" s="100" t="n">
        <v>90</v>
      </c>
      <c r="C257" s="100" t="s">
        <v>1685</v>
      </c>
      <c r="D257" s="101" t="s">
        <v>159</v>
      </c>
      <c r="E257" s="101" t="s">
        <v>1204</v>
      </c>
      <c r="F257" s="101" t="s">
        <v>1324</v>
      </c>
      <c r="G257" s="101" t="s">
        <v>1661</v>
      </c>
      <c r="H257" s="101" t="s">
        <v>1251</v>
      </c>
      <c r="I257" s="101" t="s">
        <v>1505</v>
      </c>
      <c r="J257" s="101" t="s">
        <v>1582</v>
      </c>
      <c r="K257" s="100" t="s">
        <v>1686</v>
      </c>
      <c r="L257" s="101" t="n">
        <v>2016</v>
      </c>
      <c r="M257" s="101" t="s">
        <v>1553</v>
      </c>
    </row>
    <row r="258" customFormat="false" ht="15" hidden="false" customHeight="true" outlineLevel="0" collapsed="false">
      <c r="A258" s="101"/>
      <c r="B258" s="100"/>
      <c r="C258" s="100"/>
      <c r="D258" s="101"/>
      <c r="E258" s="101"/>
      <c r="F258" s="101"/>
      <c r="G258" s="101"/>
      <c r="H258" s="101"/>
      <c r="I258" s="101"/>
      <c r="J258" s="101"/>
      <c r="K258" s="100"/>
      <c r="L258" s="101"/>
      <c r="M258" s="101"/>
    </row>
    <row r="259" customFormat="false" ht="15" hidden="false" customHeight="true" outlineLevel="0" collapsed="false">
      <c r="A259" s="101" t="n">
        <v>258</v>
      </c>
      <c r="B259" s="100" t="n">
        <v>92</v>
      </c>
      <c r="C259" s="100" t="s">
        <v>966</v>
      </c>
      <c r="D259" s="101" t="s">
        <v>159</v>
      </c>
      <c r="E259" s="101" t="s">
        <v>1204</v>
      </c>
      <c r="F259" s="101" t="s">
        <v>1324</v>
      </c>
      <c r="G259" s="101"/>
      <c r="H259" s="101" t="s">
        <v>1554</v>
      </c>
      <c r="I259" s="101" t="s">
        <v>1555</v>
      </c>
      <c r="J259" s="101" t="s">
        <v>1597</v>
      </c>
      <c r="K259" s="100" t="s">
        <v>1687</v>
      </c>
      <c r="L259" s="101" t="n">
        <v>2021</v>
      </c>
      <c r="M259" s="101" t="s">
        <v>1553</v>
      </c>
    </row>
    <row r="260" customFormat="false" ht="15" hidden="false" customHeight="true" outlineLevel="0" collapsed="false">
      <c r="A260" s="101" t="n">
        <v>259</v>
      </c>
      <c r="B260" s="100" t="n">
        <v>93</v>
      </c>
      <c r="C260" s="100" t="s">
        <v>836</v>
      </c>
      <c r="D260" s="101" t="s">
        <v>159</v>
      </c>
      <c r="E260" s="101" t="s">
        <v>1204</v>
      </c>
      <c r="F260" s="101" t="s">
        <v>1324</v>
      </c>
      <c r="G260" s="101" t="s">
        <v>1562</v>
      </c>
      <c r="H260" s="101" t="s">
        <v>1251</v>
      </c>
      <c r="I260" s="101" t="s">
        <v>1599</v>
      </c>
      <c r="J260" s="101" t="s">
        <v>1603</v>
      </c>
      <c r="K260" s="100" t="s">
        <v>1688</v>
      </c>
      <c r="L260" s="101" t="n">
        <v>2016</v>
      </c>
      <c r="M260" s="101" t="s">
        <v>1553</v>
      </c>
    </row>
    <row r="261" customFormat="false" ht="15" hidden="false" customHeight="true" outlineLevel="0" collapsed="false">
      <c r="A261" s="101"/>
      <c r="B261" s="100"/>
      <c r="C261" s="100"/>
      <c r="D261" s="101"/>
      <c r="E261" s="101"/>
      <c r="F261" s="101"/>
      <c r="G261" s="101"/>
      <c r="H261" s="101"/>
      <c r="I261" s="101"/>
      <c r="J261" s="101"/>
      <c r="K261" s="100"/>
      <c r="L261" s="101"/>
      <c r="M261" s="101"/>
    </row>
    <row r="262" customFormat="false" ht="15" hidden="false" customHeight="true" outlineLevel="0" collapsed="false">
      <c r="A262" s="101" t="n">
        <v>261</v>
      </c>
      <c r="B262" s="100" t="n">
        <v>95</v>
      </c>
      <c r="C262" s="100" t="s">
        <v>965</v>
      </c>
      <c r="D262" s="101" t="s">
        <v>159</v>
      </c>
      <c r="E262" s="101" t="s">
        <v>1204</v>
      </c>
      <c r="F262" s="101" t="s">
        <v>1324</v>
      </c>
      <c r="G262" s="101"/>
      <c r="H262" s="101" t="s">
        <v>1554</v>
      </c>
      <c r="I262" s="101" t="s">
        <v>1555</v>
      </c>
      <c r="J262" s="101" t="s">
        <v>1597</v>
      </c>
      <c r="K262" s="100" t="s">
        <v>1689</v>
      </c>
      <c r="L262" s="101" t="n">
        <v>2021</v>
      </c>
      <c r="M262" s="101" t="s">
        <v>1553</v>
      </c>
    </row>
    <row r="263" customFormat="false" ht="15" hidden="false" customHeight="true" outlineLevel="0" collapsed="false">
      <c r="A263" s="101" t="n">
        <v>262</v>
      </c>
      <c r="B263" s="100" t="n">
        <v>96</v>
      </c>
      <c r="C263" s="100" t="s">
        <v>835</v>
      </c>
      <c r="D263" s="101" t="s">
        <v>159</v>
      </c>
      <c r="E263" s="101" t="s">
        <v>1220</v>
      </c>
      <c r="F263" s="101" t="s">
        <v>1208</v>
      </c>
      <c r="G263" s="101" t="s">
        <v>1208</v>
      </c>
      <c r="H263" s="101" t="s">
        <v>1251</v>
      </c>
      <c r="I263" s="101" t="s">
        <v>1690</v>
      </c>
      <c r="J263" s="101" t="s">
        <v>1586</v>
      </c>
      <c r="K263" s="100" t="s">
        <v>1691</v>
      </c>
      <c r="L263" s="101" t="n">
        <v>2016</v>
      </c>
      <c r="M263" s="101" t="s">
        <v>1558</v>
      </c>
    </row>
    <row r="264" customFormat="false" ht="15" hidden="false" customHeight="true" outlineLevel="0" collapsed="false">
      <c r="A264" s="101" t="n">
        <v>263</v>
      </c>
      <c r="B264" s="100" t="n">
        <v>97</v>
      </c>
      <c r="C264" s="100" t="s">
        <v>1692</v>
      </c>
      <c r="D264" s="101" t="s">
        <v>159</v>
      </c>
      <c r="E264" s="101" t="s">
        <v>1175</v>
      </c>
      <c r="F264" s="101" t="s">
        <v>1233</v>
      </c>
      <c r="G264" s="101"/>
      <c r="H264" s="101" t="s">
        <v>1235</v>
      </c>
      <c r="I264" s="101" t="s">
        <v>1505</v>
      </c>
      <c r="J264" s="101" t="s">
        <v>1625</v>
      </c>
      <c r="K264" s="100" t="s">
        <v>1693</v>
      </c>
      <c r="L264" s="101" t="n">
        <v>2018</v>
      </c>
      <c r="M264" s="101" t="s">
        <v>1553</v>
      </c>
    </row>
    <row r="265" customFormat="false" ht="15" hidden="false" customHeight="true" outlineLevel="0" collapsed="false">
      <c r="A265" s="101" t="n">
        <v>264</v>
      </c>
      <c r="B265" s="100" t="n">
        <v>98</v>
      </c>
      <c r="C265" s="100" t="s">
        <v>167</v>
      </c>
      <c r="D265" s="101" t="s">
        <v>159</v>
      </c>
      <c r="E265" s="101" t="s">
        <v>1175</v>
      </c>
      <c r="F265" s="101" t="s">
        <v>1233</v>
      </c>
      <c r="G265" s="101"/>
      <c r="H265" s="101" t="s">
        <v>1235</v>
      </c>
      <c r="I265" s="101" t="s">
        <v>1505</v>
      </c>
      <c r="J265" s="101" t="s">
        <v>1625</v>
      </c>
      <c r="K265" s="100" t="s">
        <v>166</v>
      </c>
      <c r="L265" s="101" t="n">
        <v>2018</v>
      </c>
      <c r="M265" s="101" t="s">
        <v>1553</v>
      </c>
    </row>
    <row r="266" customFormat="false" ht="15" hidden="false" customHeight="true" outlineLevel="0" collapsed="false">
      <c r="A266" s="101" t="n">
        <v>265</v>
      </c>
      <c r="B266" s="100" t="n">
        <v>99</v>
      </c>
      <c r="C266" s="100" t="s">
        <v>1694</v>
      </c>
      <c r="D266" s="101" t="s">
        <v>159</v>
      </c>
      <c r="E266" s="101" t="s">
        <v>1175</v>
      </c>
      <c r="F266" s="101" t="s">
        <v>1233</v>
      </c>
      <c r="G266" s="101"/>
      <c r="H266" s="101" t="s">
        <v>1235</v>
      </c>
      <c r="I266" s="101" t="s">
        <v>1505</v>
      </c>
      <c r="J266" s="101" t="s">
        <v>1625</v>
      </c>
      <c r="K266" s="100" t="s">
        <v>1695</v>
      </c>
      <c r="L266" s="101" t="n">
        <v>2018</v>
      </c>
      <c r="M266" s="101" t="s">
        <v>1553</v>
      </c>
    </row>
    <row r="267" customFormat="false" ht="15" hidden="false" customHeight="true" outlineLevel="0" collapsed="false">
      <c r="A267" s="101" t="n">
        <v>266</v>
      </c>
      <c r="B267" s="100" t="n">
        <v>100</v>
      </c>
      <c r="C267" s="100" t="s">
        <v>1008</v>
      </c>
      <c r="D267" s="101" t="s">
        <v>159</v>
      </c>
      <c r="E267" s="101" t="s">
        <v>1175</v>
      </c>
      <c r="F267" s="101" t="s">
        <v>1233</v>
      </c>
      <c r="G267" s="101"/>
      <c r="H267" s="101" t="s">
        <v>1235</v>
      </c>
      <c r="I267" s="101" t="s">
        <v>1505</v>
      </c>
      <c r="J267" s="101" t="s">
        <v>1625</v>
      </c>
      <c r="K267" s="100" t="s">
        <v>1696</v>
      </c>
      <c r="L267" s="101" t="n">
        <v>2018</v>
      </c>
      <c r="M267" s="101" t="s">
        <v>1553</v>
      </c>
    </row>
    <row r="268" customFormat="false" ht="15" hidden="false" customHeight="true" outlineLevel="0" collapsed="false">
      <c r="A268" s="101" t="n">
        <v>267</v>
      </c>
      <c r="B268" s="100" t="n">
        <v>101</v>
      </c>
      <c r="C268" s="100" t="s">
        <v>1697</v>
      </c>
      <c r="D268" s="101" t="s">
        <v>159</v>
      </c>
      <c r="E268" s="101" t="s">
        <v>1175</v>
      </c>
      <c r="F268" s="101" t="s">
        <v>1233</v>
      </c>
      <c r="G268" s="101"/>
      <c r="H268" s="101" t="s">
        <v>1235</v>
      </c>
      <c r="I268" s="101" t="s">
        <v>1505</v>
      </c>
      <c r="J268" s="101" t="s">
        <v>1625</v>
      </c>
      <c r="K268" s="100" t="s">
        <v>1698</v>
      </c>
      <c r="L268" s="101" t="n">
        <v>2018</v>
      </c>
      <c r="M268" s="101" t="s">
        <v>1553</v>
      </c>
    </row>
    <row r="269" customFormat="false" ht="15" hidden="false" customHeight="true" outlineLevel="0" collapsed="false">
      <c r="A269" s="101" t="n">
        <v>268</v>
      </c>
      <c r="B269" s="100" t="n">
        <v>102</v>
      </c>
      <c r="C269" s="100" t="s">
        <v>1699</v>
      </c>
      <c r="D269" s="101" t="s">
        <v>159</v>
      </c>
      <c r="E269" s="101" t="s">
        <v>1175</v>
      </c>
      <c r="F269" s="101" t="s">
        <v>1233</v>
      </c>
      <c r="G269" s="101"/>
      <c r="H269" s="101" t="s">
        <v>1235</v>
      </c>
      <c r="I269" s="101" t="s">
        <v>1505</v>
      </c>
      <c r="J269" s="101" t="s">
        <v>1625</v>
      </c>
      <c r="K269" s="100" t="s">
        <v>1700</v>
      </c>
      <c r="L269" s="101" t="n">
        <v>2018</v>
      </c>
      <c r="M269" s="101" t="s">
        <v>1553</v>
      </c>
    </row>
    <row r="270" customFormat="false" ht="15" hidden="false" customHeight="true" outlineLevel="0" collapsed="false">
      <c r="A270" s="101" t="n">
        <v>269</v>
      </c>
      <c r="B270" s="100" t="n">
        <v>103</v>
      </c>
      <c r="C270" s="100" t="s">
        <v>1701</v>
      </c>
      <c r="D270" s="101" t="s">
        <v>159</v>
      </c>
      <c r="E270" s="101" t="s">
        <v>1175</v>
      </c>
      <c r="F270" s="101" t="s">
        <v>1233</v>
      </c>
      <c r="G270" s="101"/>
      <c r="H270" s="101" t="s">
        <v>1235</v>
      </c>
      <c r="I270" s="101" t="s">
        <v>1505</v>
      </c>
      <c r="J270" s="101" t="s">
        <v>1625</v>
      </c>
      <c r="K270" s="100" t="s">
        <v>1702</v>
      </c>
      <c r="L270" s="101" t="n">
        <v>2018</v>
      </c>
      <c r="M270" s="101" t="s">
        <v>1553</v>
      </c>
    </row>
    <row r="271" customFormat="false" ht="15" hidden="false" customHeight="true" outlineLevel="0" collapsed="false">
      <c r="A271" s="101" t="n">
        <v>270</v>
      </c>
      <c r="B271" s="100" t="n">
        <v>104</v>
      </c>
      <c r="C271" s="100" t="s">
        <v>1074</v>
      </c>
      <c r="D271" s="101" t="s">
        <v>159</v>
      </c>
      <c r="E271" s="101" t="s">
        <v>1175</v>
      </c>
      <c r="F271" s="101" t="s">
        <v>1233</v>
      </c>
      <c r="G271" s="101"/>
      <c r="H271" s="101" t="s">
        <v>1235</v>
      </c>
      <c r="I271" s="101" t="s">
        <v>1505</v>
      </c>
      <c r="J271" s="101" t="s">
        <v>1625</v>
      </c>
      <c r="K271" s="100" t="s">
        <v>1703</v>
      </c>
      <c r="L271" s="101" t="n">
        <v>2018</v>
      </c>
      <c r="M271" s="101" t="s">
        <v>1553</v>
      </c>
    </row>
    <row r="272" customFormat="false" ht="15" hidden="false" customHeight="true" outlineLevel="0" collapsed="false">
      <c r="A272" s="101" t="n">
        <v>271</v>
      </c>
      <c r="B272" s="100" t="n">
        <v>105</v>
      </c>
      <c r="C272" s="100" t="s">
        <v>1704</v>
      </c>
      <c r="D272" s="101" t="s">
        <v>159</v>
      </c>
      <c r="E272" s="101" t="s">
        <v>1175</v>
      </c>
      <c r="F272" s="101" t="s">
        <v>1233</v>
      </c>
      <c r="G272" s="101"/>
      <c r="H272" s="101" t="s">
        <v>1235</v>
      </c>
      <c r="I272" s="101" t="s">
        <v>1505</v>
      </c>
      <c r="J272" s="101" t="s">
        <v>1625</v>
      </c>
      <c r="K272" s="100" t="s">
        <v>1705</v>
      </c>
      <c r="L272" s="101" t="n">
        <v>2018</v>
      </c>
      <c r="M272" s="101" t="s">
        <v>1553</v>
      </c>
    </row>
    <row r="273" customFormat="false" ht="15" hidden="false" customHeight="true" outlineLevel="0" collapsed="false">
      <c r="A273" s="101" t="n">
        <v>272</v>
      </c>
      <c r="B273" s="100" t="n">
        <v>106</v>
      </c>
      <c r="C273" s="100" t="s">
        <v>170</v>
      </c>
      <c r="D273" s="101" t="s">
        <v>159</v>
      </c>
      <c r="E273" s="101" t="s">
        <v>1175</v>
      </c>
      <c r="F273" s="101" t="s">
        <v>1233</v>
      </c>
      <c r="G273" s="101"/>
      <c r="H273" s="101" t="s">
        <v>1235</v>
      </c>
      <c r="I273" s="101" t="s">
        <v>1505</v>
      </c>
      <c r="J273" s="101" t="s">
        <v>1625</v>
      </c>
      <c r="K273" s="100" t="s">
        <v>169</v>
      </c>
      <c r="L273" s="101" t="n">
        <v>2018</v>
      </c>
      <c r="M273" s="101" t="s">
        <v>1553</v>
      </c>
    </row>
    <row r="274" customFormat="false" ht="15" hidden="false" customHeight="true" outlineLevel="0" collapsed="false">
      <c r="A274" s="101" t="n">
        <v>273</v>
      </c>
      <c r="B274" s="100" t="n">
        <v>107</v>
      </c>
      <c r="C274" s="100" t="s">
        <v>1706</v>
      </c>
      <c r="D274" s="101" t="s">
        <v>159</v>
      </c>
      <c r="E274" s="101" t="s">
        <v>1175</v>
      </c>
      <c r="F274" s="101" t="s">
        <v>1233</v>
      </c>
      <c r="G274" s="101"/>
      <c r="H274" s="101" t="s">
        <v>1235</v>
      </c>
      <c r="I274" s="101" t="s">
        <v>1505</v>
      </c>
      <c r="J274" s="101" t="s">
        <v>1625</v>
      </c>
      <c r="K274" s="100" t="s">
        <v>1707</v>
      </c>
      <c r="L274" s="101" t="n">
        <v>2018</v>
      </c>
      <c r="M274" s="101" t="s">
        <v>1553</v>
      </c>
    </row>
    <row r="275" customFormat="false" ht="15" hidden="false" customHeight="true" outlineLevel="0" collapsed="false">
      <c r="A275" s="101" t="n">
        <v>274</v>
      </c>
      <c r="B275" s="100" t="n">
        <v>108</v>
      </c>
      <c r="C275" s="100" t="s">
        <v>834</v>
      </c>
      <c r="D275" s="101" t="s">
        <v>159</v>
      </c>
      <c r="E275" s="101" t="s">
        <v>1196</v>
      </c>
      <c r="F275" s="101" t="s">
        <v>1196</v>
      </c>
      <c r="G275" s="101" t="s">
        <v>1446</v>
      </c>
      <c r="H275" s="101" t="s">
        <v>1251</v>
      </c>
      <c r="I275" s="101" t="s">
        <v>1690</v>
      </c>
      <c r="J275" s="101" t="s">
        <v>1586</v>
      </c>
      <c r="K275" s="100" t="s">
        <v>1708</v>
      </c>
      <c r="L275" s="101" t="n">
        <v>2018</v>
      </c>
      <c r="M275" s="101" t="s">
        <v>1558</v>
      </c>
    </row>
    <row r="276" customFormat="false" ht="15" hidden="false" customHeight="true" outlineLevel="0" collapsed="false">
      <c r="A276" s="101" t="n">
        <v>275</v>
      </c>
      <c r="B276" s="100" t="n">
        <v>109</v>
      </c>
      <c r="C276" s="100" t="s">
        <v>964</v>
      </c>
      <c r="D276" s="101" t="s">
        <v>159</v>
      </c>
      <c r="E276" s="101" t="s">
        <v>1204</v>
      </c>
      <c r="F276" s="101" t="s">
        <v>1324</v>
      </c>
      <c r="G276" s="101"/>
      <c r="H276" s="101" t="s">
        <v>1554</v>
      </c>
      <c r="I276" s="101" t="s">
        <v>1555</v>
      </c>
      <c r="J276" s="101" t="s">
        <v>1597</v>
      </c>
      <c r="K276" s="100" t="s">
        <v>1709</v>
      </c>
      <c r="L276" s="101" t="n">
        <v>2021</v>
      </c>
      <c r="M276" s="101" t="s">
        <v>1553</v>
      </c>
    </row>
    <row r="277" customFormat="false" ht="15" hidden="false" customHeight="true" outlineLevel="0" collapsed="false">
      <c r="A277" s="101" t="n">
        <v>276</v>
      </c>
      <c r="B277" s="100" t="n">
        <v>110</v>
      </c>
      <c r="C277" s="100" t="s">
        <v>833</v>
      </c>
      <c r="D277" s="101" t="s">
        <v>159</v>
      </c>
      <c r="E277" s="101" t="s">
        <v>1202</v>
      </c>
      <c r="F277" s="101" t="s">
        <v>1202</v>
      </c>
      <c r="G277" s="101" t="s">
        <v>1581</v>
      </c>
      <c r="H277" s="101" t="s">
        <v>1554</v>
      </c>
      <c r="I277" s="101" t="s">
        <v>1550</v>
      </c>
      <c r="J277" s="101" t="n">
        <v>560</v>
      </c>
      <c r="K277" s="100" t="s">
        <v>1710</v>
      </c>
      <c r="L277" s="101" t="n">
        <v>2020</v>
      </c>
      <c r="M277" s="101" t="s">
        <v>1561</v>
      </c>
    </row>
    <row r="278" customFormat="false" ht="15" hidden="false" customHeight="true" outlineLevel="0" collapsed="false">
      <c r="A278" s="101" t="n">
        <v>277</v>
      </c>
      <c r="B278" s="100" t="n">
        <v>111</v>
      </c>
      <c r="C278" s="100" t="s">
        <v>832</v>
      </c>
      <c r="D278" s="101" t="s">
        <v>159</v>
      </c>
      <c r="E278" s="101" t="s">
        <v>1202</v>
      </c>
      <c r="F278" s="101" t="s">
        <v>1202</v>
      </c>
      <c r="G278" s="101" t="s">
        <v>1711</v>
      </c>
      <c r="H278" s="101" t="s">
        <v>1554</v>
      </c>
      <c r="I278" s="101" t="s">
        <v>1550</v>
      </c>
      <c r="J278" s="101" t="n">
        <v>560</v>
      </c>
      <c r="K278" s="100" t="s">
        <v>1712</v>
      </c>
      <c r="L278" s="101" t="n">
        <v>2020</v>
      </c>
      <c r="M278" s="101" t="s">
        <v>1561</v>
      </c>
    </row>
    <row r="279" customFormat="false" ht="15" hidden="false" customHeight="true" outlineLevel="0" collapsed="false">
      <c r="A279" s="101" t="n">
        <v>278</v>
      </c>
      <c r="B279" s="100" t="n">
        <v>112</v>
      </c>
      <c r="C279" s="100" t="s">
        <v>27</v>
      </c>
      <c r="D279" s="101" t="s">
        <v>159</v>
      </c>
      <c r="E279" s="101" t="s">
        <v>1202</v>
      </c>
      <c r="F279" s="101" t="s">
        <v>1202</v>
      </c>
      <c r="G279" s="101" t="s">
        <v>1711</v>
      </c>
      <c r="H279" s="101" t="s">
        <v>1554</v>
      </c>
      <c r="I279" s="101" t="s">
        <v>1550</v>
      </c>
      <c r="J279" s="101" t="n">
        <v>560</v>
      </c>
      <c r="K279" s="100" t="s">
        <v>1713</v>
      </c>
      <c r="L279" s="101" t="n">
        <v>2020</v>
      </c>
      <c r="M279" s="101" t="s">
        <v>1561</v>
      </c>
    </row>
    <row r="280" customFormat="false" ht="15" hidden="false" customHeight="true" outlineLevel="0" collapsed="false">
      <c r="A280" s="101" t="n">
        <v>279</v>
      </c>
      <c r="B280" s="100" t="n">
        <v>113</v>
      </c>
      <c r="C280" s="100" t="s">
        <v>28</v>
      </c>
      <c r="D280" s="101" t="s">
        <v>159</v>
      </c>
      <c r="E280" s="101" t="s">
        <v>1202</v>
      </c>
      <c r="F280" s="101" t="s">
        <v>1202</v>
      </c>
      <c r="G280" s="101" t="s">
        <v>1711</v>
      </c>
      <c r="H280" s="101" t="s">
        <v>1554</v>
      </c>
      <c r="I280" s="101" t="s">
        <v>1550</v>
      </c>
      <c r="J280" s="101" t="n">
        <v>560</v>
      </c>
      <c r="K280" s="100" t="s">
        <v>1714</v>
      </c>
      <c r="L280" s="101" t="n">
        <v>2020</v>
      </c>
      <c r="M280" s="101" t="s">
        <v>1561</v>
      </c>
    </row>
    <row r="281" customFormat="false" ht="15" hidden="false" customHeight="true" outlineLevel="0" collapsed="false">
      <c r="A281" s="101" t="n">
        <v>280</v>
      </c>
      <c r="B281" s="100" t="n">
        <v>114</v>
      </c>
      <c r="C281" s="100" t="s">
        <v>831</v>
      </c>
      <c r="D281" s="101" t="s">
        <v>159</v>
      </c>
      <c r="E281" s="101" t="s">
        <v>1215</v>
      </c>
      <c r="F281" s="101" t="s">
        <v>1215</v>
      </c>
      <c r="G281" s="101"/>
      <c r="H281" s="101" t="s">
        <v>1554</v>
      </c>
      <c r="I281" s="101" t="s">
        <v>1550</v>
      </c>
      <c r="J281" s="101" t="n">
        <v>560</v>
      </c>
      <c r="K281" s="100" t="s">
        <v>1715</v>
      </c>
      <c r="L281" s="101" t="n">
        <v>2020</v>
      </c>
      <c r="M281" s="101" t="s">
        <v>1561</v>
      </c>
    </row>
    <row r="282" customFormat="false" ht="15" hidden="false" customHeight="true" outlineLevel="0" collapsed="false">
      <c r="A282" s="101" t="n">
        <v>281</v>
      </c>
      <c r="B282" s="100" t="n">
        <v>115</v>
      </c>
      <c r="C282" s="100" t="s">
        <v>830</v>
      </c>
      <c r="D282" s="101" t="s">
        <v>159</v>
      </c>
      <c r="E282" s="101" t="s">
        <v>1220</v>
      </c>
      <c r="F282" s="101" t="s">
        <v>1208</v>
      </c>
      <c r="G282" s="101"/>
      <c r="H282" s="101" t="s">
        <v>1554</v>
      </c>
      <c r="I282" s="101" t="s">
        <v>1550</v>
      </c>
      <c r="J282" s="101" t="n">
        <v>560</v>
      </c>
      <c r="K282" s="100" t="s">
        <v>1716</v>
      </c>
      <c r="L282" s="101" t="n">
        <v>2020</v>
      </c>
      <c r="M282" s="101" t="s">
        <v>1561</v>
      </c>
    </row>
    <row r="283" customFormat="false" ht="15" hidden="false" customHeight="true" outlineLevel="0" collapsed="false">
      <c r="A283" s="101" t="n">
        <v>282</v>
      </c>
      <c r="B283" s="100" t="n">
        <v>116</v>
      </c>
      <c r="C283" s="100" t="s">
        <v>829</v>
      </c>
      <c r="D283" s="101" t="s">
        <v>159</v>
      </c>
      <c r="E283" s="101" t="s">
        <v>1218</v>
      </c>
      <c r="F283" s="101" t="s">
        <v>1717</v>
      </c>
      <c r="G283" s="101" t="s">
        <v>1202</v>
      </c>
      <c r="H283" s="101" t="s">
        <v>1554</v>
      </c>
      <c r="I283" s="101" t="s">
        <v>1550</v>
      </c>
      <c r="J283" s="101" t="n">
        <v>560</v>
      </c>
      <c r="K283" s="100" t="s">
        <v>1718</v>
      </c>
      <c r="L283" s="101" t="n">
        <v>2020</v>
      </c>
      <c r="M283" s="101" t="s">
        <v>1561</v>
      </c>
    </row>
    <row r="284" customFormat="false" ht="15" hidden="false" customHeight="true" outlineLevel="0" collapsed="false">
      <c r="A284" s="101" t="n">
        <v>283</v>
      </c>
      <c r="B284" s="100" t="n">
        <v>117</v>
      </c>
      <c r="C284" s="100" t="s">
        <v>828</v>
      </c>
      <c r="D284" s="101" t="s">
        <v>159</v>
      </c>
      <c r="E284" s="101" t="s">
        <v>1208</v>
      </c>
      <c r="F284" s="101" t="s">
        <v>1442</v>
      </c>
      <c r="G284" s="101" t="s">
        <v>1240</v>
      </c>
      <c r="H284" s="101" t="s">
        <v>1251</v>
      </c>
      <c r="I284" s="101" t="s">
        <v>1585</v>
      </c>
      <c r="J284" s="101" t="s">
        <v>1586</v>
      </c>
      <c r="K284" s="100" t="s">
        <v>1719</v>
      </c>
      <c r="L284" s="101" t="n">
        <v>2020</v>
      </c>
      <c r="M284" s="101" t="s">
        <v>1558</v>
      </c>
    </row>
    <row r="285" customFormat="false" ht="15" hidden="false" customHeight="true" outlineLevel="0" collapsed="false">
      <c r="A285" s="101" t="n">
        <v>284</v>
      </c>
      <c r="B285" s="100" t="n">
        <v>118</v>
      </c>
      <c r="C285" s="100" t="s">
        <v>963</v>
      </c>
      <c r="D285" s="101" t="s">
        <v>159</v>
      </c>
      <c r="E285" s="101" t="s">
        <v>1203</v>
      </c>
      <c r="F285" s="101" t="s">
        <v>1215</v>
      </c>
      <c r="G285" s="101" t="s">
        <v>1215</v>
      </c>
      <c r="H285" s="101" t="s">
        <v>1554</v>
      </c>
      <c r="I285" s="101" t="s">
        <v>1720</v>
      </c>
      <c r="J285" s="101" t="s">
        <v>1721</v>
      </c>
      <c r="K285" s="100" t="s">
        <v>1722</v>
      </c>
      <c r="L285" s="101" t="n">
        <v>2020</v>
      </c>
      <c r="M285" s="101" t="s">
        <v>1553</v>
      </c>
    </row>
    <row r="286" customFormat="false" ht="15" hidden="false" customHeight="true" outlineLevel="0" collapsed="false">
      <c r="A286" s="101" t="n">
        <v>285</v>
      </c>
      <c r="B286" s="100" t="n">
        <v>119</v>
      </c>
      <c r="C286" s="100" t="s">
        <v>962</v>
      </c>
      <c r="D286" s="101" t="s">
        <v>159</v>
      </c>
      <c r="E286" s="101" t="s">
        <v>1203</v>
      </c>
      <c r="F286" s="101" t="s">
        <v>1215</v>
      </c>
      <c r="G286" s="101" t="s">
        <v>1215</v>
      </c>
      <c r="H286" s="101" t="s">
        <v>1554</v>
      </c>
      <c r="I286" s="101" t="s">
        <v>1720</v>
      </c>
      <c r="J286" s="101" t="s">
        <v>1721</v>
      </c>
      <c r="K286" s="100" t="s">
        <v>1723</v>
      </c>
      <c r="L286" s="101" t="n">
        <v>2020</v>
      </c>
      <c r="M286" s="101" t="s">
        <v>1553</v>
      </c>
    </row>
    <row r="287" customFormat="false" ht="15" hidden="false" customHeight="true" outlineLevel="0" collapsed="false">
      <c r="A287" s="101" t="n">
        <v>286</v>
      </c>
      <c r="B287" s="100" t="n">
        <v>120</v>
      </c>
      <c r="C287" s="100" t="s">
        <v>961</v>
      </c>
      <c r="D287" s="101" t="s">
        <v>159</v>
      </c>
      <c r="E287" s="101" t="s">
        <v>1202</v>
      </c>
      <c r="F287" s="101" t="s">
        <v>1202</v>
      </c>
      <c r="G287" s="101" t="s">
        <v>1581</v>
      </c>
      <c r="H287" s="101" t="s">
        <v>1554</v>
      </c>
      <c r="I287" s="101" t="s">
        <v>1720</v>
      </c>
      <c r="J287" s="101" t="s">
        <v>1721</v>
      </c>
      <c r="K287" s="100" t="s">
        <v>1724</v>
      </c>
      <c r="L287" s="101" t="n">
        <v>2020</v>
      </c>
      <c r="M287" s="101" t="s">
        <v>1553</v>
      </c>
    </row>
    <row r="288" customFormat="false" ht="15" hidden="false" customHeight="true" outlineLevel="0" collapsed="false">
      <c r="A288" s="101" t="n">
        <v>287</v>
      </c>
      <c r="B288" s="100" t="n">
        <v>121</v>
      </c>
      <c r="C288" s="100" t="s">
        <v>960</v>
      </c>
      <c r="D288" s="101" t="s">
        <v>159</v>
      </c>
      <c r="E288" s="101" t="s">
        <v>1202</v>
      </c>
      <c r="F288" s="101" t="s">
        <v>1202</v>
      </c>
      <c r="G288" s="101" t="s">
        <v>1581</v>
      </c>
      <c r="H288" s="101" t="s">
        <v>1554</v>
      </c>
      <c r="I288" s="101" t="s">
        <v>1720</v>
      </c>
      <c r="J288" s="101" t="s">
        <v>1721</v>
      </c>
      <c r="K288" s="100" t="s">
        <v>1725</v>
      </c>
      <c r="L288" s="101" t="n">
        <v>2020</v>
      </c>
      <c r="M288" s="101" t="s">
        <v>1553</v>
      </c>
    </row>
    <row r="289" customFormat="false" ht="15" hidden="false" customHeight="true" outlineLevel="0" collapsed="false">
      <c r="A289" s="101" t="n">
        <v>288</v>
      </c>
      <c r="B289" s="100" t="n">
        <v>122</v>
      </c>
      <c r="C289" s="100" t="s">
        <v>959</v>
      </c>
      <c r="D289" s="101" t="s">
        <v>159</v>
      </c>
      <c r="E289" s="101" t="s">
        <v>1204</v>
      </c>
      <c r="F289" s="101" t="s">
        <v>1324</v>
      </c>
      <c r="G289" s="101"/>
      <c r="H289" s="101" t="s">
        <v>1251</v>
      </c>
      <c r="I289" s="101" t="s">
        <v>1555</v>
      </c>
      <c r="J289" s="101" t="s">
        <v>1597</v>
      </c>
      <c r="K289" s="100" t="s">
        <v>1726</v>
      </c>
      <c r="L289" s="101" t="n">
        <v>2020</v>
      </c>
      <c r="M289" s="101" t="s">
        <v>1553</v>
      </c>
    </row>
    <row r="290" customFormat="false" ht="15" hidden="false" customHeight="true" outlineLevel="0" collapsed="false">
      <c r="A290" s="101" t="n">
        <v>289</v>
      </c>
      <c r="B290" s="100" t="n">
        <v>123</v>
      </c>
      <c r="C290" s="100" t="s">
        <v>958</v>
      </c>
      <c r="D290" s="101" t="s">
        <v>159</v>
      </c>
      <c r="E290" s="101" t="s">
        <v>1202</v>
      </c>
      <c r="F290" s="101" t="s">
        <v>1202</v>
      </c>
      <c r="G290" s="101" t="s">
        <v>1581</v>
      </c>
      <c r="H290" s="101" t="s">
        <v>1251</v>
      </c>
      <c r="I290" s="101" t="s">
        <v>1555</v>
      </c>
      <c r="J290" s="101" t="s">
        <v>1597</v>
      </c>
      <c r="K290" s="100" t="s">
        <v>1727</v>
      </c>
      <c r="L290" s="101" t="n">
        <v>2020</v>
      </c>
      <c r="M290" s="101" t="s">
        <v>1553</v>
      </c>
    </row>
    <row r="291" customFormat="false" ht="15" hidden="false" customHeight="true" outlineLevel="0" collapsed="false">
      <c r="A291" s="101" t="n">
        <v>290</v>
      </c>
      <c r="B291" s="100" t="n">
        <v>124</v>
      </c>
      <c r="C291" s="100" t="s">
        <v>957</v>
      </c>
      <c r="D291" s="101" t="s">
        <v>159</v>
      </c>
      <c r="E291" s="101" t="s">
        <v>1202</v>
      </c>
      <c r="F291" s="101" t="s">
        <v>1202</v>
      </c>
      <c r="G291" s="101" t="s">
        <v>1581</v>
      </c>
      <c r="H291" s="101" t="s">
        <v>1251</v>
      </c>
      <c r="I291" s="101" t="s">
        <v>1555</v>
      </c>
      <c r="J291" s="101" t="s">
        <v>1597</v>
      </c>
      <c r="K291" s="100" t="s">
        <v>1728</v>
      </c>
      <c r="L291" s="101" t="n">
        <v>2020</v>
      </c>
      <c r="M291" s="101" t="s">
        <v>1553</v>
      </c>
    </row>
    <row r="292" customFormat="false" ht="15" hidden="false" customHeight="true" outlineLevel="0" collapsed="false">
      <c r="A292" s="101" t="n">
        <v>291</v>
      </c>
      <c r="B292" s="100" t="n">
        <v>125</v>
      </c>
      <c r="C292" s="100" t="s">
        <v>349</v>
      </c>
      <c r="D292" s="101" t="s">
        <v>159</v>
      </c>
      <c r="E292" s="101" t="s">
        <v>1204</v>
      </c>
      <c r="F292" s="101" t="s">
        <v>1324</v>
      </c>
      <c r="G292" s="101"/>
      <c r="H292" s="101" t="s">
        <v>1251</v>
      </c>
      <c r="I292" s="101" t="s">
        <v>1555</v>
      </c>
      <c r="J292" s="101" t="s">
        <v>1597</v>
      </c>
      <c r="K292" s="100" t="s">
        <v>1729</v>
      </c>
      <c r="L292" s="101" t="n">
        <v>2020</v>
      </c>
      <c r="M292" s="101" t="s">
        <v>1553</v>
      </c>
    </row>
    <row r="293" customFormat="false" ht="15" hidden="false" customHeight="true" outlineLevel="0" collapsed="false">
      <c r="A293" s="101" t="n">
        <v>292</v>
      </c>
      <c r="B293" s="100" t="n">
        <v>126</v>
      </c>
      <c r="C293" s="100" t="s">
        <v>956</v>
      </c>
      <c r="D293" s="101" t="s">
        <v>159</v>
      </c>
      <c r="E293" s="101" t="s">
        <v>1202</v>
      </c>
      <c r="F293" s="101" t="s">
        <v>1202</v>
      </c>
      <c r="G293" s="101" t="s">
        <v>1581</v>
      </c>
      <c r="H293" s="101" t="s">
        <v>1251</v>
      </c>
      <c r="I293" s="101" t="s">
        <v>1555</v>
      </c>
      <c r="J293" s="101" t="s">
        <v>1597</v>
      </c>
      <c r="K293" s="100" t="s">
        <v>1730</v>
      </c>
      <c r="L293" s="101" t="n">
        <v>2020</v>
      </c>
      <c r="M293" s="101" t="s">
        <v>1553</v>
      </c>
    </row>
    <row r="294" customFormat="false" ht="15" hidden="false" customHeight="true" outlineLevel="0" collapsed="false">
      <c r="A294" s="101" t="n">
        <v>293</v>
      </c>
      <c r="B294" s="100" t="n">
        <v>127</v>
      </c>
      <c r="C294" s="100" t="s">
        <v>1731</v>
      </c>
      <c r="D294" s="101" t="s">
        <v>159</v>
      </c>
      <c r="E294" s="101" t="s">
        <v>1198</v>
      </c>
      <c r="F294" s="101" t="s">
        <v>1198</v>
      </c>
      <c r="G294" s="101" t="s">
        <v>1732</v>
      </c>
      <c r="H294" s="101" t="s">
        <v>1251</v>
      </c>
      <c r="I294" s="101" t="s">
        <v>1733</v>
      </c>
      <c r="J294" s="101" t="s">
        <v>1734</v>
      </c>
      <c r="K294" s="100" t="s">
        <v>1735</v>
      </c>
      <c r="L294" s="101" t="n">
        <v>2020</v>
      </c>
      <c r="M294" s="101" t="s">
        <v>1558</v>
      </c>
    </row>
    <row r="295" customFormat="false" ht="15" hidden="false" customHeight="true" outlineLevel="0" collapsed="false">
      <c r="A295" s="101" t="n">
        <v>294</v>
      </c>
      <c r="B295" s="100" t="n">
        <v>128</v>
      </c>
      <c r="C295" s="100" t="s">
        <v>827</v>
      </c>
      <c r="D295" s="101" t="s">
        <v>159</v>
      </c>
      <c r="E295" s="101" t="s">
        <v>1208</v>
      </c>
      <c r="F295" s="101" t="s">
        <v>1442</v>
      </c>
      <c r="G295" s="101" t="s">
        <v>1442</v>
      </c>
      <c r="H295" s="101" t="s">
        <v>1251</v>
      </c>
      <c r="I295" s="101" t="s">
        <v>1550</v>
      </c>
      <c r="J295" s="101" t="n">
        <v>980</v>
      </c>
      <c r="K295" s="100" t="s">
        <v>1736</v>
      </c>
      <c r="L295" s="101" t="n">
        <v>2020</v>
      </c>
      <c r="M295" s="101" t="s">
        <v>1553</v>
      </c>
    </row>
    <row r="296" customFormat="false" ht="15" hidden="false" customHeight="true" outlineLevel="0" collapsed="false">
      <c r="A296" s="101" t="n">
        <v>295</v>
      </c>
      <c r="B296" s="100" t="n">
        <v>129</v>
      </c>
      <c r="C296" s="100" t="s">
        <v>1737</v>
      </c>
      <c r="D296" s="101" t="s">
        <v>159</v>
      </c>
      <c r="E296" s="101" t="s">
        <v>1215</v>
      </c>
      <c r="F296" s="101" t="s">
        <v>1215</v>
      </c>
      <c r="G296" s="101"/>
      <c r="H296" s="101" t="s">
        <v>1738</v>
      </c>
      <c r="I296" s="101" t="s">
        <v>1505</v>
      </c>
      <c r="J296" s="101" t="s">
        <v>1578</v>
      </c>
      <c r="K296" s="100" t="s">
        <v>1739</v>
      </c>
      <c r="L296" s="101" t="n">
        <v>2020</v>
      </c>
      <c r="M296" s="101" t="s">
        <v>1558</v>
      </c>
    </row>
    <row r="297" customFormat="false" ht="15" hidden="false" customHeight="true" outlineLevel="0" collapsed="false">
      <c r="A297" s="101" t="n">
        <v>296</v>
      </c>
      <c r="B297" s="100" t="n">
        <v>130</v>
      </c>
      <c r="C297" s="100" t="s">
        <v>29</v>
      </c>
      <c r="D297" s="101" t="s">
        <v>159</v>
      </c>
      <c r="E297" s="101" t="s">
        <v>1202</v>
      </c>
      <c r="F297" s="101" t="s">
        <v>1202</v>
      </c>
      <c r="G297" s="101" t="s">
        <v>1581</v>
      </c>
      <c r="H297" s="101" t="s">
        <v>1740</v>
      </c>
      <c r="I297" s="101" t="s">
        <v>1505</v>
      </c>
      <c r="J297" s="101" t="s">
        <v>1578</v>
      </c>
      <c r="K297" s="100" t="s">
        <v>1741</v>
      </c>
      <c r="L297" s="101" t="n">
        <v>2020</v>
      </c>
      <c r="M297" s="101" t="s">
        <v>1558</v>
      </c>
    </row>
    <row r="298" customFormat="false" ht="15" hidden="false" customHeight="true" outlineLevel="0" collapsed="false">
      <c r="A298" s="101" t="n">
        <v>297</v>
      </c>
      <c r="B298" s="100" t="n">
        <v>131</v>
      </c>
      <c r="C298" s="100" t="s">
        <v>955</v>
      </c>
      <c r="D298" s="101" t="s">
        <v>159</v>
      </c>
      <c r="E298" s="101" t="s">
        <v>1215</v>
      </c>
      <c r="F298" s="101" t="s">
        <v>1215</v>
      </c>
      <c r="G298" s="101" t="s">
        <v>1633</v>
      </c>
      <c r="H298" s="101" t="s">
        <v>1554</v>
      </c>
      <c r="I298" s="101" t="s">
        <v>1720</v>
      </c>
      <c r="J298" s="101" t="s">
        <v>1721</v>
      </c>
      <c r="K298" s="100" t="s">
        <v>1742</v>
      </c>
      <c r="L298" s="101" t="n">
        <v>2020</v>
      </c>
      <c r="M298" s="101" t="s">
        <v>1553</v>
      </c>
    </row>
    <row r="299" customFormat="false" ht="15" hidden="false" customHeight="true" outlineLevel="0" collapsed="false">
      <c r="A299" s="101" t="n">
        <v>298</v>
      </c>
      <c r="B299" s="100" t="n">
        <v>132</v>
      </c>
      <c r="C299" s="100" t="s">
        <v>954</v>
      </c>
      <c r="D299" s="101" t="s">
        <v>159</v>
      </c>
      <c r="E299" s="101" t="s">
        <v>1215</v>
      </c>
      <c r="F299" s="101" t="s">
        <v>1215</v>
      </c>
      <c r="G299" s="101" t="s">
        <v>1633</v>
      </c>
      <c r="H299" s="101" t="s">
        <v>1554</v>
      </c>
      <c r="I299" s="101" t="s">
        <v>1720</v>
      </c>
      <c r="J299" s="101" t="s">
        <v>1721</v>
      </c>
      <c r="K299" s="100" t="s">
        <v>1743</v>
      </c>
      <c r="L299" s="101" t="n">
        <v>2020</v>
      </c>
      <c r="M299" s="101" t="s">
        <v>1553</v>
      </c>
    </row>
    <row r="300" customFormat="false" ht="15" hidden="false" customHeight="true" outlineLevel="0" collapsed="false">
      <c r="A300" s="101" t="n">
        <v>299</v>
      </c>
      <c r="B300" s="100" t="n">
        <v>133</v>
      </c>
      <c r="C300" s="100" t="s">
        <v>826</v>
      </c>
      <c r="D300" s="101" t="s">
        <v>159</v>
      </c>
      <c r="E300" s="101" t="s">
        <v>1204</v>
      </c>
      <c r="F300" s="101" t="s">
        <v>1324</v>
      </c>
      <c r="G300" s="101" t="s">
        <v>1581</v>
      </c>
      <c r="H300" s="101" t="s">
        <v>1251</v>
      </c>
      <c r="I300" s="101" t="s">
        <v>1550</v>
      </c>
      <c r="J300" s="101" t="s">
        <v>1744</v>
      </c>
      <c r="K300" s="100" t="s">
        <v>1745</v>
      </c>
      <c r="L300" s="101" t="n">
        <v>2020</v>
      </c>
      <c r="M300" s="101" t="s">
        <v>1553</v>
      </c>
    </row>
    <row r="301" customFormat="false" ht="15" hidden="false" customHeight="true" outlineLevel="0" collapsed="false">
      <c r="A301" s="101" t="n">
        <v>300</v>
      </c>
      <c r="B301" s="100" t="n">
        <v>134</v>
      </c>
      <c r="C301" s="100" t="s">
        <v>825</v>
      </c>
      <c r="D301" s="101" t="s">
        <v>159</v>
      </c>
      <c r="E301" s="101" t="s">
        <v>1220</v>
      </c>
      <c r="F301" s="101" t="s">
        <v>1208</v>
      </c>
      <c r="G301" s="101" t="s">
        <v>1208</v>
      </c>
      <c r="H301" s="101" t="s">
        <v>1251</v>
      </c>
      <c r="I301" s="101" t="s">
        <v>1550</v>
      </c>
      <c r="J301" s="101" t="n">
        <v>840</v>
      </c>
      <c r="K301" s="100" t="s">
        <v>1746</v>
      </c>
      <c r="L301" s="101" t="n">
        <v>2020</v>
      </c>
      <c r="M301" s="101" t="s">
        <v>1553</v>
      </c>
    </row>
    <row r="302" customFormat="false" ht="15" hidden="false" customHeight="true" outlineLevel="0" collapsed="false">
      <c r="A302" s="101" t="n">
        <v>301</v>
      </c>
      <c r="B302" s="100" t="n">
        <v>135</v>
      </c>
      <c r="C302" s="100" t="s">
        <v>824</v>
      </c>
      <c r="D302" s="101" t="s">
        <v>159</v>
      </c>
      <c r="E302" s="101" t="s">
        <v>1208</v>
      </c>
      <c r="F302" s="101" t="s">
        <v>1442</v>
      </c>
      <c r="G302" s="101" t="s">
        <v>1442</v>
      </c>
      <c r="H302" s="101" t="s">
        <v>1251</v>
      </c>
      <c r="I302" s="101" t="s">
        <v>1550</v>
      </c>
      <c r="J302" s="101" t="s">
        <v>1744</v>
      </c>
      <c r="K302" s="100" t="s">
        <v>1747</v>
      </c>
      <c r="L302" s="101" t="n">
        <v>2020</v>
      </c>
      <c r="M302" s="101" t="s">
        <v>1553</v>
      </c>
    </row>
    <row r="303" customFormat="false" ht="15" hidden="false" customHeight="true" outlineLevel="0" collapsed="false">
      <c r="A303" s="101" t="n">
        <v>302</v>
      </c>
      <c r="B303" s="100" t="n">
        <v>136</v>
      </c>
      <c r="C303" s="100" t="s">
        <v>823</v>
      </c>
      <c r="D303" s="101" t="s">
        <v>159</v>
      </c>
      <c r="E303" s="101" t="s">
        <v>1208</v>
      </c>
      <c r="F303" s="101" t="s">
        <v>1442</v>
      </c>
      <c r="G303" s="101" t="s">
        <v>1442</v>
      </c>
      <c r="H303" s="101" t="s">
        <v>1251</v>
      </c>
      <c r="I303" s="101" t="s">
        <v>1550</v>
      </c>
      <c r="J303" s="101" t="s">
        <v>1744</v>
      </c>
      <c r="K303" s="100" t="s">
        <v>1748</v>
      </c>
      <c r="L303" s="101" t="n">
        <v>2020</v>
      </c>
      <c r="M303" s="101" t="s">
        <v>1553</v>
      </c>
    </row>
    <row r="304" customFormat="false" ht="15" hidden="false" customHeight="true" outlineLevel="0" collapsed="false">
      <c r="A304" s="101" t="n">
        <v>303</v>
      </c>
      <c r="B304" s="100" t="n">
        <v>137</v>
      </c>
      <c r="C304" s="100" t="s">
        <v>822</v>
      </c>
      <c r="D304" s="101" t="s">
        <v>159</v>
      </c>
      <c r="E304" s="101" t="s">
        <v>1204</v>
      </c>
      <c r="F304" s="101" t="s">
        <v>1324</v>
      </c>
      <c r="G304" s="101"/>
      <c r="H304" s="101" t="s">
        <v>1251</v>
      </c>
      <c r="I304" s="101" t="s">
        <v>1550</v>
      </c>
      <c r="J304" s="101" t="s">
        <v>1744</v>
      </c>
      <c r="K304" s="100" t="s">
        <v>1749</v>
      </c>
      <c r="L304" s="101" t="n">
        <v>2020</v>
      </c>
      <c r="M304" s="101" t="s">
        <v>1553</v>
      </c>
    </row>
    <row r="305" customFormat="false" ht="15" hidden="false" customHeight="true" outlineLevel="0" collapsed="false">
      <c r="A305" s="101" t="n">
        <v>304</v>
      </c>
      <c r="B305" s="100" t="n">
        <v>138</v>
      </c>
      <c r="C305" s="100" t="s">
        <v>821</v>
      </c>
      <c r="D305" s="101" t="s">
        <v>159</v>
      </c>
      <c r="E305" s="101" t="s">
        <v>1204</v>
      </c>
      <c r="F305" s="101" t="s">
        <v>1324</v>
      </c>
      <c r="G305" s="101"/>
      <c r="H305" s="101" t="s">
        <v>1251</v>
      </c>
      <c r="I305" s="101" t="s">
        <v>1550</v>
      </c>
      <c r="J305" s="101" t="n">
        <v>840</v>
      </c>
      <c r="K305" s="100" t="s">
        <v>1750</v>
      </c>
      <c r="L305" s="101" t="n">
        <v>2020</v>
      </c>
      <c r="M305" s="101" t="s">
        <v>1553</v>
      </c>
    </row>
    <row r="306" customFormat="false" ht="15" hidden="false" customHeight="true" outlineLevel="0" collapsed="false">
      <c r="A306" s="101" t="n">
        <v>305</v>
      </c>
      <c r="B306" s="100" t="n">
        <v>139</v>
      </c>
      <c r="C306" s="100" t="s">
        <v>820</v>
      </c>
      <c r="D306" s="101" t="s">
        <v>159</v>
      </c>
      <c r="E306" s="101" t="s">
        <v>1204</v>
      </c>
      <c r="F306" s="101" t="s">
        <v>1324</v>
      </c>
      <c r="G306" s="101"/>
      <c r="H306" s="101" t="s">
        <v>1251</v>
      </c>
      <c r="I306" s="101" t="s">
        <v>1550</v>
      </c>
      <c r="J306" s="101" t="n">
        <v>840</v>
      </c>
      <c r="K306" s="100" t="s">
        <v>1751</v>
      </c>
      <c r="L306" s="101" t="n">
        <v>2020</v>
      </c>
      <c r="M306" s="101" t="s">
        <v>1553</v>
      </c>
    </row>
    <row r="307" customFormat="false" ht="15" hidden="false" customHeight="true" outlineLevel="0" collapsed="false">
      <c r="A307" s="101" t="n">
        <v>306</v>
      </c>
      <c r="B307" s="100" t="n">
        <v>140</v>
      </c>
      <c r="C307" s="100" t="s">
        <v>1752</v>
      </c>
      <c r="D307" s="101" t="s">
        <v>159</v>
      </c>
      <c r="E307" s="101" t="s">
        <v>1204</v>
      </c>
      <c r="F307" s="101" t="s">
        <v>1324</v>
      </c>
      <c r="G307" s="101"/>
      <c r="H307" s="101" t="s">
        <v>1251</v>
      </c>
      <c r="I307" s="101" t="s">
        <v>1505</v>
      </c>
      <c r="J307" s="101" t="s">
        <v>1753</v>
      </c>
      <c r="K307" s="100" t="s">
        <v>1754</v>
      </c>
      <c r="L307" s="101" t="n">
        <v>2020</v>
      </c>
      <c r="M307" s="101" t="s">
        <v>1558</v>
      </c>
    </row>
    <row r="308" customFormat="false" ht="15" hidden="false" customHeight="true" outlineLevel="0" collapsed="false">
      <c r="A308" s="101" t="n">
        <v>307</v>
      </c>
      <c r="B308" s="100" t="n">
        <v>141</v>
      </c>
      <c r="C308" s="100" t="s">
        <v>1069</v>
      </c>
      <c r="D308" s="101" t="s">
        <v>159</v>
      </c>
      <c r="E308" s="101" t="s">
        <v>1166</v>
      </c>
      <c r="F308" s="101" t="s">
        <v>1390</v>
      </c>
      <c r="G308" s="101" t="s">
        <v>1755</v>
      </c>
      <c r="H308" s="101" t="s">
        <v>1251</v>
      </c>
      <c r="I308" s="101" t="s">
        <v>1505</v>
      </c>
      <c r="J308" s="101" t="s">
        <v>1753</v>
      </c>
      <c r="K308" s="100" t="s">
        <v>1756</v>
      </c>
      <c r="L308" s="101" t="n">
        <v>2020</v>
      </c>
      <c r="M308" s="101" t="s">
        <v>1558</v>
      </c>
    </row>
    <row r="309" customFormat="false" ht="15" hidden="false" customHeight="true" outlineLevel="0" collapsed="false">
      <c r="A309" s="101"/>
      <c r="B309" s="100"/>
      <c r="C309" s="100"/>
      <c r="D309" s="101"/>
      <c r="E309" s="101"/>
      <c r="F309" s="101"/>
      <c r="G309" s="101"/>
      <c r="H309" s="101"/>
      <c r="I309" s="101"/>
      <c r="J309" s="101"/>
      <c r="K309" s="100"/>
      <c r="L309" s="101"/>
      <c r="M309" s="101"/>
    </row>
    <row r="310" customFormat="false" ht="15" hidden="false" customHeight="true" outlineLevel="0" collapsed="false">
      <c r="A310" s="101" t="n">
        <v>309</v>
      </c>
      <c r="B310" s="100" t="n">
        <v>143</v>
      </c>
      <c r="C310" s="100" t="s">
        <v>1005</v>
      </c>
      <c r="D310" s="101" t="s">
        <v>159</v>
      </c>
      <c r="E310" s="101" t="s">
        <v>1202</v>
      </c>
      <c r="F310" s="101" t="s">
        <v>1202</v>
      </c>
      <c r="G310" s="101" t="s">
        <v>1248</v>
      </c>
      <c r="H310" s="101" t="s">
        <v>1251</v>
      </c>
      <c r="I310" s="101" t="s">
        <v>1505</v>
      </c>
      <c r="J310" s="101" t="s">
        <v>1757</v>
      </c>
      <c r="K310" s="100" t="s">
        <v>1758</v>
      </c>
      <c r="L310" s="101" t="n">
        <v>2020</v>
      </c>
      <c r="M310" s="101" t="s">
        <v>1553</v>
      </c>
    </row>
    <row r="311" customFormat="false" ht="15" hidden="false" customHeight="true" outlineLevel="0" collapsed="false">
      <c r="A311" s="101" t="n">
        <v>310</v>
      </c>
      <c r="B311" s="100" t="n">
        <v>144</v>
      </c>
      <c r="C311" s="100" t="s">
        <v>1759</v>
      </c>
      <c r="D311" s="101" t="s">
        <v>159</v>
      </c>
      <c r="E311" s="101" t="s">
        <v>1202</v>
      </c>
      <c r="F311" s="101" t="s">
        <v>1202</v>
      </c>
      <c r="G311" s="101" t="s">
        <v>1760</v>
      </c>
      <c r="H311" s="101" t="s">
        <v>1251</v>
      </c>
      <c r="I311" s="101" t="s">
        <v>1505</v>
      </c>
      <c r="J311" s="101" t="s">
        <v>1757</v>
      </c>
      <c r="K311" s="100" t="s">
        <v>1761</v>
      </c>
      <c r="L311" s="101" t="n">
        <v>2020</v>
      </c>
      <c r="M311" s="101" t="s">
        <v>1553</v>
      </c>
    </row>
    <row r="312" customFormat="false" ht="15" hidden="false" customHeight="true" outlineLevel="0" collapsed="false">
      <c r="A312" s="101" t="n">
        <v>311</v>
      </c>
      <c r="B312" s="100" t="n">
        <v>145</v>
      </c>
      <c r="C312" s="100" t="s">
        <v>1004</v>
      </c>
      <c r="D312" s="101" t="s">
        <v>159</v>
      </c>
      <c r="E312" s="101" t="s">
        <v>1202</v>
      </c>
      <c r="F312" s="101" t="s">
        <v>1202</v>
      </c>
      <c r="G312" s="101" t="s">
        <v>1278</v>
      </c>
      <c r="H312" s="101" t="s">
        <v>1251</v>
      </c>
      <c r="I312" s="101" t="s">
        <v>1505</v>
      </c>
      <c r="J312" s="101" t="s">
        <v>1757</v>
      </c>
      <c r="K312" s="100" t="s">
        <v>1762</v>
      </c>
      <c r="L312" s="101" t="n">
        <v>2020</v>
      </c>
      <c r="M312" s="101" t="s">
        <v>1553</v>
      </c>
    </row>
    <row r="313" customFormat="false" ht="15" hidden="false" customHeight="true" outlineLevel="0" collapsed="false">
      <c r="A313" s="101" t="n">
        <v>312</v>
      </c>
      <c r="B313" s="100" t="n">
        <v>146</v>
      </c>
      <c r="C313" s="100" t="s">
        <v>1763</v>
      </c>
      <c r="D313" s="101" t="s">
        <v>159</v>
      </c>
      <c r="E313" s="101" t="s">
        <v>1202</v>
      </c>
      <c r="F313" s="101" t="s">
        <v>1202</v>
      </c>
      <c r="G313" s="101" t="s">
        <v>1764</v>
      </c>
      <c r="H313" s="101" t="s">
        <v>1251</v>
      </c>
      <c r="I313" s="101" t="s">
        <v>1505</v>
      </c>
      <c r="J313" s="101" t="s">
        <v>1757</v>
      </c>
      <c r="K313" s="100" t="s">
        <v>1765</v>
      </c>
      <c r="L313" s="101" t="n">
        <v>2020</v>
      </c>
      <c r="M313" s="101" t="s">
        <v>1553</v>
      </c>
    </row>
    <row r="314" customFormat="false" ht="15" hidden="false" customHeight="true" outlineLevel="0" collapsed="false">
      <c r="A314" s="101" t="n">
        <v>313</v>
      </c>
      <c r="B314" s="100" t="n">
        <v>147</v>
      </c>
      <c r="C314" s="100" t="s">
        <v>1003</v>
      </c>
      <c r="D314" s="101" t="s">
        <v>159</v>
      </c>
      <c r="E314" s="101" t="s">
        <v>1202</v>
      </c>
      <c r="F314" s="101" t="s">
        <v>1202</v>
      </c>
      <c r="G314" s="101" t="s">
        <v>1274</v>
      </c>
      <c r="H314" s="101" t="s">
        <v>1251</v>
      </c>
      <c r="I314" s="101" t="s">
        <v>1505</v>
      </c>
      <c r="J314" s="101" t="s">
        <v>1757</v>
      </c>
      <c r="K314" s="100" t="s">
        <v>1766</v>
      </c>
      <c r="L314" s="101" t="n">
        <v>2020</v>
      </c>
      <c r="M314" s="101" t="s">
        <v>1553</v>
      </c>
    </row>
    <row r="315" customFormat="false" ht="15" hidden="false" customHeight="true" outlineLevel="0" collapsed="false">
      <c r="A315" s="101" t="n">
        <v>314</v>
      </c>
      <c r="B315" s="100" t="n">
        <v>148</v>
      </c>
      <c r="C315" s="100" t="s">
        <v>1767</v>
      </c>
      <c r="D315" s="101" t="s">
        <v>159</v>
      </c>
      <c r="E315" s="101" t="s">
        <v>1202</v>
      </c>
      <c r="F315" s="101" t="s">
        <v>1202</v>
      </c>
      <c r="G315" s="101" t="s">
        <v>1581</v>
      </c>
      <c r="H315" s="101" t="s">
        <v>1251</v>
      </c>
      <c r="I315" s="101" t="s">
        <v>1505</v>
      </c>
      <c r="J315" s="101" t="s">
        <v>1757</v>
      </c>
      <c r="K315" s="100" t="s">
        <v>1768</v>
      </c>
      <c r="L315" s="101" t="n">
        <v>2020</v>
      </c>
      <c r="M315" s="101" t="s">
        <v>1553</v>
      </c>
    </row>
    <row r="316" customFormat="false" ht="15" hidden="false" customHeight="true" outlineLevel="0" collapsed="false">
      <c r="A316" s="101" t="n">
        <v>315</v>
      </c>
      <c r="B316" s="100" t="n">
        <v>149</v>
      </c>
      <c r="C316" s="100" t="s">
        <v>157</v>
      </c>
      <c r="D316" s="101" t="s">
        <v>159</v>
      </c>
      <c r="E316" s="101" t="s">
        <v>1204</v>
      </c>
      <c r="F316" s="101" t="s">
        <v>1324</v>
      </c>
      <c r="G316" s="101"/>
      <c r="H316" s="101" t="s">
        <v>1251</v>
      </c>
      <c r="I316" s="101" t="s">
        <v>1505</v>
      </c>
      <c r="J316" s="101" t="s">
        <v>1757</v>
      </c>
      <c r="K316" s="100" t="s">
        <v>156</v>
      </c>
      <c r="L316" s="101" t="n">
        <v>2020</v>
      </c>
      <c r="M316" s="101" t="s">
        <v>1553</v>
      </c>
    </row>
    <row r="317" customFormat="false" ht="15" hidden="false" customHeight="true" outlineLevel="0" collapsed="false">
      <c r="A317" s="101" t="n">
        <v>316</v>
      </c>
      <c r="B317" s="100" t="n">
        <v>150</v>
      </c>
      <c r="C317" s="100" t="s">
        <v>1769</v>
      </c>
      <c r="D317" s="101" t="s">
        <v>159</v>
      </c>
      <c r="E317" s="101" t="s">
        <v>1204</v>
      </c>
      <c r="F317" s="101" t="s">
        <v>1324</v>
      </c>
      <c r="G317" s="101"/>
      <c r="H317" s="101" t="s">
        <v>1251</v>
      </c>
      <c r="I317" s="101" t="s">
        <v>1505</v>
      </c>
      <c r="J317" s="101" t="s">
        <v>1757</v>
      </c>
      <c r="K317" s="100" t="s">
        <v>1770</v>
      </c>
      <c r="L317" s="101" t="n">
        <v>2020</v>
      </c>
      <c r="M317" s="101" t="s">
        <v>1553</v>
      </c>
    </row>
    <row r="318" customFormat="false" ht="15" hidden="false" customHeight="true" outlineLevel="0" collapsed="false">
      <c r="A318" s="101" t="n">
        <v>317</v>
      </c>
      <c r="B318" s="100" t="n">
        <v>151</v>
      </c>
      <c r="C318" s="100" t="s">
        <v>1771</v>
      </c>
      <c r="D318" s="101" t="s">
        <v>159</v>
      </c>
      <c r="E318" s="101" t="s">
        <v>1204</v>
      </c>
      <c r="F318" s="101" t="s">
        <v>1324</v>
      </c>
      <c r="G318" s="101"/>
      <c r="H318" s="101" t="s">
        <v>1251</v>
      </c>
      <c r="I318" s="101" t="s">
        <v>1505</v>
      </c>
      <c r="J318" s="101" t="s">
        <v>1757</v>
      </c>
      <c r="K318" s="100" t="s">
        <v>1772</v>
      </c>
      <c r="L318" s="101" t="n">
        <v>2020</v>
      </c>
      <c r="M318" s="101" t="s">
        <v>1553</v>
      </c>
    </row>
    <row r="319" customFormat="false" ht="15" hidden="false" customHeight="true" outlineLevel="0" collapsed="false">
      <c r="A319" s="101" t="n">
        <v>318</v>
      </c>
      <c r="B319" s="100" t="n">
        <v>152</v>
      </c>
      <c r="C319" s="100" t="s">
        <v>154</v>
      </c>
      <c r="D319" s="101" t="s">
        <v>159</v>
      </c>
      <c r="E319" s="101" t="s">
        <v>1204</v>
      </c>
      <c r="F319" s="101" t="s">
        <v>1324</v>
      </c>
      <c r="G319" s="101"/>
      <c r="H319" s="101" t="s">
        <v>1251</v>
      </c>
      <c r="I319" s="101" t="s">
        <v>1505</v>
      </c>
      <c r="J319" s="101" t="s">
        <v>1757</v>
      </c>
      <c r="K319" s="100" t="s">
        <v>153</v>
      </c>
      <c r="L319" s="101" t="n">
        <v>2020</v>
      </c>
      <c r="M319" s="101" t="s">
        <v>1553</v>
      </c>
    </row>
    <row r="320" customFormat="false" ht="15" hidden="false" customHeight="true" outlineLevel="0" collapsed="false">
      <c r="A320" s="101" t="n">
        <v>319</v>
      </c>
      <c r="B320" s="100" t="n">
        <v>153</v>
      </c>
      <c r="C320" s="100" t="s">
        <v>1773</v>
      </c>
      <c r="D320" s="101" t="s">
        <v>159</v>
      </c>
      <c r="E320" s="101" t="s">
        <v>1204</v>
      </c>
      <c r="F320" s="101" t="s">
        <v>1324</v>
      </c>
      <c r="G320" s="101"/>
      <c r="H320" s="101" t="s">
        <v>1251</v>
      </c>
      <c r="I320" s="101" t="s">
        <v>1505</v>
      </c>
      <c r="J320" s="101" t="s">
        <v>1757</v>
      </c>
      <c r="K320" s="100" t="s">
        <v>1774</v>
      </c>
      <c r="L320" s="101" t="n">
        <v>2020</v>
      </c>
      <c r="M320" s="101" t="s">
        <v>1553</v>
      </c>
    </row>
    <row r="321" customFormat="false" ht="15" hidden="false" customHeight="true" outlineLevel="0" collapsed="false">
      <c r="A321" s="101" t="n">
        <v>320</v>
      </c>
      <c r="B321" s="100" t="n">
        <v>154</v>
      </c>
      <c r="C321" s="100" t="s">
        <v>1775</v>
      </c>
      <c r="D321" s="101" t="s">
        <v>159</v>
      </c>
      <c r="E321" s="101" t="s">
        <v>1204</v>
      </c>
      <c r="F321" s="101" t="s">
        <v>1324</v>
      </c>
      <c r="G321" s="101"/>
      <c r="H321" s="101" t="s">
        <v>1251</v>
      </c>
      <c r="I321" s="101" t="s">
        <v>1505</v>
      </c>
      <c r="J321" s="101" t="s">
        <v>1757</v>
      </c>
      <c r="K321" s="100" t="s">
        <v>1776</v>
      </c>
      <c r="L321" s="101" t="n">
        <v>2020</v>
      </c>
      <c r="M321" s="101" t="s">
        <v>1553</v>
      </c>
    </row>
    <row r="322" customFormat="false" ht="15" hidden="false" customHeight="true" outlineLevel="0" collapsed="false">
      <c r="A322" s="101"/>
      <c r="B322" s="100"/>
      <c r="C322" s="100"/>
      <c r="D322" s="101"/>
      <c r="E322" s="101"/>
      <c r="F322" s="101"/>
      <c r="G322" s="101"/>
      <c r="H322" s="101"/>
      <c r="I322" s="101"/>
      <c r="J322" s="101"/>
      <c r="K322" s="100"/>
      <c r="L322" s="101"/>
      <c r="M322" s="101"/>
    </row>
    <row r="323" customFormat="false" ht="15" hidden="false" customHeight="true" outlineLevel="0" collapsed="false">
      <c r="A323" s="101" t="n">
        <v>322</v>
      </c>
      <c r="B323" s="100" t="n">
        <v>156</v>
      </c>
      <c r="C323" s="100" t="s">
        <v>953</v>
      </c>
      <c r="D323" s="101" t="s">
        <v>159</v>
      </c>
      <c r="E323" s="101" t="s">
        <v>1202</v>
      </c>
      <c r="F323" s="101" t="s">
        <v>1202</v>
      </c>
      <c r="G323" s="101" t="s">
        <v>1711</v>
      </c>
      <c r="H323" s="101" t="s">
        <v>1554</v>
      </c>
      <c r="I323" s="101" t="s">
        <v>1555</v>
      </c>
      <c r="J323" s="101" t="s">
        <v>1556</v>
      </c>
      <c r="K323" s="100" t="s">
        <v>1777</v>
      </c>
      <c r="L323" s="101" t="n">
        <v>2021</v>
      </c>
      <c r="M323" s="101" t="s">
        <v>1558</v>
      </c>
    </row>
    <row r="324" customFormat="false" ht="15" hidden="false" customHeight="true" outlineLevel="0" collapsed="false">
      <c r="A324" s="101" t="n">
        <v>323</v>
      </c>
      <c r="B324" s="100" t="n">
        <v>157</v>
      </c>
      <c r="C324" s="100" t="s">
        <v>496</v>
      </c>
      <c r="D324" s="101" t="s">
        <v>159</v>
      </c>
      <c r="E324" s="101" t="s">
        <v>1202</v>
      </c>
      <c r="F324" s="101" t="s">
        <v>1202</v>
      </c>
      <c r="G324" s="101" t="s">
        <v>1581</v>
      </c>
      <c r="H324" s="101" t="s">
        <v>1554</v>
      </c>
      <c r="I324" s="101" t="s">
        <v>1555</v>
      </c>
      <c r="J324" s="101" t="s">
        <v>1556</v>
      </c>
      <c r="K324" s="100" t="s">
        <v>1778</v>
      </c>
      <c r="L324" s="101" t="n">
        <v>2021</v>
      </c>
      <c r="M324" s="101" t="s">
        <v>1558</v>
      </c>
    </row>
    <row r="325" customFormat="false" ht="15" hidden="false" customHeight="true" outlineLevel="0" collapsed="false">
      <c r="A325" s="101" t="n">
        <v>324</v>
      </c>
      <c r="B325" s="100" t="n">
        <v>158</v>
      </c>
      <c r="C325" s="100" t="s">
        <v>952</v>
      </c>
      <c r="D325" s="101" t="s">
        <v>159</v>
      </c>
      <c r="E325" s="101" t="s">
        <v>1202</v>
      </c>
      <c r="F325" s="101" t="s">
        <v>1202</v>
      </c>
      <c r="G325" s="101" t="s">
        <v>1581</v>
      </c>
      <c r="H325" s="101" t="s">
        <v>1554</v>
      </c>
      <c r="I325" s="101" t="s">
        <v>1555</v>
      </c>
      <c r="J325" s="101" t="s">
        <v>1556</v>
      </c>
      <c r="K325" s="100" t="s">
        <v>1779</v>
      </c>
      <c r="L325" s="101" t="n">
        <v>2021</v>
      </c>
      <c r="M325" s="101" t="s">
        <v>1558</v>
      </c>
    </row>
    <row r="326" customFormat="false" ht="15" hidden="false" customHeight="true" outlineLevel="0" collapsed="false">
      <c r="A326" s="101" t="n">
        <v>325</v>
      </c>
      <c r="B326" s="100" t="n">
        <v>159</v>
      </c>
      <c r="C326" s="100" t="s">
        <v>819</v>
      </c>
      <c r="D326" s="101" t="s">
        <v>159</v>
      </c>
      <c r="E326" s="101" t="s">
        <v>1211</v>
      </c>
      <c r="F326" s="101" t="s">
        <v>1442</v>
      </c>
      <c r="G326" s="101"/>
      <c r="H326" s="101" t="s">
        <v>1554</v>
      </c>
      <c r="I326" s="101" t="s">
        <v>1550</v>
      </c>
      <c r="J326" s="101" t="s">
        <v>1565</v>
      </c>
      <c r="K326" s="100" t="s">
        <v>1780</v>
      </c>
      <c r="L326" s="101" t="n">
        <v>2022</v>
      </c>
      <c r="M326" s="101" t="s">
        <v>1553</v>
      </c>
    </row>
    <row r="327" customFormat="false" ht="15" hidden="false" customHeight="true" outlineLevel="0" collapsed="false">
      <c r="A327" s="101" t="n">
        <v>326</v>
      </c>
      <c r="B327" s="100" t="n">
        <v>160</v>
      </c>
      <c r="C327" s="100" t="s">
        <v>818</v>
      </c>
      <c r="D327" s="101" t="s">
        <v>159</v>
      </c>
      <c r="E327" s="101" t="s">
        <v>1208</v>
      </c>
      <c r="F327" s="101" t="s">
        <v>1442</v>
      </c>
      <c r="G327" s="101" t="s">
        <v>1581</v>
      </c>
      <c r="H327" s="101" t="s">
        <v>1251</v>
      </c>
      <c r="I327" s="101" t="s">
        <v>1550</v>
      </c>
      <c r="J327" s="101" t="s">
        <v>1565</v>
      </c>
      <c r="K327" s="100" t="s">
        <v>1781</v>
      </c>
      <c r="L327" s="101" t="n">
        <v>2023</v>
      </c>
      <c r="M327" s="101" t="s">
        <v>1553</v>
      </c>
    </row>
    <row r="328" customFormat="false" ht="15" hidden="false" customHeight="true" outlineLevel="0" collapsed="false">
      <c r="A328" s="101" t="n">
        <v>327</v>
      </c>
      <c r="B328" s="100" t="n">
        <v>161</v>
      </c>
      <c r="C328" s="100" t="s">
        <v>817</v>
      </c>
      <c r="D328" s="101" t="s">
        <v>159</v>
      </c>
      <c r="E328" s="101" t="s">
        <v>1208</v>
      </c>
      <c r="F328" s="101" t="s">
        <v>1442</v>
      </c>
      <c r="G328" s="101" t="s">
        <v>1581</v>
      </c>
      <c r="H328" s="101" t="s">
        <v>1782</v>
      </c>
      <c r="I328" s="101" t="s">
        <v>1550</v>
      </c>
      <c r="J328" s="101" t="n">
        <v>980</v>
      </c>
      <c r="K328" s="100" t="s">
        <v>1783</v>
      </c>
      <c r="L328" s="101" t="n">
        <v>2023</v>
      </c>
      <c r="M328" s="101" t="s">
        <v>1553</v>
      </c>
    </row>
    <row r="329" customFormat="false" ht="15" hidden="false" customHeight="true" outlineLevel="0" collapsed="false">
      <c r="A329" s="101" t="n">
        <v>328</v>
      </c>
      <c r="B329" s="100" t="n">
        <v>162</v>
      </c>
      <c r="C329" s="100" t="s">
        <v>816</v>
      </c>
      <c r="D329" s="101" t="s">
        <v>159</v>
      </c>
      <c r="E329" s="101" t="s">
        <v>1202</v>
      </c>
      <c r="F329" s="101" t="s">
        <v>1483</v>
      </c>
      <c r="G329" s="101"/>
      <c r="H329" s="101" t="s">
        <v>1784</v>
      </c>
      <c r="I329" s="101" t="s">
        <v>1550</v>
      </c>
      <c r="J329" s="101" t="n">
        <v>840</v>
      </c>
      <c r="K329" s="100" t="s">
        <v>1785</v>
      </c>
      <c r="L329" s="101" t="n">
        <v>2025</v>
      </c>
      <c r="M329" s="101" t="s">
        <v>1553</v>
      </c>
    </row>
    <row r="330" customFormat="false" ht="15" hidden="false" customHeight="true" outlineLevel="0" collapsed="false">
      <c r="A330" s="101" t="n">
        <v>329</v>
      </c>
      <c r="B330" s="100" t="n">
        <v>163</v>
      </c>
      <c r="C330" s="100" t="s">
        <v>123</v>
      </c>
      <c r="D330" s="101" t="s">
        <v>159</v>
      </c>
      <c r="E330" s="101" t="s">
        <v>1202</v>
      </c>
      <c r="F330" s="101" t="s">
        <v>1483</v>
      </c>
      <c r="G330" s="101"/>
      <c r="H330" s="101" t="s">
        <v>1784</v>
      </c>
      <c r="I330" s="101" t="s">
        <v>1550</v>
      </c>
      <c r="J330" s="101" t="n">
        <v>840</v>
      </c>
      <c r="K330" s="100" t="s">
        <v>122</v>
      </c>
      <c r="L330" s="101" t="n">
        <v>2025</v>
      </c>
      <c r="M330" s="101" t="s">
        <v>1553</v>
      </c>
    </row>
    <row r="331" customFormat="false" ht="15" hidden="false" customHeight="true" outlineLevel="0" collapsed="false">
      <c r="A331" s="101" t="n">
        <v>330</v>
      </c>
      <c r="B331" s="100" t="n">
        <v>164</v>
      </c>
      <c r="C331" s="100" t="s">
        <v>951</v>
      </c>
      <c r="D331" s="101" t="s">
        <v>159</v>
      </c>
      <c r="E331" s="101" t="s">
        <v>1202</v>
      </c>
      <c r="F331" s="101"/>
      <c r="G331" s="101"/>
      <c r="H331" s="101" t="s">
        <v>1786</v>
      </c>
      <c r="I331" s="101" t="s">
        <v>1720</v>
      </c>
      <c r="J331" s="101" t="s">
        <v>1721</v>
      </c>
      <c r="K331" s="100" t="s">
        <v>1787</v>
      </c>
      <c r="L331" s="101" t="n">
        <v>2025</v>
      </c>
      <c r="M331" s="101" t="s">
        <v>1553</v>
      </c>
    </row>
    <row r="332" customFormat="false" ht="15" hidden="false" customHeight="true" outlineLevel="0" collapsed="false">
      <c r="A332" s="101" t="n">
        <v>331</v>
      </c>
      <c r="B332" s="100" t="n">
        <v>165</v>
      </c>
      <c r="C332" s="100" t="s">
        <v>815</v>
      </c>
      <c r="D332" s="101" t="s">
        <v>159</v>
      </c>
      <c r="E332" s="101" t="s">
        <v>1213</v>
      </c>
      <c r="F332" s="101" t="s">
        <v>1468</v>
      </c>
      <c r="G332" s="101" t="s">
        <v>1581</v>
      </c>
      <c r="H332" s="101" t="s">
        <v>1235</v>
      </c>
      <c r="I332" s="101" t="s">
        <v>1607</v>
      </c>
      <c r="J332" s="101" t="s">
        <v>1788</v>
      </c>
      <c r="K332" s="100" t="s">
        <v>1789</v>
      </c>
      <c r="L332" s="101" t="n">
        <v>2023</v>
      </c>
      <c r="M332" s="101" t="s">
        <v>1553</v>
      </c>
    </row>
    <row r="333" customFormat="false" ht="15" hidden="false" customHeight="true" outlineLevel="0" collapsed="false">
      <c r="A333" s="101" t="n">
        <v>332</v>
      </c>
      <c r="B333" s="100" t="n">
        <v>166</v>
      </c>
      <c r="C333" s="100" t="s">
        <v>814</v>
      </c>
      <c r="D333" s="101" t="s">
        <v>159</v>
      </c>
      <c r="E333" s="101" t="s">
        <v>1213</v>
      </c>
      <c r="F333" s="101" t="s">
        <v>1468</v>
      </c>
      <c r="G333" s="101" t="s">
        <v>1581</v>
      </c>
      <c r="H333" s="101" t="s">
        <v>1251</v>
      </c>
      <c r="I333" s="101" t="s">
        <v>1607</v>
      </c>
      <c r="J333" s="101" t="s">
        <v>1608</v>
      </c>
      <c r="K333" s="100" t="s">
        <v>1790</v>
      </c>
      <c r="L333" s="101" t="n">
        <v>2023</v>
      </c>
      <c r="M333" s="101" t="s">
        <v>1553</v>
      </c>
    </row>
    <row r="334" customFormat="false" ht="15" hidden="false" customHeight="true" outlineLevel="0" collapsed="false">
      <c r="A334" s="101" t="n">
        <v>333</v>
      </c>
      <c r="B334" s="100" t="n">
        <v>167</v>
      </c>
      <c r="C334" s="100" t="s">
        <v>813</v>
      </c>
      <c r="D334" s="101" t="s">
        <v>159</v>
      </c>
      <c r="E334" s="101" t="s">
        <v>1213</v>
      </c>
      <c r="F334" s="101" t="s">
        <v>1468</v>
      </c>
      <c r="G334" s="101" t="s">
        <v>1581</v>
      </c>
      <c r="H334" s="101" t="s">
        <v>1251</v>
      </c>
      <c r="I334" s="101" t="s">
        <v>1607</v>
      </c>
      <c r="J334" s="101" t="s">
        <v>1608</v>
      </c>
      <c r="K334" s="100" t="s">
        <v>1791</v>
      </c>
      <c r="L334" s="101" t="n">
        <v>2023</v>
      </c>
      <c r="M334" s="101" t="s">
        <v>1553</v>
      </c>
    </row>
    <row r="335" customFormat="false" ht="15" hidden="false" customHeight="true" outlineLevel="0" collapsed="false">
      <c r="A335" s="101" t="n">
        <v>334</v>
      </c>
      <c r="B335" s="100" t="n">
        <v>168</v>
      </c>
      <c r="C335" s="100" t="s">
        <v>812</v>
      </c>
      <c r="D335" s="101" t="s">
        <v>159</v>
      </c>
      <c r="E335" s="101" t="s">
        <v>1213</v>
      </c>
      <c r="F335" s="101" t="s">
        <v>1468</v>
      </c>
      <c r="G335" s="101" t="s">
        <v>1581</v>
      </c>
      <c r="H335" s="101" t="s">
        <v>1251</v>
      </c>
      <c r="I335" s="101" t="s">
        <v>1607</v>
      </c>
      <c r="J335" s="101" t="s">
        <v>1608</v>
      </c>
      <c r="K335" s="100" t="s">
        <v>1792</v>
      </c>
      <c r="L335" s="101" t="n">
        <v>2023</v>
      </c>
      <c r="M335" s="101" t="s">
        <v>1553</v>
      </c>
    </row>
    <row r="336" customFormat="false" ht="15" hidden="false" customHeight="true" outlineLevel="0" collapsed="false">
      <c r="A336" s="101" t="n">
        <v>335</v>
      </c>
      <c r="B336" s="100" t="n">
        <v>169</v>
      </c>
      <c r="C336" s="100" t="s">
        <v>811</v>
      </c>
      <c r="D336" s="101" t="s">
        <v>159</v>
      </c>
      <c r="E336" s="101" t="s">
        <v>1213</v>
      </c>
      <c r="F336" s="101" t="s">
        <v>1468</v>
      </c>
      <c r="G336" s="101" t="s">
        <v>1581</v>
      </c>
      <c r="H336" s="101" t="s">
        <v>1251</v>
      </c>
      <c r="I336" s="101" t="s">
        <v>1607</v>
      </c>
      <c r="J336" s="101" t="s">
        <v>1608</v>
      </c>
      <c r="K336" s="100" t="s">
        <v>1793</v>
      </c>
      <c r="L336" s="101" t="n">
        <v>2023</v>
      </c>
      <c r="M336" s="101" t="s">
        <v>1553</v>
      </c>
    </row>
    <row r="337" customFormat="false" ht="15" hidden="false" customHeight="true" outlineLevel="0" collapsed="false">
      <c r="A337" s="101" t="n">
        <v>336</v>
      </c>
      <c r="B337" s="100" t="n">
        <v>170</v>
      </c>
      <c r="C337" s="100" t="s">
        <v>810</v>
      </c>
      <c r="D337" s="101" t="s">
        <v>159</v>
      </c>
      <c r="E337" s="101" t="s">
        <v>1213</v>
      </c>
      <c r="F337" s="101" t="s">
        <v>1468</v>
      </c>
      <c r="G337" s="101" t="s">
        <v>1581</v>
      </c>
      <c r="H337" s="101" t="s">
        <v>1251</v>
      </c>
      <c r="I337" s="101" t="s">
        <v>1607</v>
      </c>
      <c r="J337" s="101" t="s">
        <v>1608</v>
      </c>
      <c r="K337" s="100" t="s">
        <v>1794</v>
      </c>
      <c r="L337" s="101" t="n">
        <v>2023</v>
      </c>
      <c r="M337" s="101" t="s">
        <v>1553</v>
      </c>
    </row>
    <row r="338" customFormat="false" ht="15" hidden="false" customHeight="true" outlineLevel="0" collapsed="false">
      <c r="A338" s="101" t="n">
        <v>337</v>
      </c>
      <c r="B338" s="100" t="n">
        <v>171</v>
      </c>
      <c r="C338" s="100" t="s">
        <v>809</v>
      </c>
      <c r="D338" s="101" t="s">
        <v>159</v>
      </c>
      <c r="E338" s="101" t="s">
        <v>1213</v>
      </c>
      <c r="F338" s="101" t="s">
        <v>1468</v>
      </c>
      <c r="G338" s="101" t="s">
        <v>1581</v>
      </c>
      <c r="H338" s="101" t="s">
        <v>1251</v>
      </c>
      <c r="I338" s="101" t="s">
        <v>1607</v>
      </c>
      <c r="J338" s="101" t="s">
        <v>1608</v>
      </c>
      <c r="K338" s="100" t="s">
        <v>1795</v>
      </c>
      <c r="L338" s="101" t="n">
        <v>2023</v>
      </c>
      <c r="M338" s="101" t="s">
        <v>1553</v>
      </c>
    </row>
    <row r="339" customFormat="false" ht="15" hidden="false" customHeight="true" outlineLevel="0" collapsed="false">
      <c r="A339" s="101" t="n">
        <v>338</v>
      </c>
      <c r="B339" s="100" t="n">
        <v>172</v>
      </c>
      <c r="C339" s="100" t="s">
        <v>808</v>
      </c>
      <c r="D339" s="101" t="s">
        <v>159</v>
      </c>
      <c r="E339" s="101" t="s">
        <v>1213</v>
      </c>
      <c r="F339" s="101" t="s">
        <v>1468</v>
      </c>
      <c r="G339" s="101" t="s">
        <v>1581</v>
      </c>
      <c r="H339" s="101" t="s">
        <v>1251</v>
      </c>
      <c r="I339" s="101" t="s">
        <v>1607</v>
      </c>
      <c r="J339" s="101" t="s">
        <v>1608</v>
      </c>
      <c r="K339" s="100" t="s">
        <v>1796</v>
      </c>
      <c r="L339" s="101" t="n">
        <v>2023</v>
      </c>
      <c r="M339" s="101" t="s">
        <v>1553</v>
      </c>
    </row>
    <row r="340" customFormat="false" ht="15" hidden="false" customHeight="true" outlineLevel="0" collapsed="false">
      <c r="A340" s="101" t="n">
        <v>339</v>
      </c>
      <c r="B340" s="100" t="n">
        <v>173</v>
      </c>
      <c r="C340" s="100" t="s">
        <v>807</v>
      </c>
      <c r="D340" s="101" t="s">
        <v>159</v>
      </c>
      <c r="E340" s="101" t="s">
        <v>1213</v>
      </c>
      <c r="F340" s="101" t="s">
        <v>1468</v>
      </c>
      <c r="G340" s="101" t="s">
        <v>1581</v>
      </c>
      <c r="H340" s="101" t="s">
        <v>1251</v>
      </c>
      <c r="I340" s="101" t="s">
        <v>1607</v>
      </c>
      <c r="J340" s="101" t="s">
        <v>1608</v>
      </c>
      <c r="K340" s="100" t="s">
        <v>1797</v>
      </c>
      <c r="L340" s="101" t="n">
        <v>2023</v>
      </c>
      <c r="M340" s="101" t="s">
        <v>1553</v>
      </c>
    </row>
    <row r="341" customFormat="false" ht="15" hidden="false" customHeight="true" outlineLevel="0" collapsed="false">
      <c r="A341" s="101" t="n">
        <v>340</v>
      </c>
      <c r="B341" s="100" t="n">
        <v>174</v>
      </c>
      <c r="C341" s="100" t="s">
        <v>806</v>
      </c>
      <c r="D341" s="101" t="s">
        <v>159</v>
      </c>
      <c r="E341" s="101" t="s">
        <v>1213</v>
      </c>
      <c r="F341" s="101" t="s">
        <v>1468</v>
      </c>
      <c r="G341" s="101" t="s">
        <v>1581</v>
      </c>
      <c r="H341" s="101" t="s">
        <v>1251</v>
      </c>
      <c r="I341" s="101" t="s">
        <v>1607</v>
      </c>
      <c r="J341" s="101" t="s">
        <v>1608</v>
      </c>
      <c r="K341" s="100" t="s">
        <v>1798</v>
      </c>
      <c r="L341" s="101" t="n">
        <v>2023</v>
      </c>
      <c r="M341" s="101" t="s">
        <v>1553</v>
      </c>
    </row>
    <row r="342" customFormat="false" ht="15" hidden="false" customHeight="true" outlineLevel="0" collapsed="false">
      <c r="A342" s="101" t="n">
        <v>341</v>
      </c>
      <c r="B342" s="100" t="n">
        <v>175</v>
      </c>
      <c r="C342" s="100" t="s">
        <v>804</v>
      </c>
      <c r="D342" s="101" t="s">
        <v>159</v>
      </c>
      <c r="E342" s="101" t="s">
        <v>1163</v>
      </c>
      <c r="F342" s="101" t="s">
        <v>1799</v>
      </c>
      <c r="G342" s="101" t="s">
        <v>1800</v>
      </c>
      <c r="H342" s="101" t="s">
        <v>1251</v>
      </c>
      <c r="I342" s="101" t="s">
        <v>1607</v>
      </c>
      <c r="J342" s="101" t="s">
        <v>1801</v>
      </c>
      <c r="K342" s="100" t="s">
        <v>1802</v>
      </c>
      <c r="L342" s="101" t="n">
        <v>2023</v>
      </c>
      <c r="M342" s="101" t="s">
        <v>1553</v>
      </c>
    </row>
    <row r="343" customFormat="false" ht="15" hidden="false" customHeight="true" outlineLevel="0" collapsed="false">
      <c r="A343" s="101"/>
      <c r="B343" s="100"/>
      <c r="C343" s="100"/>
      <c r="D343" s="101"/>
      <c r="E343" s="101"/>
      <c r="F343" s="101"/>
      <c r="G343" s="101"/>
      <c r="H343" s="101"/>
      <c r="I343" s="101"/>
      <c r="J343" s="101"/>
      <c r="K343" s="100"/>
      <c r="L343" s="101"/>
      <c r="M343" s="101"/>
    </row>
    <row r="344" customFormat="false" ht="15" hidden="false" customHeight="true" outlineLevel="0" collapsed="false">
      <c r="A344" s="101" t="n">
        <v>343</v>
      </c>
      <c r="B344" s="100" t="n">
        <v>177</v>
      </c>
      <c r="C344" s="100" t="s">
        <v>803</v>
      </c>
      <c r="D344" s="101" t="s">
        <v>159</v>
      </c>
      <c r="E344" s="101" t="s">
        <v>1213</v>
      </c>
      <c r="F344" s="101" t="s">
        <v>1213</v>
      </c>
      <c r="G344" s="101" t="s">
        <v>1581</v>
      </c>
      <c r="H344" s="101" t="s">
        <v>1251</v>
      </c>
      <c r="I344" s="101" t="s">
        <v>1803</v>
      </c>
      <c r="J344" s="101" t="s">
        <v>1804</v>
      </c>
      <c r="K344" s="100" t="s">
        <v>1805</v>
      </c>
      <c r="L344" s="101" t="n">
        <v>2025</v>
      </c>
      <c r="M344" s="101" t="s">
        <v>1553</v>
      </c>
    </row>
    <row r="345" customFormat="false" ht="15" hidden="false" customHeight="true" outlineLevel="0" collapsed="false">
      <c r="A345" s="101" t="n">
        <v>344</v>
      </c>
      <c r="B345" s="100" t="n">
        <v>178</v>
      </c>
      <c r="C345" s="100" t="s">
        <v>802</v>
      </c>
      <c r="D345" s="101" t="s">
        <v>159</v>
      </c>
      <c r="E345" s="101" t="s">
        <v>1213</v>
      </c>
      <c r="F345" s="101" t="s">
        <v>1213</v>
      </c>
      <c r="G345" s="101" t="s">
        <v>1581</v>
      </c>
      <c r="H345" s="101" t="s">
        <v>1251</v>
      </c>
      <c r="I345" s="101" t="s">
        <v>1803</v>
      </c>
      <c r="J345" s="101" t="s">
        <v>1804</v>
      </c>
      <c r="K345" s="100" t="s">
        <v>1806</v>
      </c>
      <c r="L345" s="101" t="n">
        <v>2025</v>
      </c>
      <c r="M345" s="101" t="s">
        <v>1553</v>
      </c>
    </row>
    <row r="346" customFormat="false" ht="15" hidden="false" customHeight="true" outlineLevel="0" collapsed="false">
      <c r="A346" s="101" t="n">
        <v>345</v>
      </c>
      <c r="B346" s="100" t="n">
        <v>179</v>
      </c>
      <c r="C346" s="100" t="s">
        <v>801</v>
      </c>
      <c r="D346" s="101" t="s">
        <v>159</v>
      </c>
      <c r="E346" s="101" t="s">
        <v>1213</v>
      </c>
      <c r="F346" s="101" t="s">
        <v>1213</v>
      </c>
      <c r="G346" s="101" t="s">
        <v>1581</v>
      </c>
      <c r="H346" s="101" t="s">
        <v>1251</v>
      </c>
      <c r="I346" s="101" t="s">
        <v>1803</v>
      </c>
      <c r="J346" s="101" t="s">
        <v>1804</v>
      </c>
      <c r="K346" s="100" t="s">
        <v>1807</v>
      </c>
      <c r="L346" s="101" t="n">
        <v>2025</v>
      </c>
      <c r="M346" s="101" t="s">
        <v>1553</v>
      </c>
    </row>
    <row r="347" customFormat="false" ht="15" hidden="false" customHeight="true" outlineLevel="0" collapsed="false">
      <c r="A347" s="101" t="n">
        <v>346</v>
      </c>
      <c r="B347" s="100" t="n">
        <v>180</v>
      </c>
      <c r="C347" s="100" t="s">
        <v>800</v>
      </c>
      <c r="D347" s="101" t="s">
        <v>159</v>
      </c>
      <c r="E347" s="101" t="s">
        <v>1213</v>
      </c>
      <c r="F347" s="101" t="s">
        <v>1213</v>
      </c>
      <c r="G347" s="101" t="s">
        <v>1581</v>
      </c>
      <c r="H347" s="101" t="s">
        <v>1251</v>
      </c>
      <c r="I347" s="101" t="s">
        <v>1803</v>
      </c>
      <c r="J347" s="101" t="s">
        <v>1804</v>
      </c>
      <c r="K347" s="100" t="s">
        <v>1808</v>
      </c>
      <c r="L347" s="101" t="n">
        <v>2025</v>
      </c>
      <c r="M347" s="101" t="s">
        <v>1553</v>
      </c>
    </row>
    <row r="348" customFormat="false" ht="15" hidden="false" customHeight="true" outlineLevel="0" collapsed="false">
      <c r="A348" s="101" t="n">
        <v>347</v>
      </c>
      <c r="B348" s="100" t="n">
        <v>1</v>
      </c>
      <c r="C348" s="100" t="s">
        <v>1809</v>
      </c>
      <c r="D348" s="101" t="s">
        <v>111</v>
      </c>
      <c r="E348" s="101" t="s">
        <v>1204</v>
      </c>
      <c r="F348" s="101" t="s">
        <v>1324</v>
      </c>
      <c r="G348" s="101" t="s">
        <v>1810</v>
      </c>
      <c r="H348" s="101" t="s">
        <v>1251</v>
      </c>
      <c r="I348" s="101" t="s">
        <v>1500</v>
      </c>
      <c r="J348" s="101" t="s">
        <v>1811</v>
      </c>
      <c r="K348" s="100" t="s">
        <v>1812</v>
      </c>
      <c r="L348" s="101" t="n">
        <v>2010</v>
      </c>
      <c r="M348" s="101" t="s">
        <v>1553</v>
      </c>
    </row>
    <row r="349" customFormat="false" ht="15" hidden="false" customHeight="true" outlineLevel="0" collapsed="false">
      <c r="A349" s="101" t="n">
        <v>348</v>
      </c>
      <c r="B349" s="100" t="n">
        <v>2</v>
      </c>
      <c r="C349" s="100" t="s">
        <v>1813</v>
      </c>
      <c r="D349" s="101" t="s">
        <v>111</v>
      </c>
      <c r="E349" s="101" t="s">
        <v>1204</v>
      </c>
      <c r="F349" s="101" t="s">
        <v>1324</v>
      </c>
      <c r="G349" s="101" t="s">
        <v>1814</v>
      </c>
      <c r="H349" s="101" t="s">
        <v>1251</v>
      </c>
      <c r="I349" s="101" t="s">
        <v>1500</v>
      </c>
      <c r="J349" s="101" t="s">
        <v>1811</v>
      </c>
      <c r="K349" s="100" t="s">
        <v>1815</v>
      </c>
      <c r="L349" s="101" t="n">
        <v>2010</v>
      </c>
      <c r="M349" s="101" t="s">
        <v>1553</v>
      </c>
    </row>
    <row r="350" customFormat="false" ht="15" hidden="false" customHeight="true" outlineLevel="0" collapsed="false">
      <c r="A350" s="101" t="n">
        <v>349</v>
      </c>
      <c r="B350" s="100" t="n">
        <v>3</v>
      </c>
      <c r="C350" s="100" t="s">
        <v>1816</v>
      </c>
      <c r="D350" s="101" t="s">
        <v>111</v>
      </c>
      <c r="E350" s="101" t="s">
        <v>1204</v>
      </c>
      <c r="F350" s="101" t="s">
        <v>1324</v>
      </c>
      <c r="G350" s="101" t="s">
        <v>1817</v>
      </c>
      <c r="H350" s="101" t="s">
        <v>1251</v>
      </c>
      <c r="I350" s="101" t="s">
        <v>1500</v>
      </c>
      <c r="J350" s="101" t="s">
        <v>1811</v>
      </c>
      <c r="K350" s="100" t="s">
        <v>1818</v>
      </c>
      <c r="L350" s="101" t="n">
        <v>2010</v>
      </c>
      <c r="M350" s="101" t="s">
        <v>1553</v>
      </c>
    </row>
    <row r="351" customFormat="false" ht="15" hidden="false" customHeight="true" outlineLevel="0" collapsed="false">
      <c r="A351" s="101" t="n">
        <v>350</v>
      </c>
      <c r="B351" s="100" t="n">
        <v>4</v>
      </c>
      <c r="C351" s="100" t="s">
        <v>1819</v>
      </c>
      <c r="D351" s="101" t="s">
        <v>111</v>
      </c>
      <c r="E351" s="101" t="s">
        <v>1204</v>
      </c>
      <c r="F351" s="101" t="s">
        <v>1324</v>
      </c>
      <c r="G351" s="101" t="s">
        <v>1820</v>
      </c>
      <c r="H351" s="101" t="s">
        <v>1251</v>
      </c>
      <c r="I351" s="101" t="s">
        <v>1500</v>
      </c>
      <c r="J351" s="101" t="s">
        <v>1811</v>
      </c>
      <c r="K351" s="100" t="s">
        <v>1821</v>
      </c>
      <c r="L351" s="101" t="n">
        <v>2010</v>
      </c>
      <c r="M351" s="101" t="s">
        <v>1553</v>
      </c>
    </row>
    <row r="352" customFormat="false" ht="15" hidden="false" customHeight="true" outlineLevel="0" collapsed="false">
      <c r="A352" s="101" t="n">
        <v>351</v>
      </c>
      <c r="B352" s="100" t="n">
        <v>5</v>
      </c>
      <c r="C352" s="100" t="s">
        <v>1822</v>
      </c>
      <c r="D352" s="101" t="s">
        <v>111</v>
      </c>
      <c r="E352" s="101" t="s">
        <v>1204</v>
      </c>
      <c r="F352" s="101" t="s">
        <v>1324</v>
      </c>
      <c r="G352" s="101" t="s">
        <v>1823</v>
      </c>
      <c r="H352" s="101" t="s">
        <v>1251</v>
      </c>
      <c r="I352" s="101" t="s">
        <v>1500</v>
      </c>
      <c r="J352" s="101" t="s">
        <v>1811</v>
      </c>
      <c r="K352" s="100" t="s">
        <v>1824</v>
      </c>
      <c r="L352" s="101" t="n">
        <v>2010</v>
      </c>
      <c r="M352" s="101" t="s">
        <v>1553</v>
      </c>
    </row>
    <row r="353" customFormat="false" ht="15" hidden="false" customHeight="true" outlineLevel="0" collapsed="false">
      <c r="A353" s="101" t="n">
        <v>352</v>
      </c>
      <c r="B353" s="100" t="n">
        <v>6</v>
      </c>
      <c r="C353" s="100" t="s">
        <v>1825</v>
      </c>
      <c r="D353" s="101" t="s">
        <v>111</v>
      </c>
      <c r="E353" s="101" t="s">
        <v>1204</v>
      </c>
      <c r="F353" s="101" t="s">
        <v>1324</v>
      </c>
      <c r="G353" s="101" t="s">
        <v>1826</v>
      </c>
      <c r="H353" s="101" t="s">
        <v>1251</v>
      </c>
      <c r="I353" s="101" t="s">
        <v>1500</v>
      </c>
      <c r="J353" s="101" t="s">
        <v>1811</v>
      </c>
      <c r="K353" s="100" t="s">
        <v>1827</v>
      </c>
      <c r="L353" s="101" t="n">
        <v>2010</v>
      </c>
      <c r="M353" s="101" t="s">
        <v>1553</v>
      </c>
    </row>
    <row r="354" customFormat="false" ht="15" hidden="false" customHeight="true" outlineLevel="0" collapsed="false">
      <c r="A354" s="101" t="n">
        <v>353</v>
      </c>
      <c r="B354" s="100" t="n">
        <v>7</v>
      </c>
      <c r="C354" s="100" t="s">
        <v>1828</v>
      </c>
      <c r="D354" s="101" t="s">
        <v>111</v>
      </c>
      <c r="E354" s="101" t="s">
        <v>1204</v>
      </c>
      <c r="F354" s="101" t="s">
        <v>1324</v>
      </c>
      <c r="G354" s="101" t="s">
        <v>1829</v>
      </c>
      <c r="H354" s="101" t="s">
        <v>1251</v>
      </c>
      <c r="I354" s="101" t="s">
        <v>1500</v>
      </c>
      <c r="J354" s="101" t="s">
        <v>1811</v>
      </c>
      <c r="K354" s="100" t="s">
        <v>1830</v>
      </c>
      <c r="L354" s="101" t="n">
        <v>2010</v>
      </c>
      <c r="M354" s="101" t="s">
        <v>1553</v>
      </c>
    </row>
    <row r="355" customFormat="false" ht="15" hidden="false" customHeight="true" outlineLevel="0" collapsed="false">
      <c r="A355" s="101" t="n">
        <v>354</v>
      </c>
      <c r="B355" s="100" t="n">
        <v>8</v>
      </c>
      <c r="C355" s="100" t="s">
        <v>1831</v>
      </c>
      <c r="D355" s="101" t="s">
        <v>111</v>
      </c>
      <c r="E355" s="101" t="s">
        <v>1204</v>
      </c>
      <c r="F355" s="101" t="s">
        <v>1324</v>
      </c>
      <c r="G355" s="101" t="s">
        <v>1832</v>
      </c>
      <c r="H355" s="101" t="s">
        <v>1251</v>
      </c>
      <c r="I355" s="101" t="s">
        <v>1500</v>
      </c>
      <c r="J355" s="101" t="s">
        <v>1811</v>
      </c>
      <c r="K355" s="100" t="s">
        <v>1833</v>
      </c>
      <c r="L355" s="101" t="n">
        <v>2010</v>
      </c>
      <c r="M355" s="101" t="s">
        <v>1553</v>
      </c>
    </row>
    <row r="356" customFormat="false" ht="15" hidden="false" customHeight="true" outlineLevel="0" collapsed="false">
      <c r="A356" s="101" t="n">
        <v>355</v>
      </c>
      <c r="B356" s="100" t="n">
        <v>9</v>
      </c>
      <c r="C356" s="100" t="s">
        <v>1834</v>
      </c>
      <c r="D356" s="101" t="s">
        <v>111</v>
      </c>
      <c r="E356" s="101" t="s">
        <v>1204</v>
      </c>
      <c r="F356" s="101" t="s">
        <v>1324</v>
      </c>
      <c r="G356" s="101" t="s">
        <v>1835</v>
      </c>
      <c r="H356" s="101" t="s">
        <v>1251</v>
      </c>
      <c r="I356" s="101" t="s">
        <v>1500</v>
      </c>
      <c r="J356" s="101" t="s">
        <v>1811</v>
      </c>
      <c r="K356" s="100" t="s">
        <v>1836</v>
      </c>
      <c r="L356" s="101" t="n">
        <v>2010</v>
      </c>
      <c r="M356" s="101" t="s">
        <v>1553</v>
      </c>
    </row>
    <row r="357" customFormat="false" ht="15" hidden="false" customHeight="true" outlineLevel="0" collapsed="false">
      <c r="A357" s="101" t="n">
        <v>356</v>
      </c>
      <c r="B357" s="100" t="n">
        <v>10</v>
      </c>
      <c r="C357" s="100" t="s">
        <v>1837</v>
      </c>
      <c r="D357" s="101" t="s">
        <v>111</v>
      </c>
      <c r="E357" s="101" t="s">
        <v>1204</v>
      </c>
      <c r="F357" s="101" t="s">
        <v>1324</v>
      </c>
      <c r="G357" s="101" t="s">
        <v>1838</v>
      </c>
      <c r="H357" s="101" t="s">
        <v>1251</v>
      </c>
      <c r="I357" s="101" t="s">
        <v>1500</v>
      </c>
      <c r="J357" s="101" t="s">
        <v>1811</v>
      </c>
      <c r="K357" s="100" t="s">
        <v>1839</v>
      </c>
      <c r="L357" s="101" t="n">
        <v>2010</v>
      </c>
      <c r="M357" s="101" t="s">
        <v>1553</v>
      </c>
    </row>
    <row r="358" customFormat="false" ht="15" hidden="false" customHeight="true" outlineLevel="0" collapsed="false">
      <c r="A358" s="101" t="n">
        <v>357</v>
      </c>
      <c r="B358" s="100" t="n">
        <v>11</v>
      </c>
      <c r="C358" s="100" t="s">
        <v>1840</v>
      </c>
      <c r="D358" s="101" t="s">
        <v>111</v>
      </c>
      <c r="E358" s="101" t="s">
        <v>1204</v>
      </c>
      <c r="F358" s="101" t="s">
        <v>1324</v>
      </c>
      <c r="G358" s="101" t="s">
        <v>1841</v>
      </c>
      <c r="H358" s="101" t="s">
        <v>1251</v>
      </c>
      <c r="I358" s="101" t="s">
        <v>1500</v>
      </c>
      <c r="J358" s="101" t="s">
        <v>1811</v>
      </c>
      <c r="K358" s="100" t="s">
        <v>1842</v>
      </c>
      <c r="L358" s="101" t="n">
        <v>2010</v>
      </c>
      <c r="M358" s="101" t="s">
        <v>1553</v>
      </c>
    </row>
    <row r="359" customFormat="false" ht="15" hidden="false" customHeight="true" outlineLevel="0" collapsed="false">
      <c r="A359" s="101" t="n">
        <v>358</v>
      </c>
      <c r="B359" s="100" t="n">
        <v>12</v>
      </c>
      <c r="C359" s="100" t="s">
        <v>950</v>
      </c>
      <c r="D359" s="101" t="s">
        <v>111</v>
      </c>
      <c r="E359" s="101" t="s">
        <v>1204</v>
      </c>
      <c r="F359" s="101" t="s">
        <v>1386</v>
      </c>
      <c r="G359" s="101" t="s">
        <v>1843</v>
      </c>
      <c r="H359" s="101" t="s">
        <v>1251</v>
      </c>
      <c r="I359" s="101" t="s">
        <v>1500</v>
      </c>
      <c r="J359" s="101" t="s">
        <v>1811</v>
      </c>
      <c r="K359" s="100" t="s">
        <v>1844</v>
      </c>
      <c r="L359" s="101" t="n">
        <v>2010</v>
      </c>
      <c r="M359" s="101" t="s">
        <v>1553</v>
      </c>
    </row>
    <row r="360" customFormat="false" ht="15" hidden="false" customHeight="true" outlineLevel="0" collapsed="false">
      <c r="A360" s="101" t="n">
        <v>359</v>
      </c>
      <c r="B360" s="100" t="n">
        <v>13</v>
      </c>
      <c r="C360" s="100" t="s">
        <v>649</v>
      </c>
      <c r="D360" s="101" t="s">
        <v>111</v>
      </c>
      <c r="E360" s="101" t="s">
        <v>1217</v>
      </c>
      <c r="F360" s="101" t="s">
        <v>1190</v>
      </c>
      <c r="G360" s="101" t="s">
        <v>1845</v>
      </c>
      <c r="H360" s="101" t="s">
        <v>1251</v>
      </c>
      <c r="I360" s="101" t="s">
        <v>1500</v>
      </c>
      <c r="J360" s="101" t="s">
        <v>1846</v>
      </c>
      <c r="K360" s="100" t="s">
        <v>1847</v>
      </c>
      <c r="L360" s="101" t="n">
        <v>2008</v>
      </c>
      <c r="M360" s="101" t="s">
        <v>1553</v>
      </c>
    </row>
    <row r="361" customFormat="false" ht="15" hidden="false" customHeight="true" outlineLevel="0" collapsed="false">
      <c r="A361" s="101" t="n">
        <v>360</v>
      </c>
      <c r="B361" s="100" t="n">
        <v>14</v>
      </c>
      <c r="C361" s="100" t="s">
        <v>648</v>
      </c>
      <c r="D361" s="101" t="s">
        <v>111</v>
      </c>
      <c r="E361" s="101" t="s">
        <v>1212</v>
      </c>
      <c r="F361" s="101" t="s">
        <v>1307</v>
      </c>
      <c r="G361" s="101" t="s">
        <v>1461</v>
      </c>
      <c r="H361" s="101" t="s">
        <v>1251</v>
      </c>
      <c r="I361" s="101" t="s">
        <v>1500</v>
      </c>
      <c r="J361" s="101" t="s">
        <v>1848</v>
      </c>
      <c r="K361" s="100" t="s">
        <v>1849</v>
      </c>
      <c r="L361" s="101" t="n">
        <v>2007</v>
      </c>
      <c r="M361" s="101" t="s">
        <v>1553</v>
      </c>
    </row>
    <row r="362" customFormat="false" ht="15" hidden="false" customHeight="true" outlineLevel="0" collapsed="false">
      <c r="A362" s="101" t="n">
        <v>361</v>
      </c>
      <c r="B362" s="100" t="n">
        <v>15</v>
      </c>
      <c r="C362" s="100" t="s">
        <v>495</v>
      </c>
      <c r="D362" s="101" t="s">
        <v>111</v>
      </c>
      <c r="E362" s="101" t="s">
        <v>1208</v>
      </c>
      <c r="F362" s="101" t="s">
        <v>1850</v>
      </c>
      <c r="G362" s="101" t="s">
        <v>1851</v>
      </c>
      <c r="H362" s="101" t="s">
        <v>1251</v>
      </c>
      <c r="I362" s="101" t="s">
        <v>1500</v>
      </c>
      <c r="J362" s="101" t="s">
        <v>1852</v>
      </c>
      <c r="K362" s="100" t="s">
        <v>1853</v>
      </c>
      <c r="L362" s="101" t="n">
        <v>2011</v>
      </c>
      <c r="M362" s="101" t="s">
        <v>1553</v>
      </c>
    </row>
    <row r="363" customFormat="false" ht="15" hidden="false" customHeight="true" outlineLevel="0" collapsed="false">
      <c r="A363" s="101" t="n">
        <v>362</v>
      </c>
      <c r="B363" s="100" t="n">
        <v>16</v>
      </c>
      <c r="C363" s="100" t="s">
        <v>494</v>
      </c>
      <c r="D363" s="101" t="s">
        <v>111</v>
      </c>
      <c r="E363" s="101" t="s">
        <v>1208</v>
      </c>
      <c r="F363" s="101" t="s">
        <v>1850</v>
      </c>
      <c r="G363" s="101" t="s">
        <v>1854</v>
      </c>
      <c r="H363" s="101" t="s">
        <v>1251</v>
      </c>
      <c r="I363" s="101" t="s">
        <v>1500</v>
      </c>
      <c r="J363" s="101" t="s">
        <v>1852</v>
      </c>
      <c r="K363" s="100" t="s">
        <v>1855</v>
      </c>
      <c r="L363" s="101" t="n">
        <v>2010</v>
      </c>
      <c r="M363" s="101" t="s">
        <v>1553</v>
      </c>
    </row>
    <row r="364" customFormat="false" ht="15" hidden="false" customHeight="true" outlineLevel="0" collapsed="false">
      <c r="A364" s="101" t="n">
        <v>363</v>
      </c>
      <c r="B364" s="100" t="n">
        <v>17</v>
      </c>
      <c r="C364" s="100" t="s">
        <v>493</v>
      </c>
      <c r="D364" s="101" t="s">
        <v>111</v>
      </c>
      <c r="E364" s="101" t="s">
        <v>1208</v>
      </c>
      <c r="F364" s="101" t="s">
        <v>1850</v>
      </c>
      <c r="G364" s="101" t="s">
        <v>1856</v>
      </c>
      <c r="H364" s="101" t="s">
        <v>1251</v>
      </c>
      <c r="I364" s="101" t="s">
        <v>1500</v>
      </c>
      <c r="J364" s="101" t="s">
        <v>1852</v>
      </c>
      <c r="K364" s="100" t="s">
        <v>1857</v>
      </c>
      <c r="L364" s="101" t="n">
        <v>2010</v>
      </c>
      <c r="M364" s="101" t="s">
        <v>1553</v>
      </c>
    </row>
    <row r="365" customFormat="false" ht="15" hidden="false" customHeight="true" outlineLevel="0" collapsed="false">
      <c r="A365" s="101" t="n">
        <v>364</v>
      </c>
      <c r="B365" s="100" t="n">
        <v>18</v>
      </c>
      <c r="C365" s="100" t="s">
        <v>492</v>
      </c>
      <c r="D365" s="101" t="s">
        <v>111</v>
      </c>
      <c r="E365" s="101" t="s">
        <v>1208</v>
      </c>
      <c r="F365" s="101" t="s">
        <v>1850</v>
      </c>
      <c r="G365" s="101" t="s">
        <v>1858</v>
      </c>
      <c r="H365" s="101" t="s">
        <v>1251</v>
      </c>
      <c r="I365" s="101" t="s">
        <v>1500</v>
      </c>
      <c r="J365" s="101" t="s">
        <v>1852</v>
      </c>
      <c r="K365" s="100" t="s">
        <v>1859</v>
      </c>
      <c r="L365" s="101" t="n">
        <v>2010</v>
      </c>
      <c r="M365" s="101" t="s">
        <v>1553</v>
      </c>
    </row>
    <row r="366" customFormat="false" ht="15" hidden="false" customHeight="true" outlineLevel="0" collapsed="false">
      <c r="A366" s="101" t="n">
        <v>365</v>
      </c>
      <c r="B366" s="100" t="n">
        <v>19</v>
      </c>
      <c r="C366" s="100" t="s">
        <v>491</v>
      </c>
      <c r="D366" s="101" t="s">
        <v>111</v>
      </c>
      <c r="E366" s="101" t="s">
        <v>1208</v>
      </c>
      <c r="F366" s="101" t="s">
        <v>1850</v>
      </c>
      <c r="G366" s="101" t="s">
        <v>1860</v>
      </c>
      <c r="H366" s="101" t="s">
        <v>1251</v>
      </c>
      <c r="I366" s="101" t="s">
        <v>1500</v>
      </c>
      <c r="J366" s="101" t="s">
        <v>1852</v>
      </c>
      <c r="K366" s="100" t="s">
        <v>1861</v>
      </c>
      <c r="L366" s="101" t="n">
        <v>2010</v>
      </c>
      <c r="M366" s="101" t="s">
        <v>1553</v>
      </c>
    </row>
    <row r="367" customFormat="false" ht="15" hidden="false" customHeight="true" outlineLevel="0" collapsed="false">
      <c r="A367" s="101" t="n">
        <v>366</v>
      </c>
      <c r="B367" s="100" t="n">
        <v>20</v>
      </c>
      <c r="C367" s="100" t="s">
        <v>490</v>
      </c>
      <c r="D367" s="101" t="s">
        <v>111</v>
      </c>
      <c r="E367" s="101" t="s">
        <v>1208</v>
      </c>
      <c r="F367" s="101" t="s">
        <v>1850</v>
      </c>
      <c r="G367" s="101" t="s">
        <v>1862</v>
      </c>
      <c r="H367" s="101" t="s">
        <v>1251</v>
      </c>
      <c r="I367" s="101" t="s">
        <v>1500</v>
      </c>
      <c r="J367" s="101" t="s">
        <v>1863</v>
      </c>
      <c r="K367" s="100" t="s">
        <v>1864</v>
      </c>
      <c r="L367" s="101" t="n">
        <v>2010</v>
      </c>
      <c r="M367" s="101" t="s">
        <v>1553</v>
      </c>
    </row>
    <row r="368" customFormat="false" ht="15" hidden="false" customHeight="true" outlineLevel="0" collapsed="false">
      <c r="A368" s="101" t="n">
        <v>367</v>
      </c>
      <c r="B368" s="100" t="n">
        <v>21</v>
      </c>
      <c r="C368" s="100" t="s">
        <v>489</v>
      </c>
      <c r="D368" s="101" t="s">
        <v>111</v>
      </c>
      <c r="E368" s="101" t="s">
        <v>1208</v>
      </c>
      <c r="F368" s="101" t="s">
        <v>1477</v>
      </c>
      <c r="G368" s="101" t="s">
        <v>1865</v>
      </c>
      <c r="H368" s="101" t="s">
        <v>1251</v>
      </c>
      <c r="I368" s="101" t="s">
        <v>1500</v>
      </c>
      <c r="J368" s="101" t="s">
        <v>1852</v>
      </c>
      <c r="K368" s="100" t="s">
        <v>1866</v>
      </c>
      <c r="L368" s="101" t="n">
        <v>2010</v>
      </c>
      <c r="M368" s="101" t="s">
        <v>1553</v>
      </c>
    </row>
    <row r="369" customFormat="false" ht="15" hidden="false" customHeight="true" outlineLevel="0" collapsed="false">
      <c r="A369" s="101" t="n">
        <v>368</v>
      </c>
      <c r="B369" s="100" t="n">
        <v>22</v>
      </c>
      <c r="C369" s="100" t="s">
        <v>1867</v>
      </c>
      <c r="D369" s="101" t="s">
        <v>111</v>
      </c>
      <c r="E369" s="101" t="s">
        <v>1219</v>
      </c>
      <c r="F369" s="101" t="s">
        <v>1215</v>
      </c>
      <c r="G369" s="101"/>
      <c r="H369" s="101" t="s">
        <v>1251</v>
      </c>
      <c r="I369" s="101" t="s">
        <v>1500</v>
      </c>
      <c r="J369" s="101" t="s">
        <v>1846</v>
      </c>
      <c r="K369" s="100" t="s">
        <v>1868</v>
      </c>
      <c r="L369" s="101" t="n">
        <v>2009</v>
      </c>
      <c r="M369" s="101" t="s">
        <v>1553</v>
      </c>
    </row>
    <row r="370" customFormat="false" ht="15" hidden="false" customHeight="true" outlineLevel="0" collapsed="false">
      <c r="A370" s="101" t="n">
        <v>369</v>
      </c>
      <c r="B370" s="100" t="n">
        <v>23</v>
      </c>
      <c r="C370" s="100" t="s">
        <v>488</v>
      </c>
      <c r="D370" s="101" t="s">
        <v>111</v>
      </c>
      <c r="E370" s="101" t="s">
        <v>1208</v>
      </c>
      <c r="F370" s="101" t="s">
        <v>1869</v>
      </c>
      <c r="G370" s="101" t="s">
        <v>1870</v>
      </c>
      <c r="H370" s="101" t="s">
        <v>1251</v>
      </c>
      <c r="I370" s="101" t="s">
        <v>1500</v>
      </c>
      <c r="J370" s="101" t="s">
        <v>1852</v>
      </c>
      <c r="K370" s="100" t="s">
        <v>1871</v>
      </c>
      <c r="L370" s="101" t="n">
        <v>2010</v>
      </c>
      <c r="M370" s="101" t="s">
        <v>1553</v>
      </c>
    </row>
    <row r="371" customFormat="false" ht="15" hidden="false" customHeight="true" outlineLevel="0" collapsed="false">
      <c r="A371" s="101" t="n">
        <v>370</v>
      </c>
      <c r="B371" s="100" t="n">
        <v>24</v>
      </c>
      <c r="C371" s="100" t="s">
        <v>487</v>
      </c>
      <c r="D371" s="101" t="s">
        <v>111</v>
      </c>
      <c r="E371" s="101" t="s">
        <v>1208</v>
      </c>
      <c r="F371" s="101" t="s">
        <v>1869</v>
      </c>
      <c r="G371" s="101" t="s">
        <v>1872</v>
      </c>
      <c r="H371" s="101" t="s">
        <v>1251</v>
      </c>
      <c r="I371" s="101" t="s">
        <v>1500</v>
      </c>
      <c r="J371" s="101" t="s">
        <v>1852</v>
      </c>
      <c r="K371" s="100" t="s">
        <v>1873</v>
      </c>
      <c r="L371" s="101" t="n">
        <v>2010</v>
      </c>
      <c r="M371" s="101" t="s">
        <v>1553</v>
      </c>
    </row>
    <row r="372" customFormat="false" ht="15" hidden="false" customHeight="true" outlineLevel="0" collapsed="false">
      <c r="A372" s="101" t="n">
        <v>371</v>
      </c>
      <c r="B372" s="100" t="n">
        <v>25</v>
      </c>
      <c r="C372" s="100" t="s">
        <v>486</v>
      </c>
      <c r="D372" s="101" t="s">
        <v>111</v>
      </c>
      <c r="E372" s="101" t="s">
        <v>1208</v>
      </c>
      <c r="F372" s="101" t="s">
        <v>1869</v>
      </c>
      <c r="G372" s="101" t="s">
        <v>1874</v>
      </c>
      <c r="H372" s="101" t="s">
        <v>1251</v>
      </c>
      <c r="I372" s="101" t="s">
        <v>1500</v>
      </c>
      <c r="J372" s="101" t="s">
        <v>1852</v>
      </c>
      <c r="K372" s="100" t="s">
        <v>1875</v>
      </c>
      <c r="L372" s="101" t="n">
        <v>2010</v>
      </c>
      <c r="M372" s="101" t="s">
        <v>1553</v>
      </c>
    </row>
    <row r="373" customFormat="false" ht="15" hidden="false" customHeight="true" outlineLevel="0" collapsed="false">
      <c r="A373" s="101" t="n">
        <v>372</v>
      </c>
      <c r="B373" s="100" t="n">
        <v>26</v>
      </c>
      <c r="C373" s="100" t="s">
        <v>485</v>
      </c>
      <c r="D373" s="101" t="s">
        <v>111</v>
      </c>
      <c r="E373" s="101" t="s">
        <v>1208</v>
      </c>
      <c r="F373" s="101" t="s">
        <v>1869</v>
      </c>
      <c r="G373" s="101" t="s">
        <v>1876</v>
      </c>
      <c r="H373" s="101" t="s">
        <v>1251</v>
      </c>
      <c r="I373" s="101" t="s">
        <v>1500</v>
      </c>
      <c r="J373" s="101" t="s">
        <v>1852</v>
      </c>
      <c r="K373" s="100" t="s">
        <v>1877</v>
      </c>
      <c r="L373" s="101" t="n">
        <v>2010</v>
      </c>
      <c r="M373" s="101" t="s">
        <v>1553</v>
      </c>
    </row>
    <row r="374" customFormat="false" ht="15" hidden="false" customHeight="true" outlineLevel="0" collapsed="false">
      <c r="A374" s="101" t="n">
        <v>373</v>
      </c>
      <c r="B374" s="100" t="n">
        <v>27</v>
      </c>
      <c r="C374" s="100" t="s">
        <v>210</v>
      </c>
      <c r="D374" s="101" t="s">
        <v>111</v>
      </c>
      <c r="E374" s="101" t="s">
        <v>1208</v>
      </c>
      <c r="F374" s="101" t="s">
        <v>1869</v>
      </c>
      <c r="G374" s="101" t="s">
        <v>1878</v>
      </c>
      <c r="H374" s="101" t="s">
        <v>1251</v>
      </c>
      <c r="I374" s="101" t="s">
        <v>1500</v>
      </c>
      <c r="J374" s="101" t="s">
        <v>1852</v>
      </c>
      <c r="K374" s="100" t="s">
        <v>209</v>
      </c>
      <c r="L374" s="101" t="n">
        <v>2010</v>
      </c>
      <c r="M374" s="101" t="s">
        <v>1553</v>
      </c>
    </row>
    <row r="375" customFormat="false" ht="15" hidden="false" customHeight="true" outlineLevel="0" collapsed="false">
      <c r="A375" s="101" t="n">
        <v>374</v>
      </c>
      <c r="B375" s="100" t="n">
        <v>28</v>
      </c>
      <c r="C375" s="100" t="s">
        <v>484</v>
      </c>
      <c r="D375" s="101" t="s">
        <v>111</v>
      </c>
      <c r="E375" s="101" t="s">
        <v>1208</v>
      </c>
      <c r="F375" s="101" t="s">
        <v>1850</v>
      </c>
      <c r="G375" s="101" t="s">
        <v>1879</v>
      </c>
      <c r="H375" s="101" t="s">
        <v>1251</v>
      </c>
      <c r="I375" s="101" t="s">
        <v>1500</v>
      </c>
      <c r="J375" s="101" t="s">
        <v>1852</v>
      </c>
      <c r="K375" s="100" t="s">
        <v>1880</v>
      </c>
      <c r="L375" s="101" t="n">
        <v>2010</v>
      </c>
      <c r="M375" s="101" t="s">
        <v>1553</v>
      </c>
    </row>
    <row r="376" customFormat="false" ht="15" hidden="false" customHeight="true" outlineLevel="0" collapsed="false">
      <c r="A376" s="101" t="n">
        <v>375</v>
      </c>
      <c r="B376" s="100" t="n">
        <v>29</v>
      </c>
      <c r="C376" s="100" t="s">
        <v>483</v>
      </c>
      <c r="D376" s="101" t="s">
        <v>111</v>
      </c>
      <c r="E376" s="101" t="s">
        <v>1208</v>
      </c>
      <c r="F376" s="101" t="s">
        <v>1869</v>
      </c>
      <c r="G376" s="101" t="s">
        <v>1881</v>
      </c>
      <c r="H376" s="101" t="s">
        <v>1251</v>
      </c>
      <c r="I376" s="101" t="s">
        <v>1500</v>
      </c>
      <c r="J376" s="101" t="s">
        <v>1852</v>
      </c>
      <c r="K376" s="100" t="s">
        <v>1882</v>
      </c>
      <c r="L376" s="101" t="n">
        <v>2010</v>
      </c>
      <c r="M376" s="101" t="s">
        <v>1553</v>
      </c>
    </row>
    <row r="377" customFormat="false" ht="15" hidden="false" customHeight="true" outlineLevel="0" collapsed="false">
      <c r="A377" s="101" t="n">
        <v>376</v>
      </c>
      <c r="B377" s="100" t="n">
        <v>30</v>
      </c>
      <c r="C377" s="100" t="s">
        <v>113</v>
      </c>
      <c r="D377" s="101" t="s">
        <v>111</v>
      </c>
      <c r="E377" s="101" t="s">
        <v>1173</v>
      </c>
      <c r="F377" s="101" t="s">
        <v>1173</v>
      </c>
      <c r="G377" s="101"/>
      <c r="H377" s="101" t="s">
        <v>1251</v>
      </c>
      <c r="I377" s="101" t="s">
        <v>1607</v>
      </c>
      <c r="J377" s="101" t="s">
        <v>1883</v>
      </c>
      <c r="K377" s="100" t="s">
        <v>112</v>
      </c>
      <c r="L377" s="101" t="n">
        <v>2023</v>
      </c>
      <c r="M377" s="101" t="s">
        <v>1561</v>
      </c>
    </row>
    <row r="378" customFormat="false" ht="15" hidden="false" customHeight="true" outlineLevel="0" collapsed="false">
      <c r="A378" s="101" t="n">
        <v>377</v>
      </c>
      <c r="B378" s="100" t="n">
        <v>31</v>
      </c>
      <c r="C378" s="100" t="s">
        <v>482</v>
      </c>
      <c r="D378" s="101" t="s">
        <v>111</v>
      </c>
      <c r="E378" s="101" t="s">
        <v>1213</v>
      </c>
      <c r="F378" s="101" t="s">
        <v>1468</v>
      </c>
      <c r="G378" s="101" t="s">
        <v>1884</v>
      </c>
      <c r="H378" s="101" t="s">
        <v>1235</v>
      </c>
      <c r="I378" s="101" t="s">
        <v>1885</v>
      </c>
      <c r="J378" s="101" t="s">
        <v>1886</v>
      </c>
      <c r="K378" s="100" t="s">
        <v>1887</v>
      </c>
      <c r="L378" s="101" t="n">
        <v>2018</v>
      </c>
      <c r="M378" s="101" t="s">
        <v>1553</v>
      </c>
    </row>
    <row r="379" customFormat="false" ht="15" hidden="false" customHeight="true" outlineLevel="0" collapsed="false">
      <c r="A379" s="101" t="n">
        <v>378</v>
      </c>
      <c r="B379" s="100" t="n">
        <v>32</v>
      </c>
      <c r="C379" s="100" t="s">
        <v>1888</v>
      </c>
      <c r="D379" s="101" t="s">
        <v>111</v>
      </c>
      <c r="E379" s="101" t="s">
        <v>1151</v>
      </c>
      <c r="F379" s="101" t="s">
        <v>1889</v>
      </c>
      <c r="G379" s="101" t="s">
        <v>1890</v>
      </c>
      <c r="H379" s="101" t="s">
        <v>1891</v>
      </c>
      <c r="I379" s="101" t="s">
        <v>1892</v>
      </c>
      <c r="J379" s="101" t="s">
        <v>1893</v>
      </c>
      <c r="K379" s="100" t="s">
        <v>1894</v>
      </c>
      <c r="L379" s="101" t="n">
        <v>2025</v>
      </c>
      <c r="M379" s="101" t="s">
        <v>1553</v>
      </c>
    </row>
    <row r="380" customFormat="false" ht="15" hidden="false" customHeight="true" outlineLevel="0" collapsed="false">
      <c r="A380" s="101" t="n">
        <v>379</v>
      </c>
      <c r="B380" s="100" t="n">
        <v>33</v>
      </c>
      <c r="C380" s="100" t="s">
        <v>949</v>
      </c>
      <c r="D380" s="101" t="s">
        <v>111</v>
      </c>
      <c r="E380" s="101" t="s">
        <v>1184</v>
      </c>
      <c r="F380" s="101" t="s">
        <v>1421</v>
      </c>
      <c r="G380" s="101"/>
      <c r="H380" s="101" t="s">
        <v>1251</v>
      </c>
      <c r="I380" s="101" t="s">
        <v>1296</v>
      </c>
      <c r="J380" s="101" t="s">
        <v>1895</v>
      </c>
      <c r="K380" s="100" t="s">
        <v>1896</v>
      </c>
      <c r="L380" s="101" t="n">
        <v>2020</v>
      </c>
      <c r="M380" s="101" t="s">
        <v>1553</v>
      </c>
    </row>
    <row r="381" customFormat="false" ht="15" hidden="false" customHeight="true" outlineLevel="0" collapsed="false">
      <c r="A381" s="101" t="n">
        <v>380</v>
      </c>
      <c r="B381" s="100" t="n">
        <v>34</v>
      </c>
      <c r="C381" s="100" t="s">
        <v>1897</v>
      </c>
      <c r="D381" s="101" t="s">
        <v>111</v>
      </c>
      <c r="E381" s="101" t="s">
        <v>1174</v>
      </c>
      <c r="F381" s="101" t="s">
        <v>1174</v>
      </c>
      <c r="G381" s="101" t="s">
        <v>1399</v>
      </c>
      <c r="H381" s="101" t="s">
        <v>1235</v>
      </c>
      <c r="I381" s="101" t="s">
        <v>1505</v>
      </c>
      <c r="J381" s="101" t="s">
        <v>1898</v>
      </c>
      <c r="K381" s="100" t="s">
        <v>1899</v>
      </c>
      <c r="L381" s="101" t="n">
        <v>2019</v>
      </c>
      <c r="M381" s="101" t="s">
        <v>1553</v>
      </c>
    </row>
    <row r="382" customFormat="false" ht="15" hidden="false" customHeight="true" outlineLevel="0" collapsed="false">
      <c r="A382" s="101" t="n">
        <v>381</v>
      </c>
      <c r="B382" s="100" t="n">
        <v>35</v>
      </c>
      <c r="C382" s="100" t="s">
        <v>264</v>
      </c>
      <c r="D382" s="101" t="s">
        <v>111</v>
      </c>
      <c r="E382" s="101" t="s">
        <v>1184</v>
      </c>
      <c r="F382" s="101" t="s">
        <v>1421</v>
      </c>
      <c r="G382" s="101" t="s">
        <v>1900</v>
      </c>
      <c r="H382" s="101" t="s">
        <v>1251</v>
      </c>
      <c r="I382" s="101" t="s">
        <v>1505</v>
      </c>
      <c r="J382" s="101" t="s">
        <v>1901</v>
      </c>
      <c r="K382" s="100" t="s">
        <v>1902</v>
      </c>
      <c r="L382" s="101" t="n">
        <v>2020</v>
      </c>
      <c r="M382" s="101" t="s">
        <v>1553</v>
      </c>
    </row>
    <row r="383" customFormat="false" ht="15" hidden="false" customHeight="true" outlineLevel="0" collapsed="false">
      <c r="A383" s="101" t="n">
        <v>382</v>
      </c>
      <c r="B383" s="100" t="n">
        <v>36</v>
      </c>
      <c r="C383" s="100" t="s">
        <v>1903</v>
      </c>
      <c r="D383" s="101" t="s">
        <v>111</v>
      </c>
      <c r="E383" s="101" t="s">
        <v>1202</v>
      </c>
      <c r="F383" s="101" t="s">
        <v>1202</v>
      </c>
      <c r="G383" s="101" t="s">
        <v>1581</v>
      </c>
      <c r="H383" s="101" t="s">
        <v>1251</v>
      </c>
      <c r="I383" s="101" t="s">
        <v>1904</v>
      </c>
      <c r="J383" s="101" t="s">
        <v>1905</v>
      </c>
      <c r="K383" s="100" t="s">
        <v>1906</v>
      </c>
      <c r="L383" s="101" t="n">
        <v>2020</v>
      </c>
      <c r="M383" s="101" t="s">
        <v>1553</v>
      </c>
    </row>
    <row r="384" customFormat="false" ht="15" hidden="false" customHeight="true" outlineLevel="0" collapsed="false">
      <c r="A384" s="101" t="n">
        <v>383</v>
      </c>
      <c r="B384" s="100" t="n">
        <v>37</v>
      </c>
      <c r="C384" s="100" t="s">
        <v>1907</v>
      </c>
      <c r="D384" s="101" t="s">
        <v>111</v>
      </c>
      <c r="E384" s="101" t="s">
        <v>1204</v>
      </c>
      <c r="F384" s="101" t="s">
        <v>1324</v>
      </c>
      <c r="G384" s="101" t="s">
        <v>1461</v>
      </c>
      <c r="H384" s="101" t="s">
        <v>1251</v>
      </c>
      <c r="I384" s="101" t="s">
        <v>1904</v>
      </c>
      <c r="J384" s="101" t="s">
        <v>1905</v>
      </c>
      <c r="K384" s="100" t="s">
        <v>1908</v>
      </c>
      <c r="L384" s="101" t="n">
        <v>2020</v>
      </c>
      <c r="M384" s="101" t="s">
        <v>1553</v>
      </c>
    </row>
    <row r="385" customFormat="false" ht="15" hidden="false" customHeight="true" outlineLevel="0" collapsed="false">
      <c r="A385" s="101" t="n">
        <v>384</v>
      </c>
      <c r="B385" s="100" t="n">
        <v>38</v>
      </c>
      <c r="C385" s="100" t="s">
        <v>647</v>
      </c>
      <c r="D385" s="101" t="s">
        <v>111</v>
      </c>
      <c r="E385" s="101" t="s">
        <v>1164</v>
      </c>
      <c r="F385" s="101" t="s">
        <v>1909</v>
      </c>
      <c r="G385" s="101"/>
      <c r="H385" s="101" t="s">
        <v>1251</v>
      </c>
      <c r="I385" s="101" t="s">
        <v>1904</v>
      </c>
      <c r="J385" s="101" t="s">
        <v>1910</v>
      </c>
      <c r="K385" s="100" t="s">
        <v>1911</v>
      </c>
      <c r="L385" s="101" t="n">
        <v>2020</v>
      </c>
      <c r="M385" s="101" t="s">
        <v>1553</v>
      </c>
    </row>
    <row r="386" customFormat="false" ht="15" hidden="false" customHeight="true" outlineLevel="0" collapsed="false">
      <c r="A386" s="101" t="n">
        <v>385</v>
      </c>
      <c r="B386" s="100" t="n">
        <v>39</v>
      </c>
      <c r="C386" s="100" t="s">
        <v>646</v>
      </c>
      <c r="D386" s="101" t="s">
        <v>111</v>
      </c>
      <c r="E386" s="101" t="s">
        <v>1164</v>
      </c>
      <c r="F386" s="101" t="s">
        <v>1909</v>
      </c>
      <c r="G386" s="101"/>
      <c r="H386" s="101" t="s">
        <v>1251</v>
      </c>
      <c r="I386" s="101" t="s">
        <v>1904</v>
      </c>
      <c r="J386" s="101" t="s">
        <v>1910</v>
      </c>
      <c r="K386" s="100" t="s">
        <v>1912</v>
      </c>
      <c r="L386" s="101" t="n">
        <v>2020</v>
      </c>
      <c r="M386" s="101" t="s">
        <v>1553</v>
      </c>
    </row>
    <row r="387" customFormat="false" ht="15" hidden="false" customHeight="true" outlineLevel="0" collapsed="false">
      <c r="A387" s="101" t="n">
        <v>386</v>
      </c>
      <c r="B387" s="100" t="n">
        <v>40</v>
      </c>
      <c r="C387" s="100" t="s">
        <v>645</v>
      </c>
      <c r="D387" s="101" t="s">
        <v>111</v>
      </c>
      <c r="E387" s="101" t="s">
        <v>1164</v>
      </c>
      <c r="F387" s="101" t="s">
        <v>1909</v>
      </c>
      <c r="G387" s="101"/>
      <c r="H387" s="101" t="s">
        <v>1251</v>
      </c>
      <c r="I387" s="101" t="s">
        <v>1904</v>
      </c>
      <c r="J387" s="101" t="s">
        <v>1910</v>
      </c>
      <c r="K387" s="100" t="s">
        <v>1913</v>
      </c>
      <c r="L387" s="101" t="n">
        <v>2020</v>
      </c>
      <c r="M387" s="101" t="s">
        <v>1553</v>
      </c>
    </row>
    <row r="388" customFormat="false" ht="15" hidden="false" customHeight="true" outlineLevel="0" collapsed="false">
      <c r="A388" s="101" t="n">
        <v>387</v>
      </c>
      <c r="B388" s="100" t="n">
        <v>41</v>
      </c>
      <c r="C388" s="100" t="s">
        <v>644</v>
      </c>
      <c r="D388" s="101" t="s">
        <v>111</v>
      </c>
      <c r="E388" s="101" t="s">
        <v>1164</v>
      </c>
      <c r="F388" s="101" t="s">
        <v>1909</v>
      </c>
      <c r="G388" s="101"/>
      <c r="H388" s="101" t="s">
        <v>1251</v>
      </c>
      <c r="I388" s="101" t="s">
        <v>1904</v>
      </c>
      <c r="J388" s="101" t="s">
        <v>1910</v>
      </c>
      <c r="K388" s="100" t="s">
        <v>1914</v>
      </c>
      <c r="L388" s="101" t="n">
        <v>2020</v>
      </c>
      <c r="M388" s="101" t="s">
        <v>1553</v>
      </c>
    </row>
    <row r="389" customFormat="false" ht="15" hidden="false" customHeight="true" outlineLevel="0" collapsed="false">
      <c r="A389" s="101" t="n">
        <v>388</v>
      </c>
      <c r="B389" s="100" t="n">
        <v>42</v>
      </c>
      <c r="C389" s="100" t="s">
        <v>799</v>
      </c>
      <c r="D389" s="101" t="s">
        <v>111</v>
      </c>
      <c r="E389" s="101" t="s">
        <v>1215</v>
      </c>
      <c r="F389" s="101" t="s">
        <v>1215</v>
      </c>
      <c r="G389" s="101" t="s">
        <v>1915</v>
      </c>
      <c r="H389" s="101" t="s">
        <v>1251</v>
      </c>
      <c r="I389" s="101" t="s">
        <v>1892</v>
      </c>
      <c r="J389" s="101" t="s">
        <v>1916</v>
      </c>
      <c r="K389" s="100" t="s">
        <v>1917</v>
      </c>
      <c r="L389" s="101" t="n">
        <v>2011</v>
      </c>
      <c r="M389" s="101" t="s">
        <v>1561</v>
      </c>
    </row>
    <row r="390" customFormat="false" ht="15" hidden="false" customHeight="true" outlineLevel="0" collapsed="false">
      <c r="A390" s="101" t="n">
        <v>389</v>
      </c>
      <c r="B390" s="100" t="n">
        <v>43</v>
      </c>
      <c r="C390" s="100" t="s">
        <v>798</v>
      </c>
      <c r="D390" s="101" t="s">
        <v>111</v>
      </c>
      <c r="E390" s="101" t="s">
        <v>1222</v>
      </c>
      <c r="F390" s="101" t="s">
        <v>1222</v>
      </c>
      <c r="G390" s="101" t="s">
        <v>1918</v>
      </c>
      <c r="H390" s="101" t="s">
        <v>1251</v>
      </c>
      <c r="I390" s="101" t="s">
        <v>1892</v>
      </c>
      <c r="J390" s="101" t="s">
        <v>1916</v>
      </c>
      <c r="K390" s="100" t="s">
        <v>1919</v>
      </c>
      <c r="L390" s="101" t="n">
        <v>2011</v>
      </c>
      <c r="M390" s="101" t="s">
        <v>1561</v>
      </c>
    </row>
    <row r="391" customFormat="false" ht="15" hidden="false" customHeight="true" outlineLevel="0" collapsed="false">
      <c r="A391" s="101" t="n">
        <v>390</v>
      </c>
      <c r="B391" s="100" t="n">
        <v>44</v>
      </c>
      <c r="C391" s="100" t="s">
        <v>797</v>
      </c>
      <c r="D391" s="101" t="s">
        <v>111</v>
      </c>
      <c r="E391" s="101" t="s">
        <v>1215</v>
      </c>
      <c r="F391" s="101" t="s">
        <v>1215</v>
      </c>
      <c r="G391" s="101" t="s">
        <v>1920</v>
      </c>
      <c r="H391" s="101" t="s">
        <v>1251</v>
      </c>
      <c r="I391" s="101" t="s">
        <v>1892</v>
      </c>
      <c r="J391" s="101" t="s">
        <v>1916</v>
      </c>
      <c r="K391" s="100" t="s">
        <v>1921</v>
      </c>
      <c r="L391" s="101" t="n">
        <v>2011</v>
      </c>
      <c r="M391" s="101" t="s">
        <v>1561</v>
      </c>
    </row>
    <row r="392" customFormat="false" ht="15" hidden="false" customHeight="true" outlineLevel="0" collapsed="false">
      <c r="A392" s="101" t="n">
        <v>391</v>
      </c>
      <c r="B392" s="100" t="n">
        <v>45</v>
      </c>
      <c r="C392" s="100" t="s">
        <v>796</v>
      </c>
      <c r="D392" s="101" t="s">
        <v>111</v>
      </c>
      <c r="E392" s="101" t="s">
        <v>1222</v>
      </c>
      <c r="F392" s="101" t="s">
        <v>1222</v>
      </c>
      <c r="G392" s="101" t="s">
        <v>1918</v>
      </c>
      <c r="H392" s="101" t="s">
        <v>1251</v>
      </c>
      <c r="I392" s="101" t="s">
        <v>1892</v>
      </c>
      <c r="J392" s="101" t="s">
        <v>1916</v>
      </c>
      <c r="K392" s="100" t="s">
        <v>1922</v>
      </c>
      <c r="L392" s="101" t="n">
        <v>2011</v>
      </c>
      <c r="M392" s="101" t="s">
        <v>1561</v>
      </c>
    </row>
    <row r="393" customFormat="false" ht="15" hidden="false" customHeight="true" outlineLevel="0" collapsed="false">
      <c r="A393" s="101" t="n">
        <v>392</v>
      </c>
      <c r="B393" s="100" t="n">
        <v>46</v>
      </c>
      <c r="C393" s="100" t="s">
        <v>643</v>
      </c>
      <c r="D393" s="101" t="s">
        <v>111</v>
      </c>
      <c r="E393" s="101" t="s">
        <v>1190</v>
      </c>
      <c r="F393" s="101" t="s">
        <v>1380</v>
      </c>
      <c r="G393" s="101" t="s">
        <v>1923</v>
      </c>
      <c r="H393" s="101" t="s">
        <v>1251</v>
      </c>
      <c r="I393" s="101" t="s">
        <v>1296</v>
      </c>
      <c r="J393" s="101" t="s">
        <v>1924</v>
      </c>
      <c r="K393" s="100" t="s">
        <v>1925</v>
      </c>
      <c r="L393" s="101" t="n">
        <v>2024</v>
      </c>
      <c r="M393" s="101" t="s">
        <v>1561</v>
      </c>
    </row>
    <row r="394" customFormat="false" ht="15" hidden="false" customHeight="true" outlineLevel="0" collapsed="false">
      <c r="A394" s="101" t="n">
        <v>393</v>
      </c>
      <c r="B394" s="100" t="n">
        <v>47</v>
      </c>
      <c r="C394" s="100" t="s">
        <v>795</v>
      </c>
      <c r="D394" s="101" t="s">
        <v>111</v>
      </c>
      <c r="E394" s="101" t="s">
        <v>1215</v>
      </c>
      <c r="F394" s="101" t="s">
        <v>1215</v>
      </c>
      <c r="G394" s="101" t="s">
        <v>1926</v>
      </c>
      <c r="H394" s="101" t="s">
        <v>1251</v>
      </c>
      <c r="I394" s="101" t="s">
        <v>1892</v>
      </c>
      <c r="J394" s="101" t="s">
        <v>1916</v>
      </c>
      <c r="K394" s="100" t="s">
        <v>1927</v>
      </c>
      <c r="L394" s="101" t="n">
        <v>2011</v>
      </c>
      <c r="M394" s="101" t="s">
        <v>1561</v>
      </c>
    </row>
    <row r="395" customFormat="false" ht="15" hidden="false" customHeight="true" outlineLevel="0" collapsed="false">
      <c r="A395" s="101" t="n">
        <v>394</v>
      </c>
      <c r="B395" s="100" t="n">
        <v>48</v>
      </c>
      <c r="C395" s="100" t="s">
        <v>794</v>
      </c>
      <c r="D395" s="101" t="s">
        <v>111</v>
      </c>
      <c r="E395" s="101" t="s">
        <v>1222</v>
      </c>
      <c r="F395" s="101" t="s">
        <v>1222</v>
      </c>
      <c r="G395" s="101"/>
      <c r="H395" s="101" t="s">
        <v>1251</v>
      </c>
      <c r="I395" s="101" t="s">
        <v>1892</v>
      </c>
      <c r="J395" s="101" t="s">
        <v>1916</v>
      </c>
      <c r="K395" s="100" t="s">
        <v>1928</v>
      </c>
      <c r="L395" s="101" t="n">
        <v>2011</v>
      </c>
      <c r="M395" s="101" t="s">
        <v>1561</v>
      </c>
    </row>
    <row r="396" customFormat="false" ht="15" hidden="false" customHeight="true" outlineLevel="0" collapsed="false">
      <c r="A396" s="101" t="n">
        <v>395</v>
      </c>
      <c r="B396" s="100" t="n">
        <v>49</v>
      </c>
      <c r="C396" s="100" t="s">
        <v>793</v>
      </c>
      <c r="D396" s="101" t="s">
        <v>111</v>
      </c>
      <c r="E396" s="101" t="s">
        <v>1215</v>
      </c>
      <c r="F396" s="101" t="s">
        <v>1215</v>
      </c>
      <c r="G396" s="101" t="s">
        <v>1929</v>
      </c>
      <c r="H396" s="101" t="s">
        <v>1251</v>
      </c>
      <c r="I396" s="101" t="s">
        <v>1892</v>
      </c>
      <c r="J396" s="101" t="s">
        <v>1916</v>
      </c>
      <c r="K396" s="100" t="s">
        <v>1930</v>
      </c>
      <c r="L396" s="101" t="n">
        <v>2011</v>
      </c>
      <c r="M396" s="101" t="s">
        <v>1561</v>
      </c>
    </row>
    <row r="397" customFormat="false" ht="15" hidden="false" customHeight="true" outlineLevel="0" collapsed="false">
      <c r="A397" s="101" t="n">
        <v>396</v>
      </c>
      <c r="B397" s="100" t="n">
        <v>50</v>
      </c>
      <c r="C397" s="100" t="s">
        <v>792</v>
      </c>
      <c r="D397" s="101" t="s">
        <v>111</v>
      </c>
      <c r="E397" s="101" t="s">
        <v>1215</v>
      </c>
      <c r="F397" s="101" t="s">
        <v>1215</v>
      </c>
      <c r="G397" s="101" t="s">
        <v>1931</v>
      </c>
      <c r="H397" s="101" t="s">
        <v>1251</v>
      </c>
      <c r="I397" s="101" t="s">
        <v>1892</v>
      </c>
      <c r="J397" s="101" t="s">
        <v>1916</v>
      </c>
      <c r="K397" s="100" t="s">
        <v>1932</v>
      </c>
      <c r="L397" s="101" t="n">
        <v>2011</v>
      </c>
      <c r="M397" s="101" t="s">
        <v>1561</v>
      </c>
    </row>
    <row r="398" customFormat="false" ht="15" hidden="false" customHeight="true" outlineLevel="0" collapsed="false">
      <c r="A398" s="101" t="n">
        <v>397</v>
      </c>
      <c r="B398" s="100" t="n">
        <v>51</v>
      </c>
      <c r="C398" s="100" t="s">
        <v>481</v>
      </c>
      <c r="D398" s="101" t="s">
        <v>111</v>
      </c>
      <c r="E398" s="101" t="s">
        <v>1213</v>
      </c>
      <c r="F398" s="101" t="s">
        <v>1468</v>
      </c>
      <c r="G398" s="101" t="s">
        <v>1933</v>
      </c>
      <c r="H398" s="101" t="s">
        <v>1235</v>
      </c>
      <c r="I398" s="101" t="s">
        <v>1885</v>
      </c>
      <c r="J398" s="101" t="s">
        <v>1886</v>
      </c>
      <c r="K398" s="100" t="s">
        <v>1934</v>
      </c>
      <c r="L398" s="101" t="n">
        <v>2018</v>
      </c>
      <c r="M398" s="101" t="s">
        <v>1553</v>
      </c>
    </row>
    <row r="399" customFormat="false" ht="15" hidden="false" customHeight="true" outlineLevel="0" collapsed="false">
      <c r="A399" s="101" t="n">
        <v>398</v>
      </c>
      <c r="B399" s="100" t="n">
        <v>52</v>
      </c>
      <c r="C399" s="100" t="s">
        <v>791</v>
      </c>
      <c r="D399" s="101" t="s">
        <v>111</v>
      </c>
      <c r="E399" s="101" t="s">
        <v>1215</v>
      </c>
      <c r="F399" s="101" t="s">
        <v>1215</v>
      </c>
      <c r="G399" s="101" t="s">
        <v>1581</v>
      </c>
      <c r="H399" s="101" t="s">
        <v>1251</v>
      </c>
      <c r="I399" s="101" t="s">
        <v>1892</v>
      </c>
      <c r="J399" s="101" t="s">
        <v>1916</v>
      </c>
      <c r="K399" s="100" t="s">
        <v>1935</v>
      </c>
      <c r="L399" s="101" t="n">
        <v>2011</v>
      </c>
      <c r="M399" s="101" t="s">
        <v>1561</v>
      </c>
    </row>
    <row r="400" customFormat="false" ht="15" hidden="false" customHeight="true" outlineLevel="0" collapsed="false">
      <c r="A400" s="101" t="n">
        <v>399</v>
      </c>
      <c r="B400" s="100" t="n">
        <v>53</v>
      </c>
      <c r="C400" s="100" t="s">
        <v>480</v>
      </c>
      <c r="D400" s="101" t="s">
        <v>111</v>
      </c>
      <c r="E400" s="101" t="s">
        <v>1213</v>
      </c>
      <c r="F400" s="101" t="s">
        <v>1468</v>
      </c>
      <c r="G400" s="101" t="s">
        <v>1936</v>
      </c>
      <c r="H400" s="101" t="s">
        <v>1235</v>
      </c>
      <c r="I400" s="101" t="s">
        <v>1885</v>
      </c>
      <c r="J400" s="101" t="s">
        <v>1886</v>
      </c>
      <c r="K400" s="100" t="s">
        <v>1937</v>
      </c>
      <c r="L400" s="101" t="n">
        <v>2018</v>
      </c>
      <c r="M400" s="101" t="s">
        <v>1553</v>
      </c>
    </row>
    <row r="401" customFormat="false" ht="15" hidden="false" customHeight="true" outlineLevel="0" collapsed="false">
      <c r="A401" s="101" t="n">
        <v>400</v>
      </c>
      <c r="B401" s="100" t="n">
        <v>54</v>
      </c>
      <c r="C401" s="100" t="s">
        <v>479</v>
      </c>
      <c r="D401" s="101" t="s">
        <v>111</v>
      </c>
      <c r="E401" s="101" t="s">
        <v>1190</v>
      </c>
      <c r="F401" s="101" t="s">
        <v>1380</v>
      </c>
      <c r="G401" s="101" t="s">
        <v>1923</v>
      </c>
      <c r="H401" s="101" t="s">
        <v>1251</v>
      </c>
      <c r="I401" s="101" t="s">
        <v>1892</v>
      </c>
      <c r="J401" s="101" t="s">
        <v>1916</v>
      </c>
      <c r="K401" s="100" t="s">
        <v>1938</v>
      </c>
      <c r="L401" s="101" t="n">
        <v>2011</v>
      </c>
      <c r="M401" s="101" t="s">
        <v>1561</v>
      </c>
    </row>
    <row r="402" customFormat="false" ht="15" hidden="false" customHeight="true" outlineLevel="0" collapsed="false">
      <c r="A402" s="101" t="n">
        <v>401</v>
      </c>
      <c r="B402" s="100" t="n">
        <v>55</v>
      </c>
      <c r="C402" s="100" t="s">
        <v>642</v>
      </c>
      <c r="D402" s="101" t="s">
        <v>111</v>
      </c>
      <c r="E402" s="101" t="s">
        <v>1164</v>
      </c>
      <c r="F402" s="101" t="s">
        <v>1164</v>
      </c>
      <c r="G402" s="101" t="s">
        <v>1939</v>
      </c>
      <c r="H402" s="101" t="s">
        <v>1251</v>
      </c>
      <c r="I402" s="101" t="s">
        <v>1940</v>
      </c>
      <c r="J402" s="101" t="s">
        <v>1941</v>
      </c>
      <c r="K402" s="100" t="s">
        <v>1942</v>
      </c>
      <c r="L402" s="101" t="n">
        <v>2020</v>
      </c>
      <c r="M402" s="101" t="s">
        <v>1561</v>
      </c>
    </row>
    <row r="403" customFormat="false" ht="15" hidden="false" customHeight="true" outlineLevel="0" collapsed="false">
      <c r="A403" s="101" t="n">
        <v>402</v>
      </c>
      <c r="B403" s="100" t="n">
        <v>56</v>
      </c>
      <c r="C403" s="100" t="s">
        <v>948</v>
      </c>
      <c r="D403" s="101" t="s">
        <v>111</v>
      </c>
      <c r="E403" s="101" t="s">
        <v>1184</v>
      </c>
      <c r="F403" s="101" t="s">
        <v>1421</v>
      </c>
      <c r="G403" s="101" t="s">
        <v>1943</v>
      </c>
      <c r="H403" s="101" t="s">
        <v>1251</v>
      </c>
      <c r="I403" s="101" t="s">
        <v>1505</v>
      </c>
      <c r="J403" s="101" t="s">
        <v>1901</v>
      </c>
      <c r="K403" s="100" t="s">
        <v>1944</v>
      </c>
      <c r="L403" s="101" t="n">
        <v>2019</v>
      </c>
      <c r="M403" s="101" t="s">
        <v>1553</v>
      </c>
    </row>
    <row r="404" customFormat="false" ht="15" hidden="false" customHeight="true" outlineLevel="0" collapsed="false">
      <c r="A404" s="101" t="n">
        <v>403</v>
      </c>
      <c r="B404" s="100" t="n">
        <v>57</v>
      </c>
      <c r="C404" s="100" t="s">
        <v>478</v>
      </c>
      <c r="D404" s="101" t="s">
        <v>111</v>
      </c>
      <c r="E404" s="101" t="s">
        <v>1213</v>
      </c>
      <c r="F404" s="101" t="s">
        <v>1468</v>
      </c>
      <c r="G404" s="101" t="s">
        <v>1945</v>
      </c>
      <c r="H404" s="101" t="s">
        <v>1235</v>
      </c>
      <c r="I404" s="101" t="s">
        <v>1885</v>
      </c>
      <c r="J404" s="101" t="s">
        <v>1886</v>
      </c>
      <c r="K404" s="100" t="s">
        <v>1946</v>
      </c>
      <c r="L404" s="101" t="n">
        <v>2018</v>
      </c>
      <c r="M404" s="101" t="s">
        <v>1553</v>
      </c>
    </row>
    <row r="405" customFormat="false" ht="15" hidden="false" customHeight="true" outlineLevel="0" collapsed="false">
      <c r="A405" s="101" t="n">
        <v>404</v>
      </c>
      <c r="B405" s="100" t="n">
        <v>58</v>
      </c>
      <c r="C405" s="100" t="s">
        <v>947</v>
      </c>
      <c r="D405" s="101" t="s">
        <v>111</v>
      </c>
      <c r="E405" s="101" t="s">
        <v>1200</v>
      </c>
      <c r="F405" s="101"/>
      <c r="G405" s="101"/>
      <c r="H405" s="101" t="s">
        <v>1251</v>
      </c>
      <c r="I405" s="101" t="s">
        <v>1505</v>
      </c>
      <c r="J405" s="101" t="s">
        <v>1947</v>
      </c>
      <c r="K405" s="100" t="s">
        <v>1948</v>
      </c>
      <c r="L405" s="101" t="n">
        <v>2025</v>
      </c>
      <c r="M405" s="101"/>
    </row>
    <row r="406" customFormat="false" ht="15" hidden="false" customHeight="true" outlineLevel="0" collapsed="false">
      <c r="A406" s="101" t="n">
        <v>405</v>
      </c>
      <c r="B406" s="100" t="n">
        <v>59</v>
      </c>
      <c r="C406" s="100" t="s">
        <v>641</v>
      </c>
      <c r="D406" s="101" t="s">
        <v>111</v>
      </c>
      <c r="E406" s="101" t="s">
        <v>1164</v>
      </c>
      <c r="F406" s="101" t="s">
        <v>1949</v>
      </c>
      <c r="G406" s="101" t="s">
        <v>1950</v>
      </c>
      <c r="H406" s="101" t="s">
        <v>1251</v>
      </c>
      <c r="I406" s="101" t="s">
        <v>1500</v>
      </c>
      <c r="J406" s="101" t="s">
        <v>1951</v>
      </c>
      <c r="K406" s="100" t="s">
        <v>1952</v>
      </c>
      <c r="L406" s="101" t="n">
        <v>2010</v>
      </c>
      <c r="M406" s="101" t="s">
        <v>1553</v>
      </c>
    </row>
    <row r="407" customFormat="false" ht="15" hidden="false" customHeight="true" outlineLevel="0" collapsed="false">
      <c r="A407" s="101" t="n">
        <v>406</v>
      </c>
      <c r="B407" s="100" t="n">
        <v>60</v>
      </c>
      <c r="C407" s="100" t="s">
        <v>477</v>
      </c>
      <c r="D407" s="101" t="s">
        <v>111</v>
      </c>
      <c r="E407" s="101" t="s">
        <v>1190</v>
      </c>
      <c r="F407" s="101" t="s">
        <v>1953</v>
      </c>
      <c r="G407" s="101" t="s">
        <v>1923</v>
      </c>
      <c r="H407" s="101" t="s">
        <v>1954</v>
      </c>
      <c r="I407" s="101" t="s">
        <v>1892</v>
      </c>
      <c r="J407" s="101" t="s">
        <v>1955</v>
      </c>
      <c r="K407" s="100" t="s">
        <v>1956</v>
      </c>
      <c r="L407" s="101" t="n">
        <v>2011</v>
      </c>
      <c r="M407" s="101" t="s">
        <v>1553</v>
      </c>
    </row>
    <row r="408" customFormat="false" ht="15" hidden="false" customHeight="true" outlineLevel="0" collapsed="false">
      <c r="A408" s="101" t="n">
        <v>407</v>
      </c>
      <c r="B408" s="100" t="n">
        <v>61</v>
      </c>
      <c r="C408" s="100" t="s">
        <v>476</v>
      </c>
      <c r="D408" s="101" t="s">
        <v>111</v>
      </c>
      <c r="E408" s="101" t="s">
        <v>1190</v>
      </c>
      <c r="F408" s="101" t="s">
        <v>1327</v>
      </c>
      <c r="G408" s="101" t="s">
        <v>1957</v>
      </c>
      <c r="H408" s="101" t="s">
        <v>1251</v>
      </c>
      <c r="I408" s="101" t="s">
        <v>1892</v>
      </c>
      <c r="J408" s="101" t="s">
        <v>1916</v>
      </c>
      <c r="K408" s="100" t="s">
        <v>1958</v>
      </c>
      <c r="L408" s="101" t="n">
        <v>2011</v>
      </c>
      <c r="M408" s="101" t="s">
        <v>1561</v>
      </c>
    </row>
    <row r="409" customFormat="false" ht="15" hidden="false" customHeight="true" outlineLevel="0" collapsed="false">
      <c r="A409" s="101" t="n">
        <v>408</v>
      </c>
      <c r="B409" s="100" t="n">
        <v>62</v>
      </c>
      <c r="C409" s="100" t="s">
        <v>475</v>
      </c>
      <c r="D409" s="101" t="s">
        <v>111</v>
      </c>
      <c r="E409" s="101" t="s">
        <v>1213</v>
      </c>
      <c r="F409" s="101" t="s">
        <v>1468</v>
      </c>
      <c r="G409" s="101" t="s">
        <v>1959</v>
      </c>
      <c r="H409" s="101" t="s">
        <v>1235</v>
      </c>
      <c r="I409" s="101" t="s">
        <v>1885</v>
      </c>
      <c r="J409" s="101" t="s">
        <v>1886</v>
      </c>
      <c r="K409" s="100" t="s">
        <v>1960</v>
      </c>
      <c r="L409" s="101" t="n">
        <v>2018</v>
      </c>
      <c r="M409" s="101" t="s">
        <v>1553</v>
      </c>
    </row>
    <row r="410" customFormat="false" ht="15" hidden="false" customHeight="true" outlineLevel="0" collapsed="false">
      <c r="A410" s="101" t="n">
        <v>409</v>
      </c>
      <c r="B410" s="100" t="n">
        <v>63</v>
      </c>
      <c r="C410" s="100" t="s">
        <v>474</v>
      </c>
      <c r="D410" s="101" t="s">
        <v>111</v>
      </c>
      <c r="E410" s="101" t="s">
        <v>1190</v>
      </c>
      <c r="F410" s="101" t="s">
        <v>1327</v>
      </c>
      <c r="G410" s="101" t="s">
        <v>1581</v>
      </c>
      <c r="H410" s="101" t="s">
        <v>1251</v>
      </c>
      <c r="I410" s="101" t="s">
        <v>1892</v>
      </c>
      <c r="J410" s="101" t="s">
        <v>1916</v>
      </c>
      <c r="K410" s="100" t="s">
        <v>1961</v>
      </c>
      <c r="L410" s="101" t="n">
        <v>2011</v>
      </c>
      <c r="M410" s="101" t="s">
        <v>1561</v>
      </c>
    </row>
    <row r="411" customFormat="false" ht="15" hidden="false" customHeight="true" outlineLevel="0" collapsed="false">
      <c r="A411" s="101" t="n">
        <v>410</v>
      </c>
      <c r="B411" s="100" t="n">
        <v>64</v>
      </c>
      <c r="C411" s="100" t="s">
        <v>1055</v>
      </c>
      <c r="D411" s="101" t="s">
        <v>111</v>
      </c>
      <c r="E411" s="101" t="s">
        <v>1202</v>
      </c>
      <c r="F411" s="101" t="s">
        <v>1369</v>
      </c>
      <c r="G411" s="101" t="s">
        <v>1962</v>
      </c>
      <c r="H411" s="101" t="s">
        <v>1251</v>
      </c>
      <c r="I411" s="101" t="s">
        <v>1885</v>
      </c>
      <c r="J411" s="101" t="s">
        <v>1886</v>
      </c>
      <c r="K411" s="100" t="s">
        <v>1963</v>
      </c>
      <c r="L411" s="101" t="n">
        <v>2020</v>
      </c>
      <c r="M411" s="101" t="s">
        <v>1553</v>
      </c>
    </row>
    <row r="412" customFormat="false" ht="15" hidden="false" customHeight="true" outlineLevel="0" collapsed="false">
      <c r="A412" s="101" t="n">
        <v>411</v>
      </c>
      <c r="B412" s="100" t="n">
        <v>65</v>
      </c>
      <c r="C412" s="100" t="s">
        <v>640</v>
      </c>
      <c r="D412" s="101" t="s">
        <v>111</v>
      </c>
      <c r="E412" s="101" t="s">
        <v>1166</v>
      </c>
      <c r="F412" s="101" t="s">
        <v>1390</v>
      </c>
      <c r="G412" s="101" t="s">
        <v>1964</v>
      </c>
      <c r="H412" s="101" t="s">
        <v>1554</v>
      </c>
      <c r="I412" s="101" t="s">
        <v>1892</v>
      </c>
      <c r="J412" s="101" t="s">
        <v>1965</v>
      </c>
      <c r="K412" s="100" t="s">
        <v>1966</v>
      </c>
      <c r="L412" s="101" t="n">
        <v>2021</v>
      </c>
      <c r="M412" s="101" t="s">
        <v>1553</v>
      </c>
    </row>
    <row r="413" customFormat="false" ht="15" hidden="false" customHeight="true" outlineLevel="0" collapsed="false">
      <c r="A413" s="101" t="n">
        <v>412</v>
      </c>
      <c r="B413" s="100" t="n">
        <v>66</v>
      </c>
      <c r="C413" s="100" t="s">
        <v>639</v>
      </c>
      <c r="D413" s="101" t="s">
        <v>111</v>
      </c>
      <c r="E413" s="101" t="s">
        <v>1166</v>
      </c>
      <c r="F413" s="101" t="s">
        <v>1390</v>
      </c>
      <c r="G413" s="101" t="s">
        <v>1967</v>
      </c>
      <c r="H413" s="101" t="s">
        <v>1554</v>
      </c>
      <c r="I413" s="101" t="s">
        <v>1892</v>
      </c>
      <c r="J413" s="101" t="s">
        <v>1965</v>
      </c>
      <c r="K413" s="100" t="s">
        <v>1968</v>
      </c>
      <c r="L413" s="101" t="n">
        <v>2021</v>
      </c>
      <c r="M413" s="101" t="s">
        <v>1553</v>
      </c>
    </row>
    <row r="414" customFormat="false" ht="15" hidden="false" customHeight="true" outlineLevel="0" collapsed="false">
      <c r="A414" s="101" t="n">
        <v>413</v>
      </c>
      <c r="B414" s="100" t="n">
        <v>67</v>
      </c>
      <c r="C414" s="100" t="s">
        <v>473</v>
      </c>
      <c r="D414" s="101" t="s">
        <v>111</v>
      </c>
      <c r="E414" s="101" t="s">
        <v>1213</v>
      </c>
      <c r="F414" s="101" t="s">
        <v>1468</v>
      </c>
      <c r="G414" s="101" t="s">
        <v>1969</v>
      </c>
      <c r="H414" s="101" t="s">
        <v>1235</v>
      </c>
      <c r="I414" s="101" t="s">
        <v>1885</v>
      </c>
      <c r="J414" s="101" t="s">
        <v>1886</v>
      </c>
      <c r="K414" s="100" t="s">
        <v>1970</v>
      </c>
      <c r="L414" s="101" t="n">
        <v>2018</v>
      </c>
      <c r="M414" s="101" t="s">
        <v>1553</v>
      </c>
    </row>
    <row r="415" customFormat="false" ht="15" hidden="false" customHeight="true" outlineLevel="0" collapsed="false">
      <c r="A415" s="101" t="n">
        <v>414</v>
      </c>
      <c r="B415" s="100" t="n">
        <v>68</v>
      </c>
      <c r="C415" s="100" t="s">
        <v>472</v>
      </c>
      <c r="D415" s="101" t="s">
        <v>111</v>
      </c>
      <c r="E415" s="101" t="s">
        <v>1190</v>
      </c>
      <c r="F415" s="101" t="s">
        <v>1384</v>
      </c>
      <c r="G415" s="101"/>
      <c r="H415" s="101" t="s">
        <v>1251</v>
      </c>
      <c r="I415" s="101" t="s">
        <v>1892</v>
      </c>
      <c r="J415" s="101" t="s">
        <v>1916</v>
      </c>
      <c r="K415" s="100" t="s">
        <v>1971</v>
      </c>
      <c r="L415" s="101" t="n">
        <v>2011</v>
      </c>
      <c r="M415" s="101" t="s">
        <v>1561</v>
      </c>
    </row>
    <row r="416" customFormat="false" ht="15" hidden="false" customHeight="true" outlineLevel="0" collapsed="false">
      <c r="A416" s="101" t="n">
        <v>415</v>
      </c>
      <c r="B416" s="100" t="n">
        <v>69</v>
      </c>
      <c r="C416" s="100" t="s">
        <v>471</v>
      </c>
      <c r="D416" s="101" t="s">
        <v>111</v>
      </c>
      <c r="E416" s="101" t="s">
        <v>1190</v>
      </c>
      <c r="F416" s="101" t="s">
        <v>1384</v>
      </c>
      <c r="G416" s="101" t="s">
        <v>1581</v>
      </c>
      <c r="H416" s="101" t="s">
        <v>1251</v>
      </c>
      <c r="I416" s="101" t="s">
        <v>1892</v>
      </c>
      <c r="J416" s="101" t="s">
        <v>1972</v>
      </c>
      <c r="K416" s="100" t="s">
        <v>1973</v>
      </c>
      <c r="L416" s="101" t="n">
        <v>2014</v>
      </c>
      <c r="M416" s="101" t="s">
        <v>1553</v>
      </c>
    </row>
    <row r="417" customFormat="false" ht="15" hidden="false" customHeight="true" outlineLevel="0" collapsed="false">
      <c r="A417" s="101" t="n">
        <v>416</v>
      </c>
      <c r="B417" s="100" t="n">
        <v>70</v>
      </c>
      <c r="C417" s="100" t="s">
        <v>1974</v>
      </c>
      <c r="D417" s="101" t="s">
        <v>111</v>
      </c>
      <c r="E417" s="101" t="s">
        <v>1182</v>
      </c>
      <c r="F417" s="101" t="s">
        <v>1182</v>
      </c>
      <c r="G417" s="101"/>
      <c r="H417" s="101" t="s">
        <v>1251</v>
      </c>
      <c r="I417" s="101" t="s">
        <v>1892</v>
      </c>
      <c r="J417" s="101" t="s">
        <v>1916</v>
      </c>
      <c r="K417" s="100" t="s">
        <v>1975</v>
      </c>
      <c r="L417" s="101" t="n">
        <v>2010</v>
      </c>
      <c r="M417" s="101" t="s">
        <v>1561</v>
      </c>
    </row>
    <row r="418" customFormat="false" ht="15" hidden="false" customHeight="true" outlineLevel="0" collapsed="false">
      <c r="A418" s="101" t="n">
        <v>417</v>
      </c>
      <c r="B418" s="100" t="n">
        <v>71</v>
      </c>
      <c r="C418" s="100" t="s">
        <v>638</v>
      </c>
      <c r="D418" s="101" t="s">
        <v>111</v>
      </c>
      <c r="E418" s="101" t="s">
        <v>1225</v>
      </c>
      <c r="F418" s="101" t="s">
        <v>1404</v>
      </c>
      <c r="G418" s="101" t="s">
        <v>1976</v>
      </c>
      <c r="H418" s="101" t="s">
        <v>1251</v>
      </c>
      <c r="I418" s="101" t="s">
        <v>1904</v>
      </c>
      <c r="J418" s="101" t="s">
        <v>1977</v>
      </c>
      <c r="K418" s="100" t="s">
        <v>1978</v>
      </c>
      <c r="L418" s="101" t="n">
        <v>2001</v>
      </c>
      <c r="M418" s="101" t="s">
        <v>1553</v>
      </c>
    </row>
    <row r="419" customFormat="false" ht="15" hidden="false" customHeight="true" outlineLevel="0" collapsed="false">
      <c r="A419" s="101" t="n">
        <v>418</v>
      </c>
      <c r="B419" s="100" t="n">
        <v>72</v>
      </c>
      <c r="C419" s="100" t="s">
        <v>637</v>
      </c>
      <c r="D419" s="101" t="s">
        <v>111</v>
      </c>
      <c r="E419" s="101" t="s">
        <v>1166</v>
      </c>
      <c r="F419" s="101" t="s">
        <v>1390</v>
      </c>
      <c r="G419" s="101" t="s">
        <v>1979</v>
      </c>
      <c r="H419" s="101" t="s">
        <v>1554</v>
      </c>
      <c r="I419" s="101" t="s">
        <v>1892</v>
      </c>
      <c r="J419" s="101" t="s">
        <v>1965</v>
      </c>
      <c r="K419" s="100" t="s">
        <v>1980</v>
      </c>
      <c r="L419" s="101" t="n">
        <v>2021</v>
      </c>
      <c r="M419" s="101" t="s">
        <v>1553</v>
      </c>
    </row>
    <row r="420" customFormat="false" ht="15" hidden="false" customHeight="true" outlineLevel="0" collapsed="false">
      <c r="A420" s="101" t="n">
        <v>419</v>
      </c>
      <c r="B420" s="100" t="n">
        <v>73</v>
      </c>
      <c r="C420" s="100" t="s">
        <v>946</v>
      </c>
      <c r="D420" s="101" t="s">
        <v>111</v>
      </c>
      <c r="E420" s="101" t="s">
        <v>1200</v>
      </c>
      <c r="F420" s="101"/>
      <c r="G420" s="101"/>
      <c r="H420" s="101" t="s">
        <v>1251</v>
      </c>
      <c r="I420" s="101" t="s">
        <v>1505</v>
      </c>
      <c r="J420" s="101" t="s">
        <v>1947</v>
      </c>
      <c r="K420" s="100" t="s">
        <v>1981</v>
      </c>
      <c r="L420" s="101" t="n">
        <v>2025</v>
      </c>
      <c r="M420" s="101"/>
    </row>
    <row r="421" customFormat="false" ht="15" hidden="false" customHeight="true" outlineLevel="0" collapsed="false">
      <c r="A421" s="101" t="n">
        <v>420</v>
      </c>
      <c r="B421" s="100" t="n">
        <v>74</v>
      </c>
      <c r="C421" s="100" t="s">
        <v>945</v>
      </c>
      <c r="D421" s="101" t="s">
        <v>111</v>
      </c>
      <c r="E421" s="101" t="s">
        <v>1184</v>
      </c>
      <c r="F421" s="101" t="s">
        <v>1421</v>
      </c>
      <c r="G421" s="101" t="s">
        <v>1499</v>
      </c>
      <c r="H421" s="101" t="s">
        <v>1251</v>
      </c>
      <c r="I421" s="101" t="s">
        <v>1505</v>
      </c>
      <c r="J421" s="101" t="s">
        <v>1901</v>
      </c>
      <c r="K421" s="100" t="s">
        <v>1982</v>
      </c>
      <c r="L421" s="101" t="n">
        <v>2019</v>
      </c>
      <c r="M421" s="101" t="s">
        <v>1553</v>
      </c>
    </row>
    <row r="422" customFormat="false" ht="15" hidden="false" customHeight="true" outlineLevel="0" collapsed="false">
      <c r="A422" s="101" t="n">
        <v>421</v>
      </c>
      <c r="B422" s="100" t="n">
        <v>75</v>
      </c>
      <c r="C422" s="100" t="s">
        <v>1983</v>
      </c>
      <c r="D422" s="101" t="s">
        <v>111</v>
      </c>
      <c r="E422" s="101" t="s">
        <v>1225</v>
      </c>
      <c r="F422" s="101" t="s">
        <v>1404</v>
      </c>
      <c r="G422" s="101" t="s">
        <v>1976</v>
      </c>
      <c r="H422" s="101" t="s">
        <v>1251</v>
      </c>
      <c r="I422" s="101" t="s">
        <v>1607</v>
      </c>
      <c r="J422" s="101" t="s">
        <v>1984</v>
      </c>
      <c r="K422" s="100" t="s">
        <v>1985</v>
      </c>
      <c r="L422" s="101" t="n">
        <v>2008</v>
      </c>
      <c r="M422" s="101" t="s">
        <v>1561</v>
      </c>
    </row>
    <row r="423" customFormat="false" ht="15" hidden="false" customHeight="true" outlineLevel="0" collapsed="false">
      <c r="A423" s="101" t="n">
        <v>422</v>
      </c>
      <c r="B423" s="100" t="n">
        <v>76</v>
      </c>
      <c r="C423" s="100" t="s">
        <v>1986</v>
      </c>
      <c r="D423" s="101" t="s">
        <v>111</v>
      </c>
      <c r="E423" s="101" t="s">
        <v>1225</v>
      </c>
      <c r="F423" s="101" t="s">
        <v>1404</v>
      </c>
      <c r="G423" s="101" t="s">
        <v>1987</v>
      </c>
      <c r="H423" s="101" t="s">
        <v>1251</v>
      </c>
      <c r="I423" s="101" t="s">
        <v>1607</v>
      </c>
      <c r="J423" s="101" t="s">
        <v>1984</v>
      </c>
      <c r="K423" s="100" t="s">
        <v>1988</v>
      </c>
      <c r="L423" s="101" t="n">
        <v>2008</v>
      </c>
      <c r="M423" s="101" t="s">
        <v>1561</v>
      </c>
    </row>
    <row r="424" customFormat="false" ht="15" hidden="false" customHeight="true" outlineLevel="0" collapsed="false">
      <c r="A424" s="101" t="n">
        <v>423</v>
      </c>
      <c r="B424" s="100" t="n">
        <v>77</v>
      </c>
      <c r="C424" s="100" t="s">
        <v>987</v>
      </c>
      <c r="D424" s="101" t="s">
        <v>111</v>
      </c>
      <c r="E424" s="101" t="s">
        <v>1196</v>
      </c>
      <c r="F424" s="101" t="s">
        <v>1196</v>
      </c>
      <c r="G424" s="101" t="s">
        <v>1260</v>
      </c>
      <c r="H424" s="101" t="s">
        <v>1235</v>
      </c>
      <c r="I424" s="101" t="s">
        <v>1892</v>
      </c>
      <c r="J424" s="101" t="s">
        <v>1989</v>
      </c>
      <c r="K424" s="100" t="s">
        <v>1990</v>
      </c>
      <c r="L424" s="101" t="n">
        <v>2023</v>
      </c>
      <c r="M424" s="101" t="s">
        <v>1553</v>
      </c>
    </row>
    <row r="425" customFormat="false" ht="15" hidden="false" customHeight="true" outlineLevel="0" collapsed="false">
      <c r="A425" s="101" t="n">
        <v>424</v>
      </c>
      <c r="B425" s="100" t="n">
        <v>78</v>
      </c>
      <c r="C425" s="100" t="s">
        <v>989</v>
      </c>
      <c r="D425" s="101" t="s">
        <v>111</v>
      </c>
      <c r="E425" s="101" t="s">
        <v>1196</v>
      </c>
      <c r="F425" s="101" t="s">
        <v>1196</v>
      </c>
      <c r="G425" s="101" t="s">
        <v>1260</v>
      </c>
      <c r="H425" s="101" t="s">
        <v>1235</v>
      </c>
      <c r="I425" s="101" t="s">
        <v>1892</v>
      </c>
      <c r="J425" s="101" t="s">
        <v>1989</v>
      </c>
      <c r="K425" s="100" t="s">
        <v>1991</v>
      </c>
      <c r="L425" s="101" t="n">
        <v>2023</v>
      </c>
      <c r="M425" s="101" t="s">
        <v>1553</v>
      </c>
    </row>
    <row r="426" customFormat="false" ht="15" hidden="false" customHeight="true" outlineLevel="0" collapsed="false">
      <c r="A426" s="101" t="n">
        <v>425</v>
      </c>
      <c r="B426" s="100" t="n">
        <v>79</v>
      </c>
      <c r="C426" s="100" t="s">
        <v>790</v>
      </c>
      <c r="D426" s="101" t="s">
        <v>111</v>
      </c>
      <c r="E426" s="101" t="s">
        <v>1160</v>
      </c>
      <c r="F426" s="101" t="s">
        <v>1160</v>
      </c>
      <c r="G426" s="101"/>
      <c r="H426" s="101" t="s">
        <v>1251</v>
      </c>
      <c r="I426" s="101" t="s">
        <v>1505</v>
      </c>
      <c r="J426" s="101" t="s">
        <v>1992</v>
      </c>
      <c r="K426" s="100" t="s">
        <v>1993</v>
      </c>
      <c r="L426" s="101" t="n">
        <v>2024</v>
      </c>
      <c r="M426" s="101" t="s">
        <v>1553</v>
      </c>
    </row>
    <row r="427" customFormat="false" ht="15" hidden="false" customHeight="true" outlineLevel="0" collapsed="false">
      <c r="A427" s="101" t="n">
        <v>426</v>
      </c>
      <c r="B427" s="100" t="n">
        <v>80</v>
      </c>
      <c r="C427" s="100" t="s">
        <v>789</v>
      </c>
      <c r="D427" s="101" t="s">
        <v>111</v>
      </c>
      <c r="E427" s="101" t="s">
        <v>1160</v>
      </c>
      <c r="F427" s="101" t="s">
        <v>1160</v>
      </c>
      <c r="G427" s="101"/>
      <c r="H427" s="101" t="s">
        <v>1251</v>
      </c>
      <c r="I427" s="101" t="s">
        <v>1505</v>
      </c>
      <c r="J427" s="101" t="s">
        <v>1992</v>
      </c>
      <c r="K427" s="100" t="s">
        <v>1994</v>
      </c>
      <c r="L427" s="101" t="n">
        <v>2024</v>
      </c>
      <c r="M427" s="101" t="s">
        <v>1553</v>
      </c>
    </row>
    <row r="428" customFormat="false" ht="15" hidden="false" customHeight="true" outlineLevel="0" collapsed="false">
      <c r="A428" s="101" t="n">
        <v>427</v>
      </c>
      <c r="B428" s="100" t="n">
        <v>81</v>
      </c>
      <c r="C428" s="100" t="s">
        <v>636</v>
      </c>
      <c r="D428" s="101" t="s">
        <v>111</v>
      </c>
      <c r="E428" s="101" t="s">
        <v>1147</v>
      </c>
      <c r="F428" s="101" t="s">
        <v>1147</v>
      </c>
      <c r="G428" s="101" t="s">
        <v>1995</v>
      </c>
      <c r="H428" s="101" t="s">
        <v>1251</v>
      </c>
      <c r="I428" s="101" t="s">
        <v>1996</v>
      </c>
      <c r="J428" s="101" t="s">
        <v>1997</v>
      </c>
      <c r="K428" s="100" t="s">
        <v>1998</v>
      </c>
      <c r="L428" s="101" t="n">
        <v>2025</v>
      </c>
      <c r="M428" s="101" t="s">
        <v>1561</v>
      </c>
    </row>
    <row r="429" customFormat="false" ht="15" hidden="false" customHeight="true" outlineLevel="0" collapsed="false">
      <c r="A429" s="101" t="n">
        <v>428</v>
      </c>
      <c r="B429" s="100" t="n">
        <v>82</v>
      </c>
      <c r="C429" s="100" t="s">
        <v>788</v>
      </c>
      <c r="D429" s="101" t="s">
        <v>111</v>
      </c>
      <c r="E429" s="101" t="s">
        <v>1160</v>
      </c>
      <c r="F429" s="101" t="s">
        <v>1160</v>
      </c>
      <c r="G429" s="101"/>
      <c r="H429" s="101" t="s">
        <v>1251</v>
      </c>
      <c r="I429" s="101" t="s">
        <v>1505</v>
      </c>
      <c r="J429" s="101" t="s">
        <v>1992</v>
      </c>
      <c r="K429" s="100" t="s">
        <v>1999</v>
      </c>
      <c r="L429" s="101" t="n">
        <v>2024</v>
      </c>
      <c r="M429" s="101" t="s">
        <v>1553</v>
      </c>
    </row>
    <row r="430" customFormat="false" ht="15" hidden="false" customHeight="true" outlineLevel="0" collapsed="false">
      <c r="A430" s="101" t="n">
        <v>429</v>
      </c>
      <c r="B430" s="100" t="n">
        <v>83</v>
      </c>
      <c r="C430" s="100" t="s">
        <v>470</v>
      </c>
      <c r="D430" s="101" t="s">
        <v>111</v>
      </c>
      <c r="E430" s="101" t="s">
        <v>1213</v>
      </c>
      <c r="F430" s="101" t="s">
        <v>1468</v>
      </c>
      <c r="G430" s="101" t="s">
        <v>2000</v>
      </c>
      <c r="H430" s="101" t="s">
        <v>1235</v>
      </c>
      <c r="I430" s="101" t="s">
        <v>1885</v>
      </c>
      <c r="J430" s="101" t="s">
        <v>1886</v>
      </c>
      <c r="K430" s="100" t="s">
        <v>2001</v>
      </c>
      <c r="L430" s="101" t="n">
        <v>2018</v>
      </c>
      <c r="M430" s="101" t="s">
        <v>1553</v>
      </c>
    </row>
    <row r="431" customFormat="false" ht="15" hidden="false" customHeight="true" outlineLevel="0" collapsed="false">
      <c r="A431" s="101" t="n">
        <v>430</v>
      </c>
      <c r="B431" s="100" t="n">
        <v>84</v>
      </c>
      <c r="C431" s="100" t="s">
        <v>787</v>
      </c>
      <c r="D431" s="101" t="s">
        <v>111</v>
      </c>
      <c r="E431" s="101" t="s">
        <v>1160</v>
      </c>
      <c r="F431" s="101" t="s">
        <v>1160</v>
      </c>
      <c r="G431" s="101"/>
      <c r="H431" s="101" t="s">
        <v>1251</v>
      </c>
      <c r="I431" s="101" t="s">
        <v>1505</v>
      </c>
      <c r="J431" s="101" t="s">
        <v>1992</v>
      </c>
      <c r="K431" s="100" t="s">
        <v>2002</v>
      </c>
      <c r="L431" s="101" t="n">
        <v>2024</v>
      </c>
      <c r="M431" s="101" t="s">
        <v>1553</v>
      </c>
    </row>
    <row r="432" customFormat="false" ht="15" hidden="false" customHeight="true" outlineLevel="0" collapsed="false">
      <c r="A432" s="101" t="n">
        <v>431</v>
      </c>
      <c r="B432" s="100" t="n">
        <v>85</v>
      </c>
      <c r="C432" s="100" t="s">
        <v>944</v>
      </c>
      <c r="D432" s="101" t="s">
        <v>111</v>
      </c>
      <c r="E432" s="101" t="s">
        <v>1187</v>
      </c>
      <c r="F432" s="101" t="s">
        <v>1357</v>
      </c>
      <c r="G432" s="101" t="s">
        <v>2003</v>
      </c>
      <c r="H432" s="101" t="s">
        <v>1251</v>
      </c>
      <c r="I432" s="101" t="s">
        <v>1500</v>
      </c>
      <c r="J432" s="101" t="s">
        <v>1852</v>
      </c>
      <c r="K432" s="100" t="s">
        <v>2004</v>
      </c>
      <c r="L432" s="101" t="n">
        <v>2012</v>
      </c>
      <c r="M432" s="101" t="s">
        <v>1553</v>
      </c>
    </row>
    <row r="433" customFormat="false" ht="15" hidden="false" customHeight="true" outlineLevel="0" collapsed="false">
      <c r="A433" s="101" t="n">
        <v>432</v>
      </c>
      <c r="B433" s="100" t="n">
        <v>86</v>
      </c>
      <c r="C433" s="100" t="s">
        <v>1071</v>
      </c>
      <c r="D433" s="101" t="s">
        <v>111</v>
      </c>
      <c r="E433" s="101" t="s">
        <v>1177</v>
      </c>
      <c r="F433" s="101" t="s">
        <v>2005</v>
      </c>
      <c r="G433" s="101"/>
      <c r="H433" s="101" t="s">
        <v>1251</v>
      </c>
      <c r="I433" s="101" t="s">
        <v>1500</v>
      </c>
      <c r="J433" s="101" t="s">
        <v>1852</v>
      </c>
      <c r="K433" s="100" t="s">
        <v>2006</v>
      </c>
      <c r="L433" s="101" t="n">
        <v>2012</v>
      </c>
      <c r="M433" s="101" t="s">
        <v>1553</v>
      </c>
    </row>
    <row r="434" customFormat="false" ht="15" hidden="false" customHeight="true" outlineLevel="0" collapsed="false">
      <c r="A434" s="101" t="n">
        <v>433</v>
      </c>
      <c r="B434" s="100" t="n">
        <v>87</v>
      </c>
      <c r="C434" s="100" t="s">
        <v>943</v>
      </c>
      <c r="D434" s="101" t="s">
        <v>111</v>
      </c>
      <c r="E434" s="101" t="s">
        <v>1184</v>
      </c>
      <c r="F434" s="101" t="s">
        <v>1421</v>
      </c>
      <c r="G434" s="101"/>
      <c r="H434" s="101" t="s">
        <v>1251</v>
      </c>
      <c r="I434" s="101" t="s">
        <v>1500</v>
      </c>
      <c r="J434" s="101" t="s">
        <v>1852</v>
      </c>
      <c r="K434" s="100" t="s">
        <v>2007</v>
      </c>
      <c r="L434" s="101" t="n">
        <v>2011</v>
      </c>
      <c r="M434" s="101" t="s">
        <v>1553</v>
      </c>
    </row>
    <row r="435" customFormat="false" ht="15" hidden="false" customHeight="true" outlineLevel="0" collapsed="false">
      <c r="A435" s="101" t="n">
        <v>434</v>
      </c>
      <c r="B435" s="100" t="n">
        <v>88</v>
      </c>
      <c r="C435" s="100" t="s">
        <v>635</v>
      </c>
      <c r="D435" s="101" t="s">
        <v>111</v>
      </c>
      <c r="E435" s="101" t="s">
        <v>1166</v>
      </c>
      <c r="F435" s="101" t="s">
        <v>1390</v>
      </c>
      <c r="G435" s="101" t="s">
        <v>2008</v>
      </c>
      <c r="H435" s="101" t="s">
        <v>1554</v>
      </c>
      <c r="I435" s="101" t="s">
        <v>1892</v>
      </c>
      <c r="J435" s="101" t="s">
        <v>1965</v>
      </c>
      <c r="K435" s="100" t="s">
        <v>2009</v>
      </c>
      <c r="L435" s="101" t="n">
        <v>2021</v>
      </c>
      <c r="M435" s="101" t="s">
        <v>1553</v>
      </c>
    </row>
    <row r="436" customFormat="false" ht="15" hidden="false" customHeight="true" outlineLevel="0" collapsed="false">
      <c r="A436" s="101" t="n">
        <v>435</v>
      </c>
      <c r="B436" s="100" t="n">
        <v>89</v>
      </c>
      <c r="C436" s="100" t="s">
        <v>942</v>
      </c>
      <c r="D436" s="101" t="s">
        <v>111</v>
      </c>
      <c r="E436" s="101" t="s">
        <v>1184</v>
      </c>
      <c r="F436" s="101" t="s">
        <v>1421</v>
      </c>
      <c r="G436" s="101" t="s">
        <v>2010</v>
      </c>
      <c r="H436" s="101" t="s">
        <v>1251</v>
      </c>
      <c r="I436" s="101" t="s">
        <v>1500</v>
      </c>
      <c r="J436" s="101" t="s">
        <v>1852</v>
      </c>
      <c r="K436" s="100" t="s">
        <v>2011</v>
      </c>
      <c r="L436" s="101" t="n">
        <v>2006</v>
      </c>
      <c r="M436" s="101" t="s">
        <v>1553</v>
      </c>
    </row>
    <row r="437" customFormat="false" ht="15" hidden="false" customHeight="true" outlineLevel="0" collapsed="false">
      <c r="A437" s="101" t="n">
        <v>436</v>
      </c>
      <c r="B437" s="100" t="n">
        <v>90</v>
      </c>
      <c r="C437" s="100" t="s">
        <v>1076</v>
      </c>
      <c r="D437" s="101" t="s">
        <v>111</v>
      </c>
      <c r="E437" s="101" t="s">
        <v>1177</v>
      </c>
      <c r="F437" s="101" t="s">
        <v>2005</v>
      </c>
      <c r="G437" s="101" t="s">
        <v>1250</v>
      </c>
      <c r="H437" s="101" t="s">
        <v>1251</v>
      </c>
      <c r="I437" s="101" t="s">
        <v>1500</v>
      </c>
      <c r="J437" s="101" t="s">
        <v>1852</v>
      </c>
      <c r="K437" s="100" t="s">
        <v>2012</v>
      </c>
      <c r="L437" s="101" t="n">
        <v>2011</v>
      </c>
      <c r="M437" s="101" t="s">
        <v>1553</v>
      </c>
    </row>
    <row r="438" customFormat="false" ht="15" hidden="false" customHeight="true" outlineLevel="0" collapsed="false">
      <c r="A438" s="101" t="n">
        <v>437</v>
      </c>
      <c r="B438" s="100" t="n">
        <v>91</v>
      </c>
      <c r="C438" s="100" t="s">
        <v>941</v>
      </c>
      <c r="D438" s="101" t="s">
        <v>111</v>
      </c>
      <c r="E438" s="101" t="s">
        <v>1184</v>
      </c>
      <c r="F438" s="101" t="s">
        <v>1421</v>
      </c>
      <c r="G438" s="101" t="s">
        <v>2013</v>
      </c>
      <c r="H438" s="101" t="s">
        <v>1251</v>
      </c>
      <c r="I438" s="101" t="s">
        <v>1500</v>
      </c>
      <c r="J438" s="101" t="s">
        <v>1852</v>
      </c>
      <c r="K438" s="100" t="s">
        <v>2014</v>
      </c>
      <c r="L438" s="101" t="n">
        <v>2006</v>
      </c>
      <c r="M438" s="101" t="s">
        <v>1553</v>
      </c>
    </row>
    <row r="439" customFormat="false" ht="15" hidden="false" customHeight="true" outlineLevel="0" collapsed="false">
      <c r="A439" s="101" t="n">
        <v>438</v>
      </c>
      <c r="B439" s="100" t="n">
        <v>92</v>
      </c>
      <c r="C439" s="100" t="s">
        <v>469</v>
      </c>
      <c r="D439" s="101" t="s">
        <v>111</v>
      </c>
      <c r="E439" s="101" t="s">
        <v>1213</v>
      </c>
      <c r="F439" s="101" t="s">
        <v>2015</v>
      </c>
      <c r="G439" s="101" t="s">
        <v>2000</v>
      </c>
      <c r="H439" s="101" t="s">
        <v>1235</v>
      </c>
      <c r="I439" s="101" t="s">
        <v>1885</v>
      </c>
      <c r="J439" s="101" t="s">
        <v>1886</v>
      </c>
      <c r="K439" s="100" t="s">
        <v>2016</v>
      </c>
      <c r="L439" s="101" t="n">
        <v>2018</v>
      </c>
      <c r="M439" s="101" t="s">
        <v>1553</v>
      </c>
    </row>
    <row r="440" customFormat="false" ht="15" hidden="false" customHeight="true" outlineLevel="0" collapsed="false">
      <c r="A440" s="101" t="n">
        <v>439</v>
      </c>
      <c r="B440" s="100" t="n">
        <v>93</v>
      </c>
      <c r="C440" s="100" t="s">
        <v>233</v>
      </c>
      <c r="D440" s="101" t="s">
        <v>111</v>
      </c>
      <c r="E440" s="101" t="s">
        <v>1149</v>
      </c>
      <c r="F440" s="101" t="s">
        <v>1479</v>
      </c>
      <c r="G440" s="101" t="s">
        <v>2017</v>
      </c>
      <c r="H440" s="101" t="s">
        <v>1251</v>
      </c>
      <c r="I440" s="101" t="s">
        <v>1500</v>
      </c>
      <c r="J440" s="101" t="s">
        <v>1951</v>
      </c>
      <c r="K440" s="100" t="s">
        <v>232</v>
      </c>
      <c r="L440" s="101" t="n">
        <v>2007</v>
      </c>
      <c r="M440" s="101" t="s">
        <v>1553</v>
      </c>
    </row>
    <row r="441" customFormat="false" ht="15" hidden="false" customHeight="true" outlineLevel="0" collapsed="false">
      <c r="A441" s="101" t="n">
        <v>440</v>
      </c>
      <c r="B441" s="100" t="n">
        <v>94</v>
      </c>
      <c r="C441" s="100" t="s">
        <v>940</v>
      </c>
      <c r="D441" s="101" t="s">
        <v>111</v>
      </c>
      <c r="E441" s="101" t="s">
        <v>1165</v>
      </c>
      <c r="F441" s="101" t="s">
        <v>1184</v>
      </c>
      <c r="G441" s="101" t="s">
        <v>1499</v>
      </c>
      <c r="H441" s="101" t="s">
        <v>1251</v>
      </c>
      <c r="I441" s="101" t="s">
        <v>1500</v>
      </c>
      <c r="J441" s="101" t="s">
        <v>1852</v>
      </c>
      <c r="K441" s="100" t="s">
        <v>2018</v>
      </c>
      <c r="L441" s="101" t="n">
        <v>2011</v>
      </c>
      <c r="M441" s="101" t="s">
        <v>1553</v>
      </c>
    </row>
    <row r="442" customFormat="false" ht="15" hidden="false" customHeight="true" outlineLevel="0" collapsed="false">
      <c r="A442" s="101" t="n">
        <v>441</v>
      </c>
      <c r="B442" s="100" t="n">
        <v>95</v>
      </c>
      <c r="C442" s="100" t="s">
        <v>468</v>
      </c>
      <c r="D442" s="101" t="s">
        <v>111</v>
      </c>
      <c r="E442" s="101" t="s">
        <v>1213</v>
      </c>
      <c r="F442" s="101" t="s">
        <v>2015</v>
      </c>
      <c r="G442" s="101" t="s">
        <v>1884</v>
      </c>
      <c r="H442" s="101" t="s">
        <v>1235</v>
      </c>
      <c r="I442" s="101" t="s">
        <v>1885</v>
      </c>
      <c r="J442" s="101" t="s">
        <v>1886</v>
      </c>
      <c r="K442" s="100" t="s">
        <v>2019</v>
      </c>
      <c r="L442" s="101" t="n">
        <v>2018</v>
      </c>
      <c r="M442" s="101" t="s">
        <v>1553</v>
      </c>
    </row>
    <row r="443" customFormat="false" ht="15" hidden="false" customHeight="true" outlineLevel="0" collapsed="false">
      <c r="A443" s="101" t="n">
        <v>442</v>
      </c>
      <c r="B443" s="100" t="n">
        <v>96</v>
      </c>
      <c r="C443" s="100" t="s">
        <v>939</v>
      </c>
      <c r="D443" s="101" t="s">
        <v>111</v>
      </c>
      <c r="E443" s="101" t="s">
        <v>1184</v>
      </c>
      <c r="F443" s="101" t="s">
        <v>1421</v>
      </c>
      <c r="G443" s="101" t="s">
        <v>2020</v>
      </c>
      <c r="H443" s="101" t="s">
        <v>1251</v>
      </c>
      <c r="I443" s="101" t="s">
        <v>1500</v>
      </c>
      <c r="J443" s="101" t="s">
        <v>1852</v>
      </c>
      <c r="K443" s="100" t="s">
        <v>2021</v>
      </c>
      <c r="L443" s="101" t="n">
        <v>2011</v>
      </c>
      <c r="M443" s="101" t="s">
        <v>1553</v>
      </c>
    </row>
    <row r="444" customFormat="false" ht="15" hidden="false" customHeight="true" outlineLevel="0" collapsed="false">
      <c r="A444" s="101" t="n">
        <v>443</v>
      </c>
      <c r="B444" s="100" t="n">
        <v>97</v>
      </c>
      <c r="C444" s="100" t="s">
        <v>2022</v>
      </c>
      <c r="D444" s="101" t="s">
        <v>111</v>
      </c>
      <c r="E444" s="101" t="s">
        <v>1159</v>
      </c>
      <c r="F444" s="101" t="s">
        <v>1159</v>
      </c>
      <c r="G444" s="101" t="s">
        <v>2023</v>
      </c>
      <c r="H444" s="101" t="s">
        <v>1251</v>
      </c>
      <c r="I444" s="101" t="s">
        <v>1500</v>
      </c>
      <c r="J444" s="101" t="s">
        <v>1947</v>
      </c>
      <c r="K444" s="100" t="s">
        <v>2024</v>
      </c>
      <c r="L444" s="101" t="n">
        <v>2024</v>
      </c>
      <c r="M444" s="101" t="s">
        <v>1553</v>
      </c>
    </row>
    <row r="445" customFormat="false" ht="15" hidden="false" customHeight="true" outlineLevel="0" collapsed="false">
      <c r="A445" s="101" t="n">
        <v>444</v>
      </c>
      <c r="B445" s="100" t="n">
        <v>98</v>
      </c>
      <c r="C445" s="100" t="s">
        <v>467</v>
      </c>
      <c r="D445" s="101" t="s">
        <v>111</v>
      </c>
      <c r="E445" s="101" t="s">
        <v>1213</v>
      </c>
      <c r="F445" s="101" t="s">
        <v>2015</v>
      </c>
      <c r="G445" s="101" t="s">
        <v>1933</v>
      </c>
      <c r="H445" s="101" t="s">
        <v>1235</v>
      </c>
      <c r="I445" s="101" t="s">
        <v>1885</v>
      </c>
      <c r="J445" s="101" t="s">
        <v>1886</v>
      </c>
      <c r="K445" s="100" t="s">
        <v>2025</v>
      </c>
      <c r="L445" s="101" t="n">
        <v>2018</v>
      </c>
      <c r="M445" s="101" t="s">
        <v>1553</v>
      </c>
    </row>
    <row r="446" customFormat="false" ht="15" hidden="false" customHeight="true" outlineLevel="0" collapsed="false">
      <c r="A446" s="101" t="n">
        <v>445</v>
      </c>
      <c r="B446" s="100" t="n">
        <v>99</v>
      </c>
      <c r="C446" s="100" t="s">
        <v>2026</v>
      </c>
      <c r="D446" s="101" t="s">
        <v>111</v>
      </c>
      <c r="E446" s="101" t="s">
        <v>1159</v>
      </c>
      <c r="F446" s="101" t="s">
        <v>1159</v>
      </c>
      <c r="G446" s="101" t="s">
        <v>2023</v>
      </c>
      <c r="H446" s="101" t="s">
        <v>1251</v>
      </c>
      <c r="I446" s="101" t="s">
        <v>1500</v>
      </c>
      <c r="J446" s="101" t="s">
        <v>1947</v>
      </c>
      <c r="K446" s="100" t="s">
        <v>2027</v>
      </c>
      <c r="L446" s="101" t="n">
        <v>2024</v>
      </c>
      <c r="M446" s="101" t="s">
        <v>1553</v>
      </c>
    </row>
    <row r="447" customFormat="false" ht="15" hidden="false" customHeight="true" outlineLevel="0" collapsed="false">
      <c r="A447" s="101" t="n">
        <v>446</v>
      </c>
      <c r="B447" s="100" t="n">
        <v>100</v>
      </c>
      <c r="C447" s="100" t="s">
        <v>466</v>
      </c>
      <c r="D447" s="101" t="s">
        <v>111</v>
      </c>
      <c r="E447" s="101" t="s">
        <v>1213</v>
      </c>
      <c r="F447" s="101" t="s">
        <v>2015</v>
      </c>
      <c r="G447" s="101" t="s">
        <v>2028</v>
      </c>
      <c r="H447" s="101" t="s">
        <v>1235</v>
      </c>
      <c r="I447" s="101" t="s">
        <v>1885</v>
      </c>
      <c r="J447" s="101" t="s">
        <v>1886</v>
      </c>
      <c r="K447" s="100" t="s">
        <v>2029</v>
      </c>
      <c r="L447" s="101" t="n">
        <v>2018</v>
      </c>
      <c r="M447" s="101" t="s">
        <v>1553</v>
      </c>
    </row>
    <row r="448" customFormat="false" ht="15" hidden="false" customHeight="true" outlineLevel="0" collapsed="false">
      <c r="A448" s="101" t="n">
        <v>447</v>
      </c>
      <c r="B448" s="100" t="n">
        <v>101</v>
      </c>
      <c r="C448" s="100" t="s">
        <v>938</v>
      </c>
      <c r="D448" s="101" t="s">
        <v>111</v>
      </c>
      <c r="E448" s="101" t="s">
        <v>1200</v>
      </c>
      <c r="F448" s="101"/>
      <c r="G448" s="101"/>
      <c r="H448" s="101" t="s">
        <v>1251</v>
      </c>
      <c r="I448" s="101" t="s">
        <v>1505</v>
      </c>
      <c r="J448" s="101" t="s">
        <v>1947</v>
      </c>
      <c r="K448" s="100" t="s">
        <v>2030</v>
      </c>
      <c r="L448" s="101" t="n">
        <v>2025</v>
      </c>
      <c r="M448" s="101"/>
    </row>
    <row r="449" customFormat="false" ht="15" hidden="false" customHeight="true" outlineLevel="0" collapsed="false">
      <c r="A449" s="101" t="n">
        <v>448</v>
      </c>
      <c r="B449" s="100" t="n">
        <v>102</v>
      </c>
      <c r="C449" s="100" t="s">
        <v>634</v>
      </c>
      <c r="D449" s="101" t="s">
        <v>111</v>
      </c>
      <c r="E449" s="101" t="s">
        <v>1147</v>
      </c>
      <c r="F449" s="101" t="s">
        <v>1147</v>
      </c>
      <c r="G449" s="101" t="s">
        <v>2031</v>
      </c>
      <c r="H449" s="101" t="s">
        <v>1251</v>
      </c>
      <c r="I449" s="101" t="s">
        <v>1996</v>
      </c>
      <c r="J449" s="101" t="s">
        <v>1997</v>
      </c>
      <c r="K449" s="100" t="s">
        <v>2032</v>
      </c>
      <c r="L449" s="101" t="n">
        <v>2025</v>
      </c>
      <c r="M449" s="101" t="s">
        <v>1561</v>
      </c>
    </row>
    <row r="450" customFormat="false" ht="15" hidden="false" customHeight="true" outlineLevel="0" collapsed="false">
      <c r="A450" s="101" t="n">
        <v>449</v>
      </c>
      <c r="B450" s="100" t="n">
        <v>103</v>
      </c>
      <c r="C450" s="100" t="s">
        <v>633</v>
      </c>
      <c r="D450" s="101" t="s">
        <v>111</v>
      </c>
      <c r="E450" s="101" t="s">
        <v>1171</v>
      </c>
      <c r="F450" s="101" t="s">
        <v>2033</v>
      </c>
      <c r="G450" s="101" t="s">
        <v>2034</v>
      </c>
      <c r="H450" s="101" t="s">
        <v>1251</v>
      </c>
      <c r="I450" s="101" t="s">
        <v>1904</v>
      </c>
      <c r="J450" s="101" t="s">
        <v>1910</v>
      </c>
      <c r="K450" s="100" t="s">
        <v>2035</v>
      </c>
      <c r="L450" s="101" t="n">
        <v>2020</v>
      </c>
      <c r="M450" s="101" t="s">
        <v>1553</v>
      </c>
    </row>
    <row r="451" customFormat="false" ht="15" hidden="false" customHeight="true" outlineLevel="0" collapsed="false">
      <c r="A451" s="101" t="n">
        <v>450</v>
      </c>
      <c r="B451" s="100" t="n">
        <v>104</v>
      </c>
      <c r="C451" s="100" t="s">
        <v>1070</v>
      </c>
      <c r="D451" s="101" t="s">
        <v>111</v>
      </c>
      <c r="E451" s="101" t="s">
        <v>1177</v>
      </c>
      <c r="F451" s="101" t="s">
        <v>1177</v>
      </c>
      <c r="G451" s="101"/>
      <c r="H451" s="101" t="s">
        <v>1251</v>
      </c>
      <c r="I451" s="101" t="s">
        <v>1500</v>
      </c>
      <c r="J451" s="101" t="s">
        <v>1947</v>
      </c>
      <c r="K451" s="100" t="s">
        <v>2036</v>
      </c>
      <c r="L451" s="101" t="n">
        <v>2024</v>
      </c>
      <c r="M451" s="101" t="s">
        <v>1553</v>
      </c>
    </row>
    <row r="452" customFormat="false" ht="15" hidden="false" customHeight="true" outlineLevel="0" collapsed="false">
      <c r="A452" s="101" t="n">
        <v>451</v>
      </c>
      <c r="B452" s="100" t="n">
        <v>105</v>
      </c>
      <c r="C452" s="100" t="s">
        <v>465</v>
      </c>
      <c r="D452" s="101" t="s">
        <v>111</v>
      </c>
      <c r="E452" s="101" t="s">
        <v>1213</v>
      </c>
      <c r="F452" s="101" t="s">
        <v>2015</v>
      </c>
      <c r="G452" s="101" t="s">
        <v>1959</v>
      </c>
      <c r="H452" s="101" t="s">
        <v>1235</v>
      </c>
      <c r="I452" s="101" t="s">
        <v>1885</v>
      </c>
      <c r="J452" s="101" t="s">
        <v>1886</v>
      </c>
      <c r="K452" s="100" t="s">
        <v>2037</v>
      </c>
      <c r="L452" s="101" t="n">
        <v>2018</v>
      </c>
      <c r="M452" s="101" t="s">
        <v>1553</v>
      </c>
    </row>
    <row r="453" customFormat="false" ht="15" hidden="false" customHeight="true" outlineLevel="0" collapsed="false">
      <c r="A453" s="101" t="n">
        <v>452</v>
      </c>
      <c r="B453" s="100" t="n">
        <v>106</v>
      </c>
      <c r="C453" s="100" t="s">
        <v>2038</v>
      </c>
      <c r="D453" s="101" t="s">
        <v>111</v>
      </c>
      <c r="E453" s="101" t="s">
        <v>1182</v>
      </c>
      <c r="F453" s="101" t="s">
        <v>1182</v>
      </c>
      <c r="G453" s="101"/>
      <c r="H453" s="101" t="s">
        <v>1251</v>
      </c>
      <c r="I453" s="101" t="s">
        <v>1885</v>
      </c>
      <c r="J453" s="101" t="s">
        <v>2039</v>
      </c>
      <c r="K453" s="100" t="s">
        <v>2040</v>
      </c>
      <c r="L453" s="101" t="n">
        <v>2012</v>
      </c>
      <c r="M453" s="101" t="s">
        <v>1561</v>
      </c>
    </row>
    <row r="454" customFormat="false" ht="15" hidden="false" customHeight="true" outlineLevel="0" collapsed="false">
      <c r="A454" s="101" t="n">
        <v>453</v>
      </c>
      <c r="B454" s="100" t="n">
        <v>107</v>
      </c>
      <c r="C454" s="100" t="s">
        <v>1062</v>
      </c>
      <c r="D454" s="101" t="s">
        <v>111</v>
      </c>
      <c r="E454" s="101" t="s">
        <v>1214</v>
      </c>
      <c r="F454" s="101" t="s">
        <v>1314</v>
      </c>
      <c r="G454" s="101" t="s">
        <v>1315</v>
      </c>
      <c r="H454" s="101" t="s">
        <v>1251</v>
      </c>
      <c r="I454" s="101" t="s">
        <v>1892</v>
      </c>
      <c r="J454" s="101" t="s">
        <v>2041</v>
      </c>
      <c r="K454" s="100" t="s">
        <v>2042</v>
      </c>
      <c r="L454" s="101" t="n">
        <v>2020</v>
      </c>
      <c r="M454" s="101" t="s">
        <v>1553</v>
      </c>
    </row>
    <row r="455" customFormat="false" ht="15" hidden="false" customHeight="true" outlineLevel="0" collapsed="false">
      <c r="A455" s="101" t="n">
        <v>454</v>
      </c>
      <c r="B455" s="100" t="n">
        <v>108</v>
      </c>
      <c r="C455" s="100" t="s">
        <v>464</v>
      </c>
      <c r="D455" s="101" t="s">
        <v>111</v>
      </c>
      <c r="E455" s="101" t="s">
        <v>1213</v>
      </c>
      <c r="F455" s="101" t="s">
        <v>2015</v>
      </c>
      <c r="G455" s="101" t="s">
        <v>1969</v>
      </c>
      <c r="H455" s="101" t="s">
        <v>1235</v>
      </c>
      <c r="I455" s="101" t="s">
        <v>1885</v>
      </c>
      <c r="J455" s="101" t="s">
        <v>1886</v>
      </c>
      <c r="K455" s="100" t="s">
        <v>2043</v>
      </c>
      <c r="L455" s="101" t="n">
        <v>2018</v>
      </c>
      <c r="M455" s="101" t="s">
        <v>1553</v>
      </c>
    </row>
    <row r="456" customFormat="false" ht="15" hidden="false" customHeight="true" outlineLevel="0" collapsed="false">
      <c r="A456" s="101" t="n">
        <v>455</v>
      </c>
      <c r="B456" s="100" t="n">
        <v>109</v>
      </c>
      <c r="C456" s="100" t="s">
        <v>2044</v>
      </c>
      <c r="D456" s="101" t="s">
        <v>111</v>
      </c>
      <c r="E456" s="101" t="s">
        <v>1184</v>
      </c>
      <c r="F456" s="101" t="s">
        <v>1421</v>
      </c>
      <c r="G456" s="101" t="s">
        <v>1943</v>
      </c>
      <c r="H456" s="101" t="s">
        <v>1251</v>
      </c>
      <c r="I456" s="101" t="s">
        <v>1505</v>
      </c>
      <c r="J456" s="101" t="s">
        <v>1901</v>
      </c>
      <c r="K456" s="100" t="s">
        <v>2045</v>
      </c>
      <c r="L456" s="101" t="n">
        <v>2019</v>
      </c>
      <c r="M456" s="101" t="s">
        <v>1553</v>
      </c>
    </row>
    <row r="457" customFormat="false" ht="15" hidden="false" customHeight="true" outlineLevel="0" collapsed="false">
      <c r="A457" s="101" t="n">
        <v>456</v>
      </c>
      <c r="B457" s="100" t="n">
        <v>110</v>
      </c>
      <c r="C457" s="100" t="s">
        <v>463</v>
      </c>
      <c r="D457" s="101" t="s">
        <v>111</v>
      </c>
      <c r="E457" s="101" t="s">
        <v>1213</v>
      </c>
      <c r="F457" s="101" t="s">
        <v>2015</v>
      </c>
      <c r="G457" s="101" t="s">
        <v>1936</v>
      </c>
      <c r="H457" s="101" t="s">
        <v>1235</v>
      </c>
      <c r="I457" s="101" t="s">
        <v>1885</v>
      </c>
      <c r="J457" s="101" t="s">
        <v>1886</v>
      </c>
      <c r="K457" s="100" t="s">
        <v>2046</v>
      </c>
      <c r="L457" s="101" t="n">
        <v>2018</v>
      </c>
      <c r="M457" s="101" t="s">
        <v>1553</v>
      </c>
    </row>
    <row r="458" customFormat="false" ht="15" hidden="false" customHeight="true" outlineLevel="0" collapsed="false">
      <c r="A458" s="101" t="n">
        <v>457</v>
      </c>
      <c r="B458" s="100" t="n">
        <v>111</v>
      </c>
      <c r="C458" s="100" t="s">
        <v>462</v>
      </c>
      <c r="D458" s="101" t="s">
        <v>111</v>
      </c>
      <c r="E458" s="101" t="s">
        <v>1190</v>
      </c>
      <c r="F458" s="101" t="s">
        <v>1384</v>
      </c>
      <c r="G458" s="101" t="s">
        <v>1581</v>
      </c>
      <c r="H458" s="101" t="s">
        <v>1251</v>
      </c>
      <c r="I458" s="101" t="s">
        <v>1500</v>
      </c>
      <c r="J458" s="101" t="s">
        <v>1848</v>
      </c>
      <c r="K458" s="100" t="s">
        <v>2047</v>
      </c>
      <c r="L458" s="101" t="n">
        <v>2007</v>
      </c>
      <c r="M458" s="101" t="s">
        <v>1553</v>
      </c>
    </row>
    <row r="459" customFormat="false" ht="15" hidden="false" customHeight="true" outlineLevel="0" collapsed="false">
      <c r="A459" s="101" t="n">
        <v>458</v>
      </c>
      <c r="B459" s="100" t="n">
        <v>112</v>
      </c>
      <c r="C459" s="100" t="s">
        <v>786</v>
      </c>
      <c r="D459" s="101" t="s">
        <v>111</v>
      </c>
      <c r="E459" s="101" t="s">
        <v>1195</v>
      </c>
      <c r="F459" s="101" t="s">
        <v>1377</v>
      </c>
      <c r="G459" s="101" t="s">
        <v>1378</v>
      </c>
      <c r="H459" s="101" t="s">
        <v>1251</v>
      </c>
      <c r="I459" s="101" t="s">
        <v>1296</v>
      </c>
      <c r="J459" s="101" t="s">
        <v>2048</v>
      </c>
      <c r="K459" s="100" t="s">
        <v>2049</v>
      </c>
      <c r="L459" s="101" t="n">
        <v>2023</v>
      </c>
      <c r="M459" s="101" t="s">
        <v>1561</v>
      </c>
    </row>
    <row r="460" customFormat="false" ht="15" hidden="false" customHeight="true" outlineLevel="0" collapsed="false">
      <c r="A460" s="101" t="n">
        <v>459</v>
      </c>
      <c r="B460" s="100" t="n">
        <v>113</v>
      </c>
      <c r="C460" s="100" t="s">
        <v>461</v>
      </c>
      <c r="D460" s="101" t="s">
        <v>111</v>
      </c>
      <c r="E460" s="101" t="s">
        <v>1175</v>
      </c>
      <c r="F460" s="101" t="s">
        <v>2050</v>
      </c>
      <c r="G460" s="101"/>
      <c r="H460" s="101" t="s">
        <v>1251</v>
      </c>
      <c r="I460" s="101" t="s">
        <v>1607</v>
      </c>
      <c r="J460" s="101" t="s">
        <v>2051</v>
      </c>
      <c r="K460" s="100" t="s">
        <v>2052</v>
      </c>
      <c r="L460" s="101" t="n">
        <v>2012</v>
      </c>
      <c r="M460" s="101" t="s">
        <v>1553</v>
      </c>
    </row>
    <row r="461" customFormat="false" ht="15" hidden="false" customHeight="true" outlineLevel="0" collapsed="false">
      <c r="A461" s="101" t="n">
        <v>460</v>
      </c>
      <c r="B461" s="100" t="n">
        <v>114</v>
      </c>
      <c r="C461" s="100" t="s">
        <v>460</v>
      </c>
      <c r="D461" s="101" t="s">
        <v>111</v>
      </c>
      <c r="E461" s="101" t="s">
        <v>1175</v>
      </c>
      <c r="F461" s="101" t="s">
        <v>2050</v>
      </c>
      <c r="G461" s="101"/>
      <c r="H461" s="101" t="s">
        <v>1251</v>
      </c>
      <c r="I461" s="101" t="s">
        <v>1607</v>
      </c>
      <c r="J461" s="101" t="s">
        <v>2051</v>
      </c>
      <c r="K461" s="100" t="s">
        <v>2053</v>
      </c>
      <c r="L461" s="101" t="n">
        <v>2012</v>
      </c>
      <c r="M461" s="101" t="s">
        <v>1553</v>
      </c>
    </row>
    <row r="462" customFormat="false" ht="15" hidden="false" customHeight="true" outlineLevel="0" collapsed="false">
      <c r="A462" s="101" t="n">
        <v>461</v>
      </c>
      <c r="B462" s="100" t="n">
        <v>115</v>
      </c>
      <c r="C462" s="100" t="s">
        <v>632</v>
      </c>
      <c r="D462" s="101" t="s">
        <v>111</v>
      </c>
      <c r="E462" s="101" t="s">
        <v>1195</v>
      </c>
      <c r="F462" s="101" t="s">
        <v>1377</v>
      </c>
      <c r="G462" s="101"/>
      <c r="H462" s="101" t="s">
        <v>1251</v>
      </c>
      <c r="I462" s="101" t="s">
        <v>1505</v>
      </c>
      <c r="J462" s="101" t="s">
        <v>1898</v>
      </c>
      <c r="K462" s="100" t="s">
        <v>2054</v>
      </c>
      <c r="L462" s="101" t="n">
        <v>2025</v>
      </c>
      <c r="M462" s="101" t="s">
        <v>1553</v>
      </c>
    </row>
    <row r="463" customFormat="false" ht="15" hidden="false" customHeight="true" outlineLevel="0" collapsed="false">
      <c r="A463" s="101" t="n">
        <v>462</v>
      </c>
      <c r="B463" s="100" t="n">
        <v>116</v>
      </c>
      <c r="C463" s="100" t="s">
        <v>1027</v>
      </c>
      <c r="D463" s="101" t="s">
        <v>2055</v>
      </c>
      <c r="E463" s="101" t="s">
        <v>1175</v>
      </c>
      <c r="F463" s="101" t="s">
        <v>1233</v>
      </c>
      <c r="G463" s="101"/>
      <c r="H463" s="101" t="s">
        <v>1251</v>
      </c>
      <c r="I463" s="101" t="s">
        <v>2056</v>
      </c>
      <c r="J463" s="101" t="s">
        <v>2057</v>
      </c>
      <c r="K463" s="100" t="s">
        <v>2058</v>
      </c>
      <c r="L463" s="101" t="n">
        <v>2020</v>
      </c>
      <c r="M463" s="101" t="s">
        <v>1561</v>
      </c>
    </row>
    <row r="464" customFormat="false" ht="15" hidden="false" customHeight="true" outlineLevel="0" collapsed="false">
      <c r="A464" s="101" t="n">
        <v>463</v>
      </c>
      <c r="B464" s="100" t="n">
        <v>117</v>
      </c>
      <c r="C464" s="100" t="s">
        <v>1026</v>
      </c>
      <c r="D464" s="101" t="s">
        <v>2055</v>
      </c>
      <c r="E464" s="101" t="s">
        <v>1175</v>
      </c>
      <c r="F464" s="101" t="s">
        <v>1233</v>
      </c>
      <c r="G464" s="101"/>
      <c r="H464" s="101" t="s">
        <v>1251</v>
      </c>
      <c r="I464" s="101" t="s">
        <v>2056</v>
      </c>
      <c r="J464" s="101" t="s">
        <v>2057</v>
      </c>
      <c r="K464" s="100" t="s">
        <v>2059</v>
      </c>
      <c r="L464" s="101" t="n">
        <v>2020</v>
      </c>
      <c r="M464" s="101" t="s">
        <v>1561</v>
      </c>
    </row>
    <row r="465" customFormat="false" ht="15" hidden="false" customHeight="true" outlineLevel="0" collapsed="false">
      <c r="A465" s="101" t="n">
        <v>464</v>
      </c>
      <c r="B465" s="100" t="n">
        <v>118</v>
      </c>
      <c r="C465" s="100" t="s">
        <v>631</v>
      </c>
      <c r="D465" s="101" t="s">
        <v>111</v>
      </c>
      <c r="E465" s="101" t="s">
        <v>1180</v>
      </c>
      <c r="F465" s="101" t="s">
        <v>1472</v>
      </c>
      <c r="G465" s="101" t="s">
        <v>2060</v>
      </c>
      <c r="H465" s="101" t="s">
        <v>1251</v>
      </c>
      <c r="I465" s="101" t="s">
        <v>1505</v>
      </c>
      <c r="J465" s="101" t="s">
        <v>1898</v>
      </c>
      <c r="K465" s="100" t="s">
        <v>2061</v>
      </c>
      <c r="L465" s="101" t="n">
        <v>2020</v>
      </c>
      <c r="M465" s="101" t="s">
        <v>1553</v>
      </c>
    </row>
    <row r="466" customFormat="false" ht="15" hidden="false" customHeight="true" outlineLevel="0" collapsed="false">
      <c r="A466" s="101" t="n">
        <v>465</v>
      </c>
      <c r="B466" s="100" t="n">
        <v>119</v>
      </c>
      <c r="C466" s="100" t="s">
        <v>630</v>
      </c>
      <c r="D466" s="101" t="s">
        <v>111</v>
      </c>
      <c r="E466" s="101" t="s">
        <v>1180</v>
      </c>
      <c r="F466" s="101" t="s">
        <v>1472</v>
      </c>
      <c r="G466" s="101" t="s">
        <v>2062</v>
      </c>
      <c r="H466" s="101" t="s">
        <v>1251</v>
      </c>
      <c r="I466" s="101" t="s">
        <v>1505</v>
      </c>
      <c r="J466" s="101" t="s">
        <v>1898</v>
      </c>
      <c r="K466" s="100" t="s">
        <v>2063</v>
      </c>
      <c r="L466" s="101" t="n">
        <v>2020</v>
      </c>
      <c r="M466" s="101" t="s">
        <v>1553</v>
      </c>
    </row>
    <row r="467" customFormat="false" ht="15" hidden="false" customHeight="true" outlineLevel="0" collapsed="false">
      <c r="A467" s="101" t="n">
        <v>466</v>
      </c>
      <c r="B467" s="100" t="n">
        <v>120</v>
      </c>
      <c r="C467" s="100" t="s">
        <v>629</v>
      </c>
      <c r="D467" s="101" t="s">
        <v>111</v>
      </c>
      <c r="E467" s="101" t="s">
        <v>1180</v>
      </c>
      <c r="F467" s="101" t="s">
        <v>1472</v>
      </c>
      <c r="G467" s="101" t="s">
        <v>2064</v>
      </c>
      <c r="H467" s="101" t="s">
        <v>1251</v>
      </c>
      <c r="I467" s="101" t="s">
        <v>1505</v>
      </c>
      <c r="J467" s="101" t="s">
        <v>1898</v>
      </c>
      <c r="K467" s="100" t="s">
        <v>2065</v>
      </c>
      <c r="L467" s="101" t="n">
        <v>2020</v>
      </c>
      <c r="M467" s="101" t="s">
        <v>1553</v>
      </c>
    </row>
    <row r="468" customFormat="false" ht="15" hidden="false" customHeight="true" outlineLevel="0" collapsed="false">
      <c r="A468" s="101" t="n">
        <v>467</v>
      </c>
      <c r="B468" s="100" t="n">
        <v>121</v>
      </c>
      <c r="C468" s="100" t="s">
        <v>628</v>
      </c>
      <c r="D468" s="101" t="s">
        <v>111</v>
      </c>
      <c r="E468" s="101" t="s">
        <v>1180</v>
      </c>
      <c r="F468" s="101" t="s">
        <v>1472</v>
      </c>
      <c r="G468" s="101" t="s">
        <v>2066</v>
      </c>
      <c r="H468" s="101" t="s">
        <v>1251</v>
      </c>
      <c r="I468" s="101" t="s">
        <v>1505</v>
      </c>
      <c r="J468" s="101" t="s">
        <v>1898</v>
      </c>
      <c r="K468" s="100" t="s">
        <v>2067</v>
      </c>
      <c r="L468" s="101" t="n">
        <v>2020</v>
      </c>
      <c r="M468" s="101" t="s">
        <v>1553</v>
      </c>
    </row>
    <row r="469" customFormat="false" ht="15" hidden="false" customHeight="true" outlineLevel="0" collapsed="false">
      <c r="A469" s="101" t="n">
        <v>468</v>
      </c>
      <c r="B469" s="100" t="n">
        <v>122</v>
      </c>
      <c r="C469" s="100" t="s">
        <v>626</v>
      </c>
      <c r="D469" s="101" t="s">
        <v>111</v>
      </c>
      <c r="E469" s="101" t="s">
        <v>1181</v>
      </c>
      <c r="F469" s="101" t="s">
        <v>1472</v>
      </c>
      <c r="G469" s="101" t="s">
        <v>2068</v>
      </c>
      <c r="H469" s="101" t="s">
        <v>1251</v>
      </c>
      <c r="I469" s="101" t="s">
        <v>1505</v>
      </c>
      <c r="J469" s="101" t="s">
        <v>1898</v>
      </c>
      <c r="K469" s="100" t="s">
        <v>2069</v>
      </c>
      <c r="L469" s="101" t="n">
        <v>2020</v>
      </c>
      <c r="M469" s="101" t="s">
        <v>1553</v>
      </c>
    </row>
    <row r="470" customFormat="false" ht="15" hidden="false" customHeight="true" outlineLevel="0" collapsed="false">
      <c r="A470" s="101" t="n">
        <v>469</v>
      </c>
      <c r="B470" s="100" t="n">
        <v>123</v>
      </c>
      <c r="C470" s="100" t="s">
        <v>625</v>
      </c>
      <c r="D470" s="101" t="s">
        <v>111</v>
      </c>
      <c r="E470" s="101" t="s">
        <v>1180</v>
      </c>
      <c r="F470" s="101" t="s">
        <v>1472</v>
      </c>
      <c r="G470" s="101" t="s">
        <v>2070</v>
      </c>
      <c r="H470" s="101" t="s">
        <v>1251</v>
      </c>
      <c r="I470" s="101" t="s">
        <v>1505</v>
      </c>
      <c r="J470" s="101" t="s">
        <v>1898</v>
      </c>
      <c r="K470" s="100" t="s">
        <v>2071</v>
      </c>
      <c r="L470" s="101" t="n">
        <v>2020</v>
      </c>
      <c r="M470" s="101" t="s">
        <v>1553</v>
      </c>
    </row>
    <row r="471" customFormat="false" ht="15" hidden="false" customHeight="true" outlineLevel="0" collapsed="false">
      <c r="A471" s="101" t="n">
        <v>470</v>
      </c>
      <c r="B471" s="100" t="n">
        <v>124</v>
      </c>
      <c r="C471" s="100" t="s">
        <v>624</v>
      </c>
      <c r="D471" s="101" t="s">
        <v>111</v>
      </c>
      <c r="E471" s="101" t="s">
        <v>1180</v>
      </c>
      <c r="F471" s="101" t="s">
        <v>1472</v>
      </c>
      <c r="G471" s="101" t="s">
        <v>2072</v>
      </c>
      <c r="H471" s="101" t="s">
        <v>1251</v>
      </c>
      <c r="I471" s="101" t="s">
        <v>1505</v>
      </c>
      <c r="J471" s="101" t="s">
        <v>1898</v>
      </c>
      <c r="K471" s="100" t="s">
        <v>2073</v>
      </c>
      <c r="L471" s="101" t="n">
        <v>2020</v>
      </c>
      <c r="M471" s="101" t="s">
        <v>1553</v>
      </c>
    </row>
    <row r="472" customFormat="false" ht="15" hidden="false" customHeight="true" outlineLevel="0" collapsed="false">
      <c r="A472" s="101" t="n">
        <v>471</v>
      </c>
      <c r="B472" s="100" t="n">
        <v>125</v>
      </c>
      <c r="C472" s="100" t="s">
        <v>623</v>
      </c>
      <c r="D472" s="101" t="s">
        <v>111</v>
      </c>
      <c r="E472" s="101" t="s">
        <v>1180</v>
      </c>
      <c r="F472" s="101" t="s">
        <v>1472</v>
      </c>
      <c r="G472" s="101" t="s">
        <v>2074</v>
      </c>
      <c r="H472" s="101" t="s">
        <v>1251</v>
      </c>
      <c r="I472" s="101" t="s">
        <v>1505</v>
      </c>
      <c r="J472" s="101" t="s">
        <v>1898</v>
      </c>
      <c r="K472" s="100" t="s">
        <v>2075</v>
      </c>
      <c r="L472" s="101" t="n">
        <v>2020</v>
      </c>
      <c r="M472" s="101" t="s">
        <v>1553</v>
      </c>
    </row>
    <row r="473" customFormat="false" ht="15" hidden="false" customHeight="true" outlineLevel="0" collapsed="false">
      <c r="A473" s="101" t="n">
        <v>472</v>
      </c>
      <c r="B473" s="100" t="n">
        <v>126</v>
      </c>
      <c r="C473" s="100" t="s">
        <v>622</v>
      </c>
      <c r="D473" s="101" t="s">
        <v>111</v>
      </c>
      <c r="E473" s="101" t="s">
        <v>1180</v>
      </c>
      <c r="F473" s="101" t="s">
        <v>1472</v>
      </c>
      <c r="G473" s="101" t="s">
        <v>2076</v>
      </c>
      <c r="H473" s="101" t="s">
        <v>1251</v>
      </c>
      <c r="I473" s="101" t="s">
        <v>1505</v>
      </c>
      <c r="J473" s="101" t="s">
        <v>1898</v>
      </c>
      <c r="K473" s="100" t="s">
        <v>2077</v>
      </c>
      <c r="L473" s="101" t="n">
        <v>2020</v>
      </c>
      <c r="M473" s="101" t="s">
        <v>1553</v>
      </c>
    </row>
    <row r="474" customFormat="false" ht="15" hidden="false" customHeight="true" outlineLevel="0" collapsed="false">
      <c r="A474" s="101" t="n">
        <v>473</v>
      </c>
      <c r="B474" s="100" t="n">
        <v>127</v>
      </c>
      <c r="C474" s="100" t="s">
        <v>459</v>
      </c>
      <c r="D474" s="101" t="s">
        <v>111</v>
      </c>
      <c r="E474" s="101" t="s">
        <v>1175</v>
      </c>
      <c r="F474" s="101" t="s">
        <v>2050</v>
      </c>
      <c r="G474" s="101"/>
      <c r="H474" s="101" t="s">
        <v>1251</v>
      </c>
      <c r="I474" s="101" t="s">
        <v>1892</v>
      </c>
      <c r="J474" s="101" t="s">
        <v>1916</v>
      </c>
      <c r="K474" s="100" t="s">
        <v>2078</v>
      </c>
      <c r="L474" s="101" t="n">
        <v>2011</v>
      </c>
      <c r="M474" s="101" t="s">
        <v>1561</v>
      </c>
    </row>
    <row r="475" customFormat="false" ht="15" hidden="false" customHeight="true" outlineLevel="0" collapsed="false">
      <c r="A475" s="101" t="n">
        <v>474</v>
      </c>
      <c r="B475" s="100" t="n">
        <v>128</v>
      </c>
      <c r="C475" s="100" t="s">
        <v>458</v>
      </c>
      <c r="D475" s="101" t="s">
        <v>111</v>
      </c>
      <c r="E475" s="101" t="s">
        <v>1175</v>
      </c>
      <c r="F475" s="101" t="s">
        <v>2050</v>
      </c>
      <c r="G475" s="101"/>
      <c r="H475" s="101" t="s">
        <v>1251</v>
      </c>
      <c r="I475" s="101" t="s">
        <v>1892</v>
      </c>
      <c r="J475" s="101" t="s">
        <v>1955</v>
      </c>
      <c r="K475" s="100" t="s">
        <v>2079</v>
      </c>
      <c r="L475" s="101" t="n">
        <v>2009</v>
      </c>
      <c r="M475" s="101" t="s">
        <v>1553</v>
      </c>
    </row>
    <row r="476" customFormat="false" ht="15" hidden="false" customHeight="true" outlineLevel="0" collapsed="false">
      <c r="A476" s="101" t="n">
        <v>475</v>
      </c>
      <c r="B476" s="100" t="n">
        <v>129</v>
      </c>
      <c r="C476" s="100" t="s">
        <v>457</v>
      </c>
      <c r="D476" s="101" t="s">
        <v>111</v>
      </c>
      <c r="E476" s="101" t="s">
        <v>1175</v>
      </c>
      <c r="F476" s="101" t="s">
        <v>2050</v>
      </c>
      <c r="G476" s="101"/>
      <c r="H476" s="101" t="s">
        <v>1251</v>
      </c>
      <c r="I476" s="101" t="s">
        <v>1892</v>
      </c>
      <c r="J476" s="101" t="s">
        <v>1955</v>
      </c>
      <c r="K476" s="100" t="s">
        <v>2080</v>
      </c>
      <c r="L476" s="101" t="n">
        <v>2009</v>
      </c>
      <c r="M476" s="101" t="s">
        <v>1553</v>
      </c>
    </row>
    <row r="477" customFormat="false" ht="15" hidden="false" customHeight="true" outlineLevel="0" collapsed="false">
      <c r="A477" s="101" t="n">
        <v>476</v>
      </c>
      <c r="B477" s="100" t="n">
        <v>130</v>
      </c>
      <c r="C477" s="100" t="s">
        <v>456</v>
      </c>
      <c r="D477" s="101" t="s">
        <v>111</v>
      </c>
      <c r="E477" s="101" t="s">
        <v>1175</v>
      </c>
      <c r="F477" s="101" t="s">
        <v>2050</v>
      </c>
      <c r="G477" s="101"/>
      <c r="H477" s="101" t="s">
        <v>1251</v>
      </c>
      <c r="I477" s="101" t="s">
        <v>1892</v>
      </c>
      <c r="J477" s="101" t="s">
        <v>1955</v>
      </c>
      <c r="K477" s="100" t="s">
        <v>2081</v>
      </c>
      <c r="L477" s="101" t="n">
        <v>2009</v>
      </c>
      <c r="M477" s="101" t="s">
        <v>1553</v>
      </c>
    </row>
    <row r="478" customFormat="false" ht="15" hidden="false" customHeight="true" outlineLevel="0" collapsed="false">
      <c r="A478" s="101" t="n">
        <v>477</v>
      </c>
      <c r="B478" s="100" t="n">
        <v>131</v>
      </c>
      <c r="C478" s="100" t="s">
        <v>455</v>
      </c>
      <c r="D478" s="101" t="s">
        <v>111</v>
      </c>
      <c r="E478" s="101" t="s">
        <v>1175</v>
      </c>
      <c r="F478" s="101" t="s">
        <v>2050</v>
      </c>
      <c r="G478" s="101"/>
      <c r="H478" s="101" t="s">
        <v>1251</v>
      </c>
      <c r="I478" s="101" t="s">
        <v>1892</v>
      </c>
      <c r="J478" s="101" t="s">
        <v>1955</v>
      </c>
      <c r="K478" s="100" t="s">
        <v>2082</v>
      </c>
      <c r="L478" s="101" t="n">
        <v>2009</v>
      </c>
      <c r="M478" s="101" t="s">
        <v>1553</v>
      </c>
    </row>
    <row r="479" customFormat="false" ht="15" hidden="false" customHeight="true" outlineLevel="0" collapsed="false">
      <c r="A479" s="101" t="n">
        <v>478</v>
      </c>
      <c r="B479" s="100" t="n">
        <v>132</v>
      </c>
      <c r="C479" s="100" t="s">
        <v>454</v>
      </c>
      <c r="D479" s="101" t="s">
        <v>111</v>
      </c>
      <c r="E479" s="101" t="s">
        <v>1213</v>
      </c>
      <c r="F479" s="101" t="s">
        <v>1468</v>
      </c>
      <c r="G479" s="101" t="s">
        <v>1711</v>
      </c>
      <c r="H479" s="101" t="s">
        <v>1251</v>
      </c>
      <c r="I479" s="101" t="s">
        <v>1500</v>
      </c>
      <c r="J479" s="101" t="s">
        <v>1848</v>
      </c>
      <c r="K479" s="100" t="s">
        <v>2083</v>
      </c>
      <c r="L479" s="101" t="n">
        <v>2012</v>
      </c>
      <c r="M479" s="101" t="s">
        <v>1553</v>
      </c>
    </row>
    <row r="480" customFormat="false" ht="15" hidden="false" customHeight="true" outlineLevel="0" collapsed="false">
      <c r="A480" s="101" t="n">
        <v>479</v>
      </c>
      <c r="B480" s="100" t="n">
        <v>133</v>
      </c>
      <c r="C480" s="100" t="s">
        <v>453</v>
      </c>
      <c r="D480" s="101" t="s">
        <v>111</v>
      </c>
      <c r="E480" s="101" t="s">
        <v>1190</v>
      </c>
      <c r="F480" s="101" t="s">
        <v>1384</v>
      </c>
      <c r="G480" s="101" t="s">
        <v>1581</v>
      </c>
      <c r="H480" s="101" t="s">
        <v>1251</v>
      </c>
      <c r="I480" s="101" t="s">
        <v>1500</v>
      </c>
      <c r="J480" s="101" t="s">
        <v>1848</v>
      </c>
      <c r="K480" s="100" t="s">
        <v>2084</v>
      </c>
      <c r="L480" s="101" t="n">
        <v>2012</v>
      </c>
      <c r="M480" s="101" t="s">
        <v>1553</v>
      </c>
    </row>
    <row r="481" customFormat="false" ht="15" hidden="false" customHeight="true" outlineLevel="0" collapsed="false">
      <c r="A481" s="101" t="n">
        <v>480</v>
      </c>
      <c r="B481" s="100" t="n">
        <v>134</v>
      </c>
      <c r="C481" s="100" t="s">
        <v>452</v>
      </c>
      <c r="D481" s="101" t="s">
        <v>111</v>
      </c>
      <c r="E481" s="101" t="s">
        <v>1175</v>
      </c>
      <c r="F481" s="101" t="s">
        <v>2050</v>
      </c>
      <c r="G481" s="101"/>
      <c r="H481" s="101" t="s">
        <v>1251</v>
      </c>
      <c r="I481" s="101" t="s">
        <v>1892</v>
      </c>
      <c r="J481" s="101" t="s">
        <v>1955</v>
      </c>
      <c r="K481" s="100" t="s">
        <v>2085</v>
      </c>
      <c r="L481" s="101" t="n">
        <v>2009</v>
      </c>
      <c r="M481" s="101" t="s">
        <v>1553</v>
      </c>
    </row>
    <row r="482" customFormat="false" ht="15" hidden="false" customHeight="true" outlineLevel="0" collapsed="false">
      <c r="A482" s="101" t="n">
        <v>481</v>
      </c>
      <c r="B482" s="100" t="n">
        <v>135</v>
      </c>
      <c r="C482" s="100" t="s">
        <v>451</v>
      </c>
      <c r="D482" s="101" t="s">
        <v>111</v>
      </c>
      <c r="E482" s="101" t="s">
        <v>1175</v>
      </c>
      <c r="F482" s="101" t="s">
        <v>2050</v>
      </c>
      <c r="G482" s="101"/>
      <c r="H482" s="101" t="s">
        <v>1251</v>
      </c>
      <c r="I482" s="101" t="s">
        <v>1892</v>
      </c>
      <c r="J482" s="101" t="s">
        <v>1916</v>
      </c>
      <c r="K482" s="100" t="s">
        <v>2086</v>
      </c>
      <c r="L482" s="101" t="n">
        <v>2011</v>
      </c>
      <c r="M482" s="101" t="s">
        <v>1561</v>
      </c>
    </row>
    <row r="483" customFormat="false" ht="15" hidden="false" customHeight="true" outlineLevel="0" collapsed="false">
      <c r="A483" s="101" t="n">
        <v>482</v>
      </c>
      <c r="B483" s="100" t="n">
        <v>136</v>
      </c>
      <c r="C483" s="100" t="s">
        <v>450</v>
      </c>
      <c r="D483" s="101" t="s">
        <v>111</v>
      </c>
      <c r="E483" s="101" t="s">
        <v>1190</v>
      </c>
      <c r="F483" s="101" t="s">
        <v>1384</v>
      </c>
      <c r="G483" s="101" t="s">
        <v>1581</v>
      </c>
      <c r="H483" s="101" t="s">
        <v>1251</v>
      </c>
      <c r="I483" s="101" t="s">
        <v>1500</v>
      </c>
      <c r="J483" s="101" t="s">
        <v>1848</v>
      </c>
      <c r="K483" s="100" t="s">
        <v>2087</v>
      </c>
      <c r="L483" s="101" t="n">
        <v>2007</v>
      </c>
      <c r="M483" s="101" t="s">
        <v>1553</v>
      </c>
    </row>
    <row r="484" customFormat="false" ht="15" hidden="false" customHeight="true" outlineLevel="0" collapsed="false">
      <c r="A484" s="101" t="n">
        <v>483</v>
      </c>
      <c r="B484" s="100" t="n">
        <v>137</v>
      </c>
      <c r="C484" s="100" t="s">
        <v>449</v>
      </c>
      <c r="D484" s="101" t="s">
        <v>111</v>
      </c>
      <c r="E484" s="101" t="s">
        <v>1175</v>
      </c>
      <c r="F484" s="101" t="s">
        <v>2050</v>
      </c>
      <c r="G484" s="101"/>
      <c r="H484" s="101" t="s">
        <v>1251</v>
      </c>
      <c r="I484" s="101" t="s">
        <v>1892</v>
      </c>
      <c r="J484" s="101" t="s">
        <v>1955</v>
      </c>
      <c r="K484" s="100" t="s">
        <v>2088</v>
      </c>
      <c r="L484" s="101" t="n">
        <v>2007</v>
      </c>
      <c r="M484" s="101" t="s">
        <v>1553</v>
      </c>
    </row>
    <row r="485" customFormat="false" ht="15" hidden="false" customHeight="true" outlineLevel="0" collapsed="false">
      <c r="A485" s="101" t="n">
        <v>484</v>
      </c>
      <c r="B485" s="100" t="n">
        <v>138</v>
      </c>
      <c r="C485" s="100" t="s">
        <v>448</v>
      </c>
      <c r="D485" s="101" t="s">
        <v>111</v>
      </c>
      <c r="E485" s="101" t="s">
        <v>1190</v>
      </c>
      <c r="F485" s="101" t="s">
        <v>1384</v>
      </c>
      <c r="G485" s="101" t="s">
        <v>1581</v>
      </c>
      <c r="H485" s="101" t="s">
        <v>1251</v>
      </c>
      <c r="I485" s="101" t="s">
        <v>1500</v>
      </c>
      <c r="J485" s="101" t="s">
        <v>1848</v>
      </c>
      <c r="K485" s="100" t="s">
        <v>2089</v>
      </c>
      <c r="L485" s="101" t="n">
        <v>2012</v>
      </c>
      <c r="M485" s="101" t="s">
        <v>1553</v>
      </c>
    </row>
    <row r="486" customFormat="false" ht="15" hidden="false" customHeight="true" outlineLevel="0" collapsed="false">
      <c r="A486" s="101" t="n">
        <v>485</v>
      </c>
      <c r="B486" s="100" t="n">
        <v>139</v>
      </c>
      <c r="C486" s="100" t="s">
        <v>447</v>
      </c>
      <c r="D486" s="101" t="s">
        <v>111</v>
      </c>
      <c r="E486" s="101" t="s">
        <v>1190</v>
      </c>
      <c r="F486" s="101" t="s">
        <v>1384</v>
      </c>
      <c r="G486" s="101" t="s">
        <v>1581</v>
      </c>
      <c r="H486" s="101" t="s">
        <v>1251</v>
      </c>
      <c r="I486" s="101" t="s">
        <v>1892</v>
      </c>
      <c r="J486" s="101" t="s">
        <v>1916</v>
      </c>
      <c r="K486" s="100" t="s">
        <v>2090</v>
      </c>
      <c r="L486" s="101" t="n">
        <v>2011</v>
      </c>
      <c r="M486" s="101" t="s">
        <v>1561</v>
      </c>
    </row>
    <row r="487" customFormat="false" ht="15" hidden="false" customHeight="true" outlineLevel="0" collapsed="false">
      <c r="A487" s="101" t="n">
        <v>486</v>
      </c>
      <c r="B487" s="100" t="n">
        <v>140</v>
      </c>
      <c r="C487" s="100" t="s">
        <v>446</v>
      </c>
      <c r="D487" s="101" t="s">
        <v>111</v>
      </c>
      <c r="E487" s="101" t="s">
        <v>1190</v>
      </c>
      <c r="F487" s="101" t="s">
        <v>1384</v>
      </c>
      <c r="G487" s="101" t="s">
        <v>1957</v>
      </c>
      <c r="H487" s="101" t="s">
        <v>1251</v>
      </c>
      <c r="I487" s="101" t="s">
        <v>1892</v>
      </c>
      <c r="J487" s="101" t="s">
        <v>1916</v>
      </c>
      <c r="K487" s="100" t="s">
        <v>2091</v>
      </c>
      <c r="L487" s="101" t="n">
        <v>2011</v>
      </c>
      <c r="M487" s="101" t="s">
        <v>1561</v>
      </c>
    </row>
    <row r="488" customFormat="false" ht="15" hidden="false" customHeight="true" outlineLevel="0" collapsed="false">
      <c r="A488" s="101" t="n">
        <v>487</v>
      </c>
      <c r="B488" s="100" t="n">
        <v>141</v>
      </c>
      <c r="C488" s="100" t="s">
        <v>937</v>
      </c>
      <c r="D488" s="101" t="s">
        <v>111</v>
      </c>
      <c r="E488" s="101" t="s">
        <v>1184</v>
      </c>
      <c r="F488" s="101" t="s">
        <v>1421</v>
      </c>
      <c r="G488" s="101" t="s">
        <v>2092</v>
      </c>
      <c r="H488" s="101" t="s">
        <v>1251</v>
      </c>
      <c r="I488" s="101" t="s">
        <v>1500</v>
      </c>
      <c r="J488" s="101" t="s">
        <v>1852</v>
      </c>
      <c r="K488" s="100" t="s">
        <v>2093</v>
      </c>
      <c r="L488" s="101" t="n">
        <v>2012</v>
      </c>
      <c r="M488" s="101" t="s">
        <v>1553</v>
      </c>
    </row>
    <row r="489" customFormat="false" ht="15" hidden="false" customHeight="true" outlineLevel="0" collapsed="false">
      <c r="A489" s="101" t="n">
        <v>488</v>
      </c>
      <c r="B489" s="100" t="n">
        <v>142</v>
      </c>
      <c r="C489" s="100" t="s">
        <v>785</v>
      </c>
      <c r="D489" s="101" t="s">
        <v>111</v>
      </c>
      <c r="E489" s="101" t="s">
        <v>1201</v>
      </c>
      <c r="F489" s="101" t="s">
        <v>1201</v>
      </c>
      <c r="G489" s="101" t="s">
        <v>1362</v>
      </c>
      <c r="H489" s="101" t="s">
        <v>1251</v>
      </c>
      <c r="I489" s="101" t="s">
        <v>1892</v>
      </c>
      <c r="J489" s="101" t="s">
        <v>1955</v>
      </c>
      <c r="K489" s="100" t="s">
        <v>2094</v>
      </c>
      <c r="L489" s="101" t="n">
        <v>2009</v>
      </c>
      <c r="M489" s="101" t="s">
        <v>1553</v>
      </c>
    </row>
    <row r="490" customFormat="false" ht="15" hidden="false" customHeight="true" outlineLevel="0" collapsed="false">
      <c r="A490" s="101" t="n">
        <v>489</v>
      </c>
      <c r="B490" s="100" t="n">
        <v>143</v>
      </c>
      <c r="C490" s="100" t="s">
        <v>784</v>
      </c>
      <c r="D490" s="101" t="s">
        <v>111</v>
      </c>
      <c r="E490" s="101" t="s">
        <v>1201</v>
      </c>
      <c r="F490" s="101" t="s">
        <v>1201</v>
      </c>
      <c r="G490" s="101" t="s">
        <v>1250</v>
      </c>
      <c r="H490" s="101" t="s">
        <v>1251</v>
      </c>
      <c r="I490" s="101" t="s">
        <v>1892</v>
      </c>
      <c r="J490" s="101" t="s">
        <v>1955</v>
      </c>
      <c r="K490" s="100" t="s">
        <v>2095</v>
      </c>
      <c r="L490" s="101" t="n">
        <v>2009</v>
      </c>
      <c r="M490" s="101" t="s">
        <v>1553</v>
      </c>
    </row>
    <row r="491" customFormat="false" ht="15" hidden="false" customHeight="true" outlineLevel="0" collapsed="false">
      <c r="A491" s="101" t="n">
        <v>490</v>
      </c>
      <c r="B491" s="100" t="n">
        <v>144</v>
      </c>
      <c r="C491" s="100" t="s">
        <v>783</v>
      </c>
      <c r="D491" s="101" t="s">
        <v>111</v>
      </c>
      <c r="E491" s="101" t="s">
        <v>1160</v>
      </c>
      <c r="F491" s="101" t="s">
        <v>1160</v>
      </c>
      <c r="G491" s="101" t="s">
        <v>2096</v>
      </c>
      <c r="H491" s="101" t="s">
        <v>1251</v>
      </c>
      <c r="I491" s="101" t="s">
        <v>1892</v>
      </c>
      <c r="J491" s="101" t="s">
        <v>1955</v>
      </c>
      <c r="K491" s="100" t="s">
        <v>2097</v>
      </c>
      <c r="L491" s="101" t="n">
        <v>2009</v>
      </c>
      <c r="M491" s="101" t="s">
        <v>1553</v>
      </c>
    </row>
    <row r="492" customFormat="false" ht="15" hidden="false" customHeight="true" outlineLevel="0" collapsed="false">
      <c r="A492" s="101" t="n">
        <v>491</v>
      </c>
      <c r="B492" s="100" t="n">
        <v>145</v>
      </c>
      <c r="C492" s="100" t="s">
        <v>782</v>
      </c>
      <c r="D492" s="101" t="s">
        <v>111</v>
      </c>
      <c r="E492" s="101" t="s">
        <v>1160</v>
      </c>
      <c r="F492" s="101" t="s">
        <v>1160</v>
      </c>
      <c r="G492" s="101" t="s">
        <v>2098</v>
      </c>
      <c r="H492" s="101" t="s">
        <v>1251</v>
      </c>
      <c r="I492" s="101" t="s">
        <v>2099</v>
      </c>
      <c r="J492" s="101" t="s">
        <v>2100</v>
      </c>
      <c r="K492" s="100" t="s">
        <v>2101</v>
      </c>
      <c r="L492" s="101" t="n">
        <v>2012</v>
      </c>
      <c r="M492" s="101" t="s">
        <v>1561</v>
      </c>
    </row>
    <row r="493" customFormat="false" ht="15" hidden="false" customHeight="true" outlineLevel="0" collapsed="false">
      <c r="A493" s="101" t="n">
        <v>492</v>
      </c>
      <c r="B493" s="100" t="n">
        <v>146</v>
      </c>
      <c r="C493" s="100" t="s">
        <v>781</v>
      </c>
      <c r="D493" s="101" t="s">
        <v>111</v>
      </c>
      <c r="E493" s="101" t="s">
        <v>1160</v>
      </c>
      <c r="F493" s="101" t="s">
        <v>1160</v>
      </c>
      <c r="G493" s="101" t="s">
        <v>2102</v>
      </c>
      <c r="H493" s="101" t="s">
        <v>1251</v>
      </c>
      <c r="I493" s="101" t="s">
        <v>1892</v>
      </c>
      <c r="J493" s="101" t="s">
        <v>1955</v>
      </c>
      <c r="K493" s="100" t="s">
        <v>2103</v>
      </c>
      <c r="L493" s="101" t="n">
        <v>2009</v>
      </c>
      <c r="M493" s="101" t="s">
        <v>1553</v>
      </c>
    </row>
    <row r="494" customFormat="false" ht="15" hidden="false" customHeight="true" outlineLevel="0" collapsed="false">
      <c r="A494" s="101" t="n">
        <v>493</v>
      </c>
      <c r="B494" s="100" t="n">
        <v>147</v>
      </c>
      <c r="C494" s="100" t="s">
        <v>780</v>
      </c>
      <c r="D494" s="101" t="s">
        <v>111</v>
      </c>
      <c r="E494" s="101" t="s">
        <v>1160</v>
      </c>
      <c r="F494" s="101" t="s">
        <v>1160</v>
      </c>
      <c r="G494" s="101" t="s">
        <v>2104</v>
      </c>
      <c r="H494" s="101" t="s">
        <v>1251</v>
      </c>
      <c r="I494" s="101" t="s">
        <v>1892</v>
      </c>
      <c r="J494" s="101" t="s">
        <v>1955</v>
      </c>
      <c r="K494" s="100" t="s">
        <v>2105</v>
      </c>
      <c r="L494" s="101" t="n">
        <v>2009</v>
      </c>
      <c r="M494" s="101" t="s">
        <v>1553</v>
      </c>
    </row>
    <row r="495" customFormat="false" ht="15" hidden="false" customHeight="true" outlineLevel="0" collapsed="false">
      <c r="A495" s="101" t="n">
        <v>494</v>
      </c>
      <c r="B495" s="100" t="n">
        <v>148</v>
      </c>
      <c r="C495" s="100" t="s">
        <v>779</v>
      </c>
      <c r="D495" s="101" t="s">
        <v>111</v>
      </c>
      <c r="E495" s="101" t="s">
        <v>1160</v>
      </c>
      <c r="F495" s="101" t="s">
        <v>1160</v>
      </c>
      <c r="G495" s="101" t="s">
        <v>2106</v>
      </c>
      <c r="H495" s="101" t="s">
        <v>1251</v>
      </c>
      <c r="I495" s="101" t="s">
        <v>1892</v>
      </c>
      <c r="J495" s="101" t="s">
        <v>1955</v>
      </c>
      <c r="K495" s="100" t="s">
        <v>2107</v>
      </c>
      <c r="L495" s="101" t="n">
        <v>2009</v>
      </c>
      <c r="M495" s="101" t="s">
        <v>1553</v>
      </c>
    </row>
    <row r="496" customFormat="false" ht="15" hidden="false" customHeight="true" outlineLevel="0" collapsed="false">
      <c r="A496" s="101" t="n">
        <v>495</v>
      </c>
      <c r="B496" s="100" t="n">
        <v>149</v>
      </c>
      <c r="C496" s="100" t="s">
        <v>778</v>
      </c>
      <c r="D496" s="101" t="s">
        <v>111</v>
      </c>
      <c r="E496" s="101" t="s">
        <v>1195</v>
      </c>
      <c r="F496" s="101" t="s">
        <v>1377</v>
      </c>
      <c r="G496" s="101" t="s">
        <v>2108</v>
      </c>
      <c r="H496" s="101" t="s">
        <v>1251</v>
      </c>
      <c r="I496" s="101" t="s">
        <v>2099</v>
      </c>
      <c r="J496" s="101" t="s">
        <v>2100</v>
      </c>
      <c r="K496" s="100" t="s">
        <v>2109</v>
      </c>
      <c r="L496" s="101" t="n">
        <v>2012</v>
      </c>
      <c r="M496" s="101" t="s">
        <v>1561</v>
      </c>
    </row>
    <row r="497" customFormat="false" ht="15" hidden="false" customHeight="true" outlineLevel="0" collapsed="false">
      <c r="A497" s="101" t="n">
        <v>496</v>
      </c>
      <c r="B497" s="100" t="n">
        <v>150</v>
      </c>
      <c r="C497" s="100" t="s">
        <v>777</v>
      </c>
      <c r="D497" s="101" t="s">
        <v>111</v>
      </c>
      <c r="E497" s="101" t="s">
        <v>1176</v>
      </c>
      <c r="F497" s="101" t="s">
        <v>1176</v>
      </c>
      <c r="G497" s="101" t="s">
        <v>2110</v>
      </c>
      <c r="H497" s="101" t="s">
        <v>1251</v>
      </c>
      <c r="I497" s="101" t="s">
        <v>1500</v>
      </c>
      <c r="J497" s="101" t="s">
        <v>1846</v>
      </c>
      <c r="K497" s="100" t="s">
        <v>2111</v>
      </c>
      <c r="L497" s="101" t="n">
        <v>2009</v>
      </c>
      <c r="M497" s="101" t="s">
        <v>1553</v>
      </c>
    </row>
    <row r="498" customFormat="false" ht="15" hidden="false" customHeight="true" outlineLevel="0" collapsed="false">
      <c r="A498" s="101" t="n">
        <v>497</v>
      </c>
      <c r="B498" s="100" t="n">
        <v>151</v>
      </c>
      <c r="C498" s="100" t="s">
        <v>776</v>
      </c>
      <c r="D498" s="101" t="s">
        <v>111</v>
      </c>
      <c r="E498" s="101" t="s">
        <v>1176</v>
      </c>
      <c r="F498" s="101" t="s">
        <v>1176</v>
      </c>
      <c r="G498" s="101" t="s">
        <v>2112</v>
      </c>
      <c r="H498" s="101" t="s">
        <v>1251</v>
      </c>
      <c r="I498" s="101" t="s">
        <v>1500</v>
      </c>
      <c r="J498" s="101" t="s">
        <v>1846</v>
      </c>
      <c r="K498" s="100" t="s">
        <v>2113</v>
      </c>
      <c r="L498" s="101" t="n">
        <v>2009</v>
      </c>
      <c r="M498" s="101" t="s">
        <v>1553</v>
      </c>
    </row>
    <row r="499" customFormat="false" ht="15" hidden="false" customHeight="true" outlineLevel="0" collapsed="false">
      <c r="A499" s="101" t="n">
        <v>498</v>
      </c>
      <c r="B499" s="100" t="n">
        <v>152</v>
      </c>
      <c r="C499" s="100" t="s">
        <v>775</v>
      </c>
      <c r="D499" s="101" t="s">
        <v>111</v>
      </c>
      <c r="E499" s="101" t="s">
        <v>1176</v>
      </c>
      <c r="F499" s="101" t="s">
        <v>1176</v>
      </c>
      <c r="G499" s="101" t="s">
        <v>2114</v>
      </c>
      <c r="H499" s="101" t="s">
        <v>1251</v>
      </c>
      <c r="I499" s="101" t="s">
        <v>1500</v>
      </c>
      <c r="J499" s="101" t="s">
        <v>1846</v>
      </c>
      <c r="K499" s="100" t="s">
        <v>2115</v>
      </c>
      <c r="L499" s="101" t="n">
        <v>2009</v>
      </c>
      <c r="M499" s="101" t="s">
        <v>1553</v>
      </c>
    </row>
    <row r="500" customFormat="false" ht="15" hidden="false" customHeight="true" outlineLevel="0" collapsed="false">
      <c r="A500" s="101" t="n">
        <v>499</v>
      </c>
      <c r="B500" s="100" t="n">
        <v>153</v>
      </c>
      <c r="C500" s="100" t="s">
        <v>936</v>
      </c>
      <c r="D500" s="101" t="s">
        <v>111</v>
      </c>
      <c r="E500" s="101" t="s">
        <v>1200</v>
      </c>
      <c r="F500" s="101"/>
      <c r="G500" s="101"/>
      <c r="H500" s="101" t="s">
        <v>1251</v>
      </c>
      <c r="I500" s="101" t="s">
        <v>1505</v>
      </c>
      <c r="J500" s="101" t="s">
        <v>1947</v>
      </c>
      <c r="K500" s="100" t="s">
        <v>2116</v>
      </c>
      <c r="L500" s="101" t="n">
        <v>2025</v>
      </c>
      <c r="M500" s="101"/>
    </row>
    <row r="501" customFormat="false" ht="15" hidden="false" customHeight="true" outlineLevel="0" collapsed="false">
      <c r="A501" s="101" t="n">
        <v>500</v>
      </c>
      <c r="B501" s="100" t="n">
        <v>154</v>
      </c>
      <c r="C501" s="100" t="s">
        <v>774</v>
      </c>
      <c r="D501" s="101" t="s">
        <v>111</v>
      </c>
      <c r="E501" s="101" t="s">
        <v>1176</v>
      </c>
      <c r="F501" s="101" t="s">
        <v>1176</v>
      </c>
      <c r="G501" s="101" t="s">
        <v>2117</v>
      </c>
      <c r="H501" s="101" t="s">
        <v>1251</v>
      </c>
      <c r="I501" s="101" t="s">
        <v>1500</v>
      </c>
      <c r="J501" s="101" t="s">
        <v>1848</v>
      </c>
      <c r="K501" s="100" t="s">
        <v>2118</v>
      </c>
      <c r="L501" s="101" t="n">
        <v>2009</v>
      </c>
      <c r="M501" s="101" t="s">
        <v>1553</v>
      </c>
    </row>
    <row r="502" customFormat="false" ht="15" hidden="false" customHeight="true" outlineLevel="0" collapsed="false">
      <c r="A502" s="101" t="n">
        <v>501</v>
      </c>
      <c r="B502" s="100" t="n">
        <v>155</v>
      </c>
      <c r="C502" s="100" t="s">
        <v>445</v>
      </c>
      <c r="D502" s="101" t="s">
        <v>111</v>
      </c>
      <c r="E502" s="101" t="s">
        <v>1213</v>
      </c>
      <c r="F502" s="101" t="s">
        <v>2015</v>
      </c>
      <c r="G502" s="101" t="s">
        <v>2119</v>
      </c>
      <c r="H502" s="101" t="s">
        <v>1235</v>
      </c>
      <c r="I502" s="101" t="s">
        <v>1885</v>
      </c>
      <c r="J502" s="101" t="s">
        <v>1886</v>
      </c>
      <c r="K502" s="100" t="s">
        <v>2120</v>
      </c>
      <c r="L502" s="101" t="n">
        <v>2018</v>
      </c>
      <c r="M502" s="101" t="s">
        <v>1553</v>
      </c>
    </row>
    <row r="503" customFormat="false" ht="15" hidden="false" customHeight="true" outlineLevel="0" collapsed="false">
      <c r="A503" s="101" t="n">
        <v>502</v>
      </c>
      <c r="B503" s="100" t="n">
        <v>156</v>
      </c>
      <c r="C503" s="100" t="s">
        <v>2121</v>
      </c>
      <c r="D503" s="101" t="s">
        <v>111</v>
      </c>
      <c r="E503" s="101" t="s">
        <v>1154</v>
      </c>
      <c r="F503" s="101" t="s">
        <v>1458</v>
      </c>
      <c r="G503" s="101" t="s">
        <v>1367</v>
      </c>
      <c r="H503" s="101" t="s">
        <v>1251</v>
      </c>
      <c r="I503" s="101" t="s">
        <v>1892</v>
      </c>
      <c r="J503" s="101" t="s">
        <v>1955</v>
      </c>
      <c r="K503" s="100" t="s">
        <v>2122</v>
      </c>
      <c r="L503" s="101" t="n">
        <v>2009</v>
      </c>
      <c r="M503" s="101" t="s">
        <v>1553</v>
      </c>
    </row>
    <row r="504" customFormat="false" ht="15" hidden="false" customHeight="true" outlineLevel="0" collapsed="false">
      <c r="A504" s="101" t="n">
        <v>503</v>
      </c>
      <c r="B504" s="100" t="n">
        <v>157</v>
      </c>
      <c r="C504" s="100" t="s">
        <v>2123</v>
      </c>
      <c r="D504" s="101" t="s">
        <v>111</v>
      </c>
      <c r="E504" s="101" t="s">
        <v>1154</v>
      </c>
      <c r="F504" s="101" t="s">
        <v>1458</v>
      </c>
      <c r="G504" s="101" t="s">
        <v>1367</v>
      </c>
      <c r="H504" s="101" t="s">
        <v>1251</v>
      </c>
      <c r="I504" s="101" t="s">
        <v>1892</v>
      </c>
      <c r="J504" s="101" t="s">
        <v>1955</v>
      </c>
      <c r="K504" s="100" t="s">
        <v>2124</v>
      </c>
      <c r="L504" s="101" t="n">
        <v>2009</v>
      </c>
      <c r="M504" s="101" t="s">
        <v>1553</v>
      </c>
    </row>
    <row r="505" customFormat="false" ht="15" hidden="false" customHeight="true" outlineLevel="0" collapsed="false">
      <c r="A505" s="101" t="n">
        <v>504</v>
      </c>
      <c r="B505" s="100" t="n">
        <v>158</v>
      </c>
      <c r="C505" s="100" t="s">
        <v>2125</v>
      </c>
      <c r="D505" s="101" t="s">
        <v>111</v>
      </c>
      <c r="E505" s="101" t="s">
        <v>1154</v>
      </c>
      <c r="F505" s="101" t="s">
        <v>2126</v>
      </c>
      <c r="G505" s="101" t="s">
        <v>1367</v>
      </c>
      <c r="H505" s="101" t="s">
        <v>1251</v>
      </c>
      <c r="I505" s="101" t="s">
        <v>1892</v>
      </c>
      <c r="J505" s="101" t="s">
        <v>1955</v>
      </c>
      <c r="K505" s="100" t="s">
        <v>2127</v>
      </c>
      <c r="L505" s="101" t="n">
        <v>2009</v>
      </c>
      <c r="M505" s="101" t="s">
        <v>1553</v>
      </c>
    </row>
    <row r="506" customFormat="false" ht="15" hidden="false" customHeight="true" outlineLevel="0" collapsed="false">
      <c r="A506" s="101" t="n">
        <v>505</v>
      </c>
      <c r="B506" s="100" t="n">
        <v>159</v>
      </c>
      <c r="C506" s="100" t="s">
        <v>2128</v>
      </c>
      <c r="D506" s="101" t="s">
        <v>111</v>
      </c>
      <c r="E506" s="101" t="s">
        <v>1154</v>
      </c>
      <c r="F506" s="101" t="s">
        <v>1458</v>
      </c>
      <c r="G506" s="101" t="s">
        <v>2129</v>
      </c>
      <c r="H506" s="101" t="s">
        <v>1251</v>
      </c>
      <c r="I506" s="101" t="s">
        <v>1892</v>
      </c>
      <c r="J506" s="101" t="s">
        <v>1955</v>
      </c>
      <c r="K506" s="100" t="s">
        <v>2130</v>
      </c>
      <c r="L506" s="101" t="n">
        <v>2009</v>
      </c>
      <c r="M506" s="101" t="s">
        <v>1553</v>
      </c>
    </row>
    <row r="507" customFormat="false" ht="15" hidden="false" customHeight="true" outlineLevel="0" collapsed="false">
      <c r="A507" s="101" t="n">
        <v>506</v>
      </c>
      <c r="B507" s="100" t="n">
        <v>160</v>
      </c>
      <c r="C507" s="100" t="s">
        <v>2131</v>
      </c>
      <c r="D507" s="101" t="s">
        <v>111</v>
      </c>
      <c r="E507" s="101" t="s">
        <v>1154</v>
      </c>
      <c r="F507" s="101" t="s">
        <v>1458</v>
      </c>
      <c r="G507" s="101" t="s">
        <v>2129</v>
      </c>
      <c r="H507" s="101" t="s">
        <v>1251</v>
      </c>
      <c r="I507" s="101" t="s">
        <v>1892</v>
      </c>
      <c r="J507" s="101" t="s">
        <v>1955</v>
      </c>
      <c r="K507" s="100" t="s">
        <v>2132</v>
      </c>
      <c r="L507" s="101" t="n">
        <v>2009</v>
      </c>
      <c r="M507" s="101" t="s">
        <v>1553</v>
      </c>
    </row>
    <row r="508" customFormat="false" ht="15" hidden="false" customHeight="true" outlineLevel="0" collapsed="false">
      <c r="A508" s="101" t="n">
        <v>507</v>
      </c>
      <c r="B508" s="100" t="n">
        <v>161</v>
      </c>
      <c r="C508" s="100" t="s">
        <v>2133</v>
      </c>
      <c r="D508" s="101" t="s">
        <v>111</v>
      </c>
      <c r="E508" s="101" t="s">
        <v>1154</v>
      </c>
      <c r="F508" s="101" t="s">
        <v>2126</v>
      </c>
      <c r="G508" s="101" t="s">
        <v>2134</v>
      </c>
      <c r="H508" s="101" t="s">
        <v>1251</v>
      </c>
      <c r="I508" s="101" t="s">
        <v>1892</v>
      </c>
      <c r="J508" s="101" t="s">
        <v>1955</v>
      </c>
      <c r="K508" s="100" t="s">
        <v>2135</v>
      </c>
      <c r="L508" s="101" t="n">
        <v>2009</v>
      </c>
      <c r="M508" s="101" t="s">
        <v>1553</v>
      </c>
    </row>
    <row r="509" customFormat="false" ht="15" hidden="false" customHeight="true" outlineLevel="0" collapsed="false">
      <c r="A509" s="101" t="n">
        <v>508</v>
      </c>
      <c r="B509" s="100" t="n">
        <v>162</v>
      </c>
      <c r="C509" s="100" t="s">
        <v>2136</v>
      </c>
      <c r="D509" s="101" t="s">
        <v>111</v>
      </c>
      <c r="E509" s="101" t="s">
        <v>1154</v>
      </c>
      <c r="F509" s="101" t="s">
        <v>2126</v>
      </c>
      <c r="G509" s="101" t="s">
        <v>2137</v>
      </c>
      <c r="H509" s="101" t="s">
        <v>1251</v>
      </c>
      <c r="I509" s="101" t="s">
        <v>1892</v>
      </c>
      <c r="J509" s="101" t="s">
        <v>1955</v>
      </c>
      <c r="K509" s="100" t="s">
        <v>2138</v>
      </c>
      <c r="L509" s="101" t="n">
        <v>2009</v>
      </c>
      <c r="M509" s="101" t="s">
        <v>1553</v>
      </c>
    </row>
    <row r="510" customFormat="false" ht="15" hidden="false" customHeight="true" outlineLevel="0" collapsed="false">
      <c r="A510" s="101" t="n">
        <v>509</v>
      </c>
      <c r="B510" s="100" t="n">
        <v>163</v>
      </c>
      <c r="C510" s="100" t="s">
        <v>2139</v>
      </c>
      <c r="D510" s="101" t="s">
        <v>111</v>
      </c>
      <c r="E510" s="101" t="s">
        <v>1159</v>
      </c>
      <c r="F510" s="101" t="s">
        <v>1159</v>
      </c>
      <c r="G510" s="101"/>
      <c r="H510" s="101" t="s">
        <v>1251</v>
      </c>
      <c r="I510" s="101" t="s">
        <v>1892</v>
      </c>
      <c r="J510" s="101" t="s">
        <v>1955</v>
      </c>
      <c r="K510" s="100" t="s">
        <v>2140</v>
      </c>
      <c r="L510" s="101" t="n">
        <v>2009</v>
      </c>
      <c r="M510" s="101" t="s">
        <v>1553</v>
      </c>
    </row>
    <row r="511" customFormat="false" ht="15" hidden="false" customHeight="true" outlineLevel="0" collapsed="false">
      <c r="A511" s="101" t="n">
        <v>510</v>
      </c>
      <c r="B511" s="100" t="n">
        <v>164</v>
      </c>
      <c r="C511" s="100" t="s">
        <v>2141</v>
      </c>
      <c r="D511" s="101" t="s">
        <v>111</v>
      </c>
      <c r="E511" s="101" t="s">
        <v>1159</v>
      </c>
      <c r="F511" s="101" t="s">
        <v>1159</v>
      </c>
      <c r="G511" s="101"/>
      <c r="H511" s="101" t="s">
        <v>1251</v>
      </c>
      <c r="I511" s="101" t="s">
        <v>1892</v>
      </c>
      <c r="J511" s="101" t="s">
        <v>1955</v>
      </c>
      <c r="K511" s="100" t="s">
        <v>2142</v>
      </c>
      <c r="L511" s="101" t="n">
        <v>2009</v>
      </c>
      <c r="M511" s="101" t="s">
        <v>1553</v>
      </c>
    </row>
    <row r="512" customFormat="false" ht="15" hidden="false" customHeight="true" outlineLevel="0" collapsed="false">
      <c r="A512" s="101" t="n">
        <v>511</v>
      </c>
      <c r="B512" s="100" t="n">
        <v>165</v>
      </c>
      <c r="C512" s="100" t="s">
        <v>2143</v>
      </c>
      <c r="D512" s="101" t="s">
        <v>111</v>
      </c>
      <c r="E512" s="101" t="s">
        <v>1159</v>
      </c>
      <c r="F512" s="101" t="s">
        <v>1159</v>
      </c>
      <c r="G512" s="101"/>
      <c r="H512" s="101" t="s">
        <v>1251</v>
      </c>
      <c r="I512" s="101" t="s">
        <v>1892</v>
      </c>
      <c r="J512" s="101" t="s">
        <v>1955</v>
      </c>
      <c r="K512" s="100" t="s">
        <v>2144</v>
      </c>
      <c r="L512" s="101" t="n">
        <v>2009</v>
      </c>
      <c r="M512" s="101" t="s">
        <v>1553</v>
      </c>
    </row>
    <row r="513" customFormat="false" ht="15" hidden="false" customHeight="true" outlineLevel="0" collapsed="false">
      <c r="A513" s="101"/>
      <c r="B513" s="100"/>
      <c r="C513" s="100"/>
      <c r="D513" s="101"/>
      <c r="E513" s="101"/>
      <c r="F513" s="101"/>
      <c r="G513" s="101"/>
      <c r="H513" s="101"/>
      <c r="I513" s="101"/>
      <c r="J513" s="101"/>
      <c r="K513" s="100"/>
      <c r="L513" s="101"/>
      <c r="M513" s="101"/>
    </row>
    <row r="514" customFormat="false" ht="15" hidden="false" customHeight="true" outlineLevel="0" collapsed="false">
      <c r="A514" s="101" t="n">
        <v>513</v>
      </c>
      <c r="B514" s="100" t="n">
        <v>167</v>
      </c>
      <c r="C514" s="100" t="s">
        <v>773</v>
      </c>
      <c r="D514" s="101" t="s">
        <v>111</v>
      </c>
      <c r="E514" s="101" t="s">
        <v>1195</v>
      </c>
      <c r="F514" s="101" t="s">
        <v>1377</v>
      </c>
      <c r="G514" s="101" t="s">
        <v>1378</v>
      </c>
      <c r="H514" s="101" t="s">
        <v>1251</v>
      </c>
      <c r="I514" s="101" t="s">
        <v>1892</v>
      </c>
      <c r="J514" s="101" t="s">
        <v>1955</v>
      </c>
      <c r="K514" s="100" t="s">
        <v>2145</v>
      </c>
      <c r="L514" s="101" t="n">
        <v>2009</v>
      </c>
      <c r="M514" s="101" t="s">
        <v>1553</v>
      </c>
    </row>
    <row r="515" customFormat="false" ht="15" hidden="false" customHeight="true" outlineLevel="0" collapsed="false">
      <c r="A515" s="101" t="n">
        <v>514</v>
      </c>
      <c r="B515" s="100" t="n">
        <v>168</v>
      </c>
      <c r="C515" s="100" t="s">
        <v>444</v>
      </c>
      <c r="D515" s="101" t="s">
        <v>111</v>
      </c>
      <c r="E515" s="101" t="s">
        <v>1190</v>
      </c>
      <c r="F515" s="101" t="s">
        <v>1384</v>
      </c>
      <c r="G515" s="101" t="s">
        <v>1957</v>
      </c>
      <c r="H515" s="101" t="s">
        <v>1251</v>
      </c>
      <c r="I515" s="101" t="s">
        <v>2099</v>
      </c>
      <c r="J515" s="101" t="s">
        <v>2100</v>
      </c>
      <c r="K515" s="100" t="s">
        <v>2146</v>
      </c>
      <c r="L515" s="101" t="n">
        <v>2012</v>
      </c>
      <c r="M515" s="101" t="s">
        <v>1561</v>
      </c>
    </row>
    <row r="516" customFormat="false" ht="15" hidden="false" customHeight="true" outlineLevel="0" collapsed="false">
      <c r="A516" s="101" t="n">
        <v>515</v>
      </c>
      <c r="B516" s="100" t="n">
        <v>169</v>
      </c>
      <c r="C516" s="100" t="s">
        <v>443</v>
      </c>
      <c r="D516" s="101" t="s">
        <v>111</v>
      </c>
      <c r="E516" s="101" t="s">
        <v>1190</v>
      </c>
      <c r="F516" s="101" t="s">
        <v>1384</v>
      </c>
      <c r="G516" s="101" t="s">
        <v>2147</v>
      </c>
      <c r="H516" s="101" t="s">
        <v>1251</v>
      </c>
      <c r="I516" s="101" t="s">
        <v>2099</v>
      </c>
      <c r="J516" s="101" t="s">
        <v>2100</v>
      </c>
      <c r="K516" s="100" t="s">
        <v>2148</v>
      </c>
      <c r="L516" s="101" t="n">
        <v>2012</v>
      </c>
      <c r="M516" s="101" t="s">
        <v>1561</v>
      </c>
    </row>
    <row r="517" customFormat="false" ht="15" hidden="false" customHeight="true" outlineLevel="0" collapsed="false">
      <c r="A517" s="101" t="n">
        <v>516</v>
      </c>
      <c r="B517" s="100" t="n">
        <v>170</v>
      </c>
      <c r="C517" s="100" t="s">
        <v>442</v>
      </c>
      <c r="D517" s="101" t="s">
        <v>111</v>
      </c>
      <c r="E517" s="101" t="s">
        <v>1190</v>
      </c>
      <c r="F517" s="101" t="s">
        <v>1327</v>
      </c>
      <c r="G517" s="101" t="s">
        <v>1957</v>
      </c>
      <c r="H517" s="101" t="s">
        <v>1251</v>
      </c>
      <c r="I517" s="101" t="s">
        <v>1892</v>
      </c>
      <c r="J517" s="101" t="s">
        <v>1955</v>
      </c>
      <c r="K517" s="100" t="s">
        <v>2149</v>
      </c>
      <c r="L517" s="101" t="n">
        <v>2009</v>
      </c>
      <c r="M517" s="101" t="s">
        <v>1553</v>
      </c>
    </row>
    <row r="518" customFormat="false" ht="15" hidden="false" customHeight="true" outlineLevel="0" collapsed="false">
      <c r="A518" s="101" t="n">
        <v>517</v>
      </c>
      <c r="B518" s="100" t="n">
        <v>171</v>
      </c>
      <c r="C518" s="100" t="s">
        <v>441</v>
      </c>
      <c r="D518" s="101" t="s">
        <v>111</v>
      </c>
      <c r="E518" s="101" t="s">
        <v>1190</v>
      </c>
      <c r="F518" s="101" t="s">
        <v>1380</v>
      </c>
      <c r="G518" s="101" t="s">
        <v>2150</v>
      </c>
      <c r="H518" s="101" t="s">
        <v>1251</v>
      </c>
      <c r="I518" s="101" t="s">
        <v>2099</v>
      </c>
      <c r="J518" s="101" t="s">
        <v>2100</v>
      </c>
      <c r="K518" s="100" t="s">
        <v>2151</v>
      </c>
      <c r="L518" s="101" t="n">
        <v>2012</v>
      </c>
      <c r="M518" s="101" t="s">
        <v>1561</v>
      </c>
    </row>
    <row r="519" customFormat="false" ht="15" hidden="false" customHeight="true" outlineLevel="0" collapsed="false">
      <c r="A519" s="101" t="n">
        <v>518</v>
      </c>
      <c r="B519" s="100" t="n">
        <v>172</v>
      </c>
      <c r="C519" s="100" t="s">
        <v>440</v>
      </c>
      <c r="D519" s="101" t="s">
        <v>111</v>
      </c>
      <c r="E519" s="101" t="s">
        <v>1155</v>
      </c>
      <c r="F519" s="101" t="s">
        <v>1155</v>
      </c>
      <c r="G519" s="101" t="s">
        <v>2152</v>
      </c>
      <c r="H519" s="101" t="s">
        <v>1251</v>
      </c>
      <c r="I519" s="101" t="s">
        <v>1892</v>
      </c>
      <c r="J519" s="101" t="s">
        <v>1955</v>
      </c>
      <c r="K519" s="100" t="s">
        <v>2153</v>
      </c>
      <c r="L519" s="101" t="n">
        <v>2009</v>
      </c>
      <c r="M519" s="101" t="s">
        <v>1553</v>
      </c>
    </row>
    <row r="520" customFormat="false" ht="15" hidden="false" customHeight="true" outlineLevel="0" collapsed="false">
      <c r="A520" s="101" t="n">
        <v>519</v>
      </c>
      <c r="B520" s="100" t="n">
        <v>173</v>
      </c>
      <c r="C520" s="100" t="s">
        <v>621</v>
      </c>
      <c r="D520" s="101" t="s">
        <v>111</v>
      </c>
      <c r="E520" s="101" t="s">
        <v>1166</v>
      </c>
      <c r="F520" s="101" t="s">
        <v>1390</v>
      </c>
      <c r="G520" s="101" t="s">
        <v>2154</v>
      </c>
      <c r="H520" s="101" t="s">
        <v>1251</v>
      </c>
      <c r="I520" s="101" t="s">
        <v>1892</v>
      </c>
      <c r="J520" s="101" t="s">
        <v>1955</v>
      </c>
      <c r="K520" s="100" t="s">
        <v>2155</v>
      </c>
      <c r="L520" s="101" t="n">
        <v>2009</v>
      </c>
      <c r="M520" s="101" t="s">
        <v>1553</v>
      </c>
    </row>
    <row r="521" customFormat="false" ht="15" hidden="false" customHeight="true" outlineLevel="0" collapsed="false">
      <c r="A521" s="101" t="n">
        <v>520</v>
      </c>
      <c r="B521" s="100" t="n">
        <v>174</v>
      </c>
      <c r="C521" s="100" t="s">
        <v>772</v>
      </c>
      <c r="D521" s="101" t="s">
        <v>111</v>
      </c>
      <c r="E521" s="101" t="s">
        <v>1195</v>
      </c>
      <c r="F521" s="101" t="s">
        <v>1377</v>
      </c>
      <c r="G521" s="101" t="s">
        <v>1378</v>
      </c>
      <c r="H521" s="101" t="s">
        <v>1251</v>
      </c>
      <c r="I521" s="101" t="s">
        <v>1892</v>
      </c>
      <c r="J521" s="101" t="s">
        <v>1955</v>
      </c>
      <c r="K521" s="100" t="s">
        <v>2156</v>
      </c>
      <c r="L521" s="101" t="n">
        <v>2009</v>
      </c>
      <c r="M521" s="101" t="s">
        <v>1553</v>
      </c>
    </row>
    <row r="522" customFormat="false" ht="15" hidden="false" customHeight="true" outlineLevel="0" collapsed="false">
      <c r="A522" s="101" t="n">
        <v>521</v>
      </c>
      <c r="B522" s="100" t="n">
        <v>175</v>
      </c>
      <c r="C522" s="100" t="s">
        <v>620</v>
      </c>
      <c r="D522" s="101" t="s">
        <v>111</v>
      </c>
      <c r="E522" s="101" t="s">
        <v>1166</v>
      </c>
      <c r="F522" s="101" t="s">
        <v>1390</v>
      </c>
      <c r="G522" s="101" t="s">
        <v>2157</v>
      </c>
      <c r="H522" s="101" t="s">
        <v>1251</v>
      </c>
      <c r="I522" s="101" t="s">
        <v>1892</v>
      </c>
      <c r="J522" s="101" t="s">
        <v>1955</v>
      </c>
      <c r="K522" s="100" t="s">
        <v>2158</v>
      </c>
      <c r="L522" s="101" t="n">
        <v>2009</v>
      </c>
      <c r="M522" s="101" t="s">
        <v>1553</v>
      </c>
    </row>
    <row r="523" customFormat="false" ht="15" hidden="false" customHeight="true" outlineLevel="0" collapsed="false">
      <c r="A523" s="101" t="n">
        <v>522</v>
      </c>
      <c r="B523" s="100" t="n">
        <v>176</v>
      </c>
      <c r="C523" s="100" t="s">
        <v>619</v>
      </c>
      <c r="D523" s="101" t="s">
        <v>111</v>
      </c>
      <c r="E523" s="101" t="s">
        <v>1166</v>
      </c>
      <c r="F523" s="101" t="s">
        <v>1390</v>
      </c>
      <c r="G523" s="101" t="s">
        <v>2159</v>
      </c>
      <c r="H523" s="101" t="s">
        <v>1251</v>
      </c>
      <c r="I523" s="101" t="s">
        <v>1892</v>
      </c>
      <c r="J523" s="101" t="s">
        <v>1955</v>
      </c>
      <c r="K523" s="100" t="s">
        <v>2160</v>
      </c>
      <c r="L523" s="101" t="n">
        <v>2009</v>
      </c>
      <c r="M523" s="101" t="s">
        <v>1553</v>
      </c>
    </row>
    <row r="524" customFormat="false" ht="15" hidden="false" customHeight="true" outlineLevel="0" collapsed="false">
      <c r="A524" s="101" t="n">
        <v>523</v>
      </c>
      <c r="B524" s="100" t="n">
        <v>177</v>
      </c>
      <c r="C524" s="100" t="s">
        <v>996</v>
      </c>
      <c r="D524" s="101" t="s">
        <v>111</v>
      </c>
      <c r="E524" s="101" t="s">
        <v>1196</v>
      </c>
      <c r="F524" s="101" t="s">
        <v>1196</v>
      </c>
      <c r="G524" s="101" t="s">
        <v>1260</v>
      </c>
      <c r="H524" s="101" t="s">
        <v>1251</v>
      </c>
      <c r="I524" s="101" t="s">
        <v>1892</v>
      </c>
      <c r="J524" s="101" t="s">
        <v>1955</v>
      </c>
      <c r="K524" s="100" t="s">
        <v>2161</v>
      </c>
      <c r="L524" s="101" t="n">
        <v>2009</v>
      </c>
      <c r="M524" s="101" t="s">
        <v>1553</v>
      </c>
    </row>
    <row r="525" customFormat="false" ht="15" hidden="false" customHeight="true" outlineLevel="0" collapsed="false">
      <c r="A525" s="101" t="n">
        <v>524</v>
      </c>
      <c r="B525" s="100" t="n">
        <v>178</v>
      </c>
      <c r="C525" s="100" t="s">
        <v>988</v>
      </c>
      <c r="D525" s="101" t="s">
        <v>111</v>
      </c>
      <c r="E525" s="101" t="s">
        <v>1196</v>
      </c>
      <c r="F525" s="101" t="s">
        <v>1196</v>
      </c>
      <c r="G525" s="101" t="s">
        <v>1446</v>
      </c>
      <c r="H525" s="101" t="s">
        <v>1251</v>
      </c>
      <c r="I525" s="101" t="s">
        <v>1892</v>
      </c>
      <c r="J525" s="101" t="s">
        <v>1955</v>
      </c>
      <c r="K525" s="100" t="s">
        <v>2162</v>
      </c>
      <c r="L525" s="101" t="n">
        <v>2009</v>
      </c>
      <c r="M525" s="101" t="s">
        <v>1553</v>
      </c>
    </row>
    <row r="526" customFormat="false" ht="15" hidden="false" customHeight="true" outlineLevel="0" collapsed="false">
      <c r="A526" s="101" t="n">
        <v>525</v>
      </c>
      <c r="B526" s="100" t="n">
        <v>179</v>
      </c>
      <c r="C526" s="100" t="s">
        <v>618</v>
      </c>
      <c r="D526" s="101" t="s">
        <v>111</v>
      </c>
      <c r="E526" s="101" t="s">
        <v>1172</v>
      </c>
      <c r="F526" s="101" t="s">
        <v>2163</v>
      </c>
      <c r="G526" s="101" t="s">
        <v>2164</v>
      </c>
      <c r="H526" s="101" t="s">
        <v>1251</v>
      </c>
      <c r="I526" s="101" t="s">
        <v>1892</v>
      </c>
      <c r="J526" s="101" t="s">
        <v>1955</v>
      </c>
      <c r="K526" s="100" t="s">
        <v>2165</v>
      </c>
      <c r="L526" s="101" t="n">
        <v>2009</v>
      </c>
      <c r="M526" s="101" t="s">
        <v>1553</v>
      </c>
    </row>
    <row r="527" customFormat="false" ht="15" hidden="false" customHeight="true" outlineLevel="0" collapsed="false">
      <c r="A527" s="101" t="n">
        <v>526</v>
      </c>
      <c r="B527" s="100" t="n">
        <v>180</v>
      </c>
      <c r="C527" s="100" t="s">
        <v>617</v>
      </c>
      <c r="D527" s="101" t="s">
        <v>111</v>
      </c>
      <c r="E527" s="101" t="s">
        <v>1166</v>
      </c>
      <c r="F527" s="101" t="s">
        <v>1390</v>
      </c>
      <c r="G527" s="101" t="s">
        <v>2164</v>
      </c>
      <c r="H527" s="101" t="s">
        <v>1251</v>
      </c>
      <c r="I527" s="101" t="s">
        <v>1892</v>
      </c>
      <c r="J527" s="101" t="s">
        <v>1955</v>
      </c>
      <c r="K527" s="100" t="s">
        <v>2166</v>
      </c>
      <c r="L527" s="101" t="n">
        <v>2009</v>
      </c>
      <c r="M527" s="101" t="s">
        <v>1553</v>
      </c>
    </row>
    <row r="528" customFormat="false" ht="15" hidden="false" customHeight="true" outlineLevel="0" collapsed="false">
      <c r="A528" s="101" t="n">
        <v>527</v>
      </c>
      <c r="B528" s="100" t="n">
        <v>181</v>
      </c>
      <c r="C528" s="100" t="s">
        <v>616</v>
      </c>
      <c r="D528" s="101" t="s">
        <v>111</v>
      </c>
      <c r="E528" s="101" t="s">
        <v>1166</v>
      </c>
      <c r="F528" s="101" t="s">
        <v>1390</v>
      </c>
      <c r="G528" s="101" t="s">
        <v>2167</v>
      </c>
      <c r="H528" s="101" t="s">
        <v>1251</v>
      </c>
      <c r="I528" s="101" t="s">
        <v>1892</v>
      </c>
      <c r="J528" s="101" t="s">
        <v>1955</v>
      </c>
      <c r="K528" s="100" t="s">
        <v>2168</v>
      </c>
      <c r="L528" s="101" t="n">
        <v>2009</v>
      </c>
      <c r="M528" s="101" t="s">
        <v>1553</v>
      </c>
    </row>
    <row r="529" customFormat="false" ht="15" hidden="false" customHeight="true" outlineLevel="0" collapsed="false">
      <c r="A529" s="101" t="n">
        <v>528</v>
      </c>
      <c r="B529" s="100" t="n">
        <v>182</v>
      </c>
      <c r="C529" s="100" t="s">
        <v>615</v>
      </c>
      <c r="D529" s="101" t="s">
        <v>111</v>
      </c>
      <c r="E529" s="101" t="s">
        <v>1172</v>
      </c>
      <c r="F529" s="101" t="s">
        <v>2163</v>
      </c>
      <c r="G529" s="101" t="s">
        <v>2169</v>
      </c>
      <c r="H529" s="101" t="s">
        <v>1251</v>
      </c>
      <c r="I529" s="101" t="s">
        <v>1892</v>
      </c>
      <c r="J529" s="101" t="s">
        <v>1955</v>
      </c>
      <c r="K529" s="100" t="s">
        <v>2170</v>
      </c>
      <c r="L529" s="101" t="n">
        <v>2009</v>
      </c>
      <c r="M529" s="101" t="s">
        <v>1553</v>
      </c>
    </row>
    <row r="530" customFormat="false" ht="15" hidden="false" customHeight="true" outlineLevel="0" collapsed="false">
      <c r="A530" s="101" t="n">
        <v>529</v>
      </c>
      <c r="B530" s="100" t="n">
        <v>183</v>
      </c>
      <c r="C530" s="100" t="s">
        <v>192</v>
      </c>
      <c r="D530" s="101" t="s">
        <v>111</v>
      </c>
      <c r="E530" s="101" t="s">
        <v>1166</v>
      </c>
      <c r="F530" s="101" t="s">
        <v>1390</v>
      </c>
      <c r="G530" s="101" t="s">
        <v>2167</v>
      </c>
      <c r="H530" s="101" t="s">
        <v>1251</v>
      </c>
      <c r="I530" s="101" t="s">
        <v>1892</v>
      </c>
      <c r="J530" s="101" t="s">
        <v>1955</v>
      </c>
      <c r="K530" s="100" t="s">
        <v>191</v>
      </c>
      <c r="L530" s="101" t="n">
        <v>2009</v>
      </c>
      <c r="M530" s="101" t="s">
        <v>1553</v>
      </c>
    </row>
    <row r="531" customFormat="false" ht="15" hidden="false" customHeight="true" outlineLevel="0" collapsed="false">
      <c r="A531" s="101" t="n">
        <v>530</v>
      </c>
      <c r="B531" s="100" t="n">
        <v>184</v>
      </c>
      <c r="C531" s="100" t="s">
        <v>439</v>
      </c>
      <c r="D531" s="101" t="s">
        <v>111</v>
      </c>
      <c r="E531" s="101" t="s">
        <v>1213</v>
      </c>
      <c r="F531" s="101" t="s">
        <v>2015</v>
      </c>
      <c r="G531" s="101" t="s">
        <v>2171</v>
      </c>
      <c r="H531" s="101" t="s">
        <v>1235</v>
      </c>
      <c r="I531" s="101" t="s">
        <v>1885</v>
      </c>
      <c r="J531" s="101" t="s">
        <v>1886</v>
      </c>
      <c r="K531" s="100" t="s">
        <v>2172</v>
      </c>
      <c r="L531" s="101" t="n">
        <v>2018</v>
      </c>
      <c r="M531" s="101" t="s">
        <v>1553</v>
      </c>
    </row>
    <row r="532" customFormat="false" ht="15" hidden="false" customHeight="true" outlineLevel="0" collapsed="false">
      <c r="A532" s="101" t="n">
        <v>531</v>
      </c>
      <c r="B532" s="100" t="n">
        <v>185</v>
      </c>
      <c r="C532" s="100" t="s">
        <v>231</v>
      </c>
      <c r="D532" s="101" t="s">
        <v>111</v>
      </c>
      <c r="E532" s="101" t="s">
        <v>1144</v>
      </c>
      <c r="F532" s="101" t="s">
        <v>2173</v>
      </c>
      <c r="G532" s="101" t="s">
        <v>2174</v>
      </c>
      <c r="H532" s="101" t="s">
        <v>1251</v>
      </c>
      <c r="I532" s="101" t="s">
        <v>1892</v>
      </c>
      <c r="J532" s="101" t="s">
        <v>1955</v>
      </c>
      <c r="K532" s="100" t="s">
        <v>230</v>
      </c>
      <c r="L532" s="101" t="n">
        <v>2009</v>
      </c>
      <c r="M532" s="101" t="s">
        <v>1553</v>
      </c>
    </row>
    <row r="533" customFormat="false" ht="15" hidden="false" customHeight="true" outlineLevel="0" collapsed="false">
      <c r="A533" s="101" t="n">
        <v>532</v>
      </c>
      <c r="B533" s="100" t="n">
        <v>186</v>
      </c>
      <c r="C533" s="100" t="s">
        <v>438</v>
      </c>
      <c r="D533" s="101" t="s">
        <v>111</v>
      </c>
      <c r="E533" s="101" t="s">
        <v>1213</v>
      </c>
      <c r="F533" s="101" t="s">
        <v>2015</v>
      </c>
      <c r="G533" s="101" t="s">
        <v>2175</v>
      </c>
      <c r="H533" s="101" t="s">
        <v>1235</v>
      </c>
      <c r="I533" s="101" t="s">
        <v>1885</v>
      </c>
      <c r="J533" s="101" t="s">
        <v>1886</v>
      </c>
      <c r="K533" s="100" t="s">
        <v>2176</v>
      </c>
      <c r="L533" s="101" t="n">
        <v>2018</v>
      </c>
      <c r="M533" s="101" t="s">
        <v>1553</v>
      </c>
    </row>
    <row r="534" customFormat="false" ht="15" hidden="false" customHeight="true" outlineLevel="0" collapsed="false">
      <c r="A534" s="101" t="n">
        <v>533</v>
      </c>
      <c r="B534" s="100" t="n">
        <v>187</v>
      </c>
      <c r="C534" s="100" t="s">
        <v>614</v>
      </c>
      <c r="D534" s="101" t="s">
        <v>111</v>
      </c>
      <c r="E534" s="101" t="s">
        <v>1166</v>
      </c>
      <c r="F534" s="101" t="s">
        <v>1390</v>
      </c>
      <c r="G534" s="101" t="s">
        <v>2177</v>
      </c>
      <c r="H534" s="101" t="s">
        <v>1251</v>
      </c>
      <c r="I534" s="101" t="s">
        <v>1892</v>
      </c>
      <c r="J534" s="101" t="s">
        <v>1955</v>
      </c>
      <c r="K534" s="100" t="s">
        <v>2178</v>
      </c>
      <c r="L534" s="101" t="n">
        <v>2009</v>
      </c>
      <c r="M534" s="101" t="s">
        <v>1553</v>
      </c>
    </row>
    <row r="535" customFormat="false" ht="15" hidden="false" customHeight="true" outlineLevel="0" collapsed="false">
      <c r="A535" s="101" t="n">
        <v>534</v>
      </c>
      <c r="B535" s="100" t="n">
        <v>188</v>
      </c>
      <c r="C535" s="100" t="s">
        <v>613</v>
      </c>
      <c r="D535" s="101" t="s">
        <v>111</v>
      </c>
      <c r="E535" s="101" t="s">
        <v>1166</v>
      </c>
      <c r="F535" s="101" t="s">
        <v>1390</v>
      </c>
      <c r="G535" s="101" t="s">
        <v>2179</v>
      </c>
      <c r="H535" s="101" t="s">
        <v>1554</v>
      </c>
      <c r="I535" s="101" t="s">
        <v>1892</v>
      </c>
      <c r="J535" s="101" t="s">
        <v>1965</v>
      </c>
      <c r="K535" s="100" t="s">
        <v>2180</v>
      </c>
      <c r="L535" s="101" t="n">
        <v>2021</v>
      </c>
      <c r="M535" s="101" t="s">
        <v>1553</v>
      </c>
    </row>
    <row r="536" customFormat="false" ht="15" hidden="false" customHeight="true" outlineLevel="0" collapsed="false">
      <c r="A536" s="101" t="n">
        <v>535</v>
      </c>
      <c r="B536" s="100" t="n">
        <v>189</v>
      </c>
      <c r="C536" s="100" t="s">
        <v>612</v>
      </c>
      <c r="D536" s="101" t="s">
        <v>111</v>
      </c>
      <c r="E536" s="101" t="s">
        <v>1166</v>
      </c>
      <c r="F536" s="101" t="s">
        <v>1390</v>
      </c>
      <c r="G536" s="101" t="s">
        <v>2181</v>
      </c>
      <c r="H536" s="101" t="s">
        <v>1251</v>
      </c>
      <c r="I536" s="101" t="s">
        <v>1892</v>
      </c>
      <c r="J536" s="101" t="s">
        <v>1955</v>
      </c>
      <c r="K536" s="100" t="s">
        <v>2182</v>
      </c>
      <c r="L536" s="101" t="n">
        <v>2009</v>
      </c>
      <c r="M536" s="101" t="s">
        <v>1553</v>
      </c>
    </row>
    <row r="537" customFormat="false" ht="15" hidden="false" customHeight="true" outlineLevel="0" collapsed="false">
      <c r="A537" s="101" t="n">
        <v>536</v>
      </c>
      <c r="B537" s="100" t="n">
        <v>190</v>
      </c>
      <c r="C537" s="100" t="s">
        <v>437</v>
      </c>
      <c r="D537" s="101" t="s">
        <v>111</v>
      </c>
      <c r="E537" s="101" t="s">
        <v>1213</v>
      </c>
      <c r="F537" s="101" t="s">
        <v>2015</v>
      </c>
      <c r="G537" s="101" t="s">
        <v>2183</v>
      </c>
      <c r="H537" s="101" t="s">
        <v>1235</v>
      </c>
      <c r="I537" s="101" t="s">
        <v>1885</v>
      </c>
      <c r="J537" s="101" t="s">
        <v>1886</v>
      </c>
      <c r="K537" s="100" t="s">
        <v>2184</v>
      </c>
      <c r="L537" s="101" t="n">
        <v>2018</v>
      </c>
      <c r="M537" s="101" t="s">
        <v>1553</v>
      </c>
    </row>
    <row r="538" customFormat="false" ht="15" hidden="false" customHeight="true" outlineLevel="0" collapsed="false">
      <c r="A538" s="101" t="n">
        <v>537</v>
      </c>
      <c r="B538" s="100" t="n">
        <v>191</v>
      </c>
      <c r="C538" s="100" t="s">
        <v>611</v>
      </c>
      <c r="D538" s="101" t="s">
        <v>111</v>
      </c>
      <c r="E538" s="101" t="s">
        <v>1154</v>
      </c>
      <c r="F538" s="101" t="s">
        <v>1458</v>
      </c>
      <c r="G538" s="101" t="s">
        <v>2185</v>
      </c>
      <c r="H538" s="101" t="s">
        <v>1251</v>
      </c>
      <c r="I538" s="101" t="s">
        <v>1892</v>
      </c>
      <c r="J538" s="101" t="s">
        <v>2186</v>
      </c>
      <c r="K538" s="100" t="s">
        <v>2187</v>
      </c>
      <c r="L538" s="101" t="n">
        <v>2007</v>
      </c>
      <c r="M538" s="101" t="s">
        <v>1561</v>
      </c>
    </row>
    <row r="539" customFormat="false" ht="15" hidden="false" customHeight="true" outlineLevel="0" collapsed="false">
      <c r="A539" s="101" t="n">
        <v>538</v>
      </c>
      <c r="B539" s="100" t="n">
        <v>192</v>
      </c>
      <c r="C539" s="100" t="s">
        <v>771</v>
      </c>
      <c r="D539" s="101" t="s">
        <v>111</v>
      </c>
      <c r="E539" s="101" t="s">
        <v>1201</v>
      </c>
      <c r="F539" s="101" t="s">
        <v>1201</v>
      </c>
      <c r="G539" s="101" t="s">
        <v>1362</v>
      </c>
      <c r="H539" s="101" t="s">
        <v>1251</v>
      </c>
      <c r="I539" s="101" t="s">
        <v>1892</v>
      </c>
      <c r="J539" s="101" t="s">
        <v>1955</v>
      </c>
      <c r="K539" s="100" t="s">
        <v>2188</v>
      </c>
      <c r="L539" s="101" t="n">
        <v>2009</v>
      </c>
      <c r="M539" s="101" t="s">
        <v>1553</v>
      </c>
    </row>
    <row r="540" customFormat="false" ht="15" hidden="false" customHeight="true" outlineLevel="0" collapsed="false">
      <c r="A540" s="101" t="n">
        <v>539</v>
      </c>
      <c r="B540" s="100" t="n">
        <v>193</v>
      </c>
      <c r="C540" s="100" t="s">
        <v>770</v>
      </c>
      <c r="D540" s="101" t="s">
        <v>111</v>
      </c>
      <c r="E540" s="101" t="s">
        <v>1201</v>
      </c>
      <c r="F540" s="101" t="s">
        <v>1201</v>
      </c>
      <c r="G540" s="101" t="s">
        <v>1362</v>
      </c>
      <c r="H540" s="101" t="s">
        <v>1251</v>
      </c>
      <c r="I540" s="101" t="s">
        <v>1892</v>
      </c>
      <c r="J540" s="101" t="s">
        <v>1955</v>
      </c>
      <c r="K540" s="100" t="s">
        <v>2189</v>
      </c>
      <c r="L540" s="101" t="n">
        <v>2009</v>
      </c>
      <c r="M540" s="101" t="s">
        <v>1553</v>
      </c>
    </row>
    <row r="541" customFormat="false" ht="15" hidden="false" customHeight="true" outlineLevel="0" collapsed="false">
      <c r="A541" s="101" t="n">
        <v>540</v>
      </c>
      <c r="B541" s="100" t="n">
        <v>194</v>
      </c>
      <c r="C541" s="100" t="s">
        <v>2190</v>
      </c>
      <c r="D541" s="101" t="s">
        <v>111</v>
      </c>
      <c r="E541" s="101" t="s">
        <v>1154</v>
      </c>
      <c r="F541" s="101" t="s">
        <v>1458</v>
      </c>
      <c r="G541" s="101" t="s">
        <v>2129</v>
      </c>
      <c r="H541" s="101" t="s">
        <v>1251</v>
      </c>
      <c r="I541" s="101" t="s">
        <v>1892</v>
      </c>
      <c r="J541" s="101" t="s">
        <v>1955</v>
      </c>
      <c r="K541" s="100" t="s">
        <v>2191</v>
      </c>
      <c r="L541" s="101" t="n">
        <v>2009</v>
      </c>
      <c r="M541" s="101" t="s">
        <v>1553</v>
      </c>
    </row>
    <row r="542" customFormat="false" ht="15" hidden="false" customHeight="true" outlineLevel="0" collapsed="false">
      <c r="A542" s="101" t="n">
        <v>541</v>
      </c>
      <c r="B542" s="100" t="n">
        <v>195</v>
      </c>
      <c r="C542" s="100" t="s">
        <v>769</v>
      </c>
      <c r="D542" s="101" t="s">
        <v>111</v>
      </c>
      <c r="E542" s="101" t="s">
        <v>1201</v>
      </c>
      <c r="F542" s="101" t="s">
        <v>1201</v>
      </c>
      <c r="G542" s="101" t="s">
        <v>1362</v>
      </c>
      <c r="H542" s="101" t="s">
        <v>1251</v>
      </c>
      <c r="I542" s="101" t="s">
        <v>1892</v>
      </c>
      <c r="J542" s="101" t="s">
        <v>1955</v>
      </c>
      <c r="K542" s="100" t="s">
        <v>2192</v>
      </c>
      <c r="L542" s="101" t="n">
        <v>2009</v>
      </c>
      <c r="M542" s="101" t="s">
        <v>1553</v>
      </c>
    </row>
    <row r="543" customFormat="false" ht="15" hidden="false" customHeight="true" outlineLevel="0" collapsed="false">
      <c r="A543" s="101" t="n">
        <v>542</v>
      </c>
      <c r="B543" s="100" t="n">
        <v>196</v>
      </c>
      <c r="C543" s="100" t="s">
        <v>610</v>
      </c>
      <c r="D543" s="101" t="s">
        <v>111</v>
      </c>
      <c r="E543" s="101" t="s">
        <v>1180</v>
      </c>
      <c r="F543" s="101" t="s">
        <v>1472</v>
      </c>
      <c r="G543" s="101" t="s">
        <v>2193</v>
      </c>
      <c r="H543" s="101" t="s">
        <v>1251</v>
      </c>
      <c r="I543" s="101" t="s">
        <v>1505</v>
      </c>
      <c r="J543" s="101" t="s">
        <v>1898</v>
      </c>
      <c r="K543" s="100" t="s">
        <v>2194</v>
      </c>
      <c r="L543" s="101" t="n">
        <v>2020</v>
      </c>
      <c r="M543" s="101" t="s">
        <v>1553</v>
      </c>
    </row>
    <row r="544" customFormat="false" ht="15" hidden="false" customHeight="true" outlineLevel="0" collapsed="false">
      <c r="A544" s="101" t="n">
        <v>543</v>
      </c>
      <c r="B544" s="100" t="n">
        <v>197</v>
      </c>
      <c r="C544" s="100" t="s">
        <v>436</v>
      </c>
      <c r="D544" s="101" t="s">
        <v>111</v>
      </c>
      <c r="E544" s="101" t="s">
        <v>1213</v>
      </c>
      <c r="F544" s="101" t="s">
        <v>2015</v>
      </c>
      <c r="G544" s="101" t="s">
        <v>2195</v>
      </c>
      <c r="H544" s="101" t="s">
        <v>1235</v>
      </c>
      <c r="I544" s="101" t="s">
        <v>1885</v>
      </c>
      <c r="J544" s="101" t="s">
        <v>1886</v>
      </c>
      <c r="K544" s="100" t="s">
        <v>2196</v>
      </c>
      <c r="L544" s="101" t="n">
        <v>2018</v>
      </c>
      <c r="M544" s="101" t="s">
        <v>1553</v>
      </c>
    </row>
    <row r="545" customFormat="false" ht="15" hidden="false" customHeight="true" outlineLevel="0" collapsed="false">
      <c r="A545" s="101" t="n">
        <v>544</v>
      </c>
      <c r="B545" s="100" t="n">
        <v>198</v>
      </c>
      <c r="C545" s="100" t="s">
        <v>435</v>
      </c>
      <c r="D545" s="101" t="s">
        <v>111</v>
      </c>
      <c r="E545" s="101" t="s">
        <v>1213</v>
      </c>
      <c r="F545" s="101" t="s">
        <v>2015</v>
      </c>
      <c r="G545" s="101" t="s">
        <v>2197</v>
      </c>
      <c r="H545" s="101" t="s">
        <v>1235</v>
      </c>
      <c r="I545" s="101" t="s">
        <v>1885</v>
      </c>
      <c r="J545" s="101" t="s">
        <v>1886</v>
      </c>
      <c r="K545" s="100" t="s">
        <v>2198</v>
      </c>
      <c r="L545" s="101" t="n">
        <v>2018</v>
      </c>
      <c r="M545" s="101" t="s">
        <v>1553</v>
      </c>
    </row>
    <row r="546" customFormat="false" ht="15" hidden="false" customHeight="true" outlineLevel="0" collapsed="false">
      <c r="A546" s="101" t="n">
        <v>545</v>
      </c>
      <c r="B546" s="100" t="n">
        <v>199</v>
      </c>
      <c r="C546" s="100" t="s">
        <v>2199</v>
      </c>
      <c r="D546" s="101" t="s">
        <v>111</v>
      </c>
      <c r="E546" s="101" t="s">
        <v>1186</v>
      </c>
      <c r="F546" s="101" t="s">
        <v>1157</v>
      </c>
      <c r="G546" s="101" t="s">
        <v>2200</v>
      </c>
      <c r="H546" s="101" t="s">
        <v>1251</v>
      </c>
      <c r="I546" s="101" t="s">
        <v>1505</v>
      </c>
      <c r="J546" s="101" t="s">
        <v>1898</v>
      </c>
      <c r="K546" s="100" t="s">
        <v>2201</v>
      </c>
      <c r="L546" s="101" t="n">
        <v>2020</v>
      </c>
      <c r="M546" s="101" t="s">
        <v>1553</v>
      </c>
    </row>
    <row r="547" customFormat="false" ht="15" hidden="false" customHeight="true" outlineLevel="0" collapsed="false">
      <c r="A547" s="101" t="n">
        <v>546</v>
      </c>
      <c r="B547" s="100" t="n">
        <v>200</v>
      </c>
      <c r="C547" s="100" t="s">
        <v>434</v>
      </c>
      <c r="D547" s="101" t="s">
        <v>111</v>
      </c>
      <c r="E547" s="101" t="s">
        <v>1208</v>
      </c>
      <c r="F547" s="101" t="s">
        <v>1208</v>
      </c>
      <c r="G547" s="101" t="s">
        <v>1461</v>
      </c>
      <c r="H547" s="101" t="s">
        <v>1251</v>
      </c>
      <c r="I547" s="101" t="s">
        <v>1500</v>
      </c>
      <c r="J547" s="101" t="s">
        <v>1846</v>
      </c>
      <c r="K547" s="100" t="s">
        <v>2202</v>
      </c>
      <c r="L547" s="101" t="n">
        <v>2009</v>
      </c>
      <c r="M547" s="101" t="s">
        <v>1553</v>
      </c>
    </row>
    <row r="548" customFormat="false" ht="15" hidden="false" customHeight="true" outlineLevel="0" collapsed="false">
      <c r="A548" s="101" t="n">
        <v>547</v>
      </c>
      <c r="B548" s="100" t="n">
        <v>201</v>
      </c>
      <c r="C548" s="100" t="s">
        <v>433</v>
      </c>
      <c r="D548" s="101" t="s">
        <v>111</v>
      </c>
      <c r="E548" s="101" t="s">
        <v>1208</v>
      </c>
      <c r="F548" s="101" t="s">
        <v>1208</v>
      </c>
      <c r="G548" s="101" t="s">
        <v>1461</v>
      </c>
      <c r="H548" s="101" t="s">
        <v>1251</v>
      </c>
      <c r="I548" s="101" t="s">
        <v>1500</v>
      </c>
      <c r="J548" s="101" t="s">
        <v>1846</v>
      </c>
      <c r="K548" s="100" t="s">
        <v>2203</v>
      </c>
      <c r="L548" s="101" t="n">
        <v>2009</v>
      </c>
      <c r="M548" s="101" t="s">
        <v>1553</v>
      </c>
    </row>
    <row r="549" customFormat="false" ht="15" hidden="false" customHeight="true" outlineLevel="0" collapsed="false">
      <c r="A549" s="101" t="n">
        <v>548</v>
      </c>
      <c r="B549" s="100" t="n">
        <v>202</v>
      </c>
      <c r="C549" s="100" t="s">
        <v>2204</v>
      </c>
      <c r="D549" s="101" t="s">
        <v>111</v>
      </c>
      <c r="E549" s="101" t="s">
        <v>1210</v>
      </c>
      <c r="F549" s="101" t="s">
        <v>1204</v>
      </c>
      <c r="G549" s="101" t="s">
        <v>2205</v>
      </c>
      <c r="H549" s="101" t="s">
        <v>1251</v>
      </c>
      <c r="I549" s="101" t="s">
        <v>1500</v>
      </c>
      <c r="J549" s="101" t="s">
        <v>1846</v>
      </c>
      <c r="K549" s="100" t="s">
        <v>2206</v>
      </c>
      <c r="L549" s="101" t="n">
        <v>2009</v>
      </c>
      <c r="M549" s="101" t="s">
        <v>1553</v>
      </c>
    </row>
    <row r="550" customFormat="false" ht="15" hidden="false" customHeight="true" outlineLevel="0" collapsed="false">
      <c r="A550" s="101" t="n">
        <v>549</v>
      </c>
      <c r="B550" s="100" t="n">
        <v>203</v>
      </c>
      <c r="C550" s="100" t="s">
        <v>609</v>
      </c>
      <c r="D550" s="101" t="s">
        <v>111</v>
      </c>
      <c r="E550" s="101" t="s">
        <v>1166</v>
      </c>
      <c r="F550" s="101" t="s">
        <v>1390</v>
      </c>
      <c r="G550" s="101" t="s">
        <v>2207</v>
      </c>
      <c r="H550" s="101" t="s">
        <v>1251</v>
      </c>
      <c r="I550" s="101" t="s">
        <v>1500</v>
      </c>
      <c r="J550" s="101" t="s">
        <v>1846</v>
      </c>
      <c r="K550" s="100" t="s">
        <v>2208</v>
      </c>
      <c r="L550" s="101" t="n">
        <v>2009</v>
      </c>
      <c r="M550" s="101" t="s">
        <v>1553</v>
      </c>
    </row>
    <row r="551" customFormat="false" ht="15" hidden="false" customHeight="true" outlineLevel="0" collapsed="false">
      <c r="A551" s="101" t="n">
        <v>550</v>
      </c>
      <c r="B551" s="100" t="n">
        <v>204</v>
      </c>
      <c r="C551" s="100" t="s">
        <v>235</v>
      </c>
      <c r="D551" s="101" t="s">
        <v>111</v>
      </c>
      <c r="E551" s="101" t="s">
        <v>1149</v>
      </c>
      <c r="F551" s="101" t="s">
        <v>1479</v>
      </c>
      <c r="G551" s="101" t="s">
        <v>2209</v>
      </c>
      <c r="H551" s="101" t="s">
        <v>1251</v>
      </c>
      <c r="I551" s="101" t="s">
        <v>2210</v>
      </c>
      <c r="J551" s="101" t="s">
        <v>2211</v>
      </c>
      <c r="K551" s="100" t="s">
        <v>234</v>
      </c>
      <c r="L551" s="101" t="n">
        <v>2007</v>
      </c>
      <c r="M551" s="101" t="s">
        <v>1561</v>
      </c>
    </row>
    <row r="552" customFormat="false" ht="15" hidden="false" customHeight="true" outlineLevel="0" collapsed="false">
      <c r="A552" s="101" t="n">
        <v>551</v>
      </c>
      <c r="B552" s="100" t="n">
        <v>205</v>
      </c>
      <c r="C552" s="100" t="s">
        <v>608</v>
      </c>
      <c r="D552" s="101" t="s">
        <v>111</v>
      </c>
      <c r="E552" s="101" t="s">
        <v>1223</v>
      </c>
      <c r="F552" s="101" t="s">
        <v>1190</v>
      </c>
      <c r="G552" s="101"/>
      <c r="H552" s="101" t="s">
        <v>1251</v>
      </c>
      <c r="I552" s="101" t="s">
        <v>1500</v>
      </c>
      <c r="J552" s="101" t="s">
        <v>1846</v>
      </c>
      <c r="K552" s="100" t="s">
        <v>2212</v>
      </c>
      <c r="L552" s="101" t="n">
        <v>2007</v>
      </c>
      <c r="M552" s="101" t="s">
        <v>1553</v>
      </c>
    </row>
    <row r="553" customFormat="false" ht="15" hidden="false" customHeight="true" outlineLevel="0" collapsed="false">
      <c r="A553" s="101" t="n">
        <v>552</v>
      </c>
      <c r="B553" s="100" t="n">
        <v>206</v>
      </c>
      <c r="C553" s="100" t="s">
        <v>432</v>
      </c>
      <c r="D553" s="101" t="s">
        <v>111</v>
      </c>
      <c r="E553" s="101" t="s">
        <v>1155</v>
      </c>
      <c r="F553" s="101" t="s">
        <v>1155</v>
      </c>
      <c r="G553" s="101" t="s">
        <v>2213</v>
      </c>
      <c r="H553" s="101" t="s">
        <v>1251</v>
      </c>
      <c r="I553" s="101" t="s">
        <v>1892</v>
      </c>
      <c r="J553" s="101" t="s">
        <v>1955</v>
      </c>
      <c r="K553" s="100" t="s">
        <v>2214</v>
      </c>
      <c r="L553" s="101" t="n">
        <v>2012</v>
      </c>
      <c r="M553" s="101" t="s">
        <v>1553</v>
      </c>
    </row>
    <row r="554" customFormat="false" ht="15" hidden="false" customHeight="true" outlineLevel="0" collapsed="false">
      <c r="A554" s="101" t="n">
        <v>553</v>
      </c>
      <c r="B554" s="100" t="n">
        <v>207</v>
      </c>
      <c r="C554" s="100" t="s">
        <v>607</v>
      </c>
      <c r="D554" s="101" t="s">
        <v>111</v>
      </c>
      <c r="E554" s="101" t="s">
        <v>1180</v>
      </c>
      <c r="F554" s="101" t="s">
        <v>1472</v>
      </c>
      <c r="G554" s="101" t="s">
        <v>2215</v>
      </c>
      <c r="H554" s="101" t="s">
        <v>1251</v>
      </c>
      <c r="I554" s="101" t="s">
        <v>1505</v>
      </c>
      <c r="J554" s="101" t="s">
        <v>1898</v>
      </c>
      <c r="K554" s="100" t="s">
        <v>2216</v>
      </c>
      <c r="L554" s="101" t="n">
        <v>2020</v>
      </c>
      <c r="M554" s="101" t="s">
        <v>1553</v>
      </c>
    </row>
    <row r="555" customFormat="false" ht="15" hidden="false" customHeight="true" outlineLevel="0" collapsed="false">
      <c r="A555" s="101" t="n">
        <v>554</v>
      </c>
      <c r="B555" s="100" t="n">
        <v>208</v>
      </c>
      <c r="C555" s="100" t="s">
        <v>935</v>
      </c>
      <c r="D555" s="101" t="s">
        <v>111</v>
      </c>
      <c r="E555" s="101" t="s">
        <v>1184</v>
      </c>
      <c r="F555" s="101" t="s">
        <v>1421</v>
      </c>
      <c r="G555" s="101"/>
      <c r="H555" s="101" t="s">
        <v>1251</v>
      </c>
      <c r="I555" s="101" t="s">
        <v>1500</v>
      </c>
      <c r="J555" s="101" t="s">
        <v>1852</v>
      </c>
      <c r="K555" s="100" t="s">
        <v>2217</v>
      </c>
      <c r="L555" s="101" t="n">
        <v>2011</v>
      </c>
      <c r="M555" s="101" t="s">
        <v>1553</v>
      </c>
    </row>
    <row r="556" customFormat="false" ht="15" hidden="false" customHeight="true" outlineLevel="0" collapsed="false">
      <c r="A556" s="101" t="n">
        <v>555</v>
      </c>
      <c r="B556" s="100" t="n">
        <v>209</v>
      </c>
      <c r="C556" s="100" t="s">
        <v>2218</v>
      </c>
      <c r="D556" s="101" t="s">
        <v>111</v>
      </c>
      <c r="E556" s="101" t="s">
        <v>1202</v>
      </c>
      <c r="F556" s="101" t="s">
        <v>1202</v>
      </c>
      <c r="G556" s="101" t="s">
        <v>1581</v>
      </c>
      <c r="H556" s="101" t="s">
        <v>1251</v>
      </c>
      <c r="I556" s="101" t="s">
        <v>1904</v>
      </c>
      <c r="J556" s="101" t="s">
        <v>1910</v>
      </c>
      <c r="K556" s="100" t="s">
        <v>2219</v>
      </c>
      <c r="L556" s="101" t="n">
        <v>2020</v>
      </c>
      <c r="M556" s="101" t="s">
        <v>1553</v>
      </c>
    </row>
    <row r="557" customFormat="false" ht="15" hidden="false" customHeight="true" outlineLevel="0" collapsed="false">
      <c r="A557" s="101" t="n">
        <v>556</v>
      </c>
      <c r="B557" s="100" t="n">
        <v>210</v>
      </c>
      <c r="C557" s="100" t="s">
        <v>2220</v>
      </c>
      <c r="D557" s="101" t="s">
        <v>111</v>
      </c>
      <c r="E557" s="101" t="s">
        <v>1202</v>
      </c>
      <c r="F557" s="101" t="s">
        <v>1202</v>
      </c>
      <c r="G557" s="101" t="s">
        <v>1581</v>
      </c>
      <c r="H557" s="101" t="s">
        <v>1251</v>
      </c>
      <c r="I557" s="101" t="s">
        <v>1904</v>
      </c>
      <c r="J557" s="101" t="s">
        <v>1910</v>
      </c>
      <c r="K557" s="100" t="s">
        <v>2221</v>
      </c>
      <c r="L557" s="101" t="n">
        <v>2020</v>
      </c>
      <c r="M557" s="101" t="s">
        <v>1553</v>
      </c>
    </row>
    <row r="558" customFormat="false" ht="15" hidden="false" customHeight="true" outlineLevel="0" collapsed="false">
      <c r="A558" s="101" t="n">
        <v>557</v>
      </c>
      <c r="B558" s="100" t="n">
        <v>211</v>
      </c>
      <c r="C558" s="100" t="s">
        <v>934</v>
      </c>
      <c r="D558" s="101" t="s">
        <v>111</v>
      </c>
      <c r="E558" s="101" t="s">
        <v>1200</v>
      </c>
      <c r="F558" s="101"/>
      <c r="G558" s="101"/>
      <c r="H558" s="101" t="s">
        <v>1251</v>
      </c>
      <c r="I558" s="101" t="s">
        <v>1505</v>
      </c>
      <c r="J558" s="101" t="s">
        <v>1947</v>
      </c>
      <c r="K558" s="100" t="s">
        <v>2222</v>
      </c>
      <c r="L558" s="101" t="n">
        <v>2025</v>
      </c>
      <c r="M558" s="101"/>
    </row>
    <row r="559" customFormat="false" ht="15" hidden="false" customHeight="true" outlineLevel="0" collapsed="false">
      <c r="A559" s="101" t="n">
        <v>558</v>
      </c>
      <c r="B559" s="100" t="n">
        <v>212</v>
      </c>
      <c r="C559" s="100" t="s">
        <v>933</v>
      </c>
      <c r="D559" s="101" t="s">
        <v>111</v>
      </c>
      <c r="E559" s="101" t="s">
        <v>1200</v>
      </c>
      <c r="F559" s="101"/>
      <c r="G559" s="101"/>
      <c r="H559" s="101" t="s">
        <v>1251</v>
      </c>
      <c r="I559" s="101" t="s">
        <v>1505</v>
      </c>
      <c r="J559" s="101" t="s">
        <v>1947</v>
      </c>
      <c r="K559" s="100" t="s">
        <v>2223</v>
      </c>
      <c r="L559" s="101" t="n">
        <v>2025</v>
      </c>
      <c r="M559" s="101"/>
    </row>
    <row r="560" customFormat="false" ht="15" hidden="false" customHeight="true" outlineLevel="0" collapsed="false">
      <c r="A560" s="101"/>
      <c r="B560" s="100"/>
      <c r="C560" s="100"/>
      <c r="D560" s="101"/>
      <c r="E560" s="101"/>
      <c r="F560" s="101"/>
      <c r="G560" s="101"/>
      <c r="H560" s="101"/>
      <c r="I560" s="101"/>
      <c r="J560" s="101"/>
      <c r="K560" s="100"/>
      <c r="L560" s="101"/>
      <c r="M560" s="101"/>
    </row>
    <row r="561" customFormat="false" ht="15" hidden="false" customHeight="true" outlineLevel="0" collapsed="false">
      <c r="A561" s="101" t="n">
        <v>560</v>
      </c>
      <c r="B561" s="100" t="n">
        <v>214</v>
      </c>
      <c r="C561" s="100" t="s">
        <v>2224</v>
      </c>
      <c r="D561" s="101" t="s">
        <v>111</v>
      </c>
      <c r="E561" s="101" t="s">
        <v>1204</v>
      </c>
      <c r="F561" s="101" t="s">
        <v>1386</v>
      </c>
      <c r="G561" s="101"/>
      <c r="H561" s="101" t="s">
        <v>1251</v>
      </c>
      <c r="I561" s="101" t="s">
        <v>1500</v>
      </c>
      <c r="J561" s="101" t="s">
        <v>2225</v>
      </c>
      <c r="K561" s="100" t="s">
        <v>2226</v>
      </c>
      <c r="L561" s="101" t="n">
        <v>2004</v>
      </c>
      <c r="M561" s="101" t="s">
        <v>1553</v>
      </c>
    </row>
    <row r="562" customFormat="false" ht="15" hidden="false" customHeight="true" outlineLevel="0" collapsed="false">
      <c r="A562" s="101" t="n">
        <v>561</v>
      </c>
      <c r="B562" s="100" t="n">
        <v>215</v>
      </c>
      <c r="C562" s="100" t="s">
        <v>690</v>
      </c>
      <c r="D562" s="101" t="s">
        <v>111</v>
      </c>
      <c r="E562" s="101" t="s">
        <v>1194</v>
      </c>
      <c r="F562" s="101" t="s">
        <v>1353</v>
      </c>
      <c r="G562" s="101" t="s">
        <v>2227</v>
      </c>
      <c r="H562" s="101" t="s">
        <v>1251</v>
      </c>
      <c r="I562" s="101" t="s">
        <v>1607</v>
      </c>
      <c r="J562" s="101" t="s">
        <v>1984</v>
      </c>
      <c r="K562" s="100" t="s">
        <v>2228</v>
      </c>
      <c r="L562" s="101" t="n">
        <v>2008</v>
      </c>
      <c r="M562" s="101" t="s">
        <v>1561</v>
      </c>
    </row>
    <row r="563" customFormat="false" ht="15" hidden="false" customHeight="true" outlineLevel="0" collapsed="false">
      <c r="A563" s="101" t="n">
        <v>562</v>
      </c>
      <c r="B563" s="100" t="n">
        <v>216</v>
      </c>
      <c r="C563" s="100" t="s">
        <v>2229</v>
      </c>
      <c r="D563" s="101" t="s">
        <v>111</v>
      </c>
      <c r="E563" s="101" t="s">
        <v>1202</v>
      </c>
      <c r="F563" s="101" t="s">
        <v>1202</v>
      </c>
      <c r="G563" s="101" t="s">
        <v>1711</v>
      </c>
      <c r="H563" s="101" t="s">
        <v>1251</v>
      </c>
      <c r="I563" s="101" t="s">
        <v>1904</v>
      </c>
      <c r="J563" s="101" t="s">
        <v>1910</v>
      </c>
      <c r="K563" s="100" t="s">
        <v>2230</v>
      </c>
      <c r="L563" s="101" t="n">
        <v>2020</v>
      </c>
      <c r="M563" s="101" t="s">
        <v>1553</v>
      </c>
    </row>
    <row r="564" customFormat="false" ht="15" hidden="false" customHeight="true" outlineLevel="0" collapsed="false">
      <c r="A564" s="101"/>
      <c r="B564" s="100"/>
      <c r="C564" s="100"/>
      <c r="D564" s="101"/>
      <c r="E564" s="101"/>
      <c r="F564" s="101"/>
      <c r="G564" s="101"/>
      <c r="H564" s="101"/>
      <c r="I564" s="101"/>
      <c r="J564" s="101"/>
      <c r="K564" s="100"/>
      <c r="L564" s="101"/>
      <c r="M564" s="101"/>
    </row>
    <row r="565" customFormat="false" ht="15" hidden="false" customHeight="true" outlineLevel="0" collapsed="false">
      <c r="A565" s="101" t="n">
        <v>564</v>
      </c>
      <c r="B565" s="100" t="n">
        <v>218</v>
      </c>
      <c r="C565" s="100" t="s">
        <v>606</v>
      </c>
      <c r="D565" s="101" t="s">
        <v>111</v>
      </c>
      <c r="E565" s="101" t="s">
        <v>1166</v>
      </c>
      <c r="F565" s="101" t="s">
        <v>1390</v>
      </c>
      <c r="G565" s="101" t="s">
        <v>2231</v>
      </c>
      <c r="H565" s="101" t="s">
        <v>1251</v>
      </c>
      <c r="I565" s="101" t="s">
        <v>1892</v>
      </c>
      <c r="J565" s="101" t="s">
        <v>2186</v>
      </c>
      <c r="K565" s="100" t="s">
        <v>2232</v>
      </c>
      <c r="L565" s="101" t="n">
        <v>2017</v>
      </c>
      <c r="M565" s="101" t="s">
        <v>1561</v>
      </c>
    </row>
    <row r="566" customFormat="false" ht="15" hidden="false" customHeight="true" outlineLevel="0" collapsed="false">
      <c r="A566" s="101" t="n">
        <v>565</v>
      </c>
      <c r="B566" s="100" t="n">
        <v>219</v>
      </c>
      <c r="C566" s="100" t="s">
        <v>2233</v>
      </c>
      <c r="D566" s="101" t="s">
        <v>111</v>
      </c>
      <c r="E566" s="101" t="s">
        <v>1182</v>
      </c>
      <c r="F566" s="101" t="s">
        <v>1348</v>
      </c>
      <c r="G566" s="101"/>
      <c r="H566" s="101" t="s">
        <v>1251</v>
      </c>
      <c r="I566" s="101" t="s">
        <v>1892</v>
      </c>
      <c r="J566" s="101" t="s">
        <v>1916</v>
      </c>
      <c r="K566" s="100" t="s">
        <v>2234</v>
      </c>
      <c r="L566" s="101" t="n">
        <v>2011</v>
      </c>
      <c r="M566" s="101" t="s">
        <v>1561</v>
      </c>
    </row>
    <row r="567" customFormat="false" ht="15" hidden="false" customHeight="true" outlineLevel="0" collapsed="false">
      <c r="A567" s="101" t="n">
        <v>566</v>
      </c>
      <c r="B567" s="100" t="n">
        <v>220</v>
      </c>
      <c r="C567" s="100" t="s">
        <v>2235</v>
      </c>
      <c r="D567" s="101" t="s">
        <v>111</v>
      </c>
      <c r="E567" s="101" t="s">
        <v>1182</v>
      </c>
      <c r="F567" s="101" t="s">
        <v>1348</v>
      </c>
      <c r="G567" s="101"/>
      <c r="H567" s="101" t="s">
        <v>1251</v>
      </c>
      <c r="I567" s="101" t="s">
        <v>1892</v>
      </c>
      <c r="J567" s="101" t="s">
        <v>1916</v>
      </c>
      <c r="K567" s="100" t="s">
        <v>2236</v>
      </c>
      <c r="L567" s="101" t="n">
        <v>2011</v>
      </c>
      <c r="M567" s="101" t="s">
        <v>1561</v>
      </c>
    </row>
    <row r="568" customFormat="false" ht="15" hidden="false" customHeight="true" outlineLevel="0" collapsed="false">
      <c r="A568" s="101" t="n">
        <v>567</v>
      </c>
      <c r="B568" s="100" t="n">
        <v>221</v>
      </c>
      <c r="C568" s="100" t="s">
        <v>2237</v>
      </c>
      <c r="D568" s="101" t="s">
        <v>111</v>
      </c>
      <c r="E568" s="101" t="s">
        <v>1202</v>
      </c>
      <c r="F568" s="101" t="s">
        <v>1202</v>
      </c>
      <c r="G568" s="101" t="s">
        <v>1581</v>
      </c>
      <c r="H568" s="101" t="s">
        <v>1251</v>
      </c>
      <c r="I568" s="101" t="s">
        <v>1904</v>
      </c>
      <c r="J568" s="101" t="s">
        <v>1910</v>
      </c>
      <c r="K568" s="100" t="s">
        <v>2238</v>
      </c>
      <c r="L568" s="101" t="n">
        <v>2020</v>
      </c>
      <c r="M568" s="101" t="s">
        <v>1553</v>
      </c>
    </row>
    <row r="569" customFormat="false" ht="15" hidden="false" customHeight="true" outlineLevel="0" collapsed="false">
      <c r="A569" s="101" t="n">
        <v>568</v>
      </c>
      <c r="B569" s="100" t="n">
        <v>222</v>
      </c>
      <c r="C569" s="100" t="s">
        <v>2239</v>
      </c>
      <c r="D569" s="101" t="s">
        <v>111</v>
      </c>
      <c r="E569" s="101" t="s">
        <v>1183</v>
      </c>
      <c r="F569" s="101" t="s">
        <v>1204</v>
      </c>
      <c r="G569" s="101"/>
      <c r="H569" s="101" t="s">
        <v>1251</v>
      </c>
      <c r="I569" s="101" t="s">
        <v>1892</v>
      </c>
      <c r="J569" s="101" t="s">
        <v>1916</v>
      </c>
      <c r="K569" s="100" t="s">
        <v>2240</v>
      </c>
      <c r="L569" s="101" t="n">
        <v>2011</v>
      </c>
      <c r="M569" s="101" t="s">
        <v>1561</v>
      </c>
    </row>
    <row r="570" customFormat="false" ht="15" hidden="false" customHeight="true" outlineLevel="0" collapsed="false">
      <c r="A570" s="101" t="n">
        <v>569</v>
      </c>
      <c r="B570" s="100" t="n">
        <v>223</v>
      </c>
      <c r="C570" s="100" t="s">
        <v>932</v>
      </c>
      <c r="D570" s="101" t="s">
        <v>111</v>
      </c>
      <c r="E570" s="101" t="s">
        <v>1184</v>
      </c>
      <c r="F570" s="101" t="s">
        <v>1421</v>
      </c>
      <c r="G570" s="101" t="s">
        <v>1541</v>
      </c>
      <c r="H570" s="101" t="s">
        <v>1251</v>
      </c>
      <c r="I570" s="101" t="s">
        <v>1505</v>
      </c>
      <c r="J570" s="101" t="s">
        <v>1901</v>
      </c>
      <c r="K570" s="100" t="s">
        <v>2241</v>
      </c>
      <c r="L570" s="101" t="n">
        <v>2019</v>
      </c>
      <c r="M570" s="101" t="s">
        <v>1553</v>
      </c>
    </row>
    <row r="571" customFormat="false" ht="15" hidden="false" customHeight="true" outlineLevel="0" collapsed="false">
      <c r="A571" s="101" t="n">
        <v>570</v>
      </c>
      <c r="B571" s="100" t="n">
        <v>224</v>
      </c>
      <c r="C571" s="100" t="s">
        <v>895</v>
      </c>
      <c r="D571" s="101" t="s">
        <v>111</v>
      </c>
      <c r="E571" s="101" t="s">
        <v>1163</v>
      </c>
      <c r="F571" s="101" t="s">
        <v>1799</v>
      </c>
      <c r="G571" s="101" t="s">
        <v>2242</v>
      </c>
      <c r="H571" s="101" t="s">
        <v>1251</v>
      </c>
      <c r="I571" s="101" t="s">
        <v>1607</v>
      </c>
      <c r="J571" s="101" t="s">
        <v>1984</v>
      </c>
      <c r="K571" s="100" t="s">
        <v>2243</v>
      </c>
      <c r="L571" s="101" t="n">
        <v>2008</v>
      </c>
      <c r="M571" s="101" t="s">
        <v>1561</v>
      </c>
    </row>
    <row r="572" customFormat="false" ht="15" hidden="false" customHeight="true" outlineLevel="0" collapsed="false">
      <c r="A572" s="101" t="n">
        <v>571</v>
      </c>
      <c r="B572" s="100" t="n">
        <v>225</v>
      </c>
      <c r="C572" s="100" t="s">
        <v>431</v>
      </c>
      <c r="D572" s="101" t="s">
        <v>111</v>
      </c>
      <c r="E572" s="101" t="s">
        <v>1208</v>
      </c>
      <c r="F572" s="101" t="s">
        <v>1850</v>
      </c>
      <c r="G572" s="101" t="s">
        <v>2244</v>
      </c>
      <c r="H572" s="101" t="s">
        <v>1251</v>
      </c>
      <c r="I572" s="101" t="s">
        <v>1505</v>
      </c>
      <c r="J572" s="101" t="s">
        <v>1852</v>
      </c>
      <c r="K572" s="100" t="s">
        <v>2245</v>
      </c>
      <c r="L572" s="101" t="n">
        <v>2010</v>
      </c>
      <c r="M572" s="101" t="s">
        <v>1553</v>
      </c>
    </row>
    <row r="573" customFormat="false" ht="15" hidden="false" customHeight="true" outlineLevel="0" collapsed="false">
      <c r="A573" s="101" t="n">
        <v>572</v>
      </c>
      <c r="B573" s="100" t="n">
        <v>226</v>
      </c>
      <c r="C573" s="100" t="s">
        <v>2246</v>
      </c>
      <c r="D573" s="101" t="s">
        <v>111</v>
      </c>
      <c r="E573" s="101" t="s">
        <v>1161</v>
      </c>
      <c r="F573" s="101" t="s">
        <v>1161</v>
      </c>
      <c r="G573" s="101" t="s">
        <v>1433</v>
      </c>
      <c r="H573" s="101" t="s">
        <v>1251</v>
      </c>
      <c r="I573" s="101" t="s">
        <v>1892</v>
      </c>
      <c r="J573" s="101" t="s">
        <v>2186</v>
      </c>
      <c r="K573" s="100" t="s">
        <v>2247</v>
      </c>
      <c r="L573" s="101" t="n">
        <v>2017</v>
      </c>
      <c r="M573" s="101" t="s">
        <v>1561</v>
      </c>
    </row>
    <row r="574" customFormat="false" ht="15" hidden="false" customHeight="true" outlineLevel="0" collapsed="false">
      <c r="A574" s="101" t="n">
        <v>573</v>
      </c>
      <c r="B574" s="100" t="n">
        <v>227</v>
      </c>
      <c r="C574" s="100" t="s">
        <v>175</v>
      </c>
      <c r="D574" s="101" t="s">
        <v>111</v>
      </c>
      <c r="E574" s="101" t="s">
        <v>1184</v>
      </c>
      <c r="F574" s="101" t="s">
        <v>1421</v>
      </c>
      <c r="G574" s="101"/>
      <c r="H574" s="101" t="s">
        <v>1251</v>
      </c>
      <c r="I574" s="101" t="s">
        <v>1505</v>
      </c>
      <c r="J574" s="101" t="s">
        <v>1811</v>
      </c>
      <c r="K574" s="100" t="s">
        <v>174</v>
      </c>
      <c r="L574" s="101" t="n">
        <v>2011</v>
      </c>
      <c r="M574" s="101" t="s">
        <v>1553</v>
      </c>
    </row>
    <row r="575" customFormat="false" ht="15" hidden="false" customHeight="true" outlineLevel="0" collapsed="false">
      <c r="A575" s="101" t="n">
        <v>574</v>
      </c>
      <c r="B575" s="100" t="n">
        <v>228</v>
      </c>
      <c r="C575" s="100" t="s">
        <v>931</v>
      </c>
      <c r="D575" s="101" t="s">
        <v>111</v>
      </c>
      <c r="E575" s="101" t="s">
        <v>1184</v>
      </c>
      <c r="F575" s="101" t="s">
        <v>1421</v>
      </c>
      <c r="G575" s="101" t="s">
        <v>1711</v>
      </c>
      <c r="H575" s="101" t="s">
        <v>1251</v>
      </c>
      <c r="I575" s="101" t="s">
        <v>1505</v>
      </c>
      <c r="J575" s="101" t="s">
        <v>1901</v>
      </c>
      <c r="K575" s="100" t="s">
        <v>2248</v>
      </c>
      <c r="L575" s="101" t="n">
        <v>2019</v>
      </c>
      <c r="M575" s="101" t="s">
        <v>1553</v>
      </c>
    </row>
    <row r="576" customFormat="false" ht="15" hidden="false" customHeight="true" outlineLevel="0" collapsed="false">
      <c r="A576" s="101" t="n">
        <v>575</v>
      </c>
      <c r="B576" s="100" t="n">
        <v>229</v>
      </c>
      <c r="C576" s="100" t="s">
        <v>605</v>
      </c>
      <c r="D576" s="101" t="s">
        <v>111</v>
      </c>
      <c r="E576" s="101" t="s">
        <v>1166</v>
      </c>
      <c r="F576" s="101" t="s">
        <v>1390</v>
      </c>
      <c r="G576" s="101" t="s">
        <v>2249</v>
      </c>
      <c r="H576" s="101" t="s">
        <v>1251</v>
      </c>
      <c r="I576" s="101" t="s">
        <v>1904</v>
      </c>
      <c r="J576" s="101" t="s">
        <v>1910</v>
      </c>
      <c r="K576" s="100" t="s">
        <v>2250</v>
      </c>
      <c r="L576" s="101" t="n">
        <v>2020</v>
      </c>
      <c r="M576" s="101" t="s">
        <v>1553</v>
      </c>
    </row>
    <row r="577" customFormat="false" ht="15" hidden="false" customHeight="true" outlineLevel="0" collapsed="false">
      <c r="A577" s="101" t="n">
        <v>576</v>
      </c>
      <c r="B577" s="100" t="n">
        <v>230</v>
      </c>
      <c r="C577" s="100" t="s">
        <v>2251</v>
      </c>
      <c r="D577" s="101" t="s">
        <v>111</v>
      </c>
      <c r="E577" s="101" t="s">
        <v>1154</v>
      </c>
      <c r="F577" s="101" t="s">
        <v>1458</v>
      </c>
      <c r="G577" s="101" t="s">
        <v>1401</v>
      </c>
      <c r="H577" s="101" t="s">
        <v>1251</v>
      </c>
      <c r="I577" s="101" t="s">
        <v>1892</v>
      </c>
      <c r="J577" s="101" t="s">
        <v>1955</v>
      </c>
      <c r="K577" s="100" t="s">
        <v>2252</v>
      </c>
      <c r="L577" s="101" t="n">
        <v>2009</v>
      </c>
      <c r="M577" s="101" t="s">
        <v>1553</v>
      </c>
    </row>
    <row r="578" customFormat="false" ht="15" hidden="false" customHeight="true" outlineLevel="0" collapsed="false">
      <c r="A578" s="101" t="n">
        <v>577</v>
      </c>
      <c r="B578" s="100" t="n">
        <v>231</v>
      </c>
      <c r="C578" s="100" t="s">
        <v>604</v>
      </c>
      <c r="D578" s="101" t="s">
        <v>111</v>
      </c>
      <c r="E578" s="101" t="s">
        <v>1164</v>
      </c>
      <c r="F578" s="101" t="s">
        <v>1164</v>
      </c>
      <c r="G578" s="101" t="s">
        <v>1360</v>
      </c>
      <c r="H578" s="101" t="s">
        <v>1251</v>
      </c>
      <c r="I578" s="101" t="s">
        <v>1505</v>
      </c>
      <c r="J578" s="101" t="s">
        <v>1846</v>
      </c>
      <c r="K578" s="100" t="s">
        <v>2253</v>
      </c>
      <c r="L578" s="101" t="n">
        <v>2008</v>
      </c>
      <c r="M578" s="101" t="s">
        <v>1553</v>
      </c>
    </row>
    <row r="579" customFormat="false" ht="15" hidden="false" customHeight="true" outlineLevel="0" collapsed="false">
      <c r="A579" s="101" t="n">
        <v>578</v>
      </c>
      <c r="B579" s="100" t="n">
        <v>232</v>
      </c>
      <c r="C579" s="100" t="s">
        <v>2254</v>
      </c>
      <c r="D579" s="101" t="s">
        <v>111</v>
      </c>
      <c r="E579" s="101" t="s">
        <v>1204</v>
      </c>
      <c r="F579" s="101" t="s">
        <v>1324</v>
      </c>
      <c r="G579" s="101" t="s">
        <v>2255</v>
      </c>
      <c r="H579" s="101" t="s">
        <v>1251</v>
      </c>
      <c r="I579" s="101" t="s">
        <v>1505</v>
      </c>
      <c r="J579" s="101" t="s">
        <v>1852</v>
      </c>
      <c r="K579" s="100" t="s">
        <v>2256</v>
      </c>
      <c r="L579" s="101" t="n">
        <v>2014</v>
      </c>
      <c r="M579" s="101" t="s">
        <v>1553</v>
      </c>
    </row>
    <row r="580" customFormat="false" ht="15" hidden="false" customHeight="true" outlineLevel="0" collapsed="false">
      <c r="A580" s="101" t="n">
        <v>579</v>
      </c>
      <c r="B580" s="100" t="n">
        <v>233</v>
      </c>
      <c r="C580" s="100" t="s">
        <v>2257</v>
      </c>
      <c r="D580" s="101" t="s">
        <v>111</v>
      </c>
      <c r="E580" s="101" t="s">
        <v>1204</v>
      </c>
      <c r="F580" s="101" t="s">
        <v>1324</v>
      </c>
      <c r="G580" s="101" t="s">
        <v>2258</v>
      </c>
      <c r="H580" s="101" t="s">
        <v>1251</v>
      </c>
      <c r="I580" s="101" t="s">
        <v>1505</v>
      </c>
      <c r="J580" s="101" t="s">
        <v>1852</v>
      </c>
      <c r="K580" s="100" t="s">
        <v>2259</v>
      </c>
      <c r="L580" s="101" t="n">
        <v>2014</v>
      </c>
      <c r="M580" s="101" t="s">
        <v>1553</v>
      </c>
    </row>
    <row r="581" customFormat="false" ht="15" hidden="false" customHeight="true" outlineLevel="0" collapsed="false">
      <c r="A581" s="101" t="n">
        <v>580</v>
      </c>
      <c r="B581" s="100" t="n">
        <v>234</v>
      </c>
      <c r="C581" s="100" t="s">
        <v>2260</v>
      </c>
      <c r="D581" s="101" t="s">
        <v>111</v>
      </c>
      <c r="E581" s="101" t="s">
        <v>1204</v>
      </c>
      <c r="F581" s="101" t="s">
        <v>1324</v>
      </c>
      <c r="G581" s="101" t="s">
        <v>2261</v>
      </c>
      <c r="H581" s="101" t="s">
        <v>1251</v>
      </c>
      <c r="I581" s="101" t="s">
        <v>1505</v>
      </c>
      <c r="J581" s="101" t="s">
        <v>1852</v>
      </c>
      <c r="K581" s="100" t="s">
        <v>2262</v>
      </c>
      <c r="L581" s="101" t="n">
        <v>2014</v>
      </c>
      <c r="M581" s="101" t="s">
        <v>1553</v>
      </c>
    </row>
    <row r="582" customFormat="false" ht="15" hidden="false" customHeight="true" outlineLevel="0" collapsed="false">
      <c r="A582" s="101" t="n">
        <v>581</v>
      </c>
      <c r="B582" s="100" t="n">
        <v>235</v>
      </c>
      <c r="C582" s="100" t="s">
        <v>2263</v>
      </c>
      <c r="D582" s="101" t="s">
        <v>111</v>
      </c>
      <c r="E582" s="101" t="s">
        <v>1204</v>
      </c>
      <c r="F582" s="101" t="s">
        <v>1324</v>
      </c>
      <c r="G582" s="101" t="s">
        <v>2264</v>
      </c>
      <c r="H582" s="101" t="s">
        <v>1251</v>
      </c>
      <c r="I582" s="101" t="s">
        <v>1505</v>
      </c>
      <c r="J582" s="101" t="s">
        <v>1852</v>
      </c>
      <c r="K582" s="100" t="s">
        <v>2265</v>
      </c>
      <c r="L582" s="101" t="n">
        <v>2014</v>
      </c>
      <c r="M582" s="101" t="s">
        <v>1553</v>
      </c>
    </row>
    <row r="583" customFormat="false" ht="15" hidden="false" customHeight="true" outlineLevel="0" collapsed="false">
      <c r="A583" s="101" t="n">
        <v>582</v>
      </c>
      <c r="B583" s="100" t="n">
        <v>236</v>
      </c>
      <c r="C583" s="100" t="s">
        <v>2266</v>
      </c>
      <c r="D583" s="101" t="s">
        <v>111</v>
      </c>
      <c r="E583" s="101" t="s">
        <v>1204</v>
      </c>
      <c r="F583" s="101" t="s">
        <v>1324</v>
      </c>
      <c r="G583" s="101" t="s">
        <v>2267</v>
      </c>
      <c r="H583" s="101" t="s">
        <v>1251</v>
      </c>
      <c r="I583" s="101" t="s">
        <v>1505</v>
      </c>
      <c r="J583" s="101" t="s">
        <v>1852</v>
      </c>
      <c r="K583" s="100" t="s">
        <v>2268</v>
      </c>
      <c r="L583" s="101" t="n">
        <v>2014</v>
      </c>
      <c r="M583" s="101" t="s">
        <v>1553</v>
      </c>
    </row>
    <row r="584" customFormat="false" ht="15" hidden="false" customHeight="true" outlineLevel="0" collapsed="false">
      <c r="A584" s="101" t="n">
        <v>583</v>
      </c>
      <c r="B584" s="100" t="n">
        <v>237</v>
      </c>
      <c r="C584" s="100" t="s">
        <v>2269</v>
      </c>
      <c r="D584" s="101" t="s">
        <v>111</v>
      </c>
      <c r="E584" s="101" t="s">
        <v>1204</v>
      </c>
      <c r="F584" s="101" t="s">
        <v>1324</v>
      </c>
      <c r="G584" s="101" t="s">
        <v>2270</v>
      </c>
      <c r="H584" s="101" t="s">
        <v>1251</v>
      </c>
      <c r="I584" s="101" t="s">
        <v>1505</v>
      </c>
      <c r="J584" s="101" t="s">
        <v>1852</v>
      </c>
      <c r="K584" s="100" t="s">
        <v>2271</v>
      </c>
      <c r="L584" s="101" t="n">
        <v>2014</v>
      </c>
      <c r="M584" s="101" t="s">
        <v>1553</v>
      </c>
    </row>
    <row r="585" customFormat="false" ht="15" hidden="false" customHeight="true" outlineLevel="0" collapsed="false">
      <c r="A585" s="101" t="n">
        <v>584</v>
      </c>
      <c r="B585" s="100" t="n">
        <v>238</v>
      </c>
      <c r="C585" s="100" t="s">
        <v>930</v>
      </c>
      <c r="D585" s="101" t="s">
        <v>111</v>
      </c>
      <c r="E585" s="101" t="s">
        <v>1204</v>
      </c>
      <c r="F585" s="101" t="s">
        <v>2272</v>
      </c>
      <c r="G585" s="101" t="s">
        <v>2273</v>
      </c>
      <c r="H585" s="101" t="s">
        <v>1954</v>
      </c>
      <c r="I585" s="101" t="s">
        <v>1505</v>
      </c>
      <c r="J585" s="101" t="s">
        <v>1852</v>
      </c>
      <c r="K585" s="100" t="s">
        <v>2274</v>
      </c>
      <c r="L585" s="101" t="n">
        <v>2014</v>
      </c>
      <c r="M585" s="101" t="s">
        <v>1553</v>
      </c>
    </row>
    <row r="586" customFormat="false" ht="15" hidden="false" customHeight="true" outlineLevel="0" collapsed="false">
      <c r="A586" s="101" t="n">
        <v>585</v>
      </c>
      <c r="B586" s="100" t="n">
        <v>239</v>
      </c>
      <c r="C586" s="100" t="s">
        <v>2275</v>
      </c>
      <c r="D586" s="101" t="s">
        <v>111</v>
      </c>
      <c r="E586" s="101" t="s">
        <v>1204</v>
      </c>
      <c r="F586" s="101" t="s">
        <v>1324</v>
      </c>
      <c r="G586" s="101" t="s">
        <v>2276</v>
      </c>
      <c r="H586" s="101" t="s">
        <v>1251</v>
      </c>
      <c r="I586" s="101" t="s">
        <v>1505</v>
      </c>
      <c r="J586" s="101" t="s">
        <v>1852</v>
      </c>
      <c r="K586" s="100" t="s">
        <v>2277</v>
      </c>
      <c r="L586" s="101" t="n">
        <v>2014</v>
      </c>
      <c r="M586" s="101" t="s">
        <v>1553</v>
      </c>
    </row>
    <row r="587" customFormat="false" ht="15" hidden="false" customHeight="true" outlineLevel="0" collapsed="false">
      <c r="A587" s="101" t="n">
        <v>586</v>
      </c>
      <c r="B587" s="100" t="n">
        <v>240</v>
      </c>
      <c r="C587" s="100" t="s">
        <v>2278</v>
      </c>
      <c r="D587" s="101" t="s">
        <v>111</v>
      </c>
      <c r="E587" s="101" t="s">
        <v>1204</v>
      </c>
      <c r="F587" s="101" t="s">
        <v>1324</v>
      </c>
      <c r="G587" s="101" t="s">
        <v>2279</v>
      </c>
      <c r="H587" s="101" t="s">
        <v>1251</v>
      </c>
      <c r="I587" s="101" t="s">
        <v>1505</v>
      </c>
      <c r="J587" s="101" t="s">
        <v>1852</v>
      </c>
      <c r="K587" s="100" t="s">
        <v>2280</v>
      </c>
      <c r="L587" s="101" t="n">
        <v>2014</v>
      </c>
      <c r="M587" s="101" t="s">
        <v>1553</v>
      </c>
    </row>
    <row r="588" customFormat="false" ht="15" hidden="false" customHeight="true" outlineLevel="0" collapsed="false">
      <c r="A588" s="101" t="n">
        <v>587</v>
      </c>
      <c r="B588" s="100" t="n">
        <v>241</v>
      </c>
      <c r="C588" s="100" t="s">
        <v>603</v>
      </c>
      <c r="D588" s="101" t="s">
        <v>111</v>
      </c>
      <c r="E588" s="101" t="s">
        <v>1180</v>
      </c>
      <c r="F588" s="101" t="s">
        <v>1472</v>
      </c>
      <c r="G588" s="101" t="s">
        <v>2281</v>
      </c>
      <c r="H588" s="101" t="s">
        <v>1251</v>
      </c>
      <c r="I588" s="101" t="s">
        <v>1505</v>
      </c>
      <c r="J588" s="101" t="s">
        <v>1898</v>
      </c>
      <c r="K588" s="100" t="s">
        <v>2282</v>
      </c>
      <c r="L588" s="101" t="n">
        <v>2015</v>
      </c>
      <c r="M588" s="101" t="s">
        <v>1553</v>
      </c>
    </row>
    <row r="589" customFormat="false" ht="15" hidden="false" customHeight="true" outlineLevel="0" collapsed="false">
      <c r="A589" s="101" t="n">
        <v>588</v>
      </c>
      <c r="B589" s="100" t="n">
        <v>242</v>
      </c>
      <c r="C589" s="100" t="s">
        <v>602</v>
      </c>
      <c r="D589" s="101" t="s">
        <v>111</v>
      </c>
      <c r="E589" s="101" t="s">
        <v>1180</v>
      </c>
      <c r="F589" s="101" t="s">
        <v>1472</v>
      </c>
      <c r="G589" s="101" t="s">
        <v>2283</v>
      </c>
      <c r="H589" s="101" t="s">
        <v>1251</v>
      </c>
      <c r="I589" s="101" t="s">
        <v>1505</v>
      </c>
      <c r="J589" s="101" t="s">
        <v>1898</v>
      </c>
      <c r="K589" s="100" t="s">
        <v>2284</v>
      </c>
      <c r="L589" s="101" t="n">
        <v>2015</v>
      </c>
      <c r="M589" s="101" t="s">
        <v>1553</v>
      </c>
    </row>
    <row r="590" customFormat="false" ht="15" hidden="false" customHeight="true" outlineLevel="0" collapsed="false">
      <c r="A590" s="101" t="n">
        <v>589</v>
      </c>
      <c r="B590" s="100" t="n">
        <v>243</v>
      </c>
      <c r="C590" s="100" t="s">
        <v>601</v>
      </c>
      <c r="D590" s="101" t="s">
        <v>111</v>
      </c>
      <c r="E590" s="101" t="s">
        <v>1180</v>
      </c>
      <c r="F590" s="101" t="s">
        <v>1472</v>
      </c>
      <c r="G590" s="101" t="s">
        <v>2285</v>
      </c>
      <c r="H590" s="101" t="s">
        <v>1251</v>
      </c>
      <c r="I590" s="101" t="s">
        <v>1505</v>
      </c>
      <c r="J590" s="101" t="s">
        <v>1898</v>
      </c>
      <c r="K590" s="100" t="s">
        <v>2286</v>
      </c>
      <c r="L590" s="101" t="n">
        <v>2015</v>
      </c>
      <c r="M590" s="101" t="s">
        <v>1553</v>
      </c>
    </row>
    <row r="591" customFormat="false" ht="15" hidden="false" customHeight="true" outlineLevel="0" collapsed="false">
      <c r="A591" s="101" t="n">
        <v>590</v>
      </c>
      <c r="B591" s="100" t="n">
        <v>244</v>
      </c>
      <c r="C591" s="100" t="s">
        <v>600</v>
      </c>
      <c r="D591" s="101" t="s">
        <v>111</v>
      </c>
      <c r="E591" s="101" t="s">
        <v>1180</v>
      </c>
      <c r="F591" s="101" t="s">
        <v>1472</v>
      </c>
      <c r="G591" s="101" t="s">
        <v>2287</v>
      </c>
      <c r="H591" s="101" t="s">
        <v>1251</v>
      </c>
      <c r="I591" s="101" t="s">
        <v>1505</v>
      </c>
      <c r="J591" s="101" t="s">
        <v>1898</v>
      </c>
      <c r="K591" s="100" t="s">
        <v>2288</v>
      </c>
      <c r="L591" s="101" t="n">
        <v>2015</v>
      </c>
      <c r="M591" s="101" t="s">
        <v>1553</v>
      </c>
    </row>
    <row r="592" customFormat="false" ht="15" hidden="false" customHeight="true" outlineLevel="0" collapsed="false">
      <c r="A592" s="101" t="n">
        <v>591</v>
      </c>
      <c r="B592" s="100" t="n">
        <v>245</v>
      </c>
      <c r="C592" s="100" t="s">
        <v>599</v>
      </c>
      <c r="D592" s="101" t="s">
        <v>111</v>
      </c>
      <c r="E592" s="101" t="s">
        <v>1180</v>
      </c>
      <c r="F592" s="101" t="s">
        <v>1472</v>
      </c>
      <c r="G592" s="101" t="s">
        <v>2289</v>
      </c>
      <c r="H592" s="101" t="s">
        <v>1251</v>
      </c>
      <c r="I592" s="101" t="s">
        <v>1505</v>
      </c>
      <c r="J592" s="101" t="s">
        <v>1898</v>
      </c>
      <c r="K592" s="100" t="s">
        <v>2290</v>
      </c>
      <c r="L592" s="101" t="n">
        <v>2015</v>
      </c>
      <c r="M592" s="101" t="s">
        <v>1553</v>
      </c>
    </row>
    <row r="593" customFormat="false" ht="15" hidden="false" customHeight="true" outlineLevel="0" collapsed="false">
      <c r="A593" s="101" t="n">
        <v>592</v>
      </c>
      <c r="B593" s="100" t="n">
        <v>246</v>
      </c>
      <c r="C593" s="100" t="s">
        <v>598</v>
      </c>
      <c r="D593" s="101" t="s">
        <v>111</v>
      </c>
      <c r="E593" s="101" t="s">
        <v>1180</v>
      </c>
      <c r="F593" s="101" t="s">
        <v>1472</v>
      </c>
      <c r="G593" s="101" t="s">
        <v>2291</v>
      </c>
      <c r="H593" s="101" t="s">
        <v>1251</v>
      </c>
      <c r="I593" s="101" t="s">
        <v>1505</v>
      </c>
      <c r="J593" s="101" t="s">
        <v>1898</v>
      </c>
      <c r="K593" s="100" t="s">
        <v>2292</v>
      </c>
      <c r="L593" s="101" t="n">
        <v>2015</v>
      </c>
      <c r="M593" s="101" t="s">
        <v>1553</v>
      </c>
    </row>
    <row r="594" customFormat="false" ht="15" hidden="false" customHeight="true" outlineLevel="0" collapsed="false">
      <c r="A594" s="101" t="n">
        <v>593</v>
      </c>
      <c r="B594" s="100" t="n">
        <v>247</v>
      </c>
      <c r="C594" s="100" t="s">
        <v>597</v>
      </c>
      <c r="D594" s="101" t="s">
        <v>111</v>
      </c>
      <c r="E594" s="101" t="s">
        <v>1180</v>
      </c>
      <c r="F594" s="101" t="s">
        <v>1472</v>
      </c>
      <c r="G594" s="101" t="s">
        <v>2068</v>
      </c>
      <c r="H594" s="101" t="s">
        <v>1251</v>
      </c>
      <c r="I594" s="101" t="s">
        <v>1505</v>
      </c>
      <c r="J594" s="101" t="s">
        <v>1898</v>
      </c>
      <c r="K594" s="100" t="s">
        <v>2293</v>
      </c>
      <c r="L594" s="101" t="n">
        <v>2015</v>
      </c>
      <c r="M594" s="101" t="s">
        <v>1553</v>
      </c>
    </row>
    <row r="595" customFormat="false" ht="15" hidden="false" customHeight="true" outlineLevel="0" collapsed="false">
      <c r="A595" s="101" t="n">
        <v>594</v>
      </c>
      <c r="B595" s="100" t="n">
        <v>248</v>
      </c>
      <c r="C595" s="100" t="s">
        <v>2294</v>
      </c>
      <c r="D595" s="101" t="s">
        <v>111</v>
      </c>
      <c r="E595" s="101" t="s">
        <v>1189</v>
      </c>
      <c r="F595" s="101" t="s">
        <v>1201</v>
      </c>
      <c r="G595" s="101" t="s">
        <v>2295</v>
      </c>
      <c r="H595" s="101" t="s">
        <v>1251</v>
      </c>
      <c r="I595" s="101" t="s">
        <v>1505</v>
      </c>
      <c r="J595" s="101" t="s">
        <v>1898</v>
      </c>
      <c r="K595" s="100" t="s">
        <v>2296</v>
      </c>
      <c r="L595" s="101" t="n">
        <v>2015</v>
      </c>
      <c r="M595" s="101" t="s">
        <v>1553</v>
      </c>
    </row>
    <row r="596" customFormat="false" ht="15" hidden="false" customHeight="true" outlineLevel="0" collapsed="false">
      <c r="A596" s="101" t="n">
        <v>595</v>
      </c>
      <c r="B596" s="100" t="n">
        <v>249</v>
      </c>
      <c r="C596" s="100" t="s">
        <v>596</v>
      </c>
      <c r="D596" s="101" t="s">
        <v>111</v>
      </c>
      <c r="E596" s="101" t="s">
        <v>1180</v>
      </c>
      <c r="F596" s="101" t="s">
        <v>1472</v>
      </c>
      <c r="G596" s="101" t="s">
        <v>2297</v>
      </c>
      <c r="H596" s="101" t="s">
        <v>1251</v>
      </c>
      <c r="I596" s="101" t="s">
        <v>1505</v>
      </c>
      <c r="J596" s="101" t="s">
        <v>1898</v>
      </c>
      <c r="K596" s="100" t="s">
        <v>2298</v>
      </c>
      <c r="L596" s="101" t="n">
        <v>2015</v>
      </c>
      <c r="M596" s="101" t="s">
        <v>1553</v>
      </c>
    </row>
    <row r="597" customFormat="false" ht="15" hidden="false" customHeight="true" outlineLevel="0" collapsed="false">
      <c r="A597" s="101" t="n">
        <v>596</v>
      </c>
      <c r="B597" s="100" t="n">
        <v>250</v>
      </c>
      <c r="C597" s="100" t="s">
        <v>595</v>
      </c>
      <c r="D597" s="101" t="s">
        <v>111</v>
      </c>
      <c r="E597" s="101" t="s">
        <v>1180</v>
      </c>
      <c r="F597" s="101" t="s">
        <v>1472</v>
      </c>
      <c r="G597" s="101" t="s">
        <v>2299</v>
      </c>
      <c r="H597" s="101" t="s">
        <v>1251</v>
      </c>
      <c r="I597" s="101" t="s">
        <v>1505</v>
      </c>
      <c r="J597" s="101" t="s">
        <v>1898</v>
      </c>
      <c r="K597" s="100" t="s">
        <v>2300</v>
      </c>
      <c r="L597" s="101" t="n">
        <v>2015</v>
      </c>
      <c r="M597" s="101" t="s">
        <v>1553</v>
      </c>
    </row>
    <row r="598" customFormat="false" ht="15" hidden="false" customHeight="true" outlineLevel="0" collapsed="false">
      <c r="A598" s="101" t="n">
        <v>597</v>
      </c>
      <c r="B598" s="100" t="n">
        <v>251</v>
      </c>
      <c r="C598" s="100" t="s">
        <v>2301</v>
      </c>
      <c r="D598" s="101" t="s">
        <v>111</v>
      </c>
      <c r="E598" s="101" t="s">
        <v>1204</v>
      </c>
      <c r="F598" s="101" t="s">
        <v>1386</v>
      </c>
      <c r="G598" s="101" t="s">
        <v>1461</v>
      </c>
      <c r="H598" s="101" t="s">
        <v>1251</v>
      </c>
      <c r="I598" s="101" t="s">
        <v>1505</v>
      </c>
      <c r="J598" s="101" t="s">
        <v>2225</v>
      </c>
      <c r="K598" s="100" t="s">
        <v>2302</v>
      </c>
      <c r="L598" s="101" t="n">
        <v>2015</v>
      </c>
      <c r="M598" s="101" t="s">
        <v>1553</v>
      </c>
    </row>
    <row r="599" customFormat="false" ht="15" hidden="false" customHeight="true" outlineLevel="0" collapsed="false">
      <c r="A599" s="101"/>
      <c r="B599" s="100"/>
      <c r="C599" s="100"/>
      <c r="D599" s="101"/>
      <c r="E599" s="101"/>
      <c r="F599" s="101"/>
      <c r="G599" s="101"/>
      <c r="H599" s="101"/>
      <c r="I599" s="101"/>
      <c r="J599" s="101"/>
      <c r="K599" s="100"/>
      <c r="L599" s="101"/>
      <c r="M599" s="101"/>
    </row>
    <row r="600" customFormat="false" ht="15" hidden="false" customHeight="true" outlineLevel="0" collapsed="false">
      <c r="A600" s="101"/>
      <c r="B600" s="100"/>
      <c r="C600" s="100"/>
      <c r="D600" s="101"/>
      <c r="E600" s="101"/>
      <c r="F600" s="101"/>
      <c r="G600" s="101"/>
      <c r="H600" s="101"/>
      <c r="I600" s="101"/>
      <c r="J600" s="101"/>
      <c r="K600" s="100"/>
      <c r="L600" s="101"/>
      <c r="M600" s="101"/>
    </row>
    <row r="601" customFormat="false" ht="15" hidden="false" customHeight="true" outlineLevel="0" collapsed="false">
      <c r="A601" s="101" t="n">
        <v>600</v>
      </c>
      <c r="B601" s="100" t="n">
        <v>254</v>
      </c>
      <c r="C601" s="100" t="s">
        <v>2303</v>
      </c>
      <c r="D601" s="101" t="s">
        <v>111</v>
      </c>
      <c r="E601" s="101" t="s">
        <v>1204</v>
      </c>
      <c r="F601" s="101" t="s">
        <v>1386</v>
      </c>
      <c r="G601" s="101" t="s">
        <v>1461</v>
      </c>
      <c r="H601" s="101" t="s">
        <v>1251</v>
      </c>
      <c r="I601" s="101" t="s">
        <v>1505</v>
      </c>
      <c r="J601" s="101" t="s">
        <v>2225</v>
      </c>
      <c r="K601" s="100" t="s">
        <v>2304</v>
      </c>
      <c r="L601" s="101" t="n">
        <v>2015</v>
      </c>
      <c r="M601" s="101" t="s">
        <v>1553</v>
      </c>
    </row>
    <row r="602" customFormat="false" ht="15" hidden="false" customHeight="true" outlineLevel="0" collapsed="false">
      <c r="A602" s="101" t="n">
        <v>601</v>
      </c>
      <c r="B602" s="100" t="n">
        <v>255</v>
      </c>
      <c r="C602" s="100" t="s">
        <v>768</v>
      </c>
      <c r="D602" s="101" t="s">
        <v>111</v>
      </c>
      <c r="E602" s="101" t="s">
        <v>2305</v>
      </c>
      <c r="F602" s="101" t="s">
        <v>2305</v>
      </c>
      <c r="G602" s="101"/>
      <c r="H602" s="101" t="s">
        <v>1434</v>
      </c>
      <c r="I602" s="101" t="s">
        <v>1892</v>
      </c>
      <c r="J602" s="101" t="s">
        <v>2306</v>
      </c>
      <c r="K602" s="100" t="s">
        <v>2307</v>
      </c>
      <c r="L602" s="101" t="n">
        <v>2014</v>
      </c>
      <c r="M602" s="101" t="s">
        <v>1561</v>
      </c>
    </row>
    <row r="603" customFormat="false" ht="15" hidden="false" customHeight="true" outlineLevel="0" collapsed="false">
      <c r="A603" s="101" t="n">
        <v>602</v>
      </c>
      <c r="B603" s="100" t="n">
        <v>256</v>
      </c>
      <c r="C603" s="100" t="s">
        <v>767</v>
      </c>
      <c r="D603" s="101" t="s">
        <v>111</v>
      </c>
      <c r="E603" s="101" t="s">
        <v>1215</v>
      </c>
      <c r="F603" s="101" t="s">
        <v>1215</v>
      </c>
      <c r="G603" s="101" t="s">
        <v>2308</v>
      </c>
      <c r="H603" s="101" t="s">
        <v>1434</v>
      </c>
      <c r="I603" s="101" t="s">
        <v>1892</v>
      </c>
      <c r="J603" s="101" t="s">
        <v>2306</v>
      </c>
      <c r="K603" s="100" t="s">
        <v>2309</v>
      </c>
      <c r="L603" s="101" t="n">
        <v>2014</v>
      </c>
      <c r="M603" s="101" t="s">
        <v>1561</v>
      </c>
    </row>
    <row r="604" customFormat="false" ht="15" hidden="false" customHeight="true" outlineLevel="0" collapsed="false">
      <c r="A604" s="101" t="n">
        <v>603</v>
      </c>
      <c r="B604" s="100" t="n">
        <v>257</v>
      </c>
      <c r="C604" s="100" t="s">
        <v>766</v>
      </c>
      <c r="D604" s="101" t="s">
        <v>111</v>
      </c>
      <c r="E604" s="101" t="s">
        <v>1222</v>
      </c>
      <c r="F604" s="101" t="s">
        <v>1222</v>
      </c>
      <c r="G604" s="101" t="s">
        <v>2310</v>
      </c>
      <c r="H604" s="101" t="s">
        <v>1434</v>
      </c>
      <c r="I604" s="101" t="s">
        <v>1892</v>
      </c>
      <c r="J604" s="101" t="s">
        <v>2306</v>
      </c>
      <c r="K604" s="100" t="s">
        <v>2311</v>
      </c>
      <c r="L604" s="101" t="n">
        <v>2014</v>
      </c>
      <c r="M604" s="101" t="s">
        <v>1561</v>
      </c>
    </row>
    <row r="605" customFormat="false" ht="15" hidden="false" customHeight="true" outlineLevel="0" collapsed="false">
      <c r="A605" s="101" t="n">
        <v>604</v>
      </c>
      <c r="B605" s="100" t="n">
        <v>258</v>
      </c>
      <c r="C605" s="100" t="s">
        <v>765</v>
      </c>
      <c r="D605" s="101" t="s">
        <v>111</v>
      </c>
      <c r="E605" s="101" t="s">
        <v>1222</v>
      </c>
      <c r="F605" s="101" t="s">
        <v>1222</v>
      </c>
      <c r="G605" s="101" t="s">
        <v>1929</v>
      </c>
      <c r="H605" s="101" t="s">
        <v>1434</v>
      </c>
      <c r="I605" s="101" t="s">
        <v>1892</v>
      </c>
      <c r="J605" s="101" t="s">
        <v>2306</v>
      </c>
      <c r="K605" s="100" t="s">
        <v>2312</v>
      </c>
      <c r="L605" s="101" t="n">
        <v>2014</v>
      </c>
      <c r="M605" s="101" t="s">
        <v>1561</v>
      </c>
    </row>
    <row r="606" customFormat="false" ht="15" hidden="false" customHeight="true" outlineLevel="0" collapsed="false">
      <c r="A606" s="101" t="n">
        <v>605</v>
      </c>
      <c r="B606" s="100" t="n">
        <v>259</v>
      </c>
      <c r="C606" s="100" t="s">
        <v>764</v>
      </c>
      <c r="D606" s="101" t="s">
        <v>111</v>
      </c>
      <c r="E606" s="101" t="s">
        <v>1215</v>
      </c>
      <c r="F606" s="101" t="s">
        <v>1215</v>
      </c>
      <c r="G606" s="101" t="s">
        <v>2313</v>
      </c>
      <c r="H606" s="101" t="s">
        <v>1434</v>
      </c>
      <c r="I606" s="101" t="s">
        <v>1892</v>
      </c>
      <c r="J606" s="101" t="s">
        <v>2306</v>
      </c>
      <c r="K606" s="100" t="s">
        <v>2314</v>
      </c>
      <c r="L606" s="101" t="n">
        <v>2014</v>
      </c>
      <c r="M606" s="101" t="s">
        <v>1561</v>
      </c>
    </row>
    <row r="607" customFormat="false" ht="15" hidden="false" customHeight="true" outlineLevel="0" collapsed="false">
      <c r="A607" s="101" t="n">
        <v>606</v>
      </c>
      <c r="B607" s="100" t="n">
        <v>260</v>
      </c>
      <c r="C607" s="100" t="s">
        <v>763</v>
      </c>
      <c r="D607" s="101" t="s">
        <v>111</v>
      </c>
      <c r="E607" s="101" t="s">
        <v>1215</v>
      </c>
      <c r="F607" s="101" t="s">
        <v>1215</v>
      </c>
      <c r="G607" s="101" t="s">
        <v>2315</v>
      </c>
      <c r="H607" s="101" t="s">
        <v>1434</v>
      </c>
      <c r="I607" s="101" t="s">
        <v>1892</v>
      </c>
      <c r="J607" s="101" t="s">
        <v>2306</v>
      </c>
      <c r="K607" s="100" t="s">
        <v>2316</v>
      </c>
      <c r="L607" s="101" t="n">
        <v>2014</v>
      </c>
      <c r="M607" s="101" t="s">
        <v>1561</v>
      </c>
    </row>
    <row r="608" customFormat="false" ht="15" hidden="false" customHeight="true" outlineLevel="0" collapsed="false">
      <c r="A608" s="101" t="n">
        <v>607</v>
      </c>
      <c r="B608" s="100" t="n">
        <v>261</v>
      </c>
      <c r="C608" s="100" t="s">
        <v>762</v>
      </c>
      <c r="D608" s="101" t="s">
        <v>111</v>
      </c>
      <c r="E608" s="101" t="s">
        <v>1215</v>
      </c>
      <c r="F608" s="101" t="s">
        <v>1215</v>
      </c>
      <c r="G608" s="101" t="s">
        <v>2317</v>
      </c>
      <c r="H608" s="101" t="s">
        <v>1434</v>
      </c>
      <c r="I608" s="101" t="s">
        <v>1892</v>
      </c>
      <c r="J608" s="101" t="s">
        <v>2306</v>
      </c>
      <c r="K608" s="100" t="s">
        <v>2318</v>
      </c>
      <c r="L608" s="101" t="n">
        <v>2014</v>
      </c>
      <c r="M608" s="101" t="s">
        <v>1561</v>
      </c>
    </row>
    <row r="609" customFormat="false" ht="15" hidden="false" customHeight="true" outlineLevel="0" collapsed="false">
      <c r="A609" s="101" t="n">
        <v>608</v>
      </c>
      <c r="B609" s="100" t="n">
        <v>262</v>
      </c>
      <c r="C609" s="100" t="s">
        <v>761</v>
      </c>
      <c r="D609" s="101" t="s">
        <v>111</v>
      </c>
      <c r="E609" s="101" t="s">
        <v>1222</v>
      </c>
      <c r="F609" s="101" t="s">
        <v>1222</v>
      </c>
      <c r="G609" s="101" t="s">
        <v>2319</v>
      </c>
      <c r="H609" s="101" t="s">
        <v>1434</v>
      </c>
      <c r="I609" s="101" t="s">
        <v>1892</v>
      </c>
      <c r="J609" s="101" t="s">
        <v>2306</v>
      </c>
      <c r="K609" s="100" t="s">
        <v>2320</v>
      </c>
      <c r="L609" s="101" t="n">
        <v>2014</v>
      </c>
      <c r="M609" s="101" t="s">
        <v>1561</v>
      </c>
    </row>
    <row r="610" customFormat="false" ht="15" hidden="false" customHeight="true" outlineLevel="0" collapsed="false">
      <c r="A610" s="101"/>
      <c r="B610" s="100"/>
      <c r="C610" s="100"/>
      <c r="D610" s="101"/>
      <c r="E610" s="101"/>
      <c r="F610" s="101"/>
      <c r="G610" s="101"/>
      <c r="H610" s="101"/>
      <c r="I610" s="101"/>
      <c r="J610" s="101"/>
      <c r="K610" s="100"/>
      <c r="L610" s="101"/>
      <c r="M610" s="101"/>
    </row>
    <row r="611" customFormat="false" ht="15" hidden="false" customHeight="true" outlineLevel="0" collapsed="false">
      <c r="A611" s="101" t="n">
        <v>610</v>
      </c>
      <c r="B611" s="100" t="n">
        <v>264</v>
      </c>
      <c r="C611" s="100" t="s">
        <v>760</v>
      </c>
      <c r="D611" s="101" t="s">
        <v>111</v>
      </c>
      <c r="E611" s="101" t="s">
        <v>1222</v>
      </c>
      <c r="F611" s="101" t="s">
        <v>1222</v>
      </c>
      <c r="G611" s="101" t="s">
        <v>2321</v>
      </c>
      <c r="H611" s="101" t="s">
        <v>1434</v>
      </c>
      <c r="I611" s="101" t="s">
        <v>1892</v>
      </c>
      <c r="J611" s="101" t="s">
        <v>2306</v>
      </c>
      <c r="K611" s="100" t="s">
        <v>2322</v>
      </c>
      <c r="L611" s="101" t="n">
        <v>2014</v>
      </c>
      <c r="M611" s="101" t="s">
        <v>1561</v>
      </c>
    </row>
    <row r="612" customFormat="false" ht="15" hidden="false" customHeight="true" outlineLevel="0" collapsed="false">
      <c r="A612" s="101" t="n">
        <v>611</v>
      </c>
      <c r="B612" s="100" t="n">
        <v>265</v>
      </c>
      <c r="C612" s="100" t="s">
        <v>759</v>
      </c>
      <c r="D612" s="101" t="s">
        <v>111</v>
      </c>
      <c r="E612" s="101" t="s">
        <v>1222</v>
      </c>
      <c r="F612" s="101" t="s">
        <v>1222</v>
      </c>
      <c r="G612" s="101" t="s">
        <v>1918</v>
      </c>
      <c r="H612" s="101" t="s">
        <v>1434</v>
      </c>
      <c r="I612" s="101" t="s">
        <v>1892</v>
      </c>
      <c r="J612" s="101" t="s">
        <v>2306</v>
      </c>
      <c r="K612" s="100" t="s">
        <v>2323</v>
      </c>
      <c r="L612" s="101" t="n">
        <v>2014</v>
      </c>
      <c r="M612" s="101" t="s">
        <v>1561</v>
      </c>
    </row>
    <row r="613" customFormat="false" ht="15" hidden="false" customHeight="true" outlineLevel="0" collapsed="false">
      <c r="A613" s="101" t="n">
        <v>612</v>
      </c>
      <c r="B613" s="100" t="n">
        <v>266</v>
      </c>
      <c r="C613" s="100" t="s">
        <v>758</v>
      </c>
      <c r="D613" s="101" t="s">
        <v>111</v>
      </c>
      <c r="E613" s="101" t="s">
        <v>1222</v>
      </c>
      <c r="F613" s="101" t="s">
        <v>1222</v>
      </c>
      <c r="G613" s="101" t="s">
        <v>1918</v>
      </c>
      <c r="H613" s="101" t="s">
        <v>1434</v>
      </c>
      <c r="I613" s="101" t="s">
        <v>1892</v>
      </c>
      <c r="J613" s="101" t="s">
        <v>2306</v>
      </c>
      <c r="K613" s="100" t="s">
        <v>2324</v>
      </c>
      <c r="L613" s="101" t="n">
        <v>2014</v>
      </c>
      <c r="M613" s="101" t="s">
        <v>1561</v>
      </c>
    </row>
    <row r="614" customFormat="false" ht="15" hidden="false" customHeight="true" outlineLevel="0" collapsed="false">
      <c r="A614" s="101" t="n">
        <v>613</v>
      </c>
      <c r="B614" s="100" t="n">
        <v>267</v>
      </c>
      <c r="C614" s="100" t="s">
        <v>2325</v>
      </c>
      <c r="D614" s="101" t="s">
        <v>111</v>
      </c>
      <c r="E614" s="101" t="s">
        <v>1225</v>
      </c>
      <c r="F614" s="101" t="s">
        <v>1404</v>
      </c>
      <c r="G614" s="101"/>
      <c r="H614" s="101" t="s">
        <v>1434</v>
      </c>
      <c r="I614" s="101" t="s">
        <v>1892</v>
      </c>
      <c r="J614" s="101" t="s">
        <v>2306</v>
      </c>
      <c r="K614" s="100" t="s">
        <v>2326</v>
      </c>
      <c r="L614" s="101" t="n">
        <v>2014</v>
      </c>
      <c r="M614" s="101" t="s">
        <v>1561</v>
      </c>
    </row>
    <row r="615" customFormat="false" ht="15" hidden="false" customHeight="true" outlineLevel="0" collapsed="false">
      <c r="A615" s="101" t="n">
        <v>614</v>
      </c>
      <c r="B615" s="100" t="n">
        <v>268</v>
      </c>
      <c r="C615" s="100" t="s">
        <v>2327</v>
      </c>
      <c r="D615" s="101" t="s">
        <v>111</v>
      </c>
      <c r="E615" s="101" t="s">
        <v>1225</v>
      </c>
      <c r="F615" s="101" t="s">
        <v>1404</v>
      </c>
      <c r="G615" s="101" t="s">
        <v>2328</v>
      </c>
      <c r="H615" s="101" t="s">
        <v>1434</v>
      </c>
      <c r="I615" s="101" t="s">
        <v>1892</v>
      </c>
      <c r="J615" s="101" t="s">
        <v>2306</v>
      </c>
      <c r="K615" s="100" t="s">
        <v>2329</v>
      </c>
      <c r="L615" s="101" t="n">
        <v>2014</v>
      </c>
      <c r="M615" s="101" t="s">
        <v>1561</v>
      </c>
    </row>
    <row r="616" customFormat="false" ht="15" hidden="false" customHeight="true" outlineLevel="0" collapsed="false">
      <c r="A616" s="101" t="n">
        <v>615</v>
      </c>
      <c r="B616" s="100" t="n">
        <v>269</v>
      </c>
      <c r="C616" s="100" t="s">
        <v>757</v>
      </c>
      <c r="D616" s="101" t="s">
        <v>111</v>
      </c>
      <c r="E616" s="101" t="s">
        <v>1191</v>
      </c>
      <c r="F616" s="101" t="s">
        <v>1191</v>
      </c>
      <c r="G616" s="101" t="s">
        <v>1581</v>
      </c>
      <c r="H616" s="101" t="s">
        <v>1434</v>
      </c>
      <c r="I616" s="101" t="s">
        <v>1607</v>
      </c>
      <c r="J616" s="101" t="s">
        <v>2330</v>
      </c>
      <c r="K616" s="100" t="s">
        <v>2331</v>
      </c>
      <c r="L616" s="101" t="n">
        <v>2015</v>
      </c>
      <c r="M616" s="101" t="s">
        <v>1553</v>
      </c>
    </row>
    <row r="617" customFormat="false" ht="15" hidden="false" customHeight="true" outlineLevel="0" collapsed="false">
      <c r="A617" s="101" t="n">
        <v>616</v>
      </c>
      <c r="B617" s="100" t="n">
        <v>270</v>
      </c>
      <c r="C617" s="100" t="s">
        <v>756</v>
      </c>
      <c r="D617" s="101" t="s">
        <v>111</v>
      </c>
      <c r="E617" s="101" t="s">
        <v>1215</v>
      </c>
      <c r="F617" s="101" t="s">
        <v>1215</v>
      </c>
      <c r="G617" s="101" t="s">
        <v>2332</v>
      </c>
      <c r="H617" s="101" t="s">
        <v>1434</v>
      </c>
      <c r="I617" s="101" t="s">
        <v>1607</v>
      </c>
      <c r="J617" s="101" t="s">
        <v>2330</v>
      </c>
      <c r="K617" s="100" t="s">
        <v>2333</v>
      </c>
      <c r="L617" s="101" t="n">
        <v>2015</v>
      </c>
      <c r="M617" s="101" t="s">
        <v>1553</v>
      </c>
    </row>
    <row r="618" customFormat="false" ht="15" hidden="false" customHeight="true" outlineLevel="0" collapsed="false">
      <c r="A618" s="101" t="n">
        <v>617</v>
      </c>
      <c r="B618" s="100" t="n">
        <v>271</v>
      </c>
      <c r="C618" s="100" t="s">
        <v>755</v>
      </c>
      <c r="D618" s="101" t="s">
        <v>111</v>
      </c>
      <c r="E618" s="101" t="s">
        <v>1215</v>
      </c>
      <c r="F618" s="101" t="s">
        <v>1215</v>
      </c>
      <c r="G618" s="101" t="s">
        <v>1581</v>
      </c>
      <c r="H618" s="101" t="s">
        <v>1251</v>
      </c>
      <c r="I618" s="101" t="s">
        <v>1505</v>
      </c>
      <c r="J618" s="101" t="s">
        <v>1898</v>
      </c>
      <c r="K618" s="100" t="s">
        <v>2334</v>
      </c>
      <c r="L618" s="101" t="n">
        <v>2015</v>
      </c>
      <c r="M618" s="101" t="s">
        <v>1553</v>
      </c>
    </row>
    <row r="619" customFormat="false" ht="15" hidden="false" customHeight="true" outlineLevel="0" collapsed="false">
      <c r="A619" s="101" t="n">
        <v>618</v>
      </c>
      <c r="B619" s="100" t="n">
        <v>272</v>
      </c>
      <c r="C619" s="100" t="s">
        <v>754</v>
      </c>
      <c r="D619" s="101" t="s">
        <v>111</v>
      </c>
      <c r="E619" s="101" t="s">
        <v>1176</v>
      </c>
      <c r="F619" s="101" t="s">
        <v>1176</v>
      </c>
      <c r="G619" s="101" t="s">
        <v>2335</v>
      </c>
      <c r="H619" s="101" t="s">
        <v>1251</v>
      </c>
      <c r="I619" s="101" t="s">
        <v>1505</v>
      </c>
      <c r="J619" s="101" t="s">
        <v>1898</v>
      </c>
      <c r="K619" s="100" t="s">
        <v>2336</v>
      </c>
      <c r="L619" s="101" t="n">
        <v>2015</v>
      </c>
      <c r="M619" s="101" t="s">
        <v>1553</v>
      </c>
    </row>
    <row r="620" customFormat="false" ht="15" hidden="false" customHeight="true" outlineLevel="0" collapsed="false">
      <c r="A620" s="101" t="n">
        <v>619</v>
      </c>
      <c r="B620" s="100" t="n">
        <v>273</v>
      </c>
      <c r="C620" s="100" t="s">
        <v>2337</v>
      </c>
      <c r="D620" s="101" t="s">
        <v>111</v>
      </c>
      <c r="E620" s="101" t="s">
        <v>1154</v>
      </c>
      <c r="F620" s="101" t="s">
        <v>1458</v>
      </c>
      <c r="G620" s="101" t="s">
        <v>1401</v>
      </c>
      <c r="H620" s="101" t="s">
        <v>1251</v>
      </c>
      <c r="I620" s="101" t="s">
        <v>1505</v>
      </c>
      <c r="J620" s="101" t="s">
        <v>1898</v>
      </c>
      <c r="K620" s="100" t="s">
        <v>2338</v>
      </c>
      <c r="L620" s="101" t="n">
        <v>2015</v>
      </c>
      <c r="M620" s="101" t="s">
        <v>1553</v>
      </c>
    </row>
    <row r="621" customFormat="false" ht="15" hidden="false" customHeight="true" outlineLevel="0" collapsed="false">
      <c r="A621" s="101" t="n">
        <v>620</v>
      </c>
      <c r="B621" s="100" t="n">
        <v>274</v>
      </c>
      <c r="C621" s="100" t="s">
        <v>430</v>
      </c>
      <c r="D621" s="101" t="s">
        <v>111</v>
      </c>
      <c r="E621" s="101" t="s">
        <v>1190</v>
      </c>
      <c r="F621" s="101" t="s">
        <v>1327</v>
      </c>
      <c r="G621" s="101" t="s">
        <v>1957</v>
      </c>
      <c r="H621" s="101" t="s">
        <v>1251</v>
      </c>
      <c r="I621" s="101" t="s">
        <v>1505</v>
      </c>
      <c r="J621" s="101" t="s">
        <v>1898</v>
      </c>
      <c r="K621" s="100" t="s">
        <v>2339</v>
      </c>
      <c r="L621" s="101" t="n">
        <v>2015</v>
      </c>
      <c r="M621" s="101" t="s">
        <v>1553</v>
      </c>
    </row>
    <row r="622" customFormat="false" ht="15" hidden="false" customHeight="true" outlineLevel="0" collapsed="false">
      <c r="A622" s="101" t="n">
        <v>621</v>
      </c>
      <c r="B622" s="100" t="n">
        <v>275</v>
      </c>
      <c r="C622" s="100" t="s">
        <v>753</v>
      </c>
      <c r="D622" s="101" t="s">
        <v>111</v>
      </c>
      <c r="E622" s="101" t="s">
        <v>1176</v>
      </c>
      <c r="F622" s="101" t="s">
        <v>1176</v>
      </c>
      <c r="G622" s="101" t="s">
        <v>2340</v>
      </c>
      <c r="H622" s="101" t="s">
        <v>1251</v>
      </c>
      <c r="I622" s="101" t="s">
        <v>1505</v>
      </c>
      <c r="J622" s="101" t="s">
        <v>1898</v>
      </c>
      <c r="K622" s="100" t="s">
        <v>2341</v>
      </c>
      <c r="L622" s="101" t="n">
        <v>2015</v>
      </c>
      <c r="M622" s="101" t="s">
        <v>1553</v>
      </c>
    </row>
    <row r="623" customFormat="false" ht="15" hidden="false" customHeight="true" outlineLevel="0" collapsed="false">
      <c r="A623" s="101" t="n">
        <v>622</v>
      </c>
      <c r="B623" s="100" t="n">
        <v>276</v>
      </c>
      <c r="C623" s="100" t="s">
        <v>429</v>
      </c>
      <c r="D623" s="101" t="s">
        <v>111</v>
      </c>
      <c r="E623" s="101" t="s">
        <v>1190</v>
      </c>
      <c r="F623" s="101" t="s">
        <v>1384</v>
      </c>
      <c r="G623" s="101" t="s">
        <v>2147</v>
      </c>
      <c r="H623" s="101" t="s">
        <v>1251</v>
      </c>
      <c r="I623" s="101" t="s">
        <v>1505</v>
      </c>
      <c r="J623" s="101" t="s">
        <v>1898</v>
      </c>
      <c r="K623" s="100" t="s">
        <v>2342</v>
      </c>
      <c r="L623" s="101" t="n">
        <v>2015</v>
      </c>
      <c r="M623" s="101" t="s">
        <v>1553</v>
      </c>
    </row>
    <row r="624" customFormat="false" ht="15" hidden="false" customHeight="true" outlineLevel="0" collapsed="false">
      <c r="A624" s="101" t="n">
        <v>623</v>
      </c>
      <c r="B624" s="100" t="n">
        <v>277</v>
      </c>
      <c r="C624" s="100" t="s">
        <v>2343</v>
      </c>
      <c r="D624" s="101" t="s">
        <v>111</v>
      </c>
      <c r="E624" s="101" t="s">
        <v>1216</v>
      </c>
      <c r="F624" s="101" t="s">
        <v>1439</v>
      </c>
      <c r="G624" s="101" t="s">
        <v>2344</v>
      </c>
      <c r="H624" s="101" t="s">
        <v>1251</v>
      </c>
      <c r="I624" s="101" t="s">
        <v>1505</v>
      </c>
      <c r="J624" s="101" t="s">
        <v>1898</v>
      </c>
      <c r="K624" s="100" t="s">
        <v>2345</v>
      </c>
      <c r="L624" s="101" t="n">
        <v>2015</v>
      </c>
      <c r="M624" s="101" t="s">
        <v>1553</v>
      </c>
    </row>
    <row r="625" customFormat="false" ht="15" hidden="false" customHeight="true" outlineLevel="0" collapsed="false">
      <c r="A625" s="101" t="n">
        <v>624</v>
      </c>
      <c r="B625" s="100" t="n">
        <v>278</v>
      </c>
      <c r="C625" s="100" t="s">
        <v>2346</v>
      </c>
      <c r="D625" s="101" t="s">
        <v>111</v>
      </c>
      <c r="E625" s="101" t="s">
        <v>1154</v>
      </c>
      <c r="F625" s="101" t="s">
        <v>2126</v>
      </c>
      <c r="G625" s="101" t="s">
        <v>2347</v>
      </c>
      <c r="H625" s="101" t="s">
        <v>1251</v>
      </c>
      <c r="I625" s="101" t="s">
        <v>1505</v>
      </c>
      <c r="J625" s="101" t="s">
        <v>1898</v>
      </c>
      <c r="K625" s="100" t="s">
        <v>2348</v>
      </c>
      <c r="L625" s="101" t="n">
        <v>2015</v>
      </c>
      <c r="M625" s="101" t="s">
        <v>1553</v>
      </c>
    </row>
    <row r="626" customFormat="false" ht="15" hidden="false" customHeight="true" outlineLevel="0" collapsed="false">
      <c r="A626" s="101" t="n">
        <v>625</v>
      </c>
      <c r="B626" s="100" t="n">
        <v>279</v>
      </c>
      <c r="C626" s="100" t="s">
        <v>594</v>
      </c>
      <c r="D626" s="101" t="s">
        <v>111</v>
      </c>
      <c r="E626" s="101" t="s">
        <v>1166</v>
      </c>
      <c r="F626" s="101" t="s">
        <v>1390</v>
      </c>
      <c r="G626" s="101" t="s">
        <v>2349</v>
      </c>
      <c r="H626" s="101" t="s">
        <v>1251</v>
      </c>
      <c r="I626" s="101" t="s">
        <v>1505</v>
      </c>
      <c r="J626" s="101" t="s">
        <v>1898</v>
      </c>
      <c r="K626" s="100" t="s">
        <v>2350</v>
      </c>
      <c r="L626" s="101" t="n">
        <v>2015</v>
      </c>
      <c r="M626" s="101" t="s">
        <v>1553</v>
      </c>
    </row>
    <row r="627" customFormat="false" ht="15" hidden="false" customHeight="true" outlineLevel="0" collapsed="false">
      <c r="A627" s="101" t="n">
        <v>626</v>
      </c>
      <c r="B627" s="100" t="n">
        <v>280</v>
      </c>
      <c r="C627" s="100" t="s">
        <v>752</v>
      </c>
      <c r="D627" s="101" t="s">
        <v>111</v>
      </c>
      <c r="E627" s="101" t="s">
        <v>1195</v>
      </c>
      <c r="F627" s="101" t="s">
        <v>1377</v>
      </c>
      <c r="G627" s="101" t="s">
        <v>1378</v>
      </c>
      <c r="H627" s="101" t="s">
        <v>1251</v>
      </c>
      <c r="I627" s="101" t="s">
        <v>1505</v>
      </c>
      <c r="J627" s="101" t="s">
        <v>1898</v>
      </c>
      <c r="K627" s="100" t="s">
        <v>2351</v>
      </c>
      <c r="L627" s="101" t="n">
        <v>2015</v>
      </c>
      <c r="M627" s="101" t="s">
        <v>1553</v>
      </c>
    </row>
    <row r="628" customFormat="false" ht="15" hidden="false" customHeight="true" outlineLevel="0" collapsed="false">
      <c r="A628" s="101" t="n">
        <v>627</v>
      </c>
      <c r="B628" s="100" t="n">
        <v>281</v>
      </c>
      <c r="C628" s="100" t="s">
        <v>593</v>
      </c>
      <c r="D628" s="101" t="s">
        <v>111</v>
      </c>
      <c r="E628" s="101" t="s">
        <v>1166</v>
      </c>
      <c r="F628" s="101" t="s">
        <v>1390</v>
      </c>
      <c r="G628" s="101" t="s">
        <v>2352</v>
      </c>
      <c r="H628" s="101" t="s">
        <v>1251</v>
      </c>
      <c r="I628" s="101" t="s">
        <v>1505</v>
      </c>
      <c r="J628" s="101" t="s">
        <v>1898</v>
      </c>
      <c r="K628" s="100" t="s">
        <v>2353</v>
      </c>
      <c r="L628" s="101" t="n">
        <v>2015</v>
      </c>
      <c r="M628" s="101" t="s">
        <v>1553</v>
      </c>
    </row>
    <row r="629" customFormat="false" ht="15" hidden="false" customHeight="true" outlineLevel="0" collapsed="false">
      <c r="A629" s="101" t="n">
        <v>628</v>
      </c>
      <c r="B629" s="100" t="n">
        <v>282</v>
      </c>
      <c r="C629" s="100" t="s">
        <v>592</v>
      </c>
      <c r="D629" s="101" t="s">
        <v>111</v>
      </c>
      <c r="E629" s="101" t="s">
        <v>1166</v>
      </c>
      <c r="F629" s="101" t="s">
        <v>1390</v>
      </c>
      <c r="G629" s="101" t="s">
        <v>2354</v>
      </c>
      <c r="H629" s="101" t="s">
        <v>1251</v>
      </c>
      <c r="I629" s="101" t="s">
        <v>1505</v>
      </c>
      <c r="J629" s="101" t="s">
        <v>1898</v>
      </c>
      <c r="K629" s="100" t="s">
        <v>2355</v>
      </c>
      <c r="L629" s="101" t="n">
        <v>2015</v>
      </c>
      <c r="M629" s="101" t="s">
        <v>1553</v>
      </c>
    </row>
    <row r="630" customFormat="false" ht="15" hidden="false" customHeight="true" outlineLevel="0" collapsed="false">
      <c r="A630" s="101" t="n">
        <v>629</v>
      </c>
      <c r="B630" s="100" t="n">
        <v>283</v>
      </c>
      <c r="C630" s="100" t="s">
        <v>591</v>
      </c>
      <c r="D630" s="101" t="s">
        <v>111</v>
      </c>
      <c r="E630" s="101" t="s">
        <v>1166</v>
      </c>
      <c r="F630" s="101" t="s">
        <v>1390</v>
      </c>
      <c r="G630" s="101" t="s">
        <v>2356</v>
      </c>
      <c r="H630" s="101" t="s">
        <v>1251</v>
      </c>
      <c r="I630" s="101" t="s">
        <v>1505</v>
      </c>
      <c r="J630" s="101" t="s">
        <v>1898</v>
      </c>
      <c r="K630" s="100" t="s">
        <v>2357</v>
      </c>
      <c r="L630" s="101" t="n">
        <v>2015</v>
      </c>
      <c r="M630" s="101" t="s">
        <v>1553</v>
      </c>
    </row>
    <row r="631" customFormat="false" ht="15" hidden="false" customHeight="true" outlineLevel="0" collapsed="false">
      <c r="A631" s="101" t="n">
        <v>630</v>
      </c>
      <c r="B631" s="100" t="n">
        <v>284</v>
      </c>
      <c r="C631" s="100" t="s">
        <v>751</v>
      </c>
      <c r="D631" s="101" t="s">
        <v>111</v>
      </c>
      <c r="E631" s="101" t="s">
        <v>1176</v>
      </c>
      <c r="F631" s="101" t="s">
        <v>1176</v>
      </c>
      <c r="G631" s="101" t="s">
        <v>2335</v>
      </c>
      <c r="H631" s="101" t="s">
        <v>1251</v>
      </c>
      <c r="I631" s="101" t="s">
        <v>1505</v>
      </c>
      <c r="J631" s="101" t="s">
        <v>1898</v>
      </c>
      <c r="K631" s="100" t="s">
        <v>2358</v>
      </c>
      <c r="L631" s="101" t="n">
        <v>2015</v>
      </c>
      <c r="M631" s="101" t="s">
        <v>1553</v>
      </c>
    </row>
    <row r="632" customFormat="false" ht="15" hidden="false" customHeight="true" outlineLevel="0" collapsed="false">
      <c r="A632" s="101" t="n">
        <v>631</v>
      </c>
      <c r="B632" s="100" t="n">
        <v>285</v>
      </c>
      <c r="C632" s="100" t="s">
        <v>2359</v>
      </c>
      <c r="D632" s="101" t="s">
        <v>111</v>
      </c>
      <c r="E632" s="101" t="s">
        <v>1154</v>
      </c>
      <c r="F632" s="101" t="s">
        <v>1458</v>
      </c>
      <c r="G632" s="101" t="s">
        <v>2129</v>
      </c>
      <c r="H632" s="101" t="s">
        <v>1251</v>
      </c>
      <c r="I632" s="101" t="s">
        <v>1505</v>
      </c>
      <c r="J632" s="101" t="s">
        <v>1898</v>
      </c>
      <c r="K632" s="100" t="s">
        <v>2360</v>
      </c>
      <c r="L632" s="101" t="n">
        <v>2015</v>
      </c>
      <c r="M632" s="101" t="s">
        <v>1553</v>
      </c>
    </row>
    <row r="633" customFormat="false" ht="15" hidden="false" customHeight="true" outlineLevel="0" collapsed="false">
      <c r="A633" s="101" t="n">
        <v>632</v>
      </c>
      <c r="B633" s="100" t="n">
        <v>286</v>
      </c>
      <c r="C633" s="100" t="s">
        <v>590</v>
      </c>
      <c r="D633" s="101" t="s">
        <v>111</v>
      </c>
      <c r="E633" s="101" t="s">
        <v>1166</v>
      </c>
      <c r="F633" s="101" t="s">
        <v>1390</v>
      </c>
      <c r="G633" s="101" t="s">
        <v>2361</v>
      </c>
      <c r="H633" s="101" t="s">
        <v>1251</v>
      </c>
      <c r="I633" s="101" t="s">
        <v>1505</v>
      </c>
      <c r="J633" s="101" t="s">
        <v>1898</v>
      </c>
      <c r="K633" s="100" t="s">
        <v>2362</v>
      </c>
      <c r="L633" s="101" t="n">
        <v>2015</v>
      </c>
      <c r="M633" s="101" t="s">
        <v>1553</v>
      </c>
    </row>
    <row r="634" customFormat="false" ht="15" hidden="false" customHeight="true" outlineLevel="0" collapsed="false">
      <c r="A634" s="101" t="n">
        <v>633</v>
      </c>
      <c r="B634" s="100" t="n">
        <v>287</v>
      </c>
      <c r="C634" s="100" t="s">
        <v>750</v>
      </c>
      <c r="D634" s="101" t="s">
        <v>111</v>
      </c>
      <c r="E634" s="101" t="s">
        <v>1176</v>
      </c>
      <c r="F634" s="101" t="s">
        <v>1176</v>
      </c>
      <c r="G634" s="101" t="s">
        <v>2363</v>
      </c>
      <c r="H634" s="101" t="s">
        <v>1251</v>
      </c>
      <c r="I634" s="101" t="s">
        <v>1505</v>
      </c>
      <c r="J634" s="101" t="s">
        <v>1898</v>
      </c>
      <c r="K634" s="100" t="s">
        <v>2364</v>
      </c>
      <c r="L634" s="101" t="n">
        <v>2015</v>
      </c>
      <c r="M634" s="101" t="s">
        <v>1553</v>
      </c>
    </row>
    <row r="635" customFormat="false" ht="15" hidden="false" customHeight="true" outlineLevel="0" collapsed="false">
      <c r="A635" s="101" t="n">
        <v>634</v>
      </c>
      <c r="B635" s="100" t="n">
        <v>288</v>
      </c>
      <c r="C635" s="100" t="s">
        <v>2365</v>
      </c>
      <c r="D635" s="101" t="s">
        <v>111</v>
      </c>
      <c r="E635" s="101" t="s">
        <v>1177</v>
      </c>
      <c r="F635" s="101" t="s">
        <v>1177</v>
      </c>
      <c r="G635" s="101"/>
      <c r="H635" s="101" t="s">
        <v>1954</v>
      </c>
      <c r="I635" s="101" t="s">
        <v>1607</v>
      </c>
      <c r="J635" s="101" t="s">
        <v>2366</v>
      </c>
      <c r="K635" s="100" t="s">
        <v>2367</v>
      </c>
      <c r="L635" s="101" t="n">
        <v>2018</v>
      </c>
      <c r="M635" s="101" t="s">
        <v>1553</v>
      </c>
    </row>
    <row r="636" customFormat="false" ht="15" hidden="false" customHeight="true" outlineLevel="0" collapsed="false">
      <c r="A636" s="101" t="n">
        <v>635</v>
      </c>
      <c r="B636" s="100" t="n">
        <v>289</v>
      </c>
      <c r="C636" s="100" t="s">
        <v>749</v>
      </c>
      <c r="D636" s="101" t="s">
        <v>111</v>
      </c>
      <c r="E636" s="101" t="s">
        <v>1176</v>
      </c>
      <c r="F636" s="101" t="s">
        <v>1176</v>
      </c>
      <c r="G636" s="101" t="s">
        <v>2368</v>
      </c>
      <c r="H636" s="101" t="s">
        <v>1251</v>
      </c>
      <c r="I636" s="101" t="s">
        <v>1505</v>
      </c>
      <c r="J636" s="101" t="s">
        <v>1898</v>
      </c>
      <c r="K636" s="100" t="s">
        <v>2369</v>
      </c>
      <c r="L636" s="101" t="n">
        <v>2015</v>
      </c>
      <c r="M636" s="101" t="s">
        <v>1553</v>
      </c>
    </row>
    <row r="637" customFormat="false" ht="15" hidden="false" customHeight="true" outlineLevel="0" collapsed="false">
      <c r="A637" s="101" t="n">
        <v>636</v>
      </c>
      <c r="B637" s="100" t="n">
        <v>290</v>
      </c>
      <c r="C637" s="100" t="s">
        <v>428</v>
      </c>
      <c r="D637" s="101" t="s">
        <v>111</v>
      </c>
      <c r="E637" s="101" t="s">
        <v>1190</v>
      </c>
      <c r="F637" s="101" t="s">
        <v>1380</v>
      </c>
      <c r="G637" s="101" t="s">
        <v>2150</v>
      </c>
      <c r="H637" s="101" t="s">
        <v>1251</v>
      </c>
      <c r="I637" s="101" t="s">
        <v>1505</v>
      </c>
      <c r="J637" s="101" t="s">
        <v>1898</v>
      </c>
      <c r="K637" s="100" t="s">
        <v>2370</v>
      </c>
      <c r="L637" s="101" t="n">
        <v>2015</v>
      </c>
      <c r="M637" s="101" t="s">
        <v>1553</v>
      </c>
    </row>
    <row r="638" customFormat="false" ht="15" hidden="false" customHeight="true" outlineLevel="0" collapsed="false">
      <c r="A638" s="101" t="n">
        <v>637</v>
      </c>
      <c r="B638" s="100" t="n">
        <v>291</v>
      </c>
      <c r="C638" s="100" t="s">
        <v>427</v>
      </c>
      <c r="D638" s="101" t="s">
        <v>111</v>
      </c>
      <c r="E638" s="101" t="s">
        <v>1175</v>
      </c>
      <c r="F638" s="101" t="s">
        <v>2050</v>
      </c>
      <c r="G638" s="101"/>
      <c r="H638" s="101" t="s">
        <v>1251</v>
      </c>
      <c r="I638" s="101" t="s">
        <v>1505</v>
      </c>
      <c r="J638" s="101" t="s">
        <v>1898</v>
      </c>
      <c r="K638" s="100" t="s">
        <v>2371</v>
      </c>
      <c r="L638" s="101" t="n">
        <v>2016</v>
      </c>
      <c r="M638" s="101" t="s">
        <v>1553</v>
      </c>
    </row>
    <row r="639" customFormat="false" ht="15" hidden="false" customHeight="true" outlineLevel="0" collapsed="false">
      <c r="A639" s="101" t="n">
        <v>638</v>
      </c>
      <c r="B639" s="100" t="n">
        <v>292</v>
      </c>
      <c r="C639" s="100" t="s">
        <v>426</v>
      </c>
      <c r="D639" s="101" t="s">
        <v>111</v>
      </c>
      <c r="E639" s="101" t="s">
        <v>1175</v>
      </c>
      <c r="F639" s="101" t="s">
        <v>2050</v>
      </c>
      <c r="G639" s="101"/>
      <c r="H639" s="101" t="s">
        <v>1251</v>
      </c>
      <c r="I639" s="101" t="s">
        <v>1505</v>
      </c>
      <c r="J639" s="101" t="s">
        <v>1898</v>
      </c>
      <c r="K639" s="100" t="s">
        <v>2372</v>
      </c>
      <c r="L639" s="101" t="n">
        <v>2016</v>
      </c>
      <c r="M639" s="101" t="s">
        <v>1553</v>
      </c>
    </row>
    <row r="640" customFormat="false" ht="15" hidden="false" customHeight="true" outlineLevel="0" collapsed="false">
      <c r="A640" s="101" t="n">
        <v>639</v>
      </c>
      <c r="B640" s="100" t="n">
        <v>293</v>
      </c>
      <c r="C640" s="100" t="s">
        <v>425</v>
      </c>
      <c r="D640" s="101" t="s">
        <v>111</v>
      </c>
      <c r="E640" s="101" t="s">
        <v>1175</v>
      </c>
      <c r="F640" s="101" t="s">
        <v>2050</v>
      </c>
      <c r="G640" s="101"/>
      <c r="H640" s="101" t="s">
        <v>1251</v>
      </c>
      <c r="I640" s="101" t="s">
        <v>1505</v>
      </c>
      <c r="J640" s="101" t="s">
        <v>1898</v>
      </c>
      <c r="K640" s="100" t="s">
        <v>2373</v>
      </c>
      <c r="L640" s="101" t="n">
        <v>2016</v>
      </c>
      <c r="M640" s="101" t="s">
        <v>1553</v>
      </c>
    </row>
    <row r="641" customFormat="false" ht="15" hidden="false" customHeight="true" outlineLevel="0" collapsed="false">
      <c r="A641" s="101" t="n">
        <v>640</v>
      </c>
      <c r="B641" s="100" t="n">
        <v>294</v>
      </c>
      <c r="C641" s="100" t="s">
        <v>424</v>
      </c>
      <c r="D641" s="101" t="s">
        <v>111</v>
      </c>
      <c r="E641" s="101" t="s">
        <v>1175</v>
      </c>
      <c r="F641" s="101" t="s">
        <v>2050</v>
      </c>
      <c r="G641" s="101"/>
      <c r="H641" s="101" t="s">
        <v>1251</v>
      </c>
      <c r="I641" s="101" t="s">
        <v>1505</v>
      </c>
      <c r="J641" s="101" t="s">
        <v>1898</v>
      </c>
      <c r="K641" s="100" t="s">
        <v>2374</v>
      </c>
      <c r="L641" s="101" t="n">
        <v>2016</v>
      </c>
      <c r="M641" s="101" t="s">
        <v>1553</v>
      </c>
    </row>
    <row r="642" customFormat="false" ht="15" hidden="false" customHeight="true" outlineLevel="0" collapsed="false">
      <c r="A642" s="101" t="n">
        <v>641</v>
      </c>
      <c r="B642" s="100" t="n">
        <v>295</v>
      </c>
      <c r="C642" s="100" t="s">
        <v>423</v>
      </c>
      <c r="D642" s="101" t="s">
        <v>111</v>
      </c>
      <c r="E642" s="101" t="s">
        <v>1175</v>
      </c>
      <c r="F642" s="101" t="s">
        <v>2050</v>
      </c>
      <c r="G642" s="101"/>
      <c r="H642" s="101" t="s">
        <v>1251</v>
      </c>
      <c r="I642" s="101" t="s">
        <v>1505</v>
      </c>
      <c r="J642" s="101" t="s">
        <v>1898</v>
      </c>
      <c r="K642" s="100" t="s">
        <v>2375</v>
      </c>
      <c r="L642" s="101" t="n">
        <v>2016</v>
      </c>
      <c r="M642" s="101" t="s">
        <v>1553</v>
      </c>
    </row>
    <row r="643" customFormat="false" ht="15" hidden="false" customHeight="true" outlineLevel="0" collapsed="false">
      <c r="A643" s="101" t="n">
        <v>642</v>
      </c>
      <c r="B643" s="100" t="n">
        <v>296</v>
      </c>
      <c r="C643" s="100" t="s">
        <v>422</v>
      </c>
      <c r="D643" s="101" t="s">
        <v>111</v>
      </c>
      <c r="E643" s="101" t="s">
        <v>1175</v>
      </c>
      <c r="F643" s="101" t="s">
        <v>2050</v>
      </c>
      <c r="G643" s="101"/>
      <c r="H643" s="101" t="s">
        <v>1251</v>
      </c>
      <c r="I643" s="101" t="s">
        <v>1505</v>
      </c>
      <c r="J643" s="101" t="s">
        <v>1898</v>
      </c>
      <c r="K643" s="100" t="s">
        <v>2376</v>
      </c>
      <c r="L643" s="101" t="n">
        <v>2016</v>
      </c>
      <c r="M643" s="101" t="s">
        <v>1553</v>
      </c>
    </row>
    <row r="644" customFormat="false" ht="15" hidden="false" customHeight="true" outlineLevel="0" collapsed="false">
      <c r="A644" s="101" t="n">
        <v>643</v>
      </c>
      <c r="B644" s="100" t="n">
        <v>297</v>
      </c>
      <c r="C644" s="100" t="s">
        <v>421</v>
      </c>
      <c r="D644" s="101" t="s">
        <v>111</v>
      </c>
      <c r="E644" s="101" t="s">
        <v>1175</v>
      </c>
      <c r="F644" s="101" t="s">
        <v>2050</v>
      </c>
      <c r="G644" s="101"/>
      <c r="H644" s="101" t="s">
        <v>1251</v>
      </c>
      <c r="I644" s="101" t="s">
        <v>1505</v>
      </c>
      <c r="J644" s="101" t="s">
        <v>1898</v>
      </c>
      <c r="K644" s="100" t="s">
        <v>2377</v>
      </c>
      <c r="L644" s="101" t="n">
        <v>2016</v>
      </c>
      <c r="M644" s="101" t="s">
        <v>1553</v>
      </c>
    </row>
    <row r="645" customFormat="false" ht="15" hidden="false" customHeight="true" outlineLevel="0" collapsed="false">
      <c r="A645" s="101" t="n">
        <v>644</v>
      </c>
      <c r="B645" s="100" t="n">
        <v>298</v>
      </c>
      <c r="C645" s="100" t="s">
        <v>420</v>
      </c>
      <c r="D645" s="101" t="s">
        <v>111</v>
      </c>
      <c r="E645" s="101" t="s">
        <v>1175</v>
      </c>
      <c r="F645" s="101" t="s">
        <v>2050</v>
      </c>
      <c r="G645" s="101"/>
      <c r="H645" s="101" t="s">
        <v>1251</v>
      </c>
      <c r="I645" s="101" t="s">
        <v>1505</v>
      </c>
      <c r="J645" s="101" t="s">
        <v>1898</v>
      </c>
      <c r="K645" s="100" t="s">
        <v>2378</v>
      </c>
      <c r="L645" s="101" t="n">
        <v>2016</v>
      </c>
      <c r="M645" s="101" t="s">
        <v>1553</v>
      </c>
    </row>
    <row r="646" customFormat="false" ht="15" hidden="false" customHeight="true" outlineLevel="0" collapsed="false">
      <c r="A646" s="101" t="n">
        <v>645</v>
      </c>
      <c r="B646" s="100" t="n">
        <v>299</v>
      </c>
      <c r="C646" s="100" t="s">
        <v>419</v>
      </c>
      <c r="D646" s="101" t="s">
        <v>111</v>
      </c>
      <c r="E646" s="101" t="s">
        <v>1175</v>
      </c>
      <c r="F646" s="101" t="s">
        <v>2050</v>
      </c>
      <c r="G646" s="101"/>
      <c r="H646" s="101" t="s">
        <v>1251</v>
      </c>
      <c r="I646" s="101" t="s">
        <v>1505</v>
      </c>
      <c r="J646" s="101" t="s">
        <v>1898</v>
      </c>
      <c r="K646" s="100" t="s">
        <v>2379</v>
      </c>
      <c r="L646" s="101" t="n">
        <v>2016</v>
      </c>
      <c r="M646" s="101" t="s">
        <v>1553</v>
      </c>
    </row>
    <row r="647" customFormat="false" ht="15" hidden="false" customHeight="true" outlineLevel="0" collapsed="false">
      <c r="A647" s="101" t="n">
        <v>646</v>
      </c>
      <c r="B647" s="100" t="n">
        <v>300</v>
      </c>
      <c r="C647" s="100" t="s">
        <v>418</v>
      </c>
      <c r="D647" s="101" t="s">
        <v>111</v>
      </c>
      <c r="E647" s="101" t="s">
        <v>1175</v>
      </c>
      <c r="F647" s="101" t="s">
        <v>2050</v>
      </c>
      <c r="G647" s="101"/>
      <c r="H647" s="101" t="s">
        <v>1251</v>
      </c>
      <c r="I647" s="101" t="s">
        <v>1505</v>
      </c>
      <c r="J647" s="101" t="s">
        <v>1898</v>
      </c>
      <c r="K647" s="100" t="s">
        <v>2380</v>
      </c>
      <c r="L647" s="101" t="n">
        <v>2016</v>
      </c>
      <c r="M647" s="101" t="s">
        <v>1553</v>
      </c>
    </row>
    <row r="648" customFormat="false" ht="15" hidden="false" customHeight="true" outlineLevel="0" collapsed="false">
      <c r="A648" s="101" t="n">
        <v>647</v>
      </c>
      <c r="B648" s="100" t="n">
        <v>301</v>
      </c>
      <c r="C648" s="100" t="s">
        <v>417</v>
      </c>
      <c r="D648" s="101" t="s">
        <v>111</v>
      </c>
      <c r="E648" s="101" t="s">
        <v>1175</v>
      </c>
      <c r="F648" s="101" t="s">
        <v>2050</v>
      </c>
      <c r="G648" s="101"/>
      <c r="H648" s="101" t="s">
        <v>1251</v>
      </c>
      <c r="I648" s="101" t="s">
        <v>1505</v>
      </c>
      <c r="J648" s="101" t="s">
        <v>1898</v>
      </c>
      <c r="K648" s="100" t="s">
        <v>2381</v>
      </c>
      <c r="L648" s="101" t="n">
        <v>2016</v>
      </c>
      <c r="M648" s="101" t="s">
        <v>1553</v>
      </c>
    </row>
    <row r="649" customFormat="false" ht="15" hidden="false" customHeight="true" outlineLevel="0" collapsed="false">
      <c r="A649" s="101" t="n">
        <v>648</v>
      </c>
      <c r="B649" s="100" t="n">
        <v>302</v>
      </c>
      <c r="C649" s="100" t="s">
        <v>416</v>
      </c>
      <c r="D649" s="101" t="s">
        <v>111</v>
      </c>
      <c r="E649" s="101" t="s">
        <v>1175</v>
      </c>
      <c r="F649" s="101" t="s">
        <v>2050</v>
      </c>
      <c r="G649" s="101"/>
      <c r="H649" s="101" t="s">
        <v>1251</v>
      </c>
      <c r="I649" s="101" t="s">
        <v>1505</v>
      </c>
      <c r="J649" s="101" t="s">
        <v>1898</v>
      </c>
      <c r="K649" s="100" t="s">
        <v>2382</v>
      </c>
      <c r="L649" s="101" t="n">
        <v>2016</v>
      </c>
      <c r="M649" s="101" t="s">
        <v>1553</v>
      </c>
    </row>
    <row r="650" customFormat="false" ht="15" hidden="false" customHeight="true" outlineLevel="0" collapsed="false">
      <c r="A650" s="101" t="n">
        <v>649</v>
      </c>
      <c r="B650" s="100" t="n">
        <v>303</v>
      </c>
      <c r="C650" s="100" t="s">
        <v>415</v>
      </c>
      <c r="D650" s="101" t="s">
        <v>111</v>
      </c>
      <c r="E650" s="101" t="s">
        <v>1175</v>
      </c>
      <c r="F650" s="101" t="s">
        <v>2050</v>
      </c>
      <c r="G650" s="101"/>
      <c r="H650" s="101" t="s">
        <v>1251</v>
      </c>
      <c r="I650" s="101" t="s">
        <v>1505</v>
      </c>
      <c r="J650" s="101" t="s">
        <v>1898</v>
      </c>
      <c r="K650" s="100" t="s">
        <v>2383</v>
      </c>
      <c r="L650" s="101" t="n">
        <v>2016</v>
      </c>
      <c r="M650" s="101" t="s">
        <v>1553</v>
      </c>
    </row>
    <row r="651" customFormat="false" ht="15" hidden="false" customHeight="true" outlineLevel="0" collapsed="false">
      <c r="A651" s="101" t="n">
        <v>650</v>
      </c>
      <c r="B651" s="100" t="n">
        <v>304</v>
      </c>
      <c r="C651" s="100" t="s">
        <v>414</v>
      </c>
      <c r="D651" s="101" t="s">
        <v>111</v>
      </c>
      <c r="E651" s="101" t="s">
        <v>1175</v>
      </c>
      <c r="F651" s="101" t="s">
        <v>2050</v>
      </c>
      <c r="G651" s="101"/>
      <c r="H651" s="101" t="s">
        <v>1251</v>
      </c>
      <c r="I651" s="101" t="s">
        <v>1505</v>
      </c>
      <c r="J651" s="101" t="s">
        <v>1898</v>
      </c>
      <c r="K651" s="100" t="s">
        <v>2384</v>
      </c>
      <c r="L651" s="101" t="n">
        <v>2016</v>
      </c>
      <c r="M651" s="101" t="s">
        <v>1553</v>
      </c>
    </row>
    <row r="652" customFormat="false" ht="15" hidden="false" customHeight="true" outlineLevel="0" collapsed="false">
      <c r="A652" s="101" t="n">
        <v>651</v>
      </c>
      <c r="B652" s="100" t="n">
        <v>305</v>
      </c>
      <c r="C652" s="100" t="s">
        <v>413</v>
      </c>
      <c r="D652" s="101" t="s">
        <v>111</v>
      </c>
      <c r="E652" s="101" t="s">
        <v>1175</v>
      </c>
      <c r="F652" s="101" t="s">
        <v>2050</v>
      </c>
      <c r="G652" s="101"/>
      <c r="H652" s="101" t="s">
        <v>1251</v>
      </c>
      <c r="I652" s="101" t="s">
        <v>1505</v>
      </c>
      <c r="J652" s="101" t="s">
        <v>1898</v>
      </c>
      <c r="K652" s="100" t="s">
        <v>2385</v>
      </c>
      <c r="L652" s="101" t="n">
        <v>2016</v>
      </c>
      <c r="M652" s="101" t="s">
        <v>1553</v>
      </c>
    </row>
    <row r="653" customFormat="false" ht="15" hidden="false" customHeight="true" outlineLevel="0" collapsed="false">
      <c r="A653" s="101" t="n">
        <v>652</v>
      </c>
      <c r="B653" s="100" t="n">
        <v>306</v>
      </c>
      <c r="C653" s="100" t="s">
        <v>412</v>
      </c>
      <c r="D653" s="101" t="s">
        <v>111</v>
      </c>
      <c r="E653" s="101" t="s">
        <v>1175</v>
      </c>
      <c r="F653" s="101" t="s">
        <v>2050</v>
      </c>
      <c r="G653" s="101"/>
      <c r="H653" s="101" t="s">
        <v>1251</v>
      </c>
      <c r="I653" s="101" t="s">
        <v>1505</v>
      </c>
      <c r="J653" s="101" t="s">
        <v>1898</v>
      </c>
      <c r="K653" s="100" t="s">
        <v>2386</v>
      </c>
      <c r="L653" s="101" t="n">
        <v>2016</v>
      </c>
      <c r="M653" s="101" t="s">
        <v>1553</v>
      </c>
    </row>
    <row r="654" customFormat="false" ht="15" hidden="false" customHeight="true" outlineLevel="0" collapsed="false">
      <c r="A654" s="101" t="n">
        <v>653</v>
      </c>
      <c r="B654" s="100" t="n">
        <v>307</v>
      </c>
      <c r="C654" s="100" t="s">
        <v>411</v>
      </c>
      <c r="D654" s="101" t="s">
        <v>111</v>
      </c>
      <c r="E654" s="101" t="s">
        <v>1175</v>
      </c>
      <c r="F654" s="101" t="s">
        <v>2050</v>
      </c>
      <c r="G654" s="101"/>
      <c r="H654" s="101" t="s">
        <v>1251</v>
      </c>
      <c r="I654" s="101" t="s">
        <v>1505</v>
      </c>
      <c r="J654" s="101" t="s">
        <v>1898</v>
      </c>
      <c r="K654" s="100" t="s">
        <v>2387</v>
      </c>
      <c r="L654" s="101" t="n">
        <v>2016</v>
      </c>
      <c r="M654" s="101" t="s">
        <v>1553</v>
      </c>
    </row>
    <row r="655" customFormat="false" ht="15" hidden="false" customHeight="true" outlineLevel="0" collapsed="false">
      <c r="A655" s="101" t="n">
        <v>654</v>
      </c>
      <c r="B655" s="100" t="n">
        <v>308</v>
      </c>
      <c r="C655" s="100" t="s">
        <v>410</v>
      </c>
      <c r="D655" s="101" t="s">
        <v>111</v>
      </c>
      <c r="E655" s="101" t="s">
        <v>1175</v>
      </c>
      <c r="F655" s="101" t="s">
        <v>2050</v>
      </c>
      <c r="G655" s="101"/>
      <c r="H655" s="101" t="s">
        <v>1251</v>
      </c>
      <c r="I655" s="101" t="s">
        <v>1505</v>
      </c>
      <c r="J655" s="101" t="s">
        <v>1898</v>
      </c>
      <c r="K655" s="100" t="s">
        <v>2388</v>
      </c>
      <c r="L655" s="101" t="n">
        <v>2016</v>
      </c>
      <c r="M655" s="101" t="s">
        <v>1553</v>
      </c>
    </row>
    <row r="656" customFormat="false" ht="15" hidden="false" customHeight="true" outlineLevel="0" collapsed="false">
      <c r="A656" s="101" t="n">
        <v>655</v>
      </c>
      <c r="B656" s="100" t="n">
        <v>309</v>
      </c>
      <c r="C656" s="100" t="s">
        <v>409</v>
      </c>
      <c r="D656" s="101" t="s">
        <v>111</v>
      </c>
      <c r="E656" s="101" t="s">
        <v>1175</v>
      </c>
      <c r="F656" s="101" t="s">
        <v>2050</v>
      </c>
      <c r="G656" s="101"/>
      <c r="H656" s="101" t="s">
        <v>1251</v>
      </c>
      <c r="I656" s="101" t="s">
        <v>1505</v>
      </c>
      <c r="J656" s="101" t="s">
        <v>1898</v>
      </c>
      <c r="K656" s="100" t="s">
        <v>2389</v>
      </c>
      <c r="L656" s="101" t="n">
        <v>2016</v>
      </c>
      <c r="M656" s="101" t="s">
        <v>1553</v>
      </c>
    </row>
    <row r="657" customFormat="false" ht="15" hidden="false" customHeight="true" outlineLevel="0" collapsed="false">
      <c r="A657" s="101" t="n">
        <v>656</v>
      </c>
      <c r="B657" s="100" t="n">
        <v>310</v>
      </c>
      <c r="C657" s="100" t="s">
        <v>408</v>
      </c>
      <c r="D657" s="101" t="s">
        <v>111</v>
      </c>
      <c r="E657" s="101" t="s">
        <v>1175</v>
      </c>
      <c r="F657" s="101" t="s">
        <v>2050</v>
      </c>
      <c r="G657" s="101"/>
      <c r="H657" s="101" t="s">
        <v>1251</v>
      </c>
      <c r="I657" s="101" t="s">
        <v>1505</v>
      </c>
      <c r="J657" s="101" t="s">
        <v>1898</v>
      </c>
      <c r="K657" s="100" t="s">
        <v>2390</v>
      </c>
      <c r="L657" s="101" t="n">
        <v>2016</v>
      </c>
      <c r="M657" s="101" t="s">
        <v>1553</v>
      </c>
    </row>
    <row r="658" customFormat="false" ht="15" hidden="false" customHeight="true" outlineLevel="0" collapsed="false">
      <c r="A658" s="101" t="n">
        <v>657</v>
      </c>
      <c r="B658" s="100" t="n">
        <v>311</v>
      </c>
      <c r="C658" s="100" t="s">
        <v>407</v>
      </c>
      <c r="D658" s="101" t="s">
        <v>111</v>
      </c>
      <c r="E658" s="101" t="s">
        <v>1175</v>
      </c>
      <c r="F658" s="101" t="s">
        <v>2050</v>
      </c>
      <c r="G658" s="101"/>
      <c r="H658" s="101" t="s">
        <v>1251</v>
      </c>
      <c r="I658" s="101" t="s">
        <v>1505</v>
      </c>
      <c r="J658" s="101" t="s">
        <v>1898</v>
      </c>
      <c r="K658" s="100" t="s">
        <v>2391</v>
      </c>
      <c r="L658" s="101" t="n">
        <v>2016</v>
      </c>
      <c r="M658" s="101" t="s">
        <v>1553</v>
      </c>
    </row>
    <row r="659" customFormat="false" ht="15" hidden="false" customHeight="true" outlineLevel="0" collapsed="false">
      <c r="A659" s="101" t="n">
        <v>658</v>
      </c>
      <c r="B659" s="100" t="n">
        <v>312</v>
      </c>
      <c r="C659" s="100" t="s">
        <v>406</v>
      </c>
      <c r="D659" s="101" t="s">
        <v>111</v>
      </c>
      <c r="E659" s="101" t="s">
        <v>1175</v>
      </c>
      <c r="F659" s="101" t="s">
        <v>2050</v>
      </c>
      <c r="G659" s="101"/>
      <c r="H659" s="101" t="s">
        <v>1251</v>
      </c>
      <c r="I659" s="101" t="s">
        <v>1505</v>
      </c>
      <c r="J659" s="101" t="s">
        <v>1898</v>
      </c>
      <c r="K659" s="100" t="s">
        <v>2392</v>
      </c>
      <c r="L659" s="101" t="n">
        <v>2016</v>
      </c>
      <c r="M659" s="101" t="s">
        <v>1553</v>
      </c>
    </row>
    <row r="660" customFormat="false" ht="15" hidden="false" customHeight="true" outlineLevel="0" collapsed="false">
      <c r="A660" s="101" t="n">
        <v>659</v>
      </c>
      <c r="B660" s="100" t="n">
        <v>313</v>
      </c>
      <c r="C660" s="100" t="s">
        <v>405</v>
      </c>
      <c r="D660" s="101" t="s">
        <v>111</v>
      </c>
      <c r="E660" s="101" t="s">
        <v>1175</v>
      </c>
      <c r="F660" s="101" t="s">
        <v>2050</v>
      </c>
      <c r="G660" s="101"/>
      <c r="H660" s="101" t="s">
        <v>1251</v>
      </c>
      <c r="I660" s="101" t="s">
        <v>1505</v>
      </c>
      <c r="J660" s="101" t="s">
        <v>1898</v>
      </c>
      <c r="K660" s="100" t="s">
        <v>2393</v>
      </c>
      <c r="L660" s="101" t="n">
        <v>2016</v>
      </c>
      <c r="M660" s="101" t="s">
        <v>1553</v>
      </c>
    </row>
    <row r="661" customFormat="false" ht="15" hidden="false" customHeight="true" outlineLevel="0" collapsed="false">
      <c r="A661" s="101" t="n">
        <v>660</v>
      </c>
      <c r="B661" s="100" t="n">
        <v>314</v>
      </c>
      <c r="C661" s="100" t="s">
        <v>404</v>
      </c>
      <c r="D661" s="101" t="s">
        <v>111</v>
      </c>
      <c r="E661" s="101" t="s">
        <v>1175</v>
      </c>
      <c r="F661" s="101" t="s">
        <v>2050</v>
      </c>
      <c r="G661" s="101"/>
      <c r="H661" s="101" t="s">
        <v>1251</v>
      </c>
      <c r="I661" s="101" t="s">
        <v>1505</v>
      </c>
      <c r="J661" s="101" t="s">
        <v>1898</v>
      </c>
      <c r="K661" s="100" t="s">
        <v>2394</v>
      </c>
      <c r="L661" s="101" t="n">
        <v>2016</v>
      </c>
      <c r="M661" s="101" t="s">
        <v>1553</v>
      </c>
    </row>
    <row r="662" customFormat="false" ht="15" hidden="false" customHeight="true" outlineLevel="0" collapsed="false">
      <c r="A662" s="101" t="n">
        <v>661</v>
      </c>
      <c r="B662" s="100" t="n">
        <v>315</v>
      </c>
      <c r="C662" s="100" t="s">
        <v>403</v>
      </c>
      <c r="D662" s="101" t="s">
        <v>111</v>
      </c>
      <c r="E662" s="101" t="s">
        <v>1175</v>
      </c>
      <c r="F662" s="101" t="s">
        <v>2050</v>
      </c>
      <c r="G662" s="101"/>
      <c r="H662" s="101" t="s">
        <v>1251</v>
      </c>
      <c r="I662" s="101" t="s">
        <v>1505</v>
      </c>
      <c r="J662" s="101" t="s">
        <v>1898</v>
      </c>
      <c r="K662" s="100" t="s">
        <v>2395</v>
      </c>
      <c r="L662" s="101" t="n">
        <v>2016</v>
      </c>
      <c r="M662" s="101" t="s">
        <v>1553</v>
      </c>
    </row>
    <row r="663" customFormat="false" ht="15" hidden="false" customHeight="true" outlineLevel="0" collapsed="false">
      <c r="A663" s="101" t="n">
        <v>662</v>
      </c>
      <c r="B663" s="100" t="n">
        <v>316</v>
      </c>
      <c r="C663" s="100" t="s">
        <v>589</v>
      </c>
      <c r="D663" s="101" t="s">
        <v>111</v>
      </c>
      <c r="E663" s="101" t="s">
        <v>1209</v>
      </c>
      <c r="F663" s="101" t="s">
        <v>2396</v>
      </c>
      <c r="G663" s="101"/>
      <c r="H663" s="101" t="s">
        <v>1251</v>
      </c>
      <c r="I663" s="101" t="s">
        <v>1505</v>
      </c>
      <c r="J663" s="101" t="s">
        <v>1898</v>
      </c>
      <c r="K663" s="100" t="s">
        <v>2397</v>
      </c>
      <c r="L663" s="101" t="n">
        <v>2015</v>
      </c>
      <c r="M663" s="101" t="s">
        <v>1553</v>
      </c>
    </row>
    <row r="664" customFormat="false" ht="15" hidden="false" customHeight="true" outlineLevel="0" collapsed="false">
      <c r="A664" s="101" t="n">
        <v>663</v>
      </c>
      <c r="B664" s="100" t="n">
        <v>317</v>
      </c>
      <c r="C664" s="100" t="s">
        <v>1066</v>
      </c>
      <c r="D664" s="101" t="s">
        <v>111</v>
      </c>
      <c r="E664" s="101" t="s">
        <v>1177</v>
      </c>
      <c r="F664" s="101" t="s">
        <v>1335</v>
      </c>
      <c r="G664" s="101" t="s">
        <v>2119</v>
      </c>
      <c r="H664" s="101" t="s">
        <v>1251</v>
      </c>
      <c r="I664" s="101" t="s">
        <v>1505</v>
      </c>
      <c r="J664" s="101" t="s">
        <v>1898</v>
      </c>
      <c r="K664" s="100" t="s">
        <v>2398</v>
      </c>
      <c r="L664" s="101" t="n">
        <v>2015</v>
      </c>
      <c r="M664" s="101" t="s">
        <v>1553</v>
      </c>
    </row>
    <row r="665" customFormat="false" ht="15" hidden="false" customHeight="true" outlineLevel="0" collapsed="false">
      <c r="A665" s="101" t="n">
        <v>664</v>
      </c>
      <c r="B665" s="100" t="n">
        <v>318</v>
      </c>
      <c r="C665" s="100" t="s">
        <v>181</v>
      </c>
      <c r="D665" s="101" t="s">
        <v>111</v>
      </c>
      <c r="E665" s="101" t="s">
        <v>1177</v>
      </c>
      <c r="F665" s="101" t="s">
        <v>2005</v>
      </c>
      <c r="G665" s="101" t="s">
        <v>1531</v>
      </c>
      <c r="H665" s="101" t="s">
        <v>1251</v>
      </c>
      <c r="I665" s="101" t="s">
        <v>1505</v>
      </c>
      <c r="J665" s="101" t="s">
        <v>1852</v>
      </c>
      <c r="K665" s="100" t="s">
        <v>180</v>
      </c>
      <c r="L665" s="101" t="n">
        <v>2016</v>
      </c>
      <c r="M665" s="101" t="s">
        <v>1553</v>
      </c>
    </row>
    <row r="666" customFormat="false" ht="15" hidden="false" customHeight="true" outlineLevel="0" collapsed="false">
      <c r="A666" s="101" t="n">
        <v>665</v>
      </c>
      <c r="B666" s="100" t="n">
        <v>319</v>
      </c>
      <c r="C666" s="100" t="s">
        <v>178</v>
      </c>
      <c r="D666" s="101" t="s">
        <v>111</v>
      </c>
      <c r="E666" s="101" t="s">
        <v>1196</v>
      </c>
      <c r="F666" s="101" t="s">
        <v>1196</v>
      </c>
      <c r="G666" s="101" t="s">
        <v>1415</v>
      </c>
      <c r="H666" s="101" t="s">
        <v>1251</v>
      </c>
      <c r="I666" s="101" t="s">
        <v>1892</v>
      </c>
      <c r="J666" s="101" t="s">
        <v>1955</v>
      </c>
      <c r="K666" s="100" t="s">
        <v>177</v>
      </c>
      <c r="L666" s="101" t="n">
        <v>2016</v>
      </c>
      <c r="M666" s="101" t="s">
        <v>1553</v>
      </c>
    </row>
    <row r="667" customFormat="false" ht="15" hidden="false" customHeight="true" outlineLevel="0" collapsed="false">
      <c r="A667" s="101" t="n">
        <v>666</v>
      </c>
      <c r="B667" s="100" t="n">
        <v>320</v>
      </c>
      <c r="C667" s="100" t="s">
        <v>402</v>
      </c>
      <c r="D667" s="101" t="s">
        <v>111</v>
      </c>
      <c r="E667" s="101" t="s">
        <v>1208</v>
      </c>
      <c r="F667" s="101" t="s">
        <v>1208</v>
      </c>
      <c r="G667" s="101" t="s">
        <v>1711</v>
      </c>
      <c r="H667" s="101" t="s">
        <v>1251</v>
      </c>
      <c r="I667" s="101" t="s">
        <v>1505</v>
      </c>
      <c r="J667" s="101" t="s">
        <v>2225</v>
      </c>
      <c r="K667" s="100" t="s">
        <v>2399</v>
      </c>
      <c r="L667" s="101" t="n">
        <v>2015</v>
      </c>
      <c r="M667" s="101" t="s">
        <v>1553</v>
      </c>
    </row>
    <row r="668" customFormat="false" ht="15" hidden="false" customHeight="true" outlineLevel="0" collapsed="false">
      <c r="A668" s="101" t="n">
        <v>667</v>
      </c>
      <c r="B668" s="100" t="n">
        <v>321</v>
      </c>
      <c r="C668" s="100" t="s">
        <v>401</v>
      </c>
      <c r="D668" s="101" t="s">
        <v>111</v>
      </c>
      <c r="E668" s="101" t="s">
        <v>1208</v>
      </c>
      <c r="F668" s="101" t="s">
        <v>1869</v>
      </c>
      <c r="G668" s="101" t="s">
        <v>1835</v>
      </c>
      <c r="H668" s="101" t="s">
        <v>1251</v>
      </c>
      <c r="I668" s="101" t="s">
        <v>1505</v>
      </c>
      <c r="J668" s="101" t="s">
        <v>1852</v>
      </c>
      <c r="K668" s="100" t="s">
        <v>2400</v>
      </c>
      <c r="L668" s="101" t="n">
        <v>2016</v>
      </c>
      <c r="M668" s="101" t="s">
        <v>1553</v>
      </c>
    </row>
    <row r="669" customFormat="false" ht="15" hidden="false" customHeight="true" outlineLevel="0" collapsed="false">
      <c r="A669" s="101" t="n">
        <v>668</v>
      </c>
      <c r="B669" s="100" t="n">
        <v>322</v>
      </c>
      <c r="C669" s="100" t="s">
        <v>2401</v>
      </c>
      <c r="D669" s="101" t="s">
        <v>111</v>
      </c>
      <c r="E669" s="101" t="s">
        <v>1182</v>
      </c>
      <c r="F669" s="101" t="s">
        <v>1348</v>
      </c>
      <c r="G669" s="101"/>
      <c r="H669" s="101" t="s">
        <v>1891</v>
      </c>
      <c r="I669" s="101" t="s">
        <v>1892</v>
      </c>
      <c r="J669" s="101" t="s">
        <v>2402</v>
      </c>
      <c r="K669" s="100" t="s">
        <v>2403</v>
      </c>
      <c r="L669" s="101" t="n">
        <v>2016</v>
      </c>
      <c r="M669" s="101" t="s">
        <v>1561</v>
      </c>
    </row>
    <row r="670" customFormat="false" ht="15" hidden="false" customHeight="true" outlineLevel="0" collapsed="false">
      <c r="A670" s="101" t="n">
        <v>669</v>
      </c>
      <c r="B670" s="100" t="n">
        <v>323</v>
      </c>
      <c r="C670" s="100" t="s">
        <v>2404</v>
      </c>
      <c r="D670" s="101" t="s">
        <v>111</v>
      </c>
      <c r="E670" s="101" t="s">
        <v>1182</v>
      </c>
      <c r="F670" s="101" t="s">
        <v>1348</v>
      </c>
      <c r="G670" s="101"/>
      <c r="H670" s="101" t="s">
        <v>1891</v>
      </c>
      <c r="I670" s="101" t="s">
        <v>1892</v>
      </c>
      <c r="J670" s="101" t="s">
        <v>2402</v>
      </c>
      <c r="K670" s="100" t="s">
        <v>2405</v>
      </c>
      <c r="L670" s="101" t="n">
        <v>2016</v>
      </c>
      <c r="M670" s="101" t="s">
        <v>1561</v>
      </c>
    </row>
    <row r="671" customFormat="false" ht="15" hidden="false" customHeight="true" outlineLevel="0" collapsed="false">
      <c r="A671" s="101" t="n">
        <v>670</v>
      </c>
      <c r="B671" s="100" t="n">
        <v>324</v>
      </c>
      <c r="C671" s="100" t="s">
        <v>2406</v>
      </c>
      <c r="D671" s="101" t="s">
        <v>111</v>
      </c>
      <c r="E671" s="101" t="s">
        <v>1204</v>
      </c>
      <c r="F671" s="101" t="s">
        <v>1386</v>
      </c>
      <c r="G671" s="101" t="s">
        <v>1461</v>
      </c>
      <c r="H671" s="101" t="s">
        <v>1251</v>
      </c>
      <c r="I671" s="101" t="s">
        <v>1505</v>
      </c>
      <c r="J671" s="101" t="s">
        <v>2225</v>
      </c>
      <c r="K671" s="100" t="s">
        <v>2407</v>
      </c>
      <c r="L671" s="101" t="n">
        <v>2015</v>
      </c>
      <c r="M671" s="101" t="s">
        <v>1553</v>
      </c>
    </row>
    <row r="672" customFormat="false" ht="15" hidden="false" customHeight="true" outlineLevel="0" collapsed="false">
      <c r="A672" s="101" t="n">
        <v>671</v>
      </c>
      <c r="B672" s="100" t="n">
        <v>325</v>
      </c>
      <c r="C672" s="100" t="s">
        <v>1060</v>
      </c>
      <c r="D672" s="101" t="s">
        <v>111</v>
      </c>
      <c r="E672" s="101" t="s">
        <v>1206</v>
      </c>
      <c r="F672" s="101" t="s">
        <v>2408</v>
      </c>
      <c r="G672" s="101" t="s">
        <v>1717</v>
      </c>
      <c r="H672" s="101" t="s">
        <v>1251</v>
      </c>
      <c r="I672" s="101" t="s">
        <v>1505</v>
      </c>
      <c r="J672" s="101" t="s">
        <v>1852</v>
      </c>
      <c r="K672" s="100" t="s">
        <v>2409</v>
      </c>
      <c r="L672" s="101" t="n">
        <v>2016</v>
      </c>
      <c r="M672" s="101" t="s">
        <v>1553</v>
      </c>
    </row>
    <row r="673" customFormat="false" ht="15" hidden="false" customHeight="true" outlineLevel="0" collapsed="false">
      <c r="A673" s="101" t="n">
        <v>672</v>
      </c>
      <c r="B673" s="100" t="n">
        <v>326</v>
      </c>
      <c r="C673" s="100" t="s">
        <v>588</v>
      </c>
      <c r="D673" s="101" t="s">
        <v>111</v>
      </c>
      <c r="E673" s="101" t="s">
        <v>1149</v>
      </c>
      <c r="F673" s="101" t="s">
        <v>1889</v>
      </c>
      <c r="G673" s="101" t="s">
        <v>1890</v>
      </c>
      <c r="H673" s="101" t="s">
        <v>1251</v>
      </c>
      <c r="I673" s="101" t="s">
        <v>1505</v>
      </c>
      <c r="J673" s="101" t="s">
        <v>1852</v>
      </c>
      <c r="K673" s="100" t="s">
        <v>2410</v>
      </c>
      <c r="L673" s="101" t="n">
        <v>2015</v>
      </c>
      <c r="M673" s="101" t="s">
        <v>1553</v>
      </c>
    </row>
    <row r="674" customFormat="false" ht="15" hidden="false" customHeight="true" outlineLevel="0" collapsed="false">
      <c r="A674" s="101"/>
      <c r="B674" s="100"/>
      <c r="C674" s="100"/>
      <c r="D674" s="101"/>
      <c r="E674" s="101"/>
      <c r="F674" s="101"/>
      <c r="G674" s="101"/>
      <c r="H674" s="101"/>
      <c r="I674" s="101"/>
      <c r="J674" s="101"/>
      <c r="K674" s="100"/>
      <c r="L674" s="101"/>
      <c r="M674" s="101"/>
    </row>
    <row r="675" customFormat="false" ht="15" hidden="false" customHeight="true" outlineLevel="0" collapsed="false">
      <c r="A675" s="101" t="n">
        <v>674</v>
      </c>
      <c r="B675" s="100" t="n">
        <v>328</v>
      </c>
      <c r="C675" s="100" t="s">
        <v>1063</v>
      </c>
      <c r="D675" s="101" t="s">
        <v>111</v>
      </c>
      <c r="E675" s="101" t="s">
        <v>1177</v>
      </c>
      <c r="F675" s="101" t="s">
        <v>2411</v>
      </c>
      <c r="G675" s="101" t="s">
        <v>2175</v>
      </c>
      <c r="H675" s="101" t="s">
        <v>1251</v>
      </c>
      <c r="I675" s="101" t="s">
        <v>1607</v>
      </c>
      <c r="J675" s="101" t="s">
        <v>2366</v>
      </c>
      <c r="K675" s="100" t="s">
        <v>2412</v>
      </c>
      <c r="L675" s="101" t="n">
        <v>2018</v>
      </c>
      <c r="M675" s="101" t="s">
        <v>1553</v>
      </c>
    </row>
    <row r="676" customFormat="false" ht="15" hidden="false" customHeight="true" outlineLevel="0" collapsed="false">
      <c r="A676" s="101" t="n">
        <v>675</v>
      </c>
      <c r="B676" s="100" t="n">
        <v>329</v>
      </c>
      <c r="C676" s="100" t="s">
        <v>400</v>
      </c>
      <c r="D676" s="101" t="s">
        <v>2413</v>
      </c>
      <c r="E676" s="101" t="s">
        <v>1175</v>
      </c>
      <c r="F676" s="101" t="s">
        <v>1233</v>
      </c>
      <c r="G676" s="101"/>
      <c r="H676" s="101" t="s">
        <v>1251</v>
      </c>
      <c r="I676" s="101" t="s">
        <v>2414</v>
      </c>
      <c r="J676" s="101" t="s">
        <v>2415</v>
      </c>
      <c r="K676" s="100" t="s">
        <v>2416</v>
      </c>
      <c r="L676" s="101" t="n">
        <v>2016</v>
      </c>
      <c r="M676" s="101" t="s">
        <v>1561</v>
      </c>
    </row>
    <row r="677" customFormat="false" ht="15" hidden="false" customHeight="true" outlineLevel="0" collapsed="false">
      <c r="A677" s="101" t="n">
        <v>676</v>
      </c>
      <c r="B677" s="100" t="n">
        <v>330</v>
      </c>
      <c r="C677" s="100" t="s">
        <v>399</v>
      </c>
      <c r="D677" s="101" t="s">
        <v>2413</v>
      </c>
      <c r="E677" s="101" t="s">
        <v>1175</v>
      </c>
      <c r="F677" s="101" t="s">
        <v>1233</v>
      </c>
      <c r="G677" s="101"/>
      <c r="H677" s="101" t="s">
        <v>1251</v>
      </c>
      <c r="I677" s="101" t="s">
        <v>2414</v>
      </c>
      <c r="J677" s="101" t="s">
        <v>2415</v>
      </c>
      <c r="K677" s="100" t="s">
        <v>2417</v>
      </c>
      <c r="L677" s="101" t="n">
        <v>2016</v>
      </c>
      <c r="M677" s="101" t="s">
        <v>1561</v>
      </c>
    </row>
    <row r="678" customFormat="false" ht="15" hidden="false" customHeight="true" outlineLevel="0" collapsed="false">
      <c r="A678" s="101" t="n">
        <v>677</v>
      </c>
      <c r="B678" s="100" t="n">
        <v>331</v>
      </c>
      <c r="C678" s="100" t="s">
        <v>2418</v>
      </c>
      <c r="D678" s="101" t="s">
        <v>111</v>
      </c>
      <c r="E678" s="101" t="s">
        <v>1204</v>
      </c>
      <c r="F678" s="101" t="s">
        <v>1386</v>
      </c>
      <c r="G678" s="101" t="s">
        <v>1814</v>
      </c>
      <c r="H678" s="101" t="s">
        <v>1251</v>
      </c>
      <c r="I678" s="101" t="s">
        <v>1505</v>
      </c>
      <c r="J678" s="101" t="s">
        <v>1811</v>
      </c>
      <c r="K678" s="100" t="s">
        <v>2419</v>
      </c>
      <c r="L678" s="101" t="n">
        <v>2016</v>
      </c>
      <c r="M678" s="101" t="s">
        <v>1553</v>
      </c>
    </row>
    <row r="679" customFormat="false" ht="15" hidden="false" customHeight="true" outlineLevel="0" collapsed="false">
      <c r="A679" s="101" t="n">
        <v>678</v>
      </c>
      <c r="B679" s="100" t="n">
        <v>332</v>
      </c>
      <c r="C679" s="100" t="s">
        <v>2420</v>
      </c>
      <c r="D679" s="101" t="s">
        <v>111</v>
      </c>
      <c r="E679" s="101" t="s">
        <v>1204</v>
      </c>
      <c r="F679" s="101" t="s">
        <v>1324</v>
      </c>
      <c r="G679" s="101" t="s">
        <v>1843</v>
      </c>
      <c r="H679" s="101" t="s">
        <v>1251</v>
      </c>
      <c r="I679" s="101" t="s">
        <v>1505</v>
      </c>
      <c r="J679" s="101" t="s">
        <v>1811</v>
      </c>
      <c r="K679" s="100" t="s">
        <v>2421</v>
      </c>
      <c r="L679" s="101" t="n">
        <v>2016</v>
      </c>
      <c r="M679" s="101" t="s">
        <v>1553</v>
      </c>
    </row>
    <row r="680" customFormat="false" ht="15" hidden="false" customHeight="true" outlineLevel="0" collapsed="false">
      <c r="A680" s="101" t="n">
        <v>679</v>
      </c>
      <c r="B680" s="100" t="n">
        <v>333</v>
      </c>
      <c r="C680" s="100" t="s">
        <v>2422</v>
      </c>
      <c r="D680" s="101" t="s">
        <v>111</v>
      </c>
      <c r="E680" s="101" t="s">
        <v>1204</v>
      </c>
      <c r="F680" s="101" t="s">
        <v>2272</v>
      </c>
      <c r="G680" s="101" t="s">
        <v>1841</v>
      </c>
      <c r="H680" s="101" t="s">
        <v>1251</v>
      </c>
      <c r="I680" s="101" t="s">
        <v>1505</v>
      </c>
      <c r="J680" s="101" t="s">
        <v>1811</v>
      </c>
      <c r="K680" s="100" t="s">
        <v>2423</v>
      </c>
      <c r="L680" s="101" t="n">
        <v>2016</v>
      </c>
      <c r="M680" s="101" t="s">
        <v>1553</v>
      </c>
    </row>
    <row r="681" customFormat="false" ht="15" hidden="false" customHeight="true" outlineLevel="0" collapsed="false">
      <c r="A681" s="101" t="n">
        <v>680</v>
      </c>
      <c r="B681" s="100" t="n">
        <v>334</v>
      </c>
      <c r="C681" s="100" t="s">
        <v>2424</v>
      </c>
      <c r="D681" s="101" t="s">
        <v>111</v>
      </c>
      <c r="E681" s="101" t="s">
        <v>1204</v>
      </c>
      <c r="F681" s="101" t="s">
        <v>1386</v>
      </c>
      <c r="G681" s="101" t="s">
        <v>2425</v>
      </c>
      <c r="H681" s="101" t="s">
        <v>1251</v>
      </c>
      <c r="I681" s="101" t="s">
        <v>1505</v>
      </c>
      <c r="J681" s="101" t="s">
        <v>1811</v>
      </c>
      <c r="K681" s="100" t="s">
        <v>2426</v>
      </c>
      <c r="L681" s="101" t="n">
        <v>2016</v>
      </c>
      <c r="M681" s="101" t="s">
        <v>1553</v>
      </c>
    </row>
    <row r="682" customFormat="false" ht="15" hidden="false" customHeight="true" outlineLevel="0" collapsed="false">
      <c r="A682" s="101" t="n">
        <v>681</v>
      </c>
      <c r="B682" s="100" t="n">
        <v>335</v>
      </c>
      <c r="C682" s="100" t="s">
        <v>2427</v>
      </c>
      <c r="D682" s="101" t="s">
        <v>111</v>
      </c>
      <c r="E682" s="101" t="s">
        <v>1204</v>
      </c>
      <c r="F682" s="101" t="s">
        <v>1324</v>
      </c>
      <c r="G682" s="101" t="s">
        <v>2273</v>
      </c>
      <c r="H682" s="101" t="s">
        <v>1251</v>
      </c>
      <c r="I682" s="101" t="s">
        <v>1505</v>
      </c>
      <c r="J682" s="101" t="s">
        <v>1811</v>
      </c>
      <c r="K682" s="100" t="s">
        <v>2428</v>
      </c>
      <c r="L682" s="101" t="n">
        <v>2016</v>
      </c>
      <c r="M682" s="101" t="s">
        <v>1553</v>
      </c>
    </row>
    <row r="683" customFormat="false" ht="15" hidden="false" customHeight="true" outlineLevel="0" collapsed="false">
      <c r="A683" s="101" t="n">
        <v>682</v>
      </c>
      <c r="B683" s="100" t="n">
        <v>336</v>
      </c>
      <c r="C683" s="100" t="s">
        <v>929</v>
      </c>
      <c r="D683" s="101" t="s">
        <v>111</v>
      </c>
      <c r="E683" s="101" t="s">
        <v>1204</v>
      </c>
      <c r="F683" s="101" t="s">
        <v>1386</v>
      </c>
      <c r="G683" s="101" t="s">
        <v>1826</v>
      </c>
      <c r="H683" s="101" t="s">
        <v>1251</v>
      </c>
      <c r="I683" s="101" t="s">
        <v>1505</v>
      </c>
      <c r="J683" s="101" t="s">
        <v>1811</v>
      </c>
      <c r="K683" s="100" t="s">
        <v>2429</v>
      </c>
      <c r="L683" s="101" t="n">
        <v>2016</v>
      </c>
      <c r="M683" s="101" t="s">
        <v>1553</v>
      </c>
    </row>
    <row r="684" customFormat="false" ht="15" hidden="false" customHeight="true" outlineLevel="0" collapsed="false">
      <c r="A684" s="101" t="n">
        <v>683</v>
      </c>
      <c r="B684" s="100" t="n">
        <v>337</v>
      </c>
      <c r="C684" s="100" t="s">
        <v>2430</v>
      </c>
      <c r="D684" s="101" t="s">
        <v>111</v>
      </c>
      <c r="E684" s="101" t="s">
        <v>1204</v>
      </c>
      <c r="F684" s="101" t="s">
        <v>1386</v>
      </c>
      <c r="G684" s="101" t="s">
        <v>1838</v>
      </c>
      <c r="H684" s="101" t="s">
        <v>1251</v>
      </c>
      <c r="I684" s="101" t="s">
        <v>1505</v>
      </c>
      <c r="J684" s="101" t="s">
        <v>1811</v>
      </c>
      <c r="K684" s="100" t="s">
        <v>2431</v>
      </c>
      <c r="L684" s="101" t="n">
        <v>2016</v>
      </c>
      <c r="M684" s="101" t="s">
        <v>1553</v>
      </c>
    </row>
    <row r="685" customFormat="false" ht="15" hidden="false" customHeight="true" outlineLevel="0" collapsed="false">
      <c r="A685" s="101" t="n">
        <v>684</v>
      </c>
      <c r="B685" s="100" t="n">
        <v>338</v>
      </c>
      <c r="C685" s="100" t="s">
        <v>928</v>
      </c>
      <c r="D685" s="101" t="s">
        <v>111</v>
      </c>
      <c r="E685" s="101" t="s">
        <v>1204</v>
      </c>
      <c r="F685" s="101" t="s">
        <v>1386</v>
      </c>
      <c r="G685" s="101" t="s">
        <v>1829</v>
      </c>
      <c r="H685" s="101" t="s">
        <v>1251</v>
      </c>
      <c r="I685" s="101" t="s">
        <v>1505</v>
      </c>
      <c r="J685" s="101" t="s">
        <v>1811</v>
      </c>
      <c r="K685" s="100" t="s">
        <v>2432</v>
      </c>
      <c r="L685" s="101" t="n">
        <v>2016</v>
      </c>
      <c r="M685" s="101" t="s">
        <v>1553</v>
      </c>
    </row>
    <row r="686" customFormat="false" ht="15" hidden="false" customHeight="true" outlineLevel="0" collapsed="false">
      <c r="A686" s="101" t="n">
        <v>685</v>
      </c>
      <c r="B686" s="100" t="n">
        <v>339</v>
      </c>
      <c r="C686" s="100" t="s">
        <v>927</v>
      </c>
      <c r="D686" s="101" t="s">
        <v>111</v>
      </c>
      <c r="E686" s="101" t="s">
        <v>1204</v>
      </c>
      <c r="F686" s="101" t="s">
        <v>1386</v>
      </c>
      <c r="G686" s="101" t="s">
        <v>2261</v>
      </c>
      <c r="H686" s="101" t="s">
        <v>1251</v>
      </c>
      <c r="I686" s="101" t="s">
        <v>1505</v>
      </c>
      <c r="J686" s="101" t="s">
        <v>1811</v>
      </c>
      <c r="K686" s="100" t="s">
        <v>2433</v>
      </c>
      <c r="L686" s="101" t="n">
        <v>2016</v>
      </c>
      <c r="M686" s="101" t="s">
        <v>1553</v>
      </c>
    </row>
    <row r="687" customFormat="false" ht="15" hidden="false" customHeight="true" outlineLevel="0" collapsed="false">
      <c r="A687" s="101" t="n">
        <v>686</v>
      </c>
      <c r="B687" s="100" t="n">
        <v>340</v>
      </c>
      <c r="C687" s="100" t="s">
        <v>2434</v>
      </c>
      <c r="D687" s="101" t="s">
        <v>111</v>
      </c>
      <c r="E687" s="101" t="s">
        <v>1204</v>
      </c>
      <c r="F687" s="101" t="s">
        <v>1324</v>
      </c>
      <c r="G687" s="101" t="s">
        <v>2435</v>
      </c>
      <c r="H687" s="101" t="s">
        <v>1251</v>
      </c>
      <c r="I687" s="101" t="s">
        <v>1505</v>
      </c>
      <c r="J687" s="101" t="s">
        <v>1811</v>
      </c>
      <c r="K687" s="100" t="s">
        <v>2436</v>
      </c>
      <c r="L687" s="101" t="n">
        <v>2016</v>
      </c>
      <c r="M687" s="101" t="s">
        <v>1553</v>
      </c>
    </row>
    <row r="688" customFormat="false" ht="15" hidden="false" customHeight="true" outlineLevel="0" collapsed="false">
      <c r="A688" s="101" t="n">
        <v>687</v>
      </c>
      <c r="B688" s="100" t="n">
        <v>341</v>
      </c>
      <c r="C688" s="100" t="s">
        <v>926</v>
      </c>
      <c r="D688" s="101" t="s">
        <v>111</v>
      </c>
      <c r="E688" s="101" t="s">
        <v>1204</v>
      </c>
      <c r="F688" s="101" t="s">
        <v>1386</v>
      </c>
      <c r="G688" s="101" t="s">
        <v>2279</v>
      </c>
      <c r="H688" s="101" t="s">
        <v>1251</v>
      </c>
      <c r="I688" s="101" t="s">
        <v>1505</v>
      </c>
      <c r="J688" s="101" t="s">
        <v>1811</v>
      </c>
      <c r="K688" s="100" t="s">
        <v>2437</v>
      </c>
      <c r="L688" s="101" t="n">
        <v>2016</v>
      </c>
      <c r="M688" s="101" t="s">
        <v>1553</v>
      </c>
    </row>
    <row r="689" customFormat="false" ht="15" hidden="false" customHeight="true" outlineLevel="0" collapsed="false">
      <c r="A689" s="101" t="n">
        <v>688</v>
      </c>
      <c r="B689" s="100" t="n">
        <v>342</v>
      </c>
      <c r="C689" s="100" t="s">
        <v>925</v>
      </c>
      <c r="D689" s="101" t="s">
        <v>111</v>
      </c>
      <c r="E689" s="101" t="s">
        <v>1204</v>
      </c>
      <c r="F689" s="101" t="s">
        <v>1386</v>
      </c>
      <c r="G689" s="101" t="s">
        <v>2264</v>
      </c>
      <c r="H689" s="101" t="s">
        <v>1251</v>
      </c>
      <c r="I689" s="101" t="s">
        <v>1505</v>
      </c>
      <c r="J689" s="101" t="s">
        <v>1811</v>
      </c>
      <c r="K689" s="100" t="s">
        <v>2438</v>
      </c>
      <c r="L689" s="101" t="n">
        <v>2016</v>
      </c>
      <c r="M689" s="101" t="s">
        <v>1553</v>
      </c>
    </row>
    <row r="690" customFormat="false" ht="15" hidden="false" customHeight="true" outlineLevel="0" collapsed="false">
      <c r="A690" s="101" t="n">
        <v>689</v>
      </c>
      <c r="B690" s="100" t="n">
        <v>343</v>
      </c>
      <c r="C690" s="100" t="s">
        <v>2439</v>
      </c>
      <c r="D690" s="101" t="s">
        <v>111</v>
      </c>
      <c r="E690" s="101" t="s">
        <v>1204</v>
      </c>
      <c r="F690" s="101" t="s">
        <v>1386</v>
      </c>
      <c r="G690" s="101" t="s">
        <v>1843</v>
      </c>
      <c r="H690" s="101" t="s">
        <v>1251</v>
      </c>
      <c r="I690" s="101" t="s">
        <v>1505</v>
      </c>
      <c r="J690" s="101" t="s">
        <v>1811</v>
      </c>
      <c r="K690" s="100" t="s">
        <v>2440</v>
      </c>
      <c r="L690" s="101" t="n">
        <v>2016</v>
      </c>
      <c r="M690" s="101" t="s">
        <v>1553</v>
      </c>
    </row>
    <row r="691" customFormat="false" ht="15" hidden="false" customHeight="true" outlineLevel="0" collapsed="false">
      <c r="A691" s="101" t="n">
        <v>690</v>
      </c>
      <c r="B691" s="100" t="n">
        <v>344</v>
      </c>
      <c r="C691" s="100" t="s">
        <v>924</v>
      </c>
      <c r="D691" s="101" t="s">
        <v>111</v>
      </c>
      <c r="E691" s="101" t="s">
        <v>1204</v>
      </c>
      <c r="F691" s="101" t="s">
        <v>1386</v>
      </c>
      <c r="G691" s="101" t="s">
        <v>1810</v>
      </c>
      <c r="H691" s="101" t="s">
        <v>1251</v>
      </c>
      <c r="I691" s="101" t="s">
        <v>1505</v>
      </c>
      <c r="J691" s="101" t="s">
        <v>1811</v>
      </c>
      <c r="K691" s="100" t="s">
        <v>2441</v>
      </c>
      <c r="L691" s="101" t="n">
        <v>2016</v>
      </c>
      <c r="M691" s="101" t="s">
        <v>1553</v>
      </c>
    </row>
    <row r="692" customFormat="false" ht="15" hidden="false" customHeight="true" outlineLevel="0" collapsed="false">
      <c r="A692" s="101" t="n">
        <v>691</v>
      </c>
      <c r="B692" s="100" t="n">
        <v>345</v>
      </c>
      <c r="C692" s="100" t="s">
        <v>587</v>
      </c>
      <c r="D692" s="101" t="s">
        <v>111</v>
      </c>
      <c r="E692" s="101" t="s">
        <v>1164</v>
      </c>
      <c r="F692" s="101" t="s">
        <v>1164</v>
      </c>
      <c r="G692" s="101" t="s">
        <v>2442</v>
      </c>
      <c r="H692" s="101" t="s">
        <v>1251</v>
      </c>
      <c r="I692" s="101" t="s">
        <v>2443</v>
      </c>
      <c r="J692" s="101" t="s">
        <v>2444</v>
      </c>
      <c r="K692" s="100" t="s">
        <v>2445</v>
      </c>
      <c r="L692" s="101" t="n">
        <v>2016</v>
      </c>
      <c r="M692" s="101" t="s">
        <v>1561</v>
      </c>
    </row>
    <row r="693" customFormat="false" ht="15" hidden="false" customHeight="true" outlineLevel="0" collapsed="false">
      <c r="A693" s="101" t="n">
        <v>692</v>
      </c>
      <c r="B693" s="100" t="n">
        <v>346</v>
      </c>
      <c r="C693" s="100" t="s">
        <v>923</v>
      </c>
      <c r="D693" s="101" t="s">
        <v>111</v>
      </c>
      <c r="E693" s="101" t="s">
        <v>1204</v>
      </c>
      <c r="F693" s="101" t="s">
        <v>1386</v>
      </c>
      <c r="G693" s="101" t="s">
        <v>1832</v>
      </c>
      <c r="H693" s="101" t="s">
        <v>1251</v>
      </c>
      <c r="I693" s="101" t="s">
        <v>1505</v>
      </c>
      <c r="J693" s="101" t="s">
        <v>1811</v>
      </c>
      <c r="K693" s="100" t="s">
        <v>2446</v>
      </c>
      <c r="L693" s="101" t="n">
        <v>2016</v>
      </c>
      <c r="M693" s="101" t="s">
        <v>1553</v>
      </c>
    </row>
    <row r="694" customFormat="false" ht="15" hidden="false" customHeight="true" outlineLevel="0" collapsed="false">
      <c r="A694" s="101"/>
      <c r="B694" s="100"/>
      <c r="C694" s="100"/>
      <c r="D694" s="101"/>
      <c r="E694" s="101"/>
      <c r="F694" s="101"/>
      <c r="G694" s="101"/>
      <c r="H694" s="101"/>
      <c r="I694" s="101"/>
      <c r="J694" s="101"/>
      <c r="K694" s="100"/>
      <c r="L694" s="101"/>
      <c r="M694" s="101"/>
    </row>
    <row r="695" customFormat="false" ht="15" hidden="false" customHeight="true" outlineLevel="0" collapsed="false">
      <c r="A695" s="101" t="n">
        <v>694</v>
      </c>
      <c r="B695" s="100" t="n">
        <v>348</v>
      </c>
      <c r="C695" s="100" t="s">
        <v>922</v>
      </c>
      <c r="D695" s="101" t="s">
        <v>111</v>
      </c>
      <c r="E695" s="101" t="s">
        <v>1204</v>
      </c>
      <c r="F695" s="101" t="s">
        <v>1386</v>
      </c>
      <c r="G695" s="101" t="s">
        <v>1823</v>
      </c>
      <c r="H695" s="101" t="s">
        <v>1251</v>
      </c>
      <c r="I695" s="101" t="s">
        <v>1505</v>
      </c>
      <c r="J695" s="101" t="s">
        <v>1811</v>
      </c>
      <c r="K695" s="100" t="s">
        <v>2447</v>
      </c>
      <c r="L695" s="101" t="n">
        <v>2016</v>
      </c>
      <c r="M695" s="101" t="s">
        <v>1553</v>
      </c>
    </row>
    <row r="696" customFormat="false" ht="15" hidden="false" customHeight="true" outlineLevel="0" collapsed="false">
      <c r="A696" s="101" t="n">
        <v>695</v>
      </c>
      <c r="B696" s="100" t="n">
        <v>349</v>
      </c>
      <c r="C696" s="100" t="s">
        <v>2448</v>
      </c>
      <c r="D696" s="101" t="s">
        <v>111</v>
      </c>
      <c r="E696" s="101" t="s">
        <v>1204</v>
      </c>
      <c r="F696" s="101" t="s">
        <v>1324</v>
      </c>
      <c r="G696" s="101" t="s">
        <v>2425</v>
      </c>
      <c r="H696" s="101" t="s">
        <v>1251</v>
      </c>
      <c r="I696" s="101" t="s">
        <v>1505</v>
      </c>
      <c r="J696" s="101" t="s">
        <v>1811</v>
      </c>
      <c r="K696" s="100" t="s">
        <v>2449</v>
      </c>
      <c r="L696" s="101" t="n">
        <v>2016</v>
      </c>
      <c r="M696" s="101" t="s">
        <v>1553</v>
      </c>
    </row>
    <row r="697" customFormat="false" ht="15" hidden="false" customHeight="true" outlineLevel="0" collapsed="false">
      <c r="A697" s="101" t="n">
        <v>696</v>
      </c>
      <c r="B697" s="100" t="n">
        <v>350</v>
      </c>
      <c r="C697" s="100" t="s">
        <v>2450</v>
      </c>
      <c r="D697" s="101" t="s">
        <v>111</v>
      </c>
      <c r="E697" s="101" t="s">
        <v>1206</v>
      </c>
      <c r="F697" s="101" t="s">
        <v>2408</v>
      </c>
      <c r="G697" s="101" t="s">
        <v>1810</v>
      </c>
      <c r="H697" s="101" t="s">
        <v>1251</v>
      </c>
      <c r="I697" s="101" t="s">
        <v>1505</v>
      </c>
      <c r="J697" s="101" t="s">
        <v>1811</v>
      </c>
      <c r="K697" s="100" t="s">
        <v>2451</v>
      </c>
      <c r="L697" s="101" t="n">
        <v>2016</v>
      </c>
      <c r="M697" s="101" t="s">
        <v>1553</v>
      </c>
    </row>
    <row r="698" customFormat="false" ht="15" hidden="false" customHeight="true" outlineLevel="0" collapsed="false">
      <c r="A698" s="101" t="n">
        <v>697</v>
      </c>
      <c r="B698" s="100" t="n">
        <v>351</v>
      </c>
      <c r="C698" s="100" t="s">
        <v>921</v>
      </c>
      <c r="D698" s="101" t="s">
        <v>111</v>
      </c>
      <c r="E698" s="101" t="s">
        <v>1204</v>
      </c>
      <c r="F698" s="101" t="s">
        <v>1386</v>
      </c>
      <c r="G698" s="101" t="s">
        <v>2276</v>
      </c>
      <c r="H698" s="101" t="s">
        <v>1251</v>
      </c>
      <c r="I698" s="101" t="s">
        <v>1505</v>
      </c>
      <c r="J698" s="101" t="s">
        <v>1811</v>
      </c>
      <c r="K698" s="100" t="s">
        <v>2452</v>
      </c>
      <c r="L698" s="101" t="n">
        <v>2016</v>
      </c>
      <c r="M698" s="101" t="s">
        <v>1553</v>
      </c>
    </row>
    <row r="699" customFormat="false" ht="15" hidden="false" customHeight="true" outlineLevel="0" collapsed="false">
      <c r="A699" s="101" t="n">
        <v>698</v>
      </c>
      <c r="B699" s="100" t="n">
        <v>352</v>
      </c>
      <c r="C699" s="100" t="s">
        <v>920</v>
      </c>
      <c r="D699" s="101" t="s">
        <v>111</v>
      </c>
      <c r="E699" s="101" t="s">
        <v>1204</v>
      </c>
      <c r="F699" s="101" t="s">
        <v>1386</v>
      </c>
      <c r="G699" s="101" t="s">
        <v>1835</v>
      </c>
      <c r="H699" s="101" t="s">
        <v>1251</v>
      </c>
      <c r="I699" s="101" t="s">
        <v>1505</v>
      </c>
      <c r="J699" s="101" t="s">
        <v>1811</v>
      </c>
      <c r="K699" s="100" t="s">
        <v>2453</v>
      </c>
      <c r="L699" s="101" t="n">
        <v>2016</v>
      </c>
      <c r="M699" s="101" t="s">
        <v>1553</v>
      </c>
    </row>
    <row r="700" customFormat="false" ht="15" hidden="false" customHeight="true" outlineLevel="0" collapsed="false">
      <c r="A700" s="101" t="n">
        <v>699</v>
      </c>
      <c r="B700" s="100" t="n">
        <v>353</v>
      </c>
      <c r="C700" s="100" t="s">
        <v>919</v>
      </c>
      <c r="D700" s="101" t="s">
        <v>111</v>
      </c>
      <c r="E700" s="101" t="s">
        <v>1204</v>
      </c>
      <c r="F700" s="101" t="s">
        <v>1386</v>
      </c>
      <c r="G700" s="101" t="s">
        <v>2255</v>
      </c>
      <c r="H700" s="101" t="s">
        <v>1251</v>
      </c>
      <c r="I700" s="101" t="s">
        <v>1505</v>
      </c>
      <c r="J700" s="101" t="s">
        <v>1811</v>
      </c>
      <c r="K700" s="100" t="s">
        <v>2454</v>
      </c>
      <c r="L700" s="101" t="n">
        <v>2016</v>
      </c>
      <c r="M700" s="101" t="s">
        <v>1553</v>
      </c>
    </row>
    <row r="701" customFormat="false" ht="15" hidden="false" customHeight="true" outlineLevel="0" collapsed="false">
      <c r="A701" s="101" t="n">
        <v>700</v>
      </c>
      <c r="B701" s="100" t="n">
        <v>354</v>
      </c>
      <c r="C701" s="100" t="s">
        <v>918</v>
      </c>
      <c r="D701" s="101" t="s">
        <v>111</v>
      </c>
      <c r="E701" s="101" t="s">
        <v>1204</v>
      </c>
      <c r="F701" s="101" t="s">
        <v>1386</v>
      </c>
      <c r="G701" s="101" t="s">
        <v>2258</v>
      </c>
      <c r="H701" s="101" t="s">
        <v>1251</v>
      </c>
      <c r="I701" s="101" t="s">
        <v>1505</v>
      </c>
      <c r="J701" s="101" t="s">
        <v>1811</v>
      </c>
      <c r="K701" s="100" t="s">
        <v>2455</v>
      </c>
      <c r="L701" s="101" t="n">
        <v>2016</v>
      </c>
      <c r="M701" s="101" t="s">
        <v>1553</v>
      </c>
    </row>
    <row r="702" customFormat="false" ht="15" hidden="false" customHeight="true" outlineLevel="0" collapsed="false">
      <c r="A702" s="101" t="n">
        <v>701</v>
      </c>
      <c r="B702" s="100" t="n">
        <v>355</v>
      </c>
      <c r="C702" s="100" t="s">
        <v>917</v>
      </c>
      <c r="D702" s="101" t="s">
        <v>111</v>
      </c>
      <c r="E702" s="101" t="s">
        <v>1204</v>
      </c>
      <c r="F702" s="101" t="s">
        <v>2272</v>
      </c>
      <c r="G702" s="101" t="s">
        <v>1817</v>
      </c>
      <c r="H702" s="101" t="s">
        <v>1251</v>
      </c>
      <c r="I702" s="101" t="s">
        <v>1505</v>
      </c>
      <c r="J702" s="101" t="s">
        <v>1811</v>
      </c>
      <c r="K702" s="100" t="s">
        <v>2456</v>
      </c>
      <c r="L702" s="101" t="n">
        <v>2016</v>
      </c>
      <c r="M702" s="101" t="s">
        <v>1553</v>
      </c>
    </row>
    <row r="703" customFormat="false" ht="15" hidden="false" customHeight="true" outlineLevel="0" collapsed="false">
      <c r="A703" s="101" t="n">
        <v>702</v>
      </c>
      <c r="B703" s="100" t="n">
        <v>356</v>
      </c>
      <c r="C703" s="100" t="s">
        <v>2457</v>
      </c>
      <c r="D703" s="101" t="s">
        <v>111</v>
      </c>
      <c r="E703" s="101" t="s">
        <v>1204</v>
      </c>
      <c r="F703" s="101" t="s">
        <v>1386</v>
      </c>
      <c r="G703" s="101" t="s">
        <v>2435</v>
      </c>
      <c r="H703" s="101" t="s">
        <v>1251</v>
      </c>
      <c r="I703" s="101" t="s">
        <v>1505</v>
      </c>
      <c r="J703" s="101" t="s">
        <v>1811</v>
      </c>
      <c r="K703" s="100" t="s">
        <v>2458</v>
      </c>
      <c r="L703" s="101" t="n">
        <v>2016</v>
      </c>
      <c r="M703" s="101" t="s">
        <v>1553</v>
      </c>
    </row>
    <row r="704" customFormat="false" ht="15" hidden="false" customHeight="true" outlineLevel="0" collapsed="false">
      <c r="A704" s="101" t="n">
        <v>703</v>
      </c>
      <c r="B704" s="100" t="n">
        <v>357</v>
      </c>
      <c r="C704" s="100" t="s">
        <v>2459</v>
      </c>
      <c r="D704" s="101" t="s">
        <v>111</v>
      </c>
      <c r="E704" s="101" t="s">
        <v>1204</v>
      </c>
      <c r="F704" s="101" t="s">
        <v>1386</v>
      </c>
      <c r="G704" s="101" t="s">
        <v>2460</v>
      </c>
      <c r="H704" s="101" t="s">
        <v>1251</v>
      </c>
      <c r="I704" s="101" t="s">
        <v>1505</v>
      </c>
      <c r="J704" s="101" t="s">
        <v>1811</v>
      </c>
      <c r="K704" s="100" t="s">
        <v>2461</v>
      </c>
      <c r="L704" s="101" t="n">
        <v>2016</v>
      </c>
      <c r="M704" s="101" t="s">
        <v>1553</v>
      </c>
    </row>
    <row r="705" customFormat="false" ht="15" hidden="false" customHeight="true" outlineLevel="0" collapsed="false">
      <c r="A705" s="101" t="n">
        <v>704</v>
      </c>
      <c r="B705" s="100" t="n">
        <v>358</v>
      </c>
      <c r="C705" s="100" t="s">
        <v>916</v>
      </c>
      <c r="D705" s="101" t="s">
        <v>111</v>
      </c>
      <c r="E705" s="101" t="s">
        <v>1204</v>
      </c>
      <c r="F705" s="101" t="s">
        <v>1386</v>
      </c>
      <c r="G705" s="101" t="s">
        <v>1820</v>
      </c>
      <c r="H705" s="101" t="s">
        <v>1251</v>
      </c>
      <c r="I705" s="101" t="s">
        <v>1505</v>
      </c>
      <c r="J705" s="101" t="s">
        <v>1811</v>
      </c>
      <c r="K705" s="100" t="s">
        <v>2462</v>
      </c>
      <c r="L705" s="101" t="n">
        <v>2016</v>
      </c>
      <c r="M705" s="101" t="s">
        <v>1553</v>
      </c>
    </row>
    <row r="706" customFormat="false" ht="15" hidden="false" customHeight="true" outlineLevel="0" collapsed="false">
      <c r="A706" s="101" t="n">
        <v>705</v>
      </c>
      <c r="B706" s="100" t="n">
        <v>359</v>
      </c>
      <c r="C706" s="100" t="s">
        <v>2463</v>
      </c>
      <c r="D706" s="101" t="s">
        <v>111</v>
      </c>
      <c r="E706" s="101" t="s">
        <v>1204</v>
      </c>
      <c r="F706" s="101" t="s">
        <v>1386</v>
      </c>
      <c r="G706" s="101" t="s">
        <v>2425</v>
      </c>
      <c r="H706" s="101" t="s">
        <v>1251</v>
      </c>
      <c r="I706" s="101" t="s">
        <v>1505</v>
      </c>
      <c r="J706" s="101" t="s">
        <v>1811</v>
      </c>
      <c r="K706" s="100" t="s">
        <v>2464</v>
      </c>
      <c r="L706" s="101" t="n">
        <v>2016</v>
      </c>
      <c r="M706" s="101" t="s">
        <v>1553</v>
      </c>
    </row>
    <row r="707" customFormat="false" ht="15" hidden="false" customHeight="true" outlineLevel="0" collapsed="false">
      <c r="A707" s="101" t="n">
        <v>706</v>
      </c>
      <c r="B707" s="100" t="n">
        <v>360</v>
      </c>
      <c r="C707" s="100" t="s">
        <v>915</v>
      </c>
      <c r="D707" s="101" t="s">
        <v>111</v>
      </c>
      <c r="E707" s="101" t="s">
        <v>1184</v>
      </c>
      <c r="F707" s="101" t="s">
        <v>1421</v>
      </c>
      <c r="G707" s="101" t="s">
        <v>2465</v>
      </c>
      <c r="H707" s="101" t="s">
        <v>1251</v>
      </c>
      <c r="I707" s="101" t="s">
        <v>1505</v>
      </c>
      <c r="J707" s="101" t="s">
        <v>1852</v>
      </c>
      <c r="K707" s="100" t="s">
        <v>2466</v>
      </c>
      <c r="L707" s="101" t="n">
        <v>2015</v>
      </c>
      <c r="M707" s="101" t="s">
        <v>1553</v>
      </c>
    </row>
    <row r="708" customFormat="false" ht="15" hidden="false" customHeight="true" outlineLevel="0" collapsed="false">
      <c r="A708" s="101" t="n">
        <v>707</v>
      </c>
      <c r="B708" s="100" t="n">
        <v>361</v>
      </c>
      <c r="C708" s="100" t="s">
        <v>914</v>
      </c>
      <c r="D708" s="101" t="s">
        <v>111</v>
      </c>
      <c r="E708" s="101" t="s">
        <v>1187</v>
      </c>
      <c r="F708" s="101" t="s">
        <v>1164</v>
      </c>
      <c r="G708" s="101" t="s">
        <v>2467</v>
      </c>
      <c r="H708" s="101" t="s">
        <v>1251</v>
      </c>
      <c r="I708" s="101" t="s">
        <v>1505</v>
      </c>
      <c r="J708" s="101" t="s">
        <v>1852</v>
      </c>
      <c r="K708" s="100" t="s">
        <v>2468</v>
      </c>
      <c r="L708" s="101" t="n">
        <v>2013</v>
      </c>
      <c r="M708" s="101" t="s">
        <v>1553</v>
      </c>
    </row>
    <row r="709" customFormat="false" ht="15" hidden="false" customHeight="true" outlineLevel="0" collapsed="false">
      <c r="A709" s="101" t="n">
        <v>708</v>
      </c>
      <c r="B709" s="100" t="n">
        <v>362</v>
      </c>
      <c r="C709" s="100" t="s">
        <v>398</v>
      </c>
      <c r="D709" s="101" t="s">
        <v>111</v>
      </c>
      <c r="E709" s="101" t="s">
        <v>1190</v>
      </c>
      <c r="F709" s="101" t="s">
        <v>1380</v>
      </c>
      <c r="G709" s="101" t="s">
        <v>2150</v>
      </c>
      <c r="H709" s="101" t="s">
        <v>1434</v>
      </c>
      <c r="I709" s="101" t="s">
        <v>2469</v>
      </c>
      <c r="J709" s="101" t="s">
        <v>2470</v>
      </c>
      <c r="K709" s="100" t="s">
        <v>2471</v>
      </c>
      <c r="L709" s="101" t="n">
        <v>2017</v>
      </c>
      <c r="M709" s="101"/>
    </row>
    <row r="710" customFormat="false" ht="15" hidden="false" customHeight="true" outlineLevel="0" collapsed="false">
      <c r="A710" s="101" t="n">
        <v>709</v>
      </c>
      <c r="B710" s="100" t="n">
        <v>363</v>
      </c>
      <c r="C710" s="100" t="s">
        <v>748</v>
      </c>
      <c r="D710" s="101" t="s">
        <v>111</v>
      </c>
      <c r="E710" s="101" t="s">
        <v>1195</v>
      </c>
      <c r="F710" s="101" t="s">
        <v>1377</v>
      </c>
      <c r="G710" s="101" t="s">
        <v>1378</v>
      </c>
      <c r="H710" s="101" t="s">
        <v>1251</v>
      </c>
      <c r="I710" s="101" t="s">
        <v>1892</v>
      </c>
      <c r="J710" s="101" t="s">
        <v>2186</v>
      </c>
      <c r="K710" s="100" t="s">
        <v>2472</v>
      </c>
      <c r="L710" s="101" t="n">
        <v>2017</v>
      </c>
      <c r="M710" s="101" t="s">
        <v>1561</v>
      </c>
    </row>
    <row r="711" customFormat="false" ht="15" hidden="false" customHeight="true" outlineLevel="0" collapsed="false">
      <c r="A711" s="101" t="n">
        <v>710</v>
      </c>
      <c r="B711" s="100" t="n">
        <v>364</v>
      </c>
      <c r="C711" s="100" t="s">
        <v>586</v>
      </c>
      <c r="D711" s="101" t="s">
        <v>111</v>
      </c>
      <c r="E711" s="101" t="s">
        <v>1153</v>
      </c>
      <c r="F711" s="101" t="s">
        <v>2163</v>
      </c>
      <c r="G711" s="101" t="s">
        <v>1308</v>
      </c>
      <c r="H711" s="101" t="s">
        <v>1251</v>
      </c>
      <c r="I711" s="101" t="s">
        <v>1505</v>
      </c>
      <c r="J711" s="101" t="s">
        <v>1898</v>
      </c>
      <c r="K711" s="100" t="s">
        <v>2473</v>
      </c>
      <c r="L711" s="101" t="n">
        <v>2016</v>
      </c>
      <c r="M711" s="101" t="s">
        <v>1553</v>
      </c>
    </row>
    <row r="712" customFormat="false" ht="15" hidden="false" customHeight="true" outlineLevel="0" collapsed="false">
      <c r="A712" s="101" t="n">
        <v>711</v>
      </c>
      <c r="B712" s="100" t="n">
        <v>365</v>
      </c>
      <c r="C712" s="100" t="s">
        <v>585</v>
      </c>
      <c r="D712" s="101" t="s">
        <v>111</v>
      </c>
      <c r="E712" s="101" t="s">
        <v>1153</v>
      </c>
      <c r="F712" s="101" t="s">
        <v>2163</v>
      </c>
      <c r="G712" s="101" t="s">
        <v>1308</v>
      </c>
      <c r="H712" s="101" t="s">
        <v>1251</v>
      </c>
      <c r="I712" s="101" t="s">
        <v>1505</v>
      </c>
      <c r="J712" s="101" t="s">
        <v>1898</v>
      </c>
      <c r="K712" s="100" t="s">
        <v>2474</v>
      </c>
      <c r="L712" s="101" t="n">
        <v>2016</v>
      </c>
      <c r="M712" s="101" t="s">
        <v>1553</v>
      </c>
    </row>
    <row r="713" customFormat="false" ht="15" hidden="false" customHeight="true" outlineLevel="0" collapsed="false">
      <c r="A713" s="101" t="n">
        <v>712</v>
      </c>
      <c r="B713" s="100" t="n">
        <v>366</v>
      </c>
      <c r="C713" s="100" t="s">
        <v>747</v>
      </c>
      <c r="D713" s="101" t="s">
        <v>111</v>
      </c>
      <c r="E713" s="101" t="s">
        <v>1156</v>
      </c>
      <c r="F713" s="101" t="s">
        <v>1156</v>
      </c>
      <c r="G713" s="101" t="s">
        <v>1444</v>
      </c>
      <c r="H713" s="101" t="s">
        <v>1251</v>
      </c>
      <c r="I713" s="101" t="s">
        <v>1505</v>
      </c>
      <c r="J713" s="101" t="s">
        <v>1898</v>
      </c>
      <c r="K713" s="100" t="s">
        <v>2475</v>
      </c>
      <c r="L713" s="101" t="n">
        <v>2016</v>
      </c>
      <c r="M713" s="101" t="s">
        <v>1553</v>
      </c>
    </row>
    <row r="714" customFormat="false" ht="15" hidden="false" customHeight="true" outlineLevel="0" collapsed="false">
      <c r="A714" s="101" t="n">
        <v>713</v>
      </c>
      <c r="B714" s="100" t="n">
        <v>367</v>
      </c>
      <c r="C714" s="100" t="s">
        <v>397</v>
      </c>
      <c r="D714" s="101" t="s">
        <v>111</v>
      </c>
      <c r="E714" s="101" t="s">
        <v>1175</v>
      </c>
      <c r="F714" s="101" t="s">
        <v>1233</v>
      </c>
      <c r="G714" s="101"/>
      <c r="H714" s="101" t="s">
        <v>1251</v>
      </c>
      <c r="I714" s="101" t="s">
        <v>1607</v>
      </c>
      <c r="J714" s="101" t="s">
        <v>2476</v>
      </c>
      <c r="K714" s="100" t="s">
        <v>2477</v>
      </c>
      <c r="L714" s="101" t="n">
        <v>2015</v>
      </c>
      <c r="M714" s="101"/>
    </row>
    <row r="715" customFormat="false" ht="15" hidden="false" customHeight="true" outlineLevel="0" collapsed="false">
      <c r="A715" s="101" t="n">
        <v>714</v>
      </c>
      <c r="B715" s="100" t="n">
        <v>368</v>
      </c>
      <c r="C715" s="100" t="s">
        <v>2478</v>
      </c>
      <c r="D715" s="101" t="s">
        <v>111</v>
      </c>
      <c r="E715" s="101" t="s">
        <v>1204</v>
      </c>
      <c r="F715" s="101" t="s">
        <v>1386</v>
      </c>
      <c r="G715" s="101" t="s">
        <v>2479</v>
      </c>
      <c r="H715" s="101" t="s">
        <v>1251</v>
      </c>
      <c r="I715" s="101" t="s">
        <v>1505</v>
      </c>
      <c r="J715" s="101" t="s">
        <v>2225</v>
      </c>
      <c r="K715" s="100" t="s">
        <v>2480</v>
      </c>
      <c r="L715" s="101" t="n">
        <v>2018</v>
      </c>
      <c r="M715" s="101" t="s">
        <v>1553</v>
      </c>
    </row>
    <row r="716" customFormat="false" ht="15" hidden="false" customHeight="true" outlineLevel="0" collapsed="false">
      <c r="A716" s="101" t="n">
        <v>715</v>
      </c>
      <c r="B716" s="100" t="n">
        <v>369</v>
      </c>
      <c r="C716" s="100" t="s">
        <v>2481</v>
      </c>
      <c r="D716" s="101" t="s">
        <v>111</v>
      </c>
      <c r="E716" s="101" t="s">
        <v>1177</v>
      </c>
      <c r="F716" s="101" t="s">
        <v>2411</v>
      </c>
      <c r="G716" s="101" t="s">
        <v>1933</v>
      </c>
      <c r="H716" s="101" t="s">
        <v>1251</v>
      </c>
      <c r="I716" s="101" t="s">
        <v>1607</v>
      </c>
      <c r="J716" s="101" t="s">
        <v>2366</v>
      </c>
      <c r="K716" s="100" t="s">
        <v>2482</v>
      </c>
      <c r="L716" s="101" t="n">
        <v>2018</v>
      </c>
      <c r="M716" s="101" t="s">
        <v>1553</v>
      </c>
    </row>
    <row r="717" customFormat="false" ht="15" hidden="false" customHeight="true" outlineLevel="0" collapsed="false">
      <c r="A717" s="101" t="n">
        <v>716</v>
      </c>
      <c r="B717" s="100" t="n">
        <v>370</v>
      </c>
      <c r="C717" s="100" t="s">
        <v>1065</v>
      </c>
      <c r="D717" s="101" t="s">
        <v>111</v>
      </c>
      <c r="E717" s="101" t="s">
        <v>1177</v>
      </c>
      <c r="F717" s="101" t="s">
        <v>2411</v>
      </c>
      <c r="G717" s="101" t="s">
        <v>1969</v>
      </c>
      <c r="H717" s="101" t="s">
        <v>1251</v>
      </c>
      <c r="I717" s="101" t="s">
        <v>1607</v>
      </c>
      <c r="J717" s="101" t="s">
        <v>2366</v>
      </c>
      <c r="K717" s="100" t="s">
        <v>2483</v>
      </c>
      <c r="L717" s="101" t="n">
        <v>2018</v>
      </c>
      <c r="M717" s="101" t="s">
        <v>1553</v>
      </c>
    </row>
    <row r="718" customFormat="false" ht="15" hidden="false" customHeight="true" outlineLevel="0" collapsed="false">
      <c r="A718" s="101" t="n">
        <v>717</v>
      </c>
      <c r="B718" s="100" t="n">
        <v>371</v>
      </c>
      <c r="C718" s="100" t="s">
        <v>1072</v>
      </c>
      <c r="D718" s="101" t="s">
        <v>111</v>
      </c>
      <c r="E718" s="101" t="s">
        <v>1177</v>
      </c>
      <c r="F718" s="101" t="s">
        <v>2411</v>
      </c>
      <c r="G718" s="101" t="s">
        <v>1814</v>
      </c>
      <c r="H718" s="101" t="s">
        <v>1251</v>
      </c>
      <c r="I718" s="101" t="s">
        <v>1607</v>
      </c>
      <c r="J718" s="101" t="s">
        <v>2366</v>
      </c>
      <c r="K718" s="100" t="s">
        <v>2484</v>
      </c>
      <c r="L718" s="101" t="n">
        <v>2018</v>
      </c>
      <c r="M718" s="101" t="s">
        <v>1553</v>
      </c>
    </row>
    <row r="719" customFormat="false" ht="15" hidden="false" customHeight="true" outlineLevel="0" collapsed="false">
      <c r="A719" s="101" t="n">
        <v>718</v>
      </c>
      <c r="B719" s="100" t="n">
        <v>372</v>
      </c>
      <c r="C719" s="100" t="s">
        <v>2485</v>
      </c>
      <c r="D719" s="101" t="s">
        <v>111</v>
      </c>
      <c r="E719" s="101" t="s">
        <v>1177</v>
      </c>
      <c r="F719" s="101" t="s">
        <v>2411</v>
      </c>
      <c r="G719" s="101" t="s">
        <v>1936</v>
      </c>
      <c r="H719" s="101" t="s">
        <v>1251</v>
      </c>
      <c r="I719" s="101" t="s">
        <v>1607</v>
      </c>
      <c r="J719" s="101" t="s">
        <v>2366</v>
      </c>
      <c r="K719" s="100" t="s">
        <v>2486</v>
      </c>
      <c r="L719" s="101" t="n">
        <v>2018</v>
      </c>
      <c r="M719" s="101" t="s">
        <v>1553</v>
      </c>
    </row>
    <row r="720" customFormat="false" ht="15" hidden="false" customHeight="true" outlineLevel="0" collapsed="false">
      <c r="A720" s="101" t="n">
        <v>719</v>
      </c>
      <c r="B720" s="100" t="n">
        <v>373</v>
      </c>
      <c r="C720" s="100" t="s">
        <v>184</v>
      </c>
      <c r="D720" s="101" t="s">
        <v>111</v>
      </c>
      <c r="E720" s="101" t="s">
        <v>1177</v>
      </c>
      <c r="F720" s="101" t="s">
        <v>2411</v>
      </c>
      <c r="G720" s="101" t="s">
        <v>2000</v>
      </c>
      <c r="H720" s="101" t="s">
        <v>1251</v>
      </c>
      <c r="I720" s="101" t="s">
        <v>1607</v>
      </c>
      <c r="J720" s="101" t="s">
        <v>2366</v>
      </c>
      <c r="K720" s="100" t="s">
        <v>183</v>
      </c>
      <c r="L720" s="101" t="n">
        <v>2018</v>
      </c>
      <c r="M720" s="101" t="s">
        <v>1553</v>
      </c>
    </row>
    <row r="721" customFormat="false" ht="15" hidden="false" customHeight="true" outlineLevel="0" collapsed="false">
      <c r="A721" s="101" t="n">
        <v>720</v>
      </c>
      <c r="B721" s="100" t="n">
        <v>374</v>
      </c>
      <c r="C721" s="100" t="s">
        <v>2487</v>
      </c>
      <c r="D721" s="101" t="s">
        <v>111</v>
      </c>
      <c r="E721" s="101" t="s">
        <v>1225</v>
      </c>
      <c r="F721" s="101" t="s">
        <v>1404</v>
      </c>
      <c r="G721" s="101" t="s">
        <v>1539</v>
      </c>
      <c r="H721" s="101" t="s">
        <v>1251</v>
      </c>
      <c r="I721" s="101" t="s">
        <v>1607</v>
      </c>
      <c r="J721" s="101" t="s">
        <v>2366</v>
      </c>
      <c r="K721" s="100" t="s">
        <v>2488</v>
      </c>
      <c r="L721" s="101" t="n">
        <v>2018</v>
      </c>
      <c r="M721" s="101" t="s">
        <v>1553</v>
      </c>
    </row>
    <row r="722" customFormat="false" ht="15" hidden="false" customHeight="true" outlineLevel="0" collapsed="false">
      <c r="A722" s="101" t="n">
        <v>721</v>
      </c>
      <c r="B722" s="100" t="n">
        <v>375</v>
      </c>
      <c r="C722" s="100" t="s">
        <v>2489</v>
      </c>
      <c r="D722" s="101" t="s">
        <v>111</v>
      </c>
      <c r="E722" s="101" t="s">
        <v>1177</v>
      </c>
      <c r="F722" s="101" t="s">
        <v>1177</v>
      </c>
      <c r="G722" s="101" t="s">
        <v>1499</v>
      </c>
      <c r="H722" s="101" t="s">
        <v>1251</v>
      </c>
      <c r="I722" s="101" t="s">
        <v>1505</v>
      </c>
      <c r="J722" s="101" t="s">
        <v>1852</v>
      </c>
      <c r="K722" s="100" t="s">
        <v>2490</v>
      </c>
      <c r="L722" s="101" t="n">
        <v>2018</v>
      </c>
      <c r="M722" s="101" t="s">
        <v>1553</v>
      </c>
    </row>
    <row r="723" customFormat="false" ht="15" hidden="false" customHeight="true" outlineLevel="0" collapsed="false">
      <c r="A723" s="101" t="n">
        <v>722</v>
      </c>
      <c r="B723" s="100" t="n">
        <v>376</v>
      </c>
      <c r="C723" s="100" t="s">
        <v>396</v>
      </c>
      <c r="D723" s="101" t="s">
        <v>111</v>
      </c>
      <c r="E723" s="101" t="s">
        <v>1175</v>
      </c>
      <c r="F723" s="101" t="s">
        <v>1233</v>
      </c>
      <c r="G723" s="101"/>
      <c r="H723" s="101" t="s">
        <v>1235</v>
      </c>
      <c r="I723" s="101" t="s">
        <v>1607</v>
      </c>
      <c r="J723" s="101" t="s">
        <v>2491</v>
      </c>
      <c r="K723" s="100" t="s">
        <v>2492</v>
      </c>
      <c r="L723" s="101" t="n">
        <v>2019</v>
      </c>
      <c r="M723" s="101" t="s">
        <v>1553</v>
      </c>
    </row>
    <row r="724" customFormat="false" ht="15" hidden="false" customHeight="true" outlineLevel="0" collapsed="false">
      <c r="A724" s="101" t="n">
        <v>723</v>
      </c>
      <c r="B724" s="100" t="n">
        <v>377</v>
      </c>
      <c r="C724" s="100" t="s">
        <v>395</v>
      </c>
      <c r="D724" s="101" t="s">
        <v>111</v>
      </c>
      <c r="E724" s="101" t="s">
        <v>1175</v>
      </c>
      <c r="F724" s="101" t="s">
        <v>1233</v>
      </c>
      <c r="G724" s="101"/>
      <c r="H724" s="101" t="s">
        <v>1235</v>
      </c>
      <c r="I724" s="101" t="s">
        <v>1607</v>
      </c>
      <c r="J724" s="101" t="s">
        <v>2491</v>
      </c>
      <c r="K724" s="100" t="s">
        <v>2493</v>
      </c>
      <c r="L724" s="101" t="n">
        <v>2019</v>
      </c>
      <c r="M724" s="101" t="s">
        <v>1553</v>
      </c>
    </row>
    <row r="725" customFormat="false" ht="15" hidden="false" customHeight="true" outlineLevel="0" collapsed="false">
      <c r="A725" s="101" t="n">
        <v>724</v>
      </c>
      <c r="B725" s="100" t="n">
        <v>378</v>
      </c>
      <c r="C725" s="100" t="s">
        <v>394</v>
      </c>
      <c r="D725" s="101" t="s">
        <v>111</v>
      </c>
      <c r="E725" s="101" t="s">
        <v>1175</v>
      </c>
      <c r="F725" s="101" t="s">
        <v>1233</v>
      </c>
      <c r="G725" s="101"/>
      <c r="H725" s="101" t="s">
        <v>1235</v>
      </c>
      <c r="I725" s="101" t="s">
        <v>1607</v>
      </c>
      <c r="J725" s="101" t="s">
        <v>2491</v>
      </c>
      <c r="K725" s="100" t="s">
        <v>2494</v>
      </c>
      <c r="L725" s="101" t="n">
        <v>2019</v>
      </c>
      <c r="M725" s="101" t="s">
        <v>1553</v>
      </c>
    </row>
    <row r="726" customFormat="false" ht="15" hidden="false" customHeight="true" outlineLevel="0" collapsed="false">
      <c r="A726" s="101" t="n">
        <v>725</v>
      </c>
      <c r="B726" s="100" t="n">
        <v>379</v>
      </c>
      <c r="C726" s="100" t="s">
        <v>393</v>
      </c>
      <c r="D726" s="101" t="s">
        <v>111</v>
      </c>
      <c r="E726" s="101" t="s">
        <v>1175</v>
      </c>
      <c r="F726" s="101" t="s">
        <v>1233</v>
      </c>
      <c r="G726" s="101"/>
      <c r="H726" s="101" t="s">
        <v>1235</v>
      </c>
      <c r="I726" s="101" t="s">
        <v>1607</v>
      </c>
      <c r="J726" s="101" t="s">
        <v>2491</v>
      </c>
      <c r="K726" s="100" t="s">
        <v>2495</v>
      </c>
      <c r="L726" s="101" t="n">
        <v>2019</v>
      </c>
      <c r="M726" s="101" t="s">
        <v>1553</v>
      </c>
    </row>
    <row r="727" customFormat="false" ht="15" hidden="false" customHeight="true" outlineLevel="0" collapsed="false">
      <c r="A727" s="101" t="n">
        <v>726</v>
      </c>
      <c r="B727" s="100" t="n">
        <v>380</v>
      </c>
      <c r="C727" s="100" t="s">
        <v>392</v>
      </c>
      <c r="D727" s="101" t="s">
        <v>111</v>
      </c>
      <c r="E727" s="101" t="s">
        <v>1175</v>
      </c>
      <c r="F727" s="101" t="s">
        <v>1233</v>
      </c>
      <c r="G727" s="101"/>
      <c r="H727" s="101" t="s">
        <v>1235</v>
      </c>
      <c r="I727" s="101" t="s">
        <v>1607</v>
      </c>
      <c r="J727" s="101" t="s">
        <v>2491</v>
      </c>
      <c r="K727" s="100" t="s">
        <v>2496</v>
      </c>
      <c r="L727" s="101" t="n">
        <v>2019</v>
      </c>
      <c r="M727" s="101" t="s">
        <v>1553</v>
      </c>
    </row>
    <row r="728" customFormat="false" ht="15" hidden="false" customHeight="true" outlineLevel="0" collapsed="false">
      <c r="A728" s="101" t="n">
        <v>727</v>
      </c>
      <c r="B728" s="100" t="n">
        <v>381</v>
      </c>
      <c r="C728" s="100" t="s">
        <v>391</v>
      </c>
      <c r="D728" s="101" t="s">
        <v>111</v>
      </c>
      <c r="E728" s="101" t="s">
        <v>1175</v>
      </c>
      <c r="F728" s="101" t="s">
        <v>1233</v>
      </c>
      <c r="G728" s="101"/>
      <c r="H728" s="101" t="s">
        <v>1235</v>
      </c>
      <c r="I728" s="101" t="s">
        <v>1607</v>
      </c>
      <c r="J728" s="101" t="s">
        <v>2491</v>
      </c>
      <c r="K728" s="100" t="s">
        <v>2497</v>
      </c>
      <c r="L728" s="101" t="n">
        <v>2019</v>
      </c>
      <c r="M728" s="101" t="s">
        <v>1553</v>
      </c>
    </row>
    <row r="729" customFormat="false" ht="15" hidden="false" customHeight="true" outlineLevel="0" collapsed="false">
      <c r="A729" s="101" t="n">
        <v>728</v>
      </c>
      <c r="B729" s="100" t="n">
        <v>382</v>
      </c>
      <c r="C729" s="100" t="s">
        <v>390</v>
      </c>
      <c r="D729" s="101" t="s">
        <v>111</v>
      </c>
      <c r="E729" s="101" t="s">
        <v>1175</v>
      </c>
      <c r="F729" s="101" t="s">
        <v>1233</v>
      </c>
      <c r="G729" s="101"/>
      <c r="H729" s="101" t="s">
        <v>1235</v>
      </c>
      <c r="I729" s="101" t="s">
        <v>1607</v>
      </c>
      <c r="J729" s="101" t="s">
        <v>2491</v>
      </c>
      <c r="K729" s="100" t="s">
        <v>2498</v>
      </c>
      <c r="L729" s="101" t="n">
        <v>2019</v>
      </c>
      <c r="M729" s="101" t="s">
        <v>1553</v>
      </c>
    </row>
    <row r="730" customFormat="false" ht="15" hidden="false" customHeight="true" outlineLevel="0" collapsed="false">
      <c r="A730" s="101" t="n">
        <v>729</v>
      </c>
      <c r="B730" s="100" t="n">
        <v>383</v>
      </c>
      <c r="C730" s="100" t="s">
        <v>389</v>
      </c>
      <c r="D730" s="101" t="s">
        <v>111</v>
      </c>
      <c r="E730" s="101" t="s">
        <v>1175</v>
      </c>
      <c r="F730" s="101" t="s">
        <v>1233</v>
      </c>
      <c r="G730" s="101"/>
      <c r="H730" s="101" t="s">
        <v>1235</v>
      </c>
      <c r="I730" s="101" t="s">
        <v>1607</v>
      </c>
      <c r="J730" s="101" t="s">
        <v>2491</v>
      </c>
      <c r="K730" s="100" t="s">
        <v>2499</v>
      </c>
      <c r="L730" s="101" t="n">
        <v>2019</v>
      </c>
      <c r="M730" s="101" t="s">
        <v>1553</v>
      </c>
    </row>
    <row r="731" customFormat="false" ht="15" hidden="false" customHeight="true" outlineLevel="0" collapsed="false">
      <c r="A731" s="101" t="n">
        <v>730</v>
      </c>
      <c r="B731" s="100" t="n">
        <v>384</v>
      </c>
      <c r="C731" s="100" t="s">
        <v>388</v>
      </c>
      <c r="D731" s="101" t="s">
        <v>111</v>
      </c>
      <c r="E731" s="101" t="s">
        <v>1175</v>
      </c>
      <c r="F731" s="101" t="s">
        <v>1233</v>
      </c>
      <c r="G731" s="101"/>
      <c r="H731" s="101" t="s">
        <v>1235</v>
      </c>
      <c r="I731" s="101" t="s">
        <v>1607</v>
      </c>
      <c r="J731" s="101" t="s">
        <v>2491</v>
      </c>
      <c r="K731" s="100" t="s">
        <v>2500</v>
      </c>
      <c r="L731" s="101" t="n">
        <v>2019</v>
      </c>
      <c r="M731" s="101" t="s">
        <v>1553</v>
      </c>
    </row>
    <row r="732" customFormat="false" ht="15" hidden="false" customHeight="true" outlineLevel="0" collapsed="false">
      <c r="A732" s="101" t="n">
        <v>731</v>
      </c>
      <c r="B732" s="100" t="n">
        <v>385</v>
      </c>
      <c r="C732" s="100" t="s">
        <v>387</v>
      </c>
      <c r="D732" s="101" t="s">
        <v>111</v>
      </c>
      <c r="E732" s="101" t="s">
        <v>1175</v>
      </c>
      <c r="F732" s="101" t="s">
        <v>1233</v>
      </c>
      <c r="G732" s="101"/>
      <c r="H732" s="101" t="s">
        <v>1235</v>
      </c>
      <c r="I732" s="101" t="s">
        <v>1607</v>
      </c>
      <c r="J732" s="101" t="s">
        <v>2491</v>
      </c>
      <c r="K732" s="100" t="s">
        <v>2501</v>
      </c>
      <c r="L732" s="101" t="n">
        <v>2019</v>
      </c>
      <c r="M732" s="101" t="s">
        <v>1553</v>
      </c>
    </row>
    <row r="733" customFormat="false" ht="15" hidden="false" customHeight="true" outlineLevel="0" collapsed="false">
      <c r="A733" s="101" t="n">
        <v>732</v>
      </c>
      <c r="B733" s="100" t="n">
        <v>386</v>
      </c>
      <c r="C733" s="100" t="s">
        <v>386</v>
      </c>
      <c r="D733" s="101" t="s">
        <v>111</v>
      </c>
      <c r="E733" s="101" t="s">
        <v>1175</v>
      </c>
      <c r="F733" s="101" t="s">
        <v>1233</v>
      </c>
      <c r="G733" s="101"/>
      <c r="H733" s="101" t="s">
        <v>1235</v>
      </c>
      <c r="I733" s="101" t="s">
        <v>1607</v>
      </c>
      <c r="J733" s="101" t="s">
        <v>2491</v>
      </c>
      <c r="K733" s="100" t="s">
        <v>2502</v>
      </c>
      <c r="L733" s="101" t="n">
        <v>2019</v>
      </c>
      <c r="M733" s="101" t="s">
        <v>1553</v>
      </c>
    </row>
    <row r="734" customFormat="false" ht="15" hidden="false" customHeight="true" outlineLevel="0" collapsed="false">
      <c r="A734" s="101" t="n">
        <v>733</v>
      </c>
      <c r="B734" s="100" t="n">
        <v>387</v>
      </c>
      <c r="C734" s="100" t="s">
        <v>385</v>
      </c>
      <c r="D734" s="101" t="s">
        <v>111</v>
      </c>
      <c r="E734" s="101" t="s">
        <v>1175</v>
      </c>
      <c r="F734" s="101" t="s">
        <v>1233</v>
      </c>
      <c r="G734" s="101"/>
      <c r="H734" s="101" t="s">
        <v>1235</v>
      </c>
      <c r="I734" s="101" t="s">
        <v>1607</v>
      </c>
      <c r="J734" s="101" t="s">
        <v>2491</v>
      </c>
      <c r="K734" s="100" t="s">
        <v>2503</v>
      </c>
      <c r="L734" s="101" t="n">
        <v>2019</v>
      </c>
      <c r="M734" s="101" t="s">
        <v>1553</v>
      </c>
    </row>
    <row r="735" customFormat="false" ht="15" hidden="false" customHeight="true" outlineLevel="0" collapsed="false">
      <c r="A735" s="101" t="n">
        <v>734</v>
      </c>
      <c r="B735" s="100" t="n">
        <v>388</v>
      </c>
      <c r="C735" s="100" t="s">
        <v>384</v>
      </c>
      <c r="D735" s="101" t="s">
        <v>111</v>
      </c>
      <c r="E735" s="101" t="s">
        <v>1175</v>
      </c>
      <c r="F735" s="101" t="s">
        <v>1233</v>
      </c>
      <c r="G735" s="101"/>
      <c r="H735" s="101" t="s">
        <v>1235</v>
      </c>
      <c r="I735" s="101" t="s">
        <v>1607</v>
      </c>
      <c r="J735" s="101" t="s">
        <v>2491</v>
      </c>
      <c r="K735" s="100" t="s">
        <v>2504</v>
      </c>
      <c r="L735" s="101" t="n">
        <v>2019</v>
      </c>
      <c r="M735" s="101" t="s">
        <v>1553</v>
      </c>
    </row>
    <row r="736" customFormat="false" ht="15" hidden="false" customHeight="true" outlineLevel="0" collapsed="false">
      <c r="A736" s="101" t="n">
        <v>735</v>
      </c>
      <c r="B736" s="100" t="n">
        <v>389</v>
      </c>
      <c r="C736" s="100" t="s">
        <v>383</v>
      </c>
      <c r="D736" s="101" t="s">
        <v>111</v>
      </c>
      <c r="E736" s="101" t="s">
        <v>1175</v>
      </c>
      <c r="F736" s="101" t="s">
        <v>1233</v>
      </c>
      <c r="G736" s="101"/>
      <c r="H736" s="101" t="s">
        <v>1235</v>
      </c>
      <c r="I736" s="101" t="s">
        <v>1607</v>
      </c>
      <c r="J736" s="101" t="s">
        <v>2491</v>
      </c>
      <c r="K736" s="100" t="s">
        <v>2505</v>
      </c>
      <c r="L736" s="101" t="n">
        <v>2019</v>
      </c>
      <c r="M736" s="101" t="s">
        <v>1553</v>
      </c>
    </row>
    <row r="737" customFormat="false" ht="15" hidden="false" customHeight="true" outlineLevel="0" collapsed="false">
      <c r="A737" s="101" t="n">
        <v>736</v>
      </c>
      <c r="B737" s="100" t="n">
        <v>390</v>
      </c>
      <c r="C737" s="100" t="s">
        <v>382</v>
      </c>
      <c r="D737" s="101" t="s">
        <v>111</v>
      </c>
      <c r="E737" s="101" t="s">
        <v>1175</v>
      </c>
      <c r="F737" s="101" t="s">
        <v>1233</v>
      </c>
      <c r="G737" s="101"/>
      <c r="H737" s="101" t="s">
        <v>1235</v>
      </c>
      <c r="I737" s="101" t="s">
        <v>1607</v>
      </c>
      <c r="J737" s="101" t="s">
        <v>2491</v>
      </c>
      <c r="K737" s="100" t="s">
        <v>2506</v>
      </c>
      <c r="L737" s="101" t="n">
        <v>2019</v>
      </c>
      <c r="M737" s="101" t="s">
        <v>1553</v>
      </c>
    </row>
    <row r="738" customFormat="false" ht="15" hidden="false" customHeight="true" outlineLevel="0" collapsed="false">
      <c r="A738" s="101" t="n">
        <v>737</v>
      </c>
      <c r="B738" s="100" t="n">
        <v>391</v>
      </c>
      <c r="C738" s="100" t="s">
        <v>381</v>
      </c>
      <c r="D738" s="101" t="s">
        <v>111</v>
      </c>
      <c r="E738" s="101" t="s">
        <v>1175</v>
      </c>
      <c r="F738" s="101" t="s">
        <v>1233</v>
      </c>
      <c r="G738" s="101"/>
      <c r="H738" s="101" t="s">
        <v>1235</v>
      </c>
      <c r="I738" s="101" t="s">
        <v>1607</v>
      </c>
      <c r="J738" s="101" t="s">
        <v>2491</v>
      </c>
      <c r="K738" s="100" t="s">
        <v>2507</v>
      </c>
      <c r="L738" s="101" t="n">
        <v>2019</v>
      </c>
      <c r="M738" s="101" t="s">
        <v>1553</v>
      </c>
    </row>
    <row r="739" customFormat="false" ht="15" hidden="false" customHeight="true" outlineLevel="0" collapsed="false">
      <c r="A739" s="101" t="n">
        <v>738</v>
      </c>
      <c r="B739" s="100" t="n">
        <v>392</v>
      </c>
      <c r="C739" s="100" t="s">
        <v>746</v>
      </c>
      <c r="D739" s="101" t="s">
        <v>111</v>
      </c>
      <c r="E739" s="101" t="s">
        <v>1215</v>
      </c>
      <c r="F739" s="101" t="s">
        <v>1215</v>
      </c>
      <c r="G739" s="101" t="s">
        <v>2508</v>
      </c>
      <c r="H739" s="101" t="s">
        <v>1235</v>
      </c>
      <c r="I739" s="101" t="s">
        <v>1505</v>
      </c>
      <c r="J739" s="101" t="s">
        <v>1898</v>
      </c>
      <c r="K739" s="100" t="s">
        <v>2509</v>
      </c>
      <c r="L739" s="101" t="n">
        <v>2019</v>
      </c>
      <c r="M739" s="101" t="s">
        <v>1553</v>
      </c>
    </row>
    <row r="740" customFormat="false" ht="15" hidden="false" customHeight="true" outlineLevel="0" collapsed="false">
      <c r="A740" s="101" t="n">
        <v>739</v>
      </c>
      <c r="B740" s="100" t="n">
        <v>393</v>
      </c>
      <c r="C740" s="100" t="s">
        <v>745</v>
      </c>
      <c r="D740" s="101" t="s">
        <v>111</v>
      </c>
      <c r="E740" s="101" t="s">
        <v>1215</v>
      </c>
      <c r="F740" s="101" t="s">
        <v>1215</v>
      </c>
      <c r="G740" s="101" t="s">
        <v>2510</v>
      </c>
      <c r="H740" s="101" t="s">
        <v>1235</v>
      </c>
      <c r="I740" s="101" t="s">
        <v>1505</v>
      </c>
      <c r="J740" s="101" t="s">
        <v>1898</v>
      </c>
      <c r="K740" s="100" t="s">
        <v>2511</v>
      </c>
      <c r="L740" s="101" t="n">
        <v>2019</v>
      </c>
      <c r="M740" s="101" t="s">
        <v>1553</v>
      </c>
    </row>
    <row r="741" customFormat="false" ht="15" hidden="false" customHeight="true" outlineLevel="0" collapsed="false">
      <c r="A741" s="101" t="n">
        <v>740</v>
      </c>
      <c r="B741" s="100" t="n">
        <v>394</v>
      </c>
      <c r="C741" s="100" t="s">
        <v>744</v>
      </c>
      <c r="D741" s="101" t="s">
        <v>111</v>
      </c>
      <c r="E741" s="101" t="s">
        <v>1215</v>
      </c>
      <c r="F741" s="101" t="s">
        <v>1215</v>
      </c>
      <c r="G741" s="101" t="s">
        <v>2512</v>
      </c>
      <c r="H741" s="101" t="s">
        <v>1235</v>
      </c>
      <c r="I741" s="101" t="s">
        <v>1505</v>
      </c>
      <c r="J741" s="101" t="s">
        <v>1898</v>
      </c>
      <c r="K741" s="100" t="s">
        <v>2513</v>
      </c>
      <c r="L741" s="101" t="n">
        <v>2019</v>
      </c>
      <c r="M741" s="101" t="s">
        <v>1553</v>
      </c>
    </row>
    <row r="742" customFormat="false" ht="15" hidden="false" customHeight="true" outlineLevel="0" collapsed="false">
      <c r="A742" s="101" t="n">
        <v>741</v>
      </c>
      <c r="B742" s="100" t="n">
        <v>395</v>
      </c>
      <c r="C742" s="100" t="s">
        <v>743</v>
      </c>
      <c r="D742" s="101" t="s">
        <v>111</v>
      </c>
      <c r="E742" s="101" t="s">
        <v>1215</v>
      </c>
      <c r="F742" s="101" t="s">
        <v>1215</v>
      </c>
      <c r="G742" s="101" t="s">
        <v>2514</v>
      </c>
      <c r="H742" s="101" t="s">
        <v>1235</v>
      </c>
      <c r="I742" s="101" t="s">
        <v>1505</v>
      </c>
      <c r="J742" s="101" t="s">
        <v>1898</v>
      </c>
      <c r="K742" s="100" t="s">
        <v>2515</v>
      </c>
      <c r="L742" s="101" t="n">
        <v>2019</v>
      </c>
      <c r="M742" s="101" t="s">
        <v>1553</v>
      </c>
    </row>
    <row r="743" customFormat="false" ht="15" hidden="false" customHeight="true" outlineLevel="0" collapsed="false">
      <c r="A743" s="101" t="n">
        <v>742</v>
      </c>
      <c r="B743" s="100" t="n">
        <v>396</v>
      </c>
      <c r="C743" s="100" t="s">
        <v>584</v>
      </c>
      <c r="D743" s="101" t="s">
        <v>111</v>
      </c>
      <c r="E743" s="101" t="s">
        <v>1217</v>
      </c>
      <c r="F743" s="101" t="s">
        <v>1190</v>
      </c>
      <c r="G743" s="101"/>
      <c r="H743" s="101" t="s">
        <v>1235</v>
      </c>
      <c r="I743" s="101" t="s">
        <v>1505</v>
      </c>
      <c r="J743" s="101" t="s">
        <v>1898</v>
      </c>
      <c r="K743" s="100" t="s">
        <v>2516</v>
      </c>
      <c r="L743" s="101" t="n">
        <v>2019</v>
      </c>
      <c r="M743" s="101" t="s">
        <v>1553</v>
      </c>
    </row>
    <row r="744" customFormat="false" ht="15" hidden="false" customHeight="true" outlineLevel="0" collapsed="false">
      <c r="A744" s="101" t="n">
        <v>743</v>
      </c>
      <c r="B744" s="100" t="n">
        <v>397</v>
      </c>
      <c r="C744" s="100" t="s">
        <v>742</v>
      </c>
      <c r="D744" s="101" t="s">
        <v>111</v>
      </c>
      <c r="E744" s="101" t="s">
        <v>1215</v>
      </c>
      <c r="F744" s="101" t="s">
        <v>1215</v>
      </c>
      <c r="G744" s="101" t="s">
        <v>2517</v>
      </c>
      <c r="H744" s="101" t="s">
        <v>1235</v>
      </c>
      <c r="I744" s="101" t="s">
        <v>1505</v>
      </c>
      <c r="J744" s="101" t="s">
        <v>1898</v>
      </c>
      <c r="K744" s="100" t="s">
        <v>2518</v>
      </c>
      <c r="L744" s="101" t="n">
        <v>2019</v>
      </c>
      <c r="M744" s="101" t="s">
        <v>1553</v>
      </c>
    </row>
    <row r="745" customFormat="false" ht="15" hidden="false" customHeight="true" outlineLevel="0" collapsed="false">
      <c r="A745" s="101" t="n">
        <v>744</v>
      </c>
      <c r="B745" s="100" t="n">
        <v>398</v>
      </c>
      <c r="C745" s="100" t="s">
        <v>2519</v>
      </c>
      <c r="D745" s="101" t="s">
        <v>111</v>
      </c>
      <c r="E745" s="101" t="s">
        <v>1182</v>
      </c>
      <c r="F745" s="101" t="s">
        <v>1182</v>
      </c>
      <c r="G745" s="101" t="s">
        <v>2520</v>
      </c>
      <c r="H745" s="101" t="s">
        <v>1235</v>
      </c>
      <c r="I745" s="101" t="s">
        <v>1505</v>
      </c>
      <c r="J745" s="101" t="s">
        <v>1901</v>
      </c>
      <c r="K745" s="100" t="s">
        <v>2521</v>
      </c>
      <c r="L745" s="101" t="n">
        <v>2019</v>
      </c>
      <c r="M745" s="101" t="s">
        <v>1553</v>
      </c>
    </row>
    <row r="746" customFormat="false" ht="15" hidden="false" customHeight="true" outlineLevel="0" collapsed="false">
      <c r="A746" s="101" t="n">
        <v>745</v>
      </c>
      <c r="B746" s="100" t="n">
        <v>399</v>
      </c>
      <c r="C746" s="100" t="s">
        <v>913</v>
      </c>
      <c r="D746" s="101" t="s">
        <v>111</v>
      </c>
      <c r="E746" s="101" t="s">
        <v>1184</v>
      </c>
      <c r="F746" s="101" t="s">
        <v>1421</v>
      </c>
      <c r="G746" s="101" t="s">
        <v>1711</v>
      </c>
      <c r="H746" s="101" t="s">
        <v>1235</v>
      </c>
      <c r="I746" s="101" t="s">
        <v>1505</v>
      </c>
      <c r="J746" s="101" t="s">
        <v>1901</v>
      </c>
      <c r="K746" s="100" t="s">
        <v>2522</v>
      </c>
      <c r="L746" s="101" t="n">
        <v>2019</v>
      </c>
      <c r="M746" s="101" t="s">
        <v>1553</v>
      </c>
    </row>
    <row r="747" customFormat="false" ht="15" hidden="false" customHeight="true" outlineLevel="0" collapsed="false">
      <c r="A747" s="101" t="n">
        <v>746</v>
      </c>
      <c r="B747" s="100" t="n">
        <v>400</v>
      </c>
      <c r="C747" s="100" t="s">
        <v>244</v>
      </c>
      <c r="D747" s="101" t="s">
        <v>111</v>
      </c>
      <c r="E747" s="101" t="s">
        <v>1188</v>
      </c>
      <c r="F747" s="101" t="s">
        <v>2523</v>
      </c>
      <c r="G747" s="101" t="s">
        <v>2524</v>
      </c>
      <c r="H747" s="101" t="s">
        <v>1235</v>
      </c>
      <c r="I747" s="101" t="s">
        <v>1505</v>
      </c>
      <c r="J747" s="101" t="s">
        <v>1901</v>
      </c>
      <c r="K747" s="100" t="s">
        <v>243</v>
      </c>
      <c r="L747" s="101" t="n">
        <v>2019</v>
      </c>
      <c r="M747" s="101" t="s">
        <v>1553</v>
      </c>
    </row>
    <row r="748" customFormat="false" ht="15" hidden="false" customHeight="true" outlineLevel="0" collapsed="false">
      <c r="A748" s="101" t="n">
        <v>747</v>
      </c>
      <c r="B748" s="100" t="n">
        <v>401</v>
      </c>
      <c r="C748" s="100" t="s">
        <v>2525</v>
      </c>
      <c r="D748" s="101" t="s">
        <v>111</v>
      </c>
      <c r="E748" s="101" t="s">
        <v>1184</v>
      </c>
      <c r="F748" s="101" t="s">
        <v>1421</v>
      </c>
      <c r="G748" s="101"/>
      <c r="H748" s="101" t="s">
        <v>1251</v>
      </c>
      <c r="I748" s="101" t="s">
        <v>1505</v>
      </c>
      <c r="J748" s="101" t="s">
        <v>1901</v>
      </c>
      <c r="K748" s="100" t="s">
        <v>2526</v>
      </c>
      <c r="L748" s="101" t="n">
        <v>2020</v>
      </c>
      <c r="M748" s="101" t="s">
        <v>1553</v>
      </c>
    </row>
    <row r="749" customFormat="false" ht="15" hidden="false" customHeight="true" outlineLevel="0" collapsed="false">
      <c r="A749" s="101" t="n">
        <v>748</v>
      </c>
      <c r="B749" s="100" t="n">
        <v>402</v>
      </c>
      <c r="C749" s="100" t="s">
        <v>380</v>
      </c>
      <c r="D749" s="101" t="s">
        <v>111</v>
      </c>
      <c r="E749" s="101" t="s">
        <v>1213</v>
      </c>
      <c r="F749" s="101" t="s">
        <v>1468</v>
      </c>
      <c r="G749" s="101" t="s">
        <v>1711</v>
      </c>
      <c r="H749" s="101" t="s">
        <v>1251</v>
      </c>
      <c r="I749" s="101" t="s">
        <v>1904</v>
      </c>
      <c r="J749" s="101" t="s">
        <v>1910</v>
      </c>
      <c r="K749" s="100" t="s">
        <v>2527</v>
      </c>
      <c r="L749" s="101" t="n">
        <v>2019</v>
      </c>
      <c r="M749" s="101" t="s">
        <v>1553</v>
      </c>
    </row>
    <row r="750" customFormat="false" ht="15" hidden="false" customHeight="true" outlineLevel="0" collapsed="false">
      <c r="A750" s="101" t="n">
        <v>749</v>
      </c>
      <c r="B750" s="100" t="n">
        <v>403</v>
      </c>
      <c r="C750" s="100" t="s">
        <v>379</v>
      </c>
      <c r="D750" s="101" t="s">
        <v>111</v>
      </c>
      <c r="E750" s="101" t="s">
        <v>1213</v>
      </c>
      <c r="F750" s="101" t="s">
        <v>1468</v>
      </c>
      <c r="G750" s="101" t="s">
        <v>1711</v>
      </c>
      <c r="H750" s="101" t="s">
        <v>1251</v>
      </c>
      <c r="I750" s="101" t="s">
        <v>1904</v>
      </c>
      <c r="J750" s="101" t="s">
        <v>1910</v>
      </c>
      <c r="K750" s="100" t="s">
        <v>2528</v>
      </c>
      <c r="L750" s="101" t="n">
        <v>2019</v>
      </c>
      <c r="M750" s="101" t="s">
        <v>1553</v>
      </c>
    </row>
    <row r="751" customFormat="false" ht="15" hidden="false" customHeight="true" outlineLevel="0" collapsed="false">
      <c r="A751" s="101" t="n">
        <v>750</v>
      </c>
      <c r="B751" s="100" t="n">
        <v>404</v>
      </c>
      <c r="C751" s="100" t="s">
        <v>741</v>
      </c>
      <c r="D751" s="101" t="s">
        <v>111</v>
      </c>
      <c r="E751" s="101" t="s">
        <v>1156</v>
      </c>
      <c r="F751" s="101" t="s">
        <v>1156</v>
      </c>
      <c r="G751" s="101" t="s">
        <v>1444</v>
      </c>
      <c r="H751" s="101" t="s">
        <v>1251</v>
      </c>
      <c r="I751" s="101" t="s">
        <v>1904</v>
      </c>
      <c r="J751" s="101" t="s">
        <v>1910</v>
      </c>
      <c r="K751" s="100" t="s">
        <v>2529</v>
      </c>
      <c r="L751" s="101" t="n">
        <v>2020</v>
      </c>
      <c r="M751" s="101" t="s">
        <v>1553</v>
      </c>
    </row>
    <row r="752" customFormat="false" ht="15" hidden="false" customHeight="true" outlineLevel="0" collapsed="false">
      <c r="A752" s="101" t="n">
        <v>751</v>
      </c>
      <c r="B752" s="100" t="n">
        <v>405</v>
      </c>
      <c r="C752" s="100" t="s">
        <v>2530</v>
      </c>
      <c r="D752" s="101" t="s">
        <v>111</v>
      </c>
      <c r="E752" s="101" t="s">
        <v>1154</v>
      </c>
      <c r="F752" s="101" t="s">
        <v>1458</v>
      </c>
      <c r="G752" s="101" t="s">
        <v>2129</v>
      </c>
      <c r="H752" s="101" t="s">
        <v>1251</v>
      </c>
      <c r="I752" s="101" t="s">
        <v>1904</v>
      </c>
      <c r="J752" s="101" t="s">
        <v>1910</v>
      </c>
      <c r="K752" s="100" t="s">
        <v>2531</v>
      </c>
      <c r="L752" s="101" t="n">
        <v>2020</v>
      </c>
      <c r="M752" s="101" t="s">
        <v>1553</v>
      </c>
    </row>
    <row r="753" customFormat="false" ht="15" hidden="false" customHeight="true" outlineLevel="0" collapsed="false">
      <c r="A753" s="101" t="n">
        <v>752</v>
      </c>
      <c r="B753" s="100" t="n">
        <v>406</v>
      </c>
      <c r="C753" s="100" t="s">
        <v>378</v>
      </c>
      <c r="D753" s="101" t="s">
        <v>111</v>
      </c>
      <c r="E753" s="101" t="s">
        <v>1208</v>
      </c>
      <c r="F753" s="101" t="s">
        <v>2532</v>
      </c>
      <c r="G753" s="101" t="s">
        <v>2479</v>
      </c>
      <c r="H753" s="101" t="s">
        <v>1251</v>
      </c>
      <c r="I753" s="101" t="s">
        <v>1904</v>
      </c>
      <c r="J753" s="101" t="s">
        <v>1910</v>
      </c>
      <c r="K753" s="100" t="s">
        <v>2533</v>
      </c>
      <c r="L753" s="101" t="n">
        <v>2020</v>
      </c>
      <c r="M753" s="101" t="s">
        <v>1553</v>
      </c>
    </row>
    <row r="754" customFormat="false" ht="15" hidden="false" customHeight="true" outlineLevel="0" collapsed="false">
      <c r="A754" s="101" t="n">
        <v>753</v>
      </c>
      <c r="B754" s="100" t="n">
        <v>407</v>
      </c>
      <c r="C754" s="100" t="s">
        <v>2534</v>
      </c>
      <c r="D754" s="101" t="s">
        <v>111</v>
      </c>
      <c r="E754" s="101" t="s">
        <v>1154</v>
      </c>
      <c r="F754" s="101" t="s">
        <v>1458</v>
      </c>
      <c r="G754" s="101" t="s">
        <v>1401</v>
      </c>
      <c r="H754" s="101" t="s">
        <v>1251</v>
      </c>
      <c r="I754" s="101" t="s">
        <v>1904</v>
      </c>
      <c r="J754" s="101" t="s">
        <v>1910</v>
      </c>
      <c r="K754" s="100" t="s">
        <v>2535</v>
      </c>
      <c r="L754" s="101" t="n">
        <v>2020</v>
      </c>
      <c r="M754" s="101" t="s">
        <v>1553</v>
      </c>
    </row>
    <row r="755" customFormat="false" ht="15" hidden="false" customHeight="true" outlineLevel="0" collapsed="false">
      <c r="A755" s="101" t="n">
        <v>754</v>
      </c>
      <c r="B755" s="100" t="n">
        <v>408</v>
      </c>
      <c r="C755" s="100" t="s">
        <v>583</v>
      </c>
      <c r="D755" s="101" t="s">
        <v>111</v>
      </c>
      <c r="E755" s="101" t="s">
        <v>1166</v>
      </c>
      <c r="F755" s="101" t="s">
        <v>1390</v>
      </c>
      <c r="G755" s="101" t="s">
        <v>2536</v>
      </c>
      <c r="H755" s="101" t="s">
        <v>1251</v>
      </c>
      <c r="I755" s="101" t="s">
        <v>1904</v>
      </c>
      <c r="J755" s="101" t="s">
        <v>1910</v>
      </c>
      <c r="K755" s="100" t="s">
        <v>2537</v>
      </c>
      <c r="L755" s="101" t="n">
        <v>2020</v>
      </c>
      <c r="M755" s="101" t="s">
        <v>1553</v>
      </c>
    </row>
    <row r="756" customFormat="false" ht="15" hidden="false" customHeight="true" outlineLevel="0" collapsed="false">
      <c r="A756" s="101" t="n">
        <v>755</v>
      </c>
      <c r="B756" s="100" t="n">
        <v>409</v>
      </c>
      <c r="C756" s="100" t="s">
        <v>582</v>
      </c>
      <c r="D756" s="101" t="s">
        <v>111</v>
      </c>
      <c r="E756" s="101" t="s">
        <v>1172</v>
      </c>
      <c r="F756" s="101" t="s">
        <v>2163</v>
      </c>
      <c r="G756" s="101" t="s">
        <v>1308</v>
      </c>
      <c r="H756" s="101" t="s">
        <v>1251</v>
      </c>
      <c r="I756" s="101" t="s">
        <v>1904</v>
      </c>
      <c r="J756" s="101" t="s">
        <v>1910</v>
      </c>
      <c r="K756" s="100" t="s">
        <v>2538</v>
      </c>
      <c r="L756" s="101" t="n">
        <v>2020</v>
      </c>
      <c r="M756" s="101" t="s">
        <v>1553</v>
      </c>
    </row>
    <row r="757" customFormat="false" ht="15" hidden="false" customHeight="true" outlineLevel="0" collapsed="false">
      <c r="A757" s="101" t="n">
        <v>756</v>
      </c>
      <c r="B757" s="100" t="n">
        <v>410</v>
      </c>
      <c r="C757" s="100" t="s">
        <v>581</v>
      </c>
      <c r="D757" s="101" t="s">
        <v>111</v>
      </c>
      <c r="E757" s="101" t="s">
        <v>1166</v>
      </c>
      <c r="F757" s="101" t="s">
        <v>1390</v>
      </c>
      <c r="G757" s="101" t="s">
        <v>2539</v>
      </c>
      <c r="H757" s="101" t="s">
        <v>1251</v>
      </c>
      <c r="I757" s="101" t="s">
        <v>1904</v>
      </c>
      <c r="J757" s="101" t="s">
        <v>1910</v>
      </c>
      <c r="K757" s="100" t="s">
        <v>2540</v>
      </c>
      <c r="L757" s="101" t="n">
        <v>2020</v>
      </c>
      <c r="M757" s="101" t="s">
        <v>1553</v>
      </c>
    </row>
    <row r="758" customFormat="false" ht="15" hidden="false" customHeight="true" outlineLevel="0" collapsed="false">
      <c r="A758" s="101" t="n">
        <v>757</v>
      </c>
      <c r="B758" s="100" t="n">
        <v>411</v>
      </c>
      <c r="C758" s="100" t="s">
        <v>580</v>
      </c>
      <c r="D758" s="101" t="s">
        <v>111</v>
      </c>
      <c r="E758" s="101" t="s">
        <v>1172</v>
      </c>
      <c r="F758" s="101" t="s">
        <v>2163</v>
      </c>
      <c r="G758" s="101" t="s">
        <v>1308</v>
      </c>
      <c r="H758" s="101" t="s">
        <v>1554</v>
      </c>
      <c r="I758" s="101" t="s">
        <v>1892</v>
      </c>
      <c r="J758" s="101" t="s">
        <v>2541</v>
      </c>
      <c r="K758" s="100" t="s">
        <v>2542</v>
      </c>
      <c r="L758" s="101" t="n">
        <v>2020</v>
      </c>
      <c r="M758" s="101" t="s">
        <v>1553</v>
      </c>
    </row>
    <row r="759" customFormat="false" ht="15" hidden="false" customHeight="true" outlineLevel="0" collapsed="false">
      <c r="A759" s="101" t="n">
        <v>758</v>
      </c>
      <c r="B759" s="100" t="n">
        <v>412</v>
      </c>
      <c r="C759" s="100" t="s">
        <v>579</v>
      </c>
      <c r="D759" s="101" t="s">
        <v>111</v>
      </c>
      <c r="E759" s="101" t="s">
        <v>1166</v>
      </c>
      <c r="F759" s="101" t="s">
        <v>1390</v>
      </c>
      <c r="G759" s="101" t="s">
        <v>2543</v>
      </c>
      <c r="H759" s="101" t="s">
        <v>1554</v>
      </c>
      <c r="I759" s="101" t="s">
        <v>1892</v>
      </c>
      <c r="J759" s="101" t="s">
        <v>2541</v>
      </c>
      <c r="K759" s="100" t="s">
        <v>2544</v>
      </c>
      <c r="L759" s="101" t="n">
        <v>2020</v>
      </c>
      <c r="M759" s="101" t="s">
        <v>1553</v>
      </c>
    </row>
    <row r="760" customFormat="false" ht="15" hidden="false" customHeight="true" outlineLevel="0" collapsed="false">
      <c r="A760" s="101" t="n">
        <v>759</v>
      </c>
      <c r="B760" s="100" t="n">
        <v>413</v>
      </c>
      <c r="C760" s="100" t="s">
        <v>578</v>
      </c>
      <c r="D760" s="101" t="s">
        <v>111</v>
      </c>
      <c r="E760" s="101" t="s">
        <v>1166</v>
      </c>
      <c r="F760" s="101" t="s">
        <v>1390</v>
      </c>
      <c r="G760" s="101" t="s">
        <v>2545</v>
      </c>
      <c r="H760" s="101" t="s">
        <v>1554</v>
      </c>
      <c r="I760" s="101" t="s">
        <v>1892</v>
      </c>
      <c r="J760" s="101" t="s">
        <v>2541</v>
      </c>
      <c r="K760" s="100" t="s">
        <v>2546</v>
      </c>
      <c r="L760" s="101" t="n">
        <v>2020</v>
      </c>
      <c r="M760" s="101" t="s">
        <v>1553</v>
      </c>
    </row>
    <row r="761" customFormat="false" ht="15" hidden="false" customHeight="true" outlineLevel="0" collapsed="false">
      <c r="A761" s="101" t="n">
        <v>760</v>
      </c>
      <c r="B761" s="100" t="n">
        <v>414</v>
      </c>
      <c r="C761" s="100" t="s">
        <v>577</v>
      </c>
      <c r="D761" s="101" t="s">
        <v>111</v>
      </c>
      <c r="E761" s="101" t="s">
        <v>1166</v>
      </c>
      <c r="F761" s="101" t="s">
        <v>1390</v>
      </c>
      <c r="G761" s="101" t="n">
        <v>501</v>
      </c>
      <c r="H761" s="101" t="s">
        <v>1554</v>
      </c>
      <c r="I761" s="101" t="s">
        <v>1892</v>
      </c>
      <c r="J761" s="101" t="s">
        <v>2541</v>
      </c>
      <c r="K761" s="100" t="s">
        <v>2547</v>
      </c>
      <c r="L761" s="101" t="n">
        <v>2020</v>
      </c>
      <c r="M761" s="101" t="s">
        <v>1553</v>
      </c>
    </row>
    <row r="762" customFormat="false" ht="15" hidden="false" customHeight="true" outlineLevel="0" collapsed="false">
      <c r="A762" s="101" t="n">
        <v>761</v>
      </c>
      <c r="B762" s="100" t="n">
        <v>415</v>
      </c>
      <c r="C762" s="100" t="s">
        <v>576</v>
      </c>
      <c r="D762" s="101" t="s">
        <v>111</v>
      </c>
      <c r="E762" s="101" t="s">
        <v>1166</v>
      </c>
      <c r="F762" s="101" t="s">
        <v>1390</v>
      </c>
      <c r="G762" s="101" t="s">
        <v>2548</v>
      </c>
      <c r="H762" s="101" t="s">
        <v>1554</v>
      </c>
      <c r="I762" s="101" t="s">
        <v>1892</v>
      </c>
      <c r="J762" s="101" t="s">
        <v>2541</v>
      </c>
      <c r="K762" s="100" t="s">
        <v>2549</v>
      </c>
      <c r="L762" s="101" t="n">
        <v>2020</v>
      </c>
      <c r="M762" s="101" t="s">
        <v>1553</v>
      </c>
    </row>
    <row r="763" customFormat="false" ht="15" hidden="false" customHeight="true" outlineLevel="0" collapsed="false">
      <c r="A763" s="101" t="n">
        <v>762</v>
      </c>
      <c r="B763" s="100" t="n">
        <v>416</v>
      </c>
      <c r="C763" s="100" t="s">
        <v>740</v>
      </c>
      <c r="D763" s="101" t="s">
        <v>111</v>
      </c>
      <c r="E763" s="101" t="s">
        <v>1224</v>
      </c>
      <c r="F763" s="101" t="s">
        <v>1224</v>
      </c>
      <c r="G763" s="101"/>
      <c r="H763" s="101" t="s">
        <v>1554</v>
      </c>
      <c r="I763" s="101" t="s">
        <v>1892</v>
      </c>
      <c r="J763" s="101" t="s">
        <v>2541</v>
      </c>
      <c r="K763" s="100" t="s">
        <v>2550</v>
      </c>
      <c r="L763" s="101" t="n">
        <v>2020</v>
      </c>
      <c r="M763" s="101" t="s">
        <v>1553</v>
      </c>
    </row>
    <row r="764" customFormat="false" ht="15" hidden="false" customHeight="true" outlineLevel="0" collapsed="false">
      <c r="A764" s="101" t="n">
        <v>763</v>
      </c>
      <c r="B764" s="100" t="n">
        <v>417</v>
      </c>
      <c r="C764" s="100" t="s">
        <v>739</v>
      </c>
      <c r="D764" s="101" t="s">
        <v>111</v>
      </c>
      <c r="E764" s="101" t="s">
        <v>1224</v>
      </c>
      <c r="F764" s="101" t="s">
        <v>1224</v>
      </c>
      <c r="G764" s="101"/>
      <c r="H764" s="101" t="s">
        <v>1554</v>
      </c>
      <c r="I764" s="101" t="s">
        <v>1892</v>
      </c>
      <c r="J764" s="101" t="s">
        <v>2541</v>
      </c>
      <c r="K764" s="100" t="s">
        <v>2551</v>
      </c>
      <c r="L764" s="101" t="n">
        <v>2020</v>
      </c>
      <c r="M764" s="101" t="s">
        <v>1553</v>
      </c>
    </row>
    <row r="765" customFormat="false" ht="15" hidden="false" customHeight="true" outlineLevel="0" collapsed="false">
      <c r="A765" s="101" t="n">
        <v>764</v>
      </c>
      <c r="B765" s="100" t="n">
        <v>418</v>
      </c>
      <c r="C765" s="100" t="s">
        <v>738</v>
      </c>
      <c r="D765" s="101" t="s">
        <v>111</v>
      </c>
      <c r="E765" s="101" t="s">
        <v>1215</v>
      </c>
      <c r="F765" s="101" t="s">
        <v>1215</v>
      </c>
      <c r="G765" s="101" t="s">
        <v>2552</v>
      </c>
      <c r="H765" s="101" t="s">
        <v>1554</v>
      </c>
      <c r="I765" s="101" t="s">
        <v>1892</v>
      </c>
      <c r="J765" s="101" t="s">
        <v>2541</v>
      </c>
      <c r="K765" s="100" t="s">
        <v>2553</v>
      </c>
      <c r="L765" s="101" t="n">
        <v>2020</v>
      </c>
      <c r="M765" s="101" t="s">
        <v>1553</v>
      </c>
    </row>
    <row r="766" customFormat="false" ht="15" hidden="false" customHeight="true" outlineLevel="0" collapsed="false">
      <c r="A766" s="101" t="n">
        <v>765</v>
      </c>
      <c r="B766" s="100" t="n">
        <v>419</v>
      </c>
      <c r="C766" s="100" t="s">
        <v>737</v>
      </c>
      <c r="D766" s="101" t="s">
        <v>111</v>
      </c>
      <c r="E766" s="101" t="s">
        <v>1224</v>
      </c>
      <c r="F766" s="101" t="s">
        <v>1224</v>
      </c>
      <c r="G766" s="101" t="s">
        <v>2554</v>
      </c>
      <c r="H766" s="101" t="s">
        <v>1554</v>
      </c>
      <c r="I766" s="101" t="s">
        <v>1892</v>
      </c>
      <c r="J766" s="101" t="s">
        <v>2541</v>
      </c>
      <c r="K766" s="100" t="s">
        <v>2555</v>
      </c>
      <c r="L766" s="101" t="n">
        <v>2020</v>
      </c>
      <c r="M766" s="101" t="s">
        <v>1553</v>
      </c>
    </row>
    <row r="767" customFormat="false" ht="15" hidden="false" customHeight="true" outlineLevel="0" collapsed="false">
      <c r="A767" s="101" t="n">
        <v>766</v>
      </c>
      <c r="B767" s="100" t="n">
        <v>420</v>
      </c>
      <c r="C767" s="100" t="s">
        <v>736</v>
      </c>
      <c r="D767" s="101" t="s">
        <v>111</v>
      </c>
      <c r="E767" s="101" t="s">
        <v>1215</v>
      </c>
      <c r="F767" s="101" t="s">
        <v>1215</v>
      </c>
      <c r="G767" s="101" t="s">
        <v>2556</v>
      </c>
      <c r="H767" s="101" t="s">
        <v>1554</v>
      </c>
      <c r="I767" s="101" t="s">
        <v>1892</v>
      </c>
      <c r="J767" s="101" t="s">
        <v>2541</v>
      </c>
      <c r="K767" s="100" t="s">
        <v>2557</v>
      </c>
      <c r="L767" s="101" t="n">
        <v>2020</v>
      </c>
      <c r="M767" s="101" t="s">
        <v>1553</v>
      </c>
    </row>
    <row r="768" customFormat="false" ht="15" hidden="false" customHeight="true" outlineLevel="0" collapsed="false">
      <c r="A768" s="101" t="n">
        <v>767</v>
      </c>
      <c r="B768" s="100" t="n">
        <v>421</v>
      </c>
      <c r="C768" s="100" t="s">
        <v>995</v>
      </c>
      <c r="D768" s="101" t="s">
        <v>111</v>
      </c>
      <c r="E768" s="101" t="s">
        <v>1199</v>
      </c>
      <c r="F768" s="101" t="s">
        <v>1199</v>
      </c>
      <c r="G768" s="101" t="s">
        <v>2558</v>
      </c>
      <c r="H768" s="101" t="s">
        <v>1251</v>
      </c>
      <c r="I768" s="101" t="s">
        <v>2559</v>
      </c>
      <c r="J768" s="101" t="s">
        <v>2560</v>
      </c>
      <c r="K768" s="100" t="s">
        <v>2561</v>
      </c>
      <c r="L768" s="101" t="n">
        <v>2020</v>
      </c>
      <c r="M768" s="101" t="s">
        <v>1561</v>
      </c>
    </row>
    <row r="769" customFormat="false" ht="15" hidden="false" customHeight="true" outlineLevel="0" collapsed="false">
      <c r="A769" s="101" t="n">
        <v>768</v>
      </c>
      <c r="B769" s="100" t="n">
        <v>422</v>
      </c>
      <c r="C769" s="100" t="s">
        <v>1058</v>
      </c>
      <c r="D769" s="101" t="s">
        <v>111</v>
      </c>
      <c r="E769" s="101" t="s">
        <v>1202</v>
      </c>
      <c r="F769" s="101" t="s">
        <v>1483</v>
      </c>
      <c r="G769" s="101" t="s">
        <v>1760</v>
      </c>
      <c r="H769" s="101" t="s">
        <v>1251</v>
      </c>
      <c r="I769" s="101" t="s">
        <v>1505</v>
      </c>
      <c r="J769" s="101" t="s">
        <v>1852</v>
      </c>
      <c r="K769" s="100" t="s">
        <v>2562</v>
      </c>
      <c r="L769" s="101" t="n">
        <v>2020</v>
      </c>
      <c r="M769" s="101" t="s">
        <v>1553</v>
      </c>
    </row>
    <row r="770" customFormat="false" ht="15" hidden="false" customHeight="true" outlineLevel="0" collapsed="false">
      <c r="A770" s="101" t="n">
        <v>769</v>
      </c>
      <c r="B770" s="100" t="n">
        <v>423</v>
      </c>
      <c r="C770" s="100" t="s">
        <v>2563</v>
      </c>
      <c r="D770" s="101" t="s">
        <v>111</v>
      </c>
      <c r="E770" s="101" t="s">
        <v>1202</v>
      </c>
      <c r="F770" s="101" t="s">
        <v>1483</v>
      </c>
      <c r="G770" s="101" t="s">
        <v>1256</v>
      </c>
      <c r="H770" s="101" t="s">
        <v>1251</v>
      </c>
      <c r="I770" s="101" t="s">
        <v>1505</v>
      </c>
      <c r="J770" s="101" t="s">
        <v>1852</v>
      </c>
      <c r="K770" s="100" t="s">
        <v>2564</v>
      </c>
      <c r="L770" s="101" t="n">
        <v>2020</v>
      </c>
      <c r="M770" s="101" t="s">
        <v>1553</v>
      </c>
    </row>
    <row r="771" customFormat="false" ht="15" hidden="false" customHeight="true" outlineLevel="0" collapsed="false">
      <c r="A771" s="101" t="n">
        <v>770</v>
      </c>
      <c r="B771" s="100" t="n">
        <v>424</v>
      </c>
      <c r="C771" s="100" t="s">
        <v>1057</v>
      </c>
      <c r="D771" s="101" t="s">
        <v>111</v>
      </c>
      <c r="E771" s="101" t="s">
        <v>1202</v>
      </c>
      <c r="F771" s="101" t="s">
        <v>1483</v>
      </c>
      <c r="G771" s="101" t="s">
        <v>1764</v>
      </c>
      <c r="H771" s="101" t="s">
        <v>1251</v>
      </c>
      <c r="I771" s="101" t="s">
        <v>1505</v>
      </c>
      <c r="J771" s="101" t="s">
        <v>1852</v>
      </c>
      <c r="K771" s="100" t="s">
        <v>2565</v>
      </c>
      <c r="L771" s="101" t="n">
        <v>2020</v>
      </c>
      <c r="M771" s="101" t="s">
        <v>1553</v>
      </c>
    </row>
    <row r="772" customFormat="false" ht="15" hidden="false" customHeight="true" outlineLevel="0" collapsed="false">
      <c r="A772" s="101" t="n">
        <v>771</v>
      </c>
      <c r="B772" s="100" t="n">
        <v>425</v>
      </c>
      <c r="C772" s="100" t="s">
        <v>1056</v>
      </c>
      <c r="D772" s="101" t="s">
        <v>111</v>
      </c>
      <c r="E772" s="101" t="s">
        <v>1202</v>
      </c>
      <c r="F772" s="101" t="s">
        <v>1483</v>
      </c>
      <c r="G772" s="101" t="s">
        <v>1274</v>
      </c>
      <c r="H772" s="101" t="s">
        <v>1251</v>
      </c>
      <c r="I772" s="101" t="s">
        <v>1505</v>
      </c>
      <c r="J772" s="101" t="s">
        <v>1852</v>
      </c>
      <c r="K772" s="100" t="s">
        <v>2566</v>
      </c>
      <c r="L772" s="101" t="n">
        <v>2020</v>
      </c>
      <c r="M772" s="101" t="s">
        <v>1553</v>
      </c>
    </row>
    <row r="773" customFormat="false" ht="15" hidden="false" customHeight="true" outlineLevel="0" collapsed="false">
      <c r="A773" s="101" t="n">
        <v>772</v>
      </c>
      <c r="B773" s="100" t="n">
        <v>426</v>
      </c>
      <c r="C773" s="100" t="s">
        <v>2567</v>
      </c>
      <c r="D773" s="101" t="s">
        <v>111</v>
      </c>
      <c r="E773" s="101" t="s">
        <v>1202</v>
      </c>
      <c r="F773" s="101" t="s">
        <v>1483</v>
      </c>
      <c r="G773" s="101" t="s">
        <v>2568</v>
      </c>
      <c r="H773" s="101" t="s">
        <v>1251</v>
      </c>
      <c r="I773" s="101" t="s">
        <v>1505</v>
      </c>
      <c r="J773" s="101" t="s">
        <v>1852</v>
      </c>
      <c r="K773" s="100" t="s">
        <v>2569</v>
      </c>
      <c r="L773" s="101" t="n">
        <v>2020</v>
      </c>
      <c r="M773" s="101" t="s">
        <v>1553</v>
      </c>
    </row>
    <row r="774" customFormat="false" ht="15" hidden="false" customHeight="true" outlineLevel="0" collapsed="false">
      <c r="A774" s="101" t="n">
        <v>773</v>
      </c>
      <c r="B774" s="100" t="n">
        <v>427</v>
      </c>
      <c r="C774" s="100" t="s">
        <v>1041</v>
      </c>
      <c r="D774" s="101" t="s">
        <v>111</v>
      </c>
      <c r="E774" s="101" t="s">
        <v>1202</v>
      </c>
      <c r="F774" s="101" t="s">
        <v>1369</v>
      </c>
      <c r="G774" s="101" t="s">
        <v>2570</v>
      </c>
      <c r="H774" s="101" t="s">
        <v>1554</v>
      </c>
      <c r="I774" s="101" t="s">
        <v>1885</v>
      </c>
      <c r="J774" s="101" t="s">
        <v>1886</v>
      </c>
      <c r="K774" s="100" t="s">
        <v>2571</v>
      </c>
      <c r="L774" s="101" t="n">
        <v>2020</v>
      </c>
      <c r="M774" s="101" t="s">
        <v>1553</v>
      </c>
    </row>
    <row r="775" customFormat="false" ht="15" hidden="false" customHeight="true" outlineLevel="0" collapsed="false">
      <c r="A775" s="101" t="n">
        <v>774</v>
      </c>
      <c r="B775" s="100" t="n">
        <v>428</v>
      </c>
      <c r="C775" s="100" t="s">
        <v>1048</v>
      </c>
      <c r="D775" s="101" t="s">
        <v>111</v>
      </c>
      <c r="E775" s="101" t="s">
        <v>1202</v>
      </c>
      <c r="F775" s="101" t="s">
        <v>1369</v>
      </c>
      <c r="G775" s="101" t="s">
        <v>2572</v>
      </c>
      <c r="H775" s="101" t="s">
        <v>1554</v>
      </c>
      <c r="I775" s="101" t="s">
        <v>1885</v>
      </c>
      <c r="J775" s="101" t="s">
        <v>1886</v>
      </c>
      <c r="K775" s="100" t="s">
        <v>2573</v>
      </c>
      <c r="L775" s="101" t="n">
        <v>2020</v>
      </c>
      <c r="M775" s="101" t="s">
        <v>1553</v>
      </c>
    </row>
    <row r="776" customFormat="false" ht="15" hidden="false" customHeight="true" outlineLevel="0" collapsed="false">
      <c r="A776" s="101" t="n">
        <v>775</v>
      </c>
      <c r="B776" s="100" t="n">
        <v>429</v>
      </c>
      <c r="C776" s="100" t="s">
        <v>1043</v>
      </c>
      <c r="D776" s="101" t="s">
        <v>111</v>
      </c>
      <c r="E776" s="101" t="s">
        <v>1202</v>
      </c>
      <c r="F776" s="101" t="s">
        <v>1369</v>
      </c>
      <c r="G776" s="101" t="s">
        <v>2574</v>
      </c>
      <c r="H776" s="101" t="s">
        <v>1554</v>
      </c>
      <c r="I776" s="101" t="s">
        <v>1885</v>
      </c>
      <c r="J776" s="101" t="s">
        <v>1886</v>
      </c>
      <c r="K776" s="100" t="s">
        <v>2575</v>
      </c>
      <c r="L776" s="101" t="n">
        <v>2020</v>
      </c>
      <c r="M776" s="101" t="s">
        <v>1553</v>
      </c>
    </row>
    <row r="777" customFormat="false" ht="15" hidden="false" customHeight="true" outlineLevel="0" collapsed="false">
      <c r="A777" s="101" t="n">
        <v>776</v>
      </c>
      <c r="B777" s="100" t="n">
        <v>430</v>
      </c>
      <c r="C777" s="100" t="s">
        <v>1039</v>
      </c>
      <c r="D777" s="101" t="s">
        <v>111</v>
      </c>
      <c r="E777" s="101" t="s">
        <v>1202</v>
      </c>
      <c r="F777" s="101" t="s">
        <v>1369</v>
      </c>
      <c r="G777" s="101" t="s">
        <v>2576</v>
      </c>
      <c r="H777" s="101" t="s">
        <v>1554</v>
      </c>
      <c r="I777" s="101" t="s">
        <v>1885</v>
      </c>
      <c r="J777" s="101" t="s">
        <v>1886</v>
      </c>
      <c r="K777" s="100" t="s">
        <v>2577</v>
      </c>
      <c r="L777" s="101" t="n">
        <v>2020</v>
      </c>
      <c r="M777" s="101" t="s">
        <v>1553</v>
      </c>
    </row>
    <row r="778" customFormat="false" ht="15" hidden="false" customHeight="true" outlineLevel="0" collapsed="false">
      <c r="A778" s="101" t="n">
        <v>777</v>
      </c>
      <c r="B778" s="100" t="n">
        <v>431</v>
      </c>
      <c r="C778" s="100" t="s">
        <v>1045</v>
      </c>
      <c r="D778" s="101" t="s">
        <v>111</v>
      </c>
      <c r="E778" s="101" t="s">
        <v>1202</v>
      </c>
      <c r="F778" s="101" t="s">
        <v>1369</v>
      </c>
      <c r="G778" s="101" t="s">
        <v>2578</v>
      </c>
      <c r="H778" s="101" t="s">
        <v>1554</v>
      </c>
      <c r="I778" s="101" t="s">
        <v>1885</v>
      </c>
      <c r="J778" s="101" t="s">
        <v>1886</v>
      </c>
      <c r="K778" s="100" t="s">
        <v>2579</v>
      </c>
      <c r="L778" s="101" t="n">
        <v>2020</v>
      </c>
      <c r="M778" s="101" t="s">
        <v>1553</v>
      </c>
    </row>
    <row r="779" customFormat="false" ht="15" hidden="false" customHeight="true" outlineLevel="0" collapsed="false">
      <c r="A779" s="101" t="n">
        <v>778</v>
      </c>
      <c r="B779" s="100" t="n">
        <v>432</v>
      </c>
      <c r="C779" s="100" t="s">
        <v>1046</v>
      </c>
      <c r="D779" s="101" t="s">
        <v>111</v>
      </c>
      <c r="E779" s="101" t="s">
        <v>1202</v>
      </c>
      <c r="F779" s="101" t="s">
        <v>1369</v>
      </c>
      <c r="G779" s="101" t="s">
        <v>2580</v>
      </c>
      <c r="H779" s="101" t="s">
        <v>1554</v>
      </c>
      <c r="I779" s="101" t="s">
        <v>1885</v>
      </c>
      <c r="J779" s="101" t="s">
        <v>1886</v>
      </c>
      <c r="K779" s="100" t="s">
        <v>2581</v>
      </c>
      <c r="L779" s="101" t="n">
        <v>2020</v>
      </c>
      <c r="M779" s="101" t="s">
        <v>1553</v>
      </c>
    </row>
    <row r="780" customFormat="false" ht="15" hidden="false" customHeight="true" outlineLevel="0" collapsed="false">
      <c r="A780" s="101" t="n">
        <v>779</v>
      </c>
      <c r="B780" s="100" t="n">
        <v>433</v>
      </c>
      <c r="C780" s="100" t="s">
        <v>575</v>
      </c>
      <c r="D780" s="101" t="s">
        <v>111</v>
      </c>
      <c r="E780" s="101" t="s">
        <v>1164</v>
      </c>
      <c r="F780" s="101" t="s">
        <v>2582</v>
      </c>
      <c r="G780" s="101"/>
      <c r="H780" s="101" t="s">
        <v>1251</v>
      </c>
      <c r="I780" s="101" t="s">
        <v>2583</v>
      </c>
      <c r="J780" s="101" t="s">
        <v>2584</v>
      </c>
      <c r="K780" s="100" t="s">
        <v>2585</v>
      </c>
      <c r="L780" s="101" t="n">
        <v>2020</v>
      </c>
      <c r="M780" s="101" t="s">
        <v>1561</v>
      </c>
    </row>
    <row r="781" customFormat="false" ht="15" hidden="false" customHeight="true" outlineLevel="0" collapsed="false">
      <c r="A781" s="101" t="n">
        <v>780</v>
      </c>
      <c r="B781" s="100" t="n">
        <v>434</v>
      </c>
      <c r="C781" s="100" t="s">
        <v>735</v>
      </c>
      <c r="D781" s="101" t="s">
        <v>111</v>
      </c>
      <c r="E781" s="101" t="s">
        <v>1215</v>
      </c>
      <c r="F781" s="101" t="s">
        <v>1215</v>
      </c>
      <c r="G781" s="101" t="s">
        <v>2558</v>
      </c>
      <c r="H781" s="101" t="s">
        <v>1554</v>
      </c>
      <c r="I781" s="101" t="s">
        <v>1296</v>
      </c>
      <c r="J781" s="101" t="s">
        <v>2586</v>
      </c>
      <c r="K781" s="100" t="s">
        <v>2587</v>
      </c>
      <c r="L781" s="101" t="n">
        <v>2020</v>
      </c>
      <c r="M781" s="101" t="s">
        <v>1553</v>
      </c>
    </row>
    <row r="782" customFormat="false" ht="15" hidden="false" customHeight="true" outlineLevel="0" collapsed="false">
      <c r="A782" s="101" t="n">
        <v>781</v>
      </c>
      <c r="B782" s="100" t="n">
        <v>435</v>
      </c>
      <c r="C782" s="100" t="s">
        <v>734</v>
      </c>
      <c r="D782" s="101" t="s">
        <v>111</v>
      </c>
      <c r="E782" s="101" t="s">
        <v>1215</v>
      </c>
      <c r="F782" s="101" t="s">
        <v>1215</v>
      </c>
      <c r="G782" s="101" t="s">
        <v>2588</v>
      </c>
      <c r="H782" s="101" t="s">
        <v>1554</v>
      </c>
      <c r="I782" s="101" t="s">
        <v>1296</v>
      </c>
      <c r="J782" s="101" t="s">
        <v>2586</v>
      </c>
      <c r="K782" s="100" t="s">
        <v>2589</v>
      </c>
      <c r="L782" s="101" t="n">
        <v>2020</v>
      </c>
      <c r="M782" s="101" t="s">
        <v>1553</v>
      </c>
    </row>
    <row r="783" customFormat="false" ht="15" hidden="false" customHeight="true" outlineLevel="0" collapsed="false">
      <c r="A783" s="101" t="n">
        <v>782</v>
      </c>
      <c r="B783" s="100" t="n">
        <v>436</v>
      </c>
      <c r="C783" s="100" t="s">
        <v>733</v>
      </c>
      <c r="D783" s="101" t="s">
        <v>111</v>
      </c>
      <c r="E783" s="101" t="s">
        <v>1215</v>
      </c>
      <c r="F783" s="101" t="s">
        <v>1215</v>
      </c>
      <c r="G783" s="101" t="s">
        <v>2590</v>
      </c>
      <c r="H783" s="101" t="s">
        <v>1554</v>
      </c>
      <c r="I783" s="101" t="s">
        <v>1296</v>
      </c>
      <c r="J783" s="101" t="s">
        <v>2586</v>
      </c>
      <c r="K783" s="100" t="s">
        <v>2591</v>
      </c>
      <c r="L783" s="101" t="n">
        <v>2020</v>
      </c>
      <c r="M783" s="101" t="s">
        <v>1553</v>
      </c>
    </row>
    <row r="784" customFormat="false" ht="15" hidden="false" customHeight="true" outlineLevel="0" collapsed="false">
      <c r="A784" s="101" t="n">
        <v>783</v>
      </c>
      <c r="B784" s="100" t="n">
        <v>437</v>
      </c>
      <c r="C784" s="100" t="s">
        <v>732</v>
      </c>
      <c r="D784" s="101" t="s">
        <v>111</v>
      </c>
      <c r="E784" s="101" t="s">
        <v>1215</v>
      </c>
      <c r="F784" s="101" t="s">
        <v>1215</v>
      </c>
      <c r="G784" s="101" t="s">
        <v>2592</v>
      </c>
      <c r="H784" s="101" t="s">
        <v>1554</v>
      </c>
      <c r="I784" s="101" t="s">
        <v>1296</v>
      </c>
      <c r="J784" s="101" t="s">
        <v>2586</v>
      </c>
      <c r="K784" s="100" t="s">
        <v>2593</v>
      </c>
      <c r="L784" s="101" t="n">
        <v>2020</v>
      </c>
      <c r="M784" s="101" t="s">
        <v>1553</v>
      </c>
    </row>
    <row r="785" customFormat="false" ht="15" hidden="false" customHeight="true" outlineLevel="0" collapsed="false">
      <c r="A785" s="101" t="n">
        <v>784</v>
      </c>
      <c r="B785" s="100" t="n">
        <v>438</v>
      </c>
      <c r="C785" s="100" t="s">
        <v>1053</v>
      </c>
      <c r="D785" s="101" t="s">
        <v>111</v>
      </c>
      <c r="E785" s="101" t="s">
        <v>1202</v>
      </c>
      <c r="F785" s="101" t="s">
        <v>1369</v>
      </c>
      <c r="G785" s="101" t="s">
        <v>2594</v>
      </c>
      <c r="H785" s="101" t="s">
        <v>1251</v>
      </c>
      <c r="I785" s="101" t="s">
        <v>1885</v>
      </c>
      <c r="J785" s="101" t="s">
        <v>1886</v>
      </c>
      <c r="K785" s="100" t="s">
        <v>2595</v>
      </c>
      <c r="L785" s="101" t="n">
        <v>2020</v>
      </c>
      <c r="M785" s="101" t="s">
        <v>1553</v>
      </c>
    </row>
    <row r="786" customFormat="false" ht="15" hidden="false" customHeight="true" outlineLevel="0" collapsed="false">
      <c r="A786" s="101" t="n">
        <v>785</v>
      </c>
      <c r="B786" s="100" t="n">
        <v>439</v>
      </c>
      <c r="C786" s="100" t="s">
        <v>1038</v>
      </c>
      <c r="D786" s="101" t="s">
        <v>111</v>
      </c>
      <c r="E786" s="101" t="s">
        <v>1202</v>
      </c>
      <c r="F786" s="101" t="s">
        <v>1369</v>
      </c>
      <c r="G786" s="101" t="s">
        <v>2596</v>
      </c>
      <c r="H786" s="101" t="s">
        <v>1251</v>
      </c>
      <c r="I786" s="101" t="s">
        <v>1885</v>
      </c>
      <c r="J786" s="101" t="s">
        <v>1886</v>
      </c>
      <c r="K786" s="100" t="s">
        <v>2597</v>
      </c>
      <c r="L786" s="101" t="n">
        <v>2020</v>
      </c>
      <c r="M786" s="101" t="s">
        <v>1553</v>
      </c>
    </row>
    <row r="787" customFormat="false" ht="15" hidden="false" customHeight="true" outlineLevel="0" collapsed="false">
      <c r="A787" s="101" t="n">
        <v>786</v>
      </c>
      <c r="B787" s="100" t="n">
        <v>440</v>
      </c>
      <c r="C787" s="100" t="s">
        <v>1036</v>
      </c>
      <c r="D787" s="101" t="s">
        <v>111</v>
      </c>
      <c r="E787" s="101" t="s">
        <v>1202</v>
      </c>
      <c r="F787" s="101" t="s">
        <v>1369</v>
      </c>
      <c r="G787" s="101" t="s">
        <v>2596</v>
      </c>
      <c r="H787" s="101" t="s">
        <v>1251</v>
      </c>
      <c r="I787" s="101" t="s">
        <v>1885</v>
      </c>
      <c r="J787" s="101" t="s">
        <v>1886</v>
      </c>
      <c r="K787" s="100" t="s">
        <v>2598</v>
      </c>
      <c r="L787" s="101" t="n">
        <v>2020</v>
      </c>
      <c r="M787" s="101" t="s">
        <v>1553</v>
      </c>
    </row>
    <row r="788" customFormat="false" ht="15" hidden="false" customHeight="true" outlineLevel="0" collapsed="false">
      <c r="A788" s="101" t="n">
        <v>787</v>
      </c>
      <c r="B788" s="100" t="n">
        <v>441</v>
      </c>
      <c r="C788" s="100" t="s">
        <v>1050</v>
      </c>
      <c r="D788" s="101" t="s">
        <v>111</v>
      </c>
      <c r="E788" s="101" t="s">
        <v>1202</v>
      </c>
      <c r="F788" s="101" t="s">
        <v>1369</v>
      </c>
      <c r="G788" s="101" t="s">
        <v>2599</v>
      </c>
      <c r="H788" s="101" t="s">
        <v>1251</v>
      </c>
      <c r="I788" s="101" t="s">
        <v>1885</v>
      </c>
      <c r="J788" s="101" t="s">
        <v>1886</v>
      </c>
      <c r="K788" s="100" t="s">
        <v>2600</v>
      </c>
      <c r="L788" s="101" t="n">
        <v>2020</v>
      </c>
      <c r="M788" s="101" t="s">
        <v>1553</v>
      </c>
    </row>
    <row r="789" customFormat="false" ht="15" hidden="false" customHeight="true" outlineLevel="0" collapsed="false">
      <c r="A789" s="101" t="n">
        <v>788</v>
      </c>
      <c r="B789" s="100" t="n">
        <v>442</v>
      </c>
      <c r="C789" s="100" t="s">
        <v>1052</v>
      </c>
      <c r="D789" s="101" t="s">
        <v>111</v>
      </c>
      <c r="E789" s="101" t="s">
        <v>1202</v>
      </c>
      <c r="F789" s="101" t="s">
        <v>1369</v>
      </c>
      <c r="G789" s="101" t="s">
        <v>2601</v>
      </c>
      <c r="H789" s="101" t="s">
        <v>1251</v>
      </c>
      <c r="I789" s="101" t="s">
        <v>1885</v>
      </c>
      <c r="J789" s="101" t="s">
        <v>1886</v>
      </c>
      <c r="K789" s="100" t="s">
        <v>2602</v>
      </c>
      <c r="L789" s="101" t="n">
        <v>2020</v>
      </c>
      <c r="M789" s="101" t="s">
        <v>1553</v>
      </c>
    </row>
    <row r="790" customFormat="false" ht="15" hidden="false" customHeight="true" outlineLevel="0" collapsed="false">
      <c r="A790" s="101" t="n">
        <v>789</v>
      </c>
      <c r="B790" s="100" t="n">
        <v>443</v>
      </c>
      <c r="C790" s="100" t="s">
        <v>2603</v>
      </c>
      <c r="D790" s="101" t="s">
        <v>111</v>
      </c>
      <c r="E790" s="101" t="s">
        <v>1202</v>
      </c>
      <c r="F790" s="101" t="s">
        <v>1711</v>
      </c>
      <c r="G790" s="101" t="s">
        <v>1711</v>
      </c>
      <c r="H790" s="101" t="s">
        <v>1554</v>
      </c>
      <c r="I790" s="101" t="s">
        <v>1296</v>
      </c>
      <c r="J790" s="101" t="s">
        <v>2604</v>
      </c>
      <c r="K790" s="100" t="s">
        <v>2605</v>
      </c>
      <c r="L790" s="101" t="n">
        <v>2020</v>
      </c>
      <c r="M790" s="101"/>
    </row>
    <row r="791" customFormat="false" ht="15" hidden="false" customHeight="true" outlineLevel="0" collapsed="false">
      <c r="A791" s="101" t="n">
        <v>790</v>
      </c>
      <c r="B791" s="100" t="n">
        <v>444</v>
      </c>
      <c r="C791" s="100" t="s">
        <v>2606</v>
      </c>
      <c r="D791" s="101" t="s">
        <v>111</v>
      </c>
      <c r="E791" s="101" t="s">
        <v>1182</v>
      </c>
      <c r="F791" s="101" t="s">
        <v>1182</v>
      </c>
      <c r="G791" s="101"/>
      <c r="H791" s="101" t="s">
        <v>1251</v>
      </c>
      <c r="I791" s="101" t="s">
        <v>1904</v>
      </c>
      <c r="J791" s="101" t="s">
        <v>2607</v>
      </c>
      <c r="K791" s="100" t="s">
        <v>2608</v>
      </c>
      <c r="L791" s="101" t="n">
        <v>2020</v>
      </c>
      <c r="M791" s="101" t="s">
        <v>1553</v>
      </c>
    </row>
    <row r="792" customFormat="false" ht="15" hidden="false" customHeight="true" outlineLevel="0" collapsed="false">
      <c r="A792" s="101" t="n">
        <v>791</v>
      </c>
      <c r="B792" s="100" t="n">
        <v>445</v>
      </c>
      <c r="C792" s="100" t="s">
        <v>2609</v>
      </c>
      <c r="D792" s="101" t="s">
        <v>111</v>
      </c>
      <c r="E792" s="101" t="s">
        <v>1182</v>
      </c>
      <c r="F792" s="101" t="s">
        <v>1182</v>
      </c>
      <c r="G792" s="101"/>
      <c r="H792" s="101" t="s">
        <v>1251</v>
      </c>
      <c r="I792" s="101" t="s">
        <v>1904</v>
      </c>
      <c r="J792" s="101" t="s">
        <v>2607</v>
      </c>
      <c r="K792" s="100" t="s">
        <v>2610</v>
      </c>
      <c r="L792" s="101" t="n">
        <v>2020</v>
      </c>
      <c r="M792" s="101" t="s">
        <v>1553</v>
      </c>
    </row>
    <row r="793" customFormat="false" ht="15" hidden="false" customHeight="true" outlineLevel="0" collapsed="false">
      <c r="A793" s="101" t="n">
        <v>792</v>
      </c>
      <c r="B793" s="100" t="n">
        <v>446</v>
      </c>
      <c r="C793" s="100" t="s">
        <v>2611</v>
      </c>
      <c r="D793" s="101" t="s">
        <v>111</v>
      </c>
      <c r="E793" s="101" t="s">
        <v>1202</v>
      </c>
      <c r="F793" s="101" t="s">
        <v>1483</v>
      </c>
      <c r="G793" s="101" t="s">
        <v>1290</v>
      </c>
      <c r="H793" s="101" t="s">
        <v>1251</v>
      </c>
      <c r="I793" s="101" t="s">
        <v>1505</v>
      </c>
      <c r="J793" s="101" t="s">
        <v>1852</v>
      </c>
      <c r="K793" s="100" t="s">
        <v>2612</v>
      </c>
      <c r="L793" s="101" t="n">
        <v>2020</v>
      </c>
      <c r="M793" s="101" t="s">
        <v>1553</v>
      </c>
    </row>
    <row r="794" customFormat="false" ht="15" hidden="false" customHeight="true" outlineLevel="0" collapsed="false">
      <c r="A794" s="101" t="n">
        <v>793</v>
      </c>
      <c r="B794" s="100" t="n">
        <v>447</v>
      </c>
      <c r="C794" s="100" t="s">
        <v>731</v>
      </c>
      <c r="D794" s="101" t="s">
        <v>111</v>
      </c>
      <c r="E794" s="101" t="s">
        <v>1215</v>
      </c>
      <c r="F794" s="101" t="s">
        <v>1215</v>
      </c>
      <c r="G794" s="101" t="s">
        <v>2613</v>
      </c>
      <c r="H794" s="101" t="s">
        <v>1251</v>
      </c>
      <c r="I794" s="101" t="s">
        <v>1505</v>
      </c>
      <c r="J794" s="101" t="s">
        <v>1898</v>
      </c>
      <c r="K794" s="100" t="s">
        <v>2614</v>
      </c>
      <c r="L794" s="101" t="n">
        <v>2020</v>
      </c>
      <c r="M794" s="101" t="s">
        <v>1553</v>
      </c>
    </row>
    <row r="795" customFormat="false" ht="15" hidden="false" customHeight="true" outlineLevel="0" collapsed="false">
      <c r="A795" s="101" t="n">
        <v>794</v>
      </c>
      <c r="B795" s="100" t="n">
        <v>448</v>
      </c>
      <c r="C795" s="100" t="s">
        <v>730</v>
      </c>
      <c r="D795" s="101" t="s">
        <v>111</v>
      </c>
      <c r="E795" s="101" t="s">
        <v>1215</v>
      </c>
      <c r="F795" s="101" t="s">
        <v>1215</v>
      </c>
      <c r="G795" s="101" t="s">
        <v>2615</v>
      </c>
      <c r="H795" s="101" t="s">
        <v>1251</v>
      </c>
      <c r="I795" s="101" t="s">
        <v>1505</v>
      </c>
      <c r="J795" s="101" t="s">
        <v>1898</v>
      </c>
      <c r="K795" s="100" t="s">
        <v>2616</v>
      </c>
      <c r="L795" s="101" t="n">
        <v>2020</v>
      </c>
      <c r="M795" s="101" t="s">
        <v>1553</v>
      </c>
    </row>
    <row r="796" customFormat="false" ht="15" hidden="false" customHeight="true" outlineLevel="0" collapsed="false">
      <c r="A796" s="101" t="n">
        <v>795</v>
      </c>
      <c r="B796" s="100" t="n">
        <v>449</v>
      </c>
      <c r="C796" s="100" t="s">
        <v>729</v>
      </c>
      <c r="D796" s="101" t="s">
        <v>111</v>
      </c>
      <c r="E796" s="101" t="s">
        <v>1215</v>
      </c>
      <c r="F796" s="101" t="s">
        <v>1215</v>
      </c>
      <c r="G796" s="101" t="s">
        <v>2617</v>
      </c>
      <c r="H796" s="101" t="s">
        <v>1251</v>
      </c>
      <c r="I796" s="101" t="s">
        <v>1505</v>
      </c>
      <c r="J796" s="101" t="s">
        <v>1898</v>
      </c>
      <c r="K796" s="100" t="s">
        <v>2618</v>
      </c>
      <c r="L796" s="101" t="n">
        <v>2020</v>
      </c>
      <c r="M796" s="101" t="s">
        <v>1553</v>
      </c>
    </row>
    <row r="797" customFormat="false" ht="15" hidden="false" customHeight="true" outlineLevel="0" collapsed="false">
      <c r="A797" s="101" t="n">
        <v>796</v>
      </c>
      <c r="B797" s="100" t="n">
        <v>450</v>
      </c>
      <c r="C797" s="100" t="s">
        <v>728</v>
      </c>
      <c r="D797" s="101" t="s">
        <v>111</v>
      </c>
      <c r="E797" s="101" t="s">
        <v>1215</v>
      </c>
      <c r="F797" s="101" t="s">
        <v>1215</v>
      </c>
      <c r="G797" s="101" t="s">
        <v>2619</v>
      </c>
      <c r="H797" s="101" t="s">
        <v>1251</v>
      </c>
      <c r="I797" s="101" t="s">
        <v>1505</v>
      </c>
      <c r="J797" s="101" t="s">
        <v>1898</v>
      </c>
      <c r="K797" s="100" t="s">
        <v>2620</v>
      </c>
      <c r="L797" s="101" t="n">
        <v>2020</v>
      </c>
      <c r="M797" s="101" t="s">
        <v>1553</v>
      </c>
    </row>
    <row r="798" customFormat="false" ht="15" hidden="false" customHeight="true" outlineLevel="0" collapsed="false">
      <c r="A798" s="101" t="n">
        <v>797</v>
      </c>
      <c r="B798" s="100" t="n">
        <v>451</v>
      </c>
      <c r="C798" s="100" t="s">
        <v>2621</v>
      </c>
      <c r="D798" s="101" t="s">
        <v>111</v>
      </c>
      <c r="E798" s="101" t="s">
        <v>1159</v>
      </c>
      <c r="F798" s="101" t="s">
        <v>1159</v>
      </c>
      <c r="G798" s="101"/>
      <c r="H798" s="101" t="s">
        <v>1251</v>
      </c>
      <c r="I798" s="101" t="s">
        <v>1296</v>
      </c>
      <c r="J798" s="101" t="s">
        <v>2604</v>
      </c>
      <c r="K798" s="100" t="s">
        <v>2622</v>
      </c>
      <c r="L798" s="101" t="n">
        <v>2020</v>
      </c>
      <c r="M798" s="101"/>
    </row>
    <row r="799" customFormat="false" ht="15" hidden="false" customHeight="true" outlineLevel="0" collapsed="false">
      <c r="A799" s="101" t="n">
        <v>798</v>
      </c>
      <c r="B799" s="100" t="n">
        <v>452</v>
      </c>
      <c r="C799" s="100" t="s">
        <v>727</v>
      </c>
      <c r="D799" s="101" t="s">
        <v>111</v>
      </c>
      <c r="E799" s="101" t="s">
        <v>1215</v>
      </c>
      <c r="F799" s="101" t="s">
        <v>1215</v>
      </c>
      <c r="G799" s="101" t="s">
        <v>2623</v>
      </c>
      <c r="H799" s="101" t="s">
        <v>1251</v>
      </c>
      <c r="I799" s="101" t="s">
        <v>1892</v>
      </c>
      <c r="J799" s="101" t="s">
        <v>2624</v>
      </c>
      <c r="K799" s="100" t="s">
        <v>2625</v>
      </c>
      <c r="L799" s="101" t="n">
        <v>2020</v>
      </c>
      <c r="M799" s="101" t="s">
        <v>1561</v>
      </c>
    </row>
    <row r="800" customFormat="false" ht="15" hidden="false" customHeight="true" outlineLevel="0" collapsed="false">
      <c r="A800" s="101" t="n">
        <v>799</v>
      </c>
      <c r="B800" s="100" t="n">
        <v>453</v>
      </c>
      <c r="C800" s="100" t="s">
        <v>726</v>
      </c>
      <c r="D800" s="101" t="s">
        <v>111</v>
      </c>
      <c r="E800" s="101" t="s">
        <v>1215</v>
      </c>
      <c r="F800" s="101" t="s">
        <v>1215</v>
      </c>
      <c r="G800" s="101" t="s">
        <v>2626</v>
      </c>
      <c r="H800" s="101" t="s">
        <v>1251</v>
      </c>
      <c r="I800" s="101" t="s">
        <v>1892</v>
      </c>
      <c r="J800" s="101" t="s">
        <v>2624</v>
      </c>
      <c r="K800" s="100" t="s">
        <v>2627</v>
      </c>
      <c r="L800" s="101" t="n">
        <v>2020</v>
      </c>
      <c r="M800" s="101" t="s">
        <v>1561</v>
      </c>
    </row>
    <row r="801" customFormat="false" ht="15" hidden="false" customHeight="true" outlineLevel="0" collapsed="false">
      <c r="A801" s="101" t="n">
        <v>800</v>
      </c>
      <c r="B801" s="100" t="n">
        <v>454</v>
      </c>
      <c r="C801" s="100" t="s">
        <v>725</v>
      </c>
      <c r="D801" s="101" t="s">
        <v>111</v>
      </c>
      <c r="E801" s="101" t="s">
        <v>1215</v>
      </c>
      <c r="F801" s="101" t="s">
        <v>1215</v>
      </c>
      <c r="G801" s="101" t="s">
        <v>2628</v>
      </c>
      <c r="H801" s="101" t="s">
        <v>1251</v>
      </c>
      <c r="I801" s="101" t="s">
        <v>1892</v>
      </c>
      <c r="J801" s="101" t="s">
        <v>2624</v>
      </c>
      <c r="K801" s="100" t="s">
        <v>2629</v>
      </c>
      <c r="L801" s="101" t="n">
        <v>2020</v>
      </c>
      <c r="M801" s="101" t="s">
        <v>1561</v>
      </c>
    </row>
    <row r="802" customFormat="false" ht="15" hidden="false" customHeight="true" outlineLevel="0" collapsed="false">
      <c r="A802" s="101" t="n">
        <v>801</v>
      </c>
      <c r="B802" s="100" t="n">
        <v>455</v>
      </c>
      <c r="C802" s="100" t="s">
        <v>994</v>
      </c>
      <c r="D802" s="101" t="s">
        <v>111</v>
      </c>
      <c r="E802" s="101" t="s">
        <v>1199</v>
      </c>
      <c r="F802" s="101" t="s">
        <v>1199</v>
      </c>
      <c r="G802" s="101" t="s">
        <v>2242</v>
      </c>
      <c r="H802" s="101" t="s">
        <v>1251</v>
      </c>
      <c r="I802" s="101" t="s">
        <v>1940</v>
      </c>
      <c r="J802" s="101" t="s">
        <v>1941</v>
      </c>
      <c r="K802" s="100" t="s">
        <v>2630</v>
      </c>
      <c r="L802" s="101" t="n">
        <v>2021</v>
      </c>
      <c r="M802" s="101" t="s">
        <v>1561</v>
      </c>
    </row>
    <row r="803" customFormat="false" ht="15" hidden="false" customHeight="true" outlineLevel="0" collapsed="false">
      <c r="A803" s="101" t="n">
        <v>802</v>
      </c>
      <c r="B803" s="100" t="n">
        <v>456</v>
      </c>
      <c r="C803" s="100" t="s">
        <v>144</v>
      </c>
      <c r="D803" s="101" t="s">
        <v>111</v>
      </c>
      <c r="E803" s="101" t="s">
        <v>1199</v>
      </c>
      <c r="F803" s="101" t="s">
        <v>1199</v>
      </c>
      <c r="G803" s="101" t="s">
        <v>2242</v>
      </c>
      <c r="H803" s="101" t="s">
        <v>1251</v>
      </c>
      <c r="I803" s="101" t="s">
        <v>2631</v>
      </c>
      <c r="J803" s="101" t="s">
        <v>2632</v>
      </c>
      <c r="K803" s="100" t="s">
        <v>143</v>
      </c>
      <c r="L803" s="101" t="n">
        <v>2021</v>
      </c>
      <c r="M803" s="101" t="s">
        <v>1561</v>
      </c>
    </row>
    <row r="804" customFormat="false" ht="15" hidden="false" customHeight="true" outlineLevel="0" collapsed="false">
      <c r="A804" s="101" t="n">
        <v>803</v>
      </c>
      <c r="B804" s="100" t="n">
        <v>457</v>
      </c>
      <c r="C804" s="100" t="s">
        <v>986</v>
      </c>
      <c r="D804" s="101" t="s">
        <v>111</v>
      </c>
      <c r="E804" s="101" t="s">
        <v>1199</v>
      </c>
      <c r="F804" s="101" t="s">
        <v>1199</v>
      </c>
      <c r="G804" s="101" t="s">
        <v>2068</v>
      </c>
      <c r="H804" s="101" t="s">
        <v>1251</v>
      </c>
      <c r="I804" s="101" t="s">
        <v>1940</v>
      </c>
      <c r="J804" s="101" t="s">
        <v>1941</v>
      </c>
      <c r="K804" s="100" t="s">
        <v>2633</v>
      </c>
      <c r="L804" s="101" t="n">
        <v>2021</v>
      </c>
      <c r="M804" s="101" t="s">
        <v>1561</v>
      </c>
    </row>
    <row r="805" customFormat="false" ht="15" hidden="false" customHeight="true" outlineLevel="0" collapsed="false">
      <c r="A805" s="101" t="n">
        <v>804</v>
      </c>
      <c r="B805" s="100" t="n">
        <v>458</v>
      </c>
      <c r="C805" s="100" t="s">
        <v>574</v>
      </c>
      <c r="D805" s="101" t="s">
        <v>111</v>
      </c>
      <c r="E805" s="101" t="s">
        <v>1166</v>
      </c>
      <c r="F805" s="101" t="s">
        <v>1390</v>
      </c>
      <c r="G805" s="101" t="s">
        <v>2634</v>
      </c>
      <c r="H805" s="101" t="s">
        <v>1554</v>
      </c>
      <c r="I805" s="101" t="s">
        <v>1892</v>
      </c>
      <c r="J805" s="101" t="s">
        <v>1965</v>
      </c>
      <c r="K805" s="100" t="s">
        <v>2635</v>
      </c>
      <c r="L805" s="101" t="n">
        <v>2021</v>
      </c>
      <c r="M805" s="101" t="s">
        <v>1553</v>
      </c>
    </row>
    <row r="806" customFormat="false" ht="15" hidden="false" customHeight="true" outlineLevel="0" collapsed="false">
      <c r="A806" s="101" t="n">
        <v>805</v>
      </c>
      <c r="B806" s="100" t="n">
        <v>459</v>
      </c>
      <c r="C806" s="100" t="s">
        <v>573</v>
      </c>
      <c r="D806" s="101" t="s">
        <v>111</v>
      </c>
      <c r="E806" s="101" t="s">
        <v>1166</v>
      </c>
      <c r="F806" s="101" t="s">
        <v>1390</v>
      </c>
      <c r="G806" s="101" t="s">
        <v>2636</v>
      </c>
      <c r="H806" s="101" t="s">
        <v>1554</v>
      </c>
      <c r="I806" s="101" t="s">
        <v>1892</v>
      </c>
      <c r="J806" s="101" t="s">
        <v>1965</v>
      </c>
      <c r="K806" s="100" t="s">
        <v>2637</v>
      </c>
      <c r="L806" s="101" t="n">
        <v>2021</v>
      </c>
      <c r="M806" s="101" t="s">
        <v>1553</v>
      </c>
    </row>
    <row r="807" customFormat="false" ht="15" hidden="false" customHeight="true" outlineLevel="0" collapsed="false">
      <c r="A807" s="101" t="n">
        <v>806</v>
      </c>
      <c r="B807" s="100" t="n">
        <v>460</v>
      </c>
      <c r="C807" s="100" t="s">
        <v>572</v>
      </c>
      <c r="D807" s="101" t="s">
        <v>111</v>
      </c>
      <c r="E807" s="101" t="s">
        <v>1166</v>
      </c>
      <c r="F807" s="101" t="s">
        <v>1390</v>
      </c>
      <c r="G807" s="101" t="s">
        <v>2638</v>
      </c>
      <c r="H807" s="101" t="s">
        <v>1554</v>
      </c>
      <c r="I807" s="101" t="s">
        <v>1892</v>
      </c>
      <c r="J807" s="101" t="s">
        <v>1965</v>
      </c>
      <c r="K807" s="100" t="s">
        <v>2639</v>
      </c>
      <c r="L807" s="101" t="n">
        <v>2021</v>
      </c>
      <c r="M807" s="101" t="s">
        <v>1553</v>
      </c>
    </row>
    <row r="808" customFormat="false" ht="15" hidden="false" customHeight="true" outlineLevel="0" collapsed="false">
      <c r="A808" s="101" t="n">
        <v>807</v>
      </c>
      <c r="B808" s="100" t="n">
        <v>461</v>
      </c>
      <c r="C808" s="100" t="s">
        <v>571</v>
      </c>
      <c r="D808" s="101" t="s">
        <v>111</v>
      </c>
      <c r="E808" s="101" t="s">
        <v>1166</v>
      </c>
      <c r="F808" s="101" t="s">
        <v>1390</v>
      </c>
      <c r="G808" s="101" t="s">
        <v>2640</v>
      </c>
      <c r="H808" s="101" t="s">
        <v>1554</v>
      </c>
      <c r="I808" s="101" t="s">
        <v>1892</v>
      </c>
      <c r="J808" s="101" t="s">
        <v>1965</v>
      </c>
      <c r="K808" s="100" t="s">
        <v>2641</v>
      </c>
      <c r="L808" s="101" t="n">
        <v>2021</v>
      </c>
      <c r="M808" s="101" t="s">
        <v>1553</v>
      </c>
    </row>
    <row r="809" customFormat="false" ht="15" hidden="false" customHeight="true" outlineLevel="0" collapsed="false">
      <c r="A809" s="101" t="n">
        <v>808</v>
      </c>
      <c r="B809" s="100" t="n">
        <v>462</v>
      </c>
      <c r="C809" s="100" t="s">
        <v>570</v>
      </c>
      <c r="D809" s="101" t="s">
        <v>111</v>
      </c>
      <c r="E809" s="101" t="s">
        <v>1166</v>
      </c>
      <c r="F809" s="101" t="s">
        <v>1390</v>
      </c>
      <c r="G809" s="101" t="s">
        <v>2642</v>
      </c>
      <c r="H809" s="101" t="s">
        <v>1554</v>
      </c>
      <c r="I809" s="101" t="s">
        <v>1892</v>
      </c>
      <c r="J809" s="101" t="s">
        <v>1965</v>
      </c>
      <c r="K809" s="100" t="s">
        <v>2643</v>
      </c>
      <c r="L809" s="101" t="n">
        <v>2021</v>
      </c>
      <c r="M809" s="101" t="s">
        <v>1553</v>
      </c>
    </row>
    <row r="810" customFormat="false" ht="15" hidden="false" customHeight="true" outlineLevel="0" collapsed="false">
      <c r="A810" s="101" t="n">
        <v>809</v>
      </c>
      <c r="B810" s="100" t="n">
        <v>463</v>
      </c>
      <c r="C810" s="100" t="s">
        <v>569</v>
      </c>
      <c r="D810" s="101" t="s">
        <v>111</v>
      </c>
      <c r="E810" s="101" t="s">
        <v>1166</v>
      </c>
      <c r="F810" s="101" t="s">
        <v>1390</v>
      </c>
      <c r="G810" s="101" t="s">
        <v>2159</v>
      </c>
      <c r="H810" s="101" t="s">
        <v>1554</v>
      </c>
      <c r="I810" s="101" t="s">
        <v>1892</v>
      </c>
      <c r="J810" s="101" t="s">
        <v>1965</v>
      </c>
      <c r="K810" s="100" t="s">
        <v>2644</v>
      </c>
      <c r="L810" s="101" t="n">
        <v>2021</v>
      </c>
      <c r="M810" s="101" t="s">
        <v>1553</v>
      </c>
    </row>
    <row r="811" customFormat="false" ht="15" hidden="false" customHeight="true" outlineLevel="0" collapsed="false">
      <c r="A811" s="101" t="n">
        <v>810</v>
      </c>
      <c r="B811" s="100" t="n">
        <v>464</v>
      </c>
      <c r="C811" s="100" t="s">
        <v>568</v>
      </c>
      <c r="D811" s="101" t="s">
        <v>111</v>
      </c>
      <c r="E811" s="101" t="s">
        <v>1166</v>
      </c>
      <c r="F811" s="101" t="s">
        <v>1390</v>
      </c>
      <c r="G811" s="101" t="s">
        <v>2645</v>
      </c>
      <c r="H811" s="101" t="s">
        <v>1554</v>
      </c>
      <c r="I811" s="101" t="s">
        <v>1892</v>
      </c>
      <c r="J811" s="101" t="s">
        <v>1965</v>
      </c>
      <c r="K811" s="100" t="s">
        <v>2646</v>
      </c>
      <c r="L811" s="101" t="n">
        <v>2021</v>
      </c>
      <c r="M811" s="101" t="s">
        <v>1553</v>
      </c>
    </row>
    <row r="812" customFormat="false" ht="15" hidden="false" customHeight="true" outlineLevel="0" collapsed="false">
      <c r="A812" s="101" t="n">
        <v>811</v>
      </c>
      <c r="B812" s="100" t="n">
        <v>465</v>
      </c>
      <c r="C812" s="100" t="s">
        <v>567</v>
      </c>
      <c r="D812" s="101" t="s">
        <v>111</v>
      </c>
      <c r="E812" s="101" t="s">
        <v>1166</v>
      </c>
      <c r="F812" s="101" t="s">
        <v>1390</v>
      </c>
      <c r="G812" s="101" t="s">
        <v>2647</v>
      </c>
      <c r="H812" s="101" t="s">
        <v>1554</v>
      </c>
      <c r="I812" s="101" t="s">
        <v>1892</v>
      </c>
      <c r="J812" s="101" t="s">
        <v>1965</v>
      </c>
      <c r="K812" s="100" t="s">
        <v>2648</v>
      </c>
      <c r="L812" s="101" t="n">
        <v>2021</v>
      </c>
      <c r="M812" s="101" t="s">
        <v>1553</v>
      </c>
    </row>
    <row r="813" customFormat="false" ht="15" hidden="false" customHeight="true" outlineLevel="0" collapsed="false">
      <c r="A813" s="101" t="n">
        <v>812</v>
      </c>
      <c r="B813" s="100" t="n">
        <v>466</v>
      </c>
      <c r="C813" s="100" t="s">
        <v>566</v>
      </c>
      <c r="D813" s="101" t="s">
        <v>111</v>
      </c>
      <c r="E813" s="101" t="s">
        <v>1166</v>
      </c>
      <c r="F813" s="101" t="s">
        <v>1390</v>
      </c>
      <c r="G813" s="101" t="s">
        <v>2649</v>
      </c>
      <c r="H813" s="101" t="s">
        <v>1554</v>
      </c>
      <c r="I813" s="101" t="s">
        <v>1892</v>
      </c>
      <c r="J813" s="101" t="s">
        <v>1965</v>
      </c>
      <c r="K813" s="100" t="s">
        <v>2650</v>
      </c>
      <c r="L813" s="101" t="n">
        <v>2021</v>
      </c>
      <c r="M813" s="101" t="s">
        <v>1553</v>
      </c>
    </row>
    <row r="814" customFormat="false" ht="15" hidden="false" customHeight="true" outlineLevel="0" collapsed="false">
      <c r="A814" s="101" t="n">
        <v>813</v>
      </c>
      <c r="B814" s="100" t="n">
        <v>467</v>
      </c>
      <c r="C814" s="100" t="s">
        <v>565</v>
      </c>
      <c r="D814" s="101" t="s">
        <v>111</v>
      </c>
      <c r="E814" s="101" t="s">
        <v>1166</v>
      </c>
      <c r="F814" s="101" t="s">
        <v>1390</v>
      </c>
      <c r="G814" s="101" t="s">
        <v>2651</v>
      </c>
      <c r="H814" s="101" t="s">
        <v>1554</v>
      </c>
      <c r="I814" s="101" t="s">
        <v>2469</v>
      </c>
      <c r="J814" s="101" t="s">
        <v>2652</v>
      </c>
      <c r="K814" s="100" t="s">
        <v>2653</v>
      </c>
      <c r="L814" s="101" t="n">
        <v>2021</v>
      </c>
      <c r="M814" s="101" t="s">
        <v>1553</v>
      </c>
    </row>
    <row r="815" customFormat="false" ht="15" hidden="false" customHeight="true" outlineLevel="0" collapsed="false">
      <c r="A815" s="101" t="n">
        <v>814</v>
      </c>
      <c r="B815" s="100" t="n">
        <v>468</v>
      </c>
      <c r="C815" s="100" t="s">
        <v>564</v>
      </c>
      <c r="D815" s="101" t="s">
        <v>111</v>
      </c>
      <c r="E815" s="101" t="s">
        <v>1166</v>
      </c>
      <c r="F815" s="101" t="s">
        <v>1390</v>
      </c>
      <c r="G815" s="101" t="n">
        <v>504</v>
      </c>
      <c r="H815" s="101" t="s">
        <v>1554</v>
      </c>
      <c r="I815" s="101" t="s">
        <v>2469</v>
      </c>
      <c r="J815" s="101" t="s">
        <v>2652</v>
      </c>
      <c r="K815" s="100" t="s">
        <v>2654</v>
      </c>
      <c r="L815" s="101" t="n">
        <v>2021</v>
      </c>
      <c r="M815" s="101" t="s">
        <v>1553</v>
      </c>
    </row>
    <row r="816" customFormat="false" ht="15" hidden="false" customHeight="true" outlineLevel="0" collapsed="false">
      <c r="A816" s="101" t="n">
        <v>815</v>
      </c>
      <c r="B816" s="100" t="n">
        <v>469</v>
      </c>
      <c r="C816" s="100" t="s">
        <v>563</v>
      </c>
      <c r="D816" s="101" t="s">
        <v>111</v>
      </c>
      <c r="E816" s="101" t="s">
        <v>1166</v>
      </c>
      <c r="F816" s="101" t="s">
        <v>1390</v>
      </c>
      <c r="G816" s="101" t="s">
        <v>2655</v>
      </c>
      <c r="H816" s="101" t="s">
        <v>1554</v>
      </c>
      <c r="I816" s="101" t="s">
        <v>2469</v>
      </c>
      <c r="J816" s="101" t="s">
        <v>2652</v>
      </c>
      <c r="K816" s="100" t="s">
        <v>2656</v>
      </c>
      <c r="L816" s="101" t="n">
        <v>2021</v>
      </c>
      <c r="M816" s="101" t="s">
        <v>1553</v>
      </c>
    </row>
    <row r="817" customFormat="false" ht="15" hidden="false" customHeight="true" outlineLevel="0" collapsed="false">
      <c r="A817" s="101" t="n">
        <v>816</v>
      </c>
      <c r="B817" s="100" t="n">
        <v>470</v>
      </c>
      <c r="C817" s="100" t="s">
        <v>562</v>
      </c>
      <c r="D817" s="101" t="s">
        <v>111</v>
      </c>
      <c r="E817" s="101" t="s">
        <v>1166</v>
      </c>
      <c r="F817" s="101" t="s">
        <v>1390</v>
      </c>
      <c r="G817" s="101" t="n">
        <v>527</v>
      </c>
      <c r="H817" s="101" t="s">
        <v>1554</v>
      </c>
      <c r="I817" s="101" t="s">
        <v>2469</v>
      </c>
      <c r="J817" s="101" t="s">
        <v>2652</v>
      </c>
      <c r="K817" s="100" t="s">
        <v>2657</v>
      </c>
      <c r="L817" s="101" t="n">
        <v>2021</v>
      </c>
      <c r="M817" s="101" t="s">
        <v>1553</v>
      </c>
    </row>
    <row r="818" customFormat="false" ht="15" hidden="false" customHeight="true" outlineLevel="0" collapsed="false">
      <c r="A818" s="101" t="n">
        <v>817</v>
      </c>
      <c r="B818" s="100" t="n">
        <v>471</v>
      </c>
      <c r="C818" s="100" t="s">
        <v>561</v>
      </c>
      <c r="D818" s="101" t="s">
        <v>111</v>
      </c>
      <c r="E818" s="101" t="s">
        <v>1166</v>
      </c>
      <c r="F818" s="101" t="s">
        <v>1390</v>
      </c>
      <c r="G818" s="101" t="s">
        <v>2658</v>
      </c>
      <c r="H818" s="101" t="s">
        <v>1554</v>
      </c>
      <c r="I818" s="101" t="s">
        <v>2469</v>
      </c>
      <c r="J818" s="101" t="s">
        <v>2652</v>
      </c>
      <c r="K818" s="100" t="s">
        <v>2659</v>
      </c>
      <c r="L818" s="101" t="n">
        <v>2021</v>
      </c>
      <c r="M818" s="101" t="s">
        <v>1553</v>
      </c>
    </row>
    <row r="819" customFormat="false" ht="15" hidden="false" customHeight="true" outlineLevel="0" collapsed="false">
      <c r="A819" s="101" t="n">
        <v>818</v>
      </c>
      <c r="B819" s="100" t="n">
        <v>472</v>
      </c>
      <c r="C819" s="100" t="s">
        <v>560</v>
      </c>
      <c r="D819" s="101" t="s">
        <v>111</v>
      </c>
      <c r="E819" s="101" t="s">
        <v>1166</v>
      </c>
      <c r="F819" s="101" t="s">
        <v>2660</v>
      </c>
      <c r="G819" s="101" t="s">
        <v>2154</v>
      </c>
      <c r="H819" s="101" t="s">
        <v>1554</v>
      </c>
      <c r="I819" s="101" t="s">
        <v>2469</v>
      </c>
      <c r="J819" s="101" t="s">
        <v>2652</v>
      </c>
      <c r="K819" s="100" t="s">
        <v>2661</v>
      </c>
      <c r="L819" s="101" t="n">
        <v>2021</v>
      </c>
      <c r="M819" s="101" t="s">
        <v>1553</v>
      </c>
    </row>
    <row r="820" customFormat="false" ht="15" hidden="false" customHeight="true" outlineLevel="0" collapsed="false">
      <c r="A820" s="101" t="n">
        <v>819</v>
      </c>
      <c r="B820" s="100" t="n">
        <v>473</v>
      </c>
      <c r="C820" s="100" t="s">
        <v>559</v>
      </c>
      <c r="D820" s="101" t="s">
        <v>111</v>
      </c>
      <c r="E820" s="101" t="s">
        <v>1166</v>
      </c>
      <c r="F820" s="101" t="s">
        <v>1390</v>
      </c>
      <c r="G820" s="101" t="s">
        <v>1967</v>
      </c>
      <c r="H820" s="101" t="s">
        <v>1554</v>
      </c>
      <c r="I820" s="101" t="s">
        <v>2469</v>
      </c>
      <c r="J820" s="101" t="s">
        <v>2652</v>
      </c>
      <c r="K820" s="100" t="s">
        <v>2662</v>
      </c>
      <c r="L820" s="101" t="n">
        <v>2021</v>
      </c>
      <c r="M820" s="101" t="s">
        <v>1553</v>
      </c>
    </row>
    <row r="821" customFormat="false" ht="15" hidden="false" customHeight="true" outlineLevel="0" collapsed="false">
      <c r="A821" s="101" t="n">
        <v>820</v>
      </c>
      <c r="B821" s="100" t="n">
        <v>474</v>
      </c>
      <c r="C821" s="100" t="s">
        <v>558</v>
      </c>
      <c r="D821" s="101" t="s">
        <v>111</v>
      </c>
      <c r="E821" s="101" t="s">
        <v>1172</v>
      </c>
      <c r="F821" s="101" t="s">
        <v>2163</v>
      </c>
      <c r="G821" s="101"/>
      <c r="H821" s="101" t="s">
        <v>1554</v>
      </c>
      <c r="I821" s="101" t="s">
        <v>2469</v>
      </c>
      <c r="J821" s="101" t="s">
        <v>2652</v>
      </c>
      <c r="K821" s="100" t="s">
        <v>2663</v>
      </c>
      <c r="L821" s="101" t="n">
        <v>2021</v>
      </c>
      <c r="M821" s="101" t="s">
        <v>1553</v>
      </c>
    </row>
    <row r="822" customFormat="false" ht="15" hidden="false" customHeight="true" outlineLevel="0" collapsed="false">
      <c r="A822" s="101" t="n">
        <v>821</v>
      </c>
      <c r="B822" s="100" t="n">
        <v>475</v>
      </c>
      <c r="C822" s="100" t="s">
        <v>557</v>
      </c>
      <c r="D822" s="101" t="s">
        <v>111</v>
      </c>
      <c r="E822" s="101" t="s">
        <v>1166</v>
      </c>
      <c r="F822" s="101" t="s">
        <v>1390</v>
      </c>
      <c r="G822" s="101" t="s">
        <v>2543</v>
      </c>
      <c r="H822" s="101" t="s">
        <v>1554</v>
      </c>
      <c r="I822" s="101" t="s">
        <v>2469</v>
      </c>
      <c r="J822" s="101" t="s">
        <v>2652</v>
      </c>
      <c r="K822" s="100" t="s">
        <v>2664</v>
      </c>
      <c r="L822" s="101" t="n">
        <v>2021</v>
      </c>
      <c r="M822" s="101" t="s">
        <v>1553</v>
      </c>
    </row>
    <row r="823" customFormat="false" ht="15" hidden="false" customHeight="true" outlineLevel="0" collapsed="false">
      <c r="A823" s="101" t="n">
        <v>822</v>
      </c>
      <c r="B823" s="100" t="n">
        <v>476</v>
      </c>
      <c r="C823" s="100" t="s">
        <v>556</v>
      </c>
      <c r="D823" s="101" t="s">
        <v>111</v>
      </c>
      <c r="E823" s="101" t="s">
        <v>1166</v>
      </c>
      <c r="F823" s="101" t="s">
        <v>1390</v>
      </c>
      <c r="G823" s="101"/>
      <c r="H823" s="101" t="s">
        <v>1554</v>
      </c>
      <c r="I823" s="101" t="s">
        <v>2469</v>
      </c>
      <c r="J823" s="101" t="s">
        <v>2652</v>
      </c>
      <c r="K823" s="100" t="s">
        <v>2665</v>
      </c>
      <c r="L823" s="101" t="n">
        <v>2021</v>
      </c>
      <c r="M823" s="101" t="s">
        <v>1553</v>
      </c>
    </row>
    <row r="824" customFormat="false" ht="15" hidden="false" customHeight="true" outlineLevel="0" collapsed="false">
      <c r="A824" s="101" t="n">
        <v>823</v>
      </c>
      <c r="B824" s="100" t="n">
        <v>477</v>
      </c>
      <c r="C824" s="100" t="s">
        <v>555</v>
      </c>
      <c r="D824" s="101" t="s">
        <v>111</v>
      </c>
      <c r="E824" s="101" t="s">
        <v>1166</v>
      </c>
      <c r="F824" s="101" t="s">
        <v>1390</v>
      </c>
      <c r="G824" s="101"/>
      <c r="H824" s="101" t="s">
        <v>1434</v>
      </c>
      <c r="I824" s="101" t="s">
        <v>2666</v>
      </c>
      <c r="J824" s="101" t="s">
        <v>2667</v>
      </c>
      <c r="K824" s="100" t="s">
        <v>2668</v>
      </c>
      <c r="L824" s="101" t="n">
        <v>2021</v>
      </c>
      <c r="M824" s="101" t="s">
        <v>1561</v>
      </c>
    </row>
    <row r="825" customFormat="false" ht="15" hidden="false" customHeight="true" outlineLevel="0" collapsed="false">
      <c r="A825" s="101" t="n">
        <v>824</v>
      </c>
      <c r="B825" s="100" t="n">
        <v>478</v>
      </c>
      <c r="C825" s="100" t="s">
        <v>554</v>
      </c>
      <c r="D825" s="101" t="s">
        <v>111</v>
      </c>
      <c r="E825" s="101" t="s">
        <v>1172</v>
      </c>
      <c r="F825" s="101" t="s">
        <v>2163</v>
      </c>
      <c r="G825" s="101"/>
      <c r="H825" s="101" t="s">
        <v>1434</v>
      </c>
      <c r="I825" s="101" t="s">
        <v>2666</v>
      </c>
      <c r="J825" s="101" t="s">
        <v>2667</v>
      </c>
      <c r="K825" s="100" t="s">
        <v>2669</v>
      </c>
      <c r="L825" s="101" t="n">
        <v>2021</v>
      </c>
      <c r="M825" s="101" t="s">
        <v>1561</v>
      </c>
    </row>
    <row r="826" customFormat="false" ht="15" hidden="false" customHeight="true" outlineLevel="0" collapsed="false">
      <c r="A826" s="101" t="n">
        <v>825</v>
      </c>
      <c r="B826" s="100" t="n">
        <v>479</v>
      </c>
      <c r="C826" s="100" t="s">
        <v>553</v>
      </c>
      <c r="D826" s="101" t="s">
        <v>111</v>
      </c>
      <c r="E826" s="101" t="s">
        <v>1172</v>
      </c>
      <c r="F826" s="101" t="s">
        <v>2163</v>
      </c>
      <c r="G826" s="101"/>
      <c r="H826" s="101" t="s">
        <v>1434</v>
      </c>
      <c r="I826" s="101" t="s">
        <v>2666</v>
      </c>
      <c r="J826" s="101" t="s">
        <v>2667</v>
      </c>
      <c r="K826" s="100" t="s">
        <v>2670</v>
      </c>
      <c r="L826" s="101" t="n">
        <v>2021</v>
      </c>
      <c r="M826" s="101" t="s">
        <v>1561</v>
      </c>
    </row>
    <row r="827" customFormat="false" ht="15" hidden="false" customHeight="true" outlineLevel="0" collapsed="false">
      <c r="A827" s="101" t="n">
        <v>826</v>
      </c>
      <c r="B827" s="100" t="n">
        <v>480</v>
      </c>
      <c r="C827" s="100" t="s">
        <v>552</v>
      </c>
      <c r="D827" s="101" t="s">
        <v>111</v>
      </c>
      <c r="E827" s="101" t="s">
        <v>1166</v>
      </c>
      <c r="F827" s="101" t="s">
        <v>1390</v>
      </c>
      <c r="G827" s="101"/>
      <c r="H827" s="101" t="s">
        <v>1434</v>
      </c>
      <c r="I827" s="101" t="s">
        <v>2666</v>
      </c>
      <c r="J827" s="101" t="s">
        <v>2667</v>
      </c>
      <c r="K827" s="100" t="s">
        <v>2671</v>
      </c>
      <c r="L827" s="101" t="n">
        <v>2021</v>
      </c>
      <c r="M827" s="101" t="s">
        <v>1561</v>
      </c>
    </row>
    <row r="828" customFormat="false" ht="15" hidden="false" customHeight="true" outlineLevel="0" collapsed="false">
      <c r="A828" s="101" t="n">
        <v>827</v>
      </c>
      <c r="B828" s="100" t="n">
        <v>481</v>
      </c>
      <c r="C828" s="100" t="s">
        <v>377</v>
      </c>
      <c r="D828" s="101" t="s">
        <v>111</v>
      </c>
      <c r="E828" s="101" t="s">
        <v>1167</v>
      </c>
      <c r="F828" s="101" t="s">
        <v>1155</v>
      </c>
      <c r="G828" s="101"/>
      <c r="H828" s="101" t="s">
        <v>1434</v>
      </c>
      <c r="I828" s="101" t="s">
        <v>2666</v>
      </c>
      <c r="J828" s="101" t="s">
        <v>2667</v>
      </c>
      <c r="K828" s="100" t="s">
        <v>2672</v>
      </c>
      <c r="L828" s="101" t="n">
        <v>2021</v>
      </c>
      <c r="M828" s="101" t="s">
        <v>1561</v>
      </c>
    </row>
    <row r="829" customFormat="false" ht="15" hidden="false" customHeight="true" outlineLevel="0" collapsed="false">
      <c r="A829" s="101" t="n">
        <v>828</v>
      </c>
      <c r="B829" s="100" t="n">
        <v>482</v>
      </c>
      <c r="C829" s="100" t="s">
        <v>551</v>
      </c>
      <c r="D829" s="101" t="s">
        <v>111</v>
      </c>
      <c r="E829" s="101" t="s">
        <v>1166</v>
      </c>
      <c r="F829" s="101" t="s">
        <v>1390</v>
      </c>
      <c r="G829" s="101"/>
      <c r="H829" s="101" t="s">
        <v>1434</v>
      </c>
      <c r="I829" s="101" t="s">
        <v>2666</v>
      </c>
      <c r="J829" s="101" t="s">
        <v>2667</v>
      </c>
      <c r="K829" s="100" t="s">
        <v>2673</v>
      </c>
      <c r="L829" s="101" t="n">
        <v>2021</v>
      </c>
      <c r="M829" s="101" t="s">
        <v>1561</v>
      </c>
    </row>
    <row r="830" customFormat="false" ht="15" hidden="false" customHeight="true" outlineLevel="0" collapsed="false">
      <c r="A830" s="101" t="n">
        <v>829</v>
      </c>
      <c r="B830" s="100" t="n">
        <v>483</v>
      </c>
      <c r="C830" s="100" t="s">
        <v>550</v>
      </c>
      <c r="D830" s="101" t="s">
        <v>111</v>
      </c>
      <c r="E830" s="101" t="s">
        <v>1166</v>
      </c>
      <c r="F830" s="101" t="s">
        <v>1390</v>
      </c>
      <c r="G830" s="101"/>
      <c r="H830" s="101" t="s">
        <v>1434</v>
      </c>
      <c r="I830" s="101" t="s">
        <v>2666</v>
      </c>
      <c r="J830" s="101" t="s">
        <v>2667</v>
      </c>
      <c r="K830" s="100" t="s">
        <v>2674</v>
      </c>
      <c r="L830" s="101" t="n">
        <v>2021</v>
      </c>
      <c r="M830" s="101" t="s">
        <v>1561</v>
      </c>
    </row>
    <row r="831" customFormat="false" ht="15" hidden="false" customHeight="true" outlineLevel="0" collapsed="false">
      <c r="A831" s="101" t="n">
        <v>830</v>
      </c>
      <c r="B831" s="100" t="n">
        <v>484</v>
      </c>
      <c r="C831" s="100" t="s">
        <v>549</v>
      </c>
      <c r="D831" s="101" t="s">
        <v>111</v>
      </c>
      <c r="E831" s="101" t="s">
        <v>1166</v>
      </c>
      <c r="F831" s="101" t="s">
        <v>1390</v>
      </c>
      <c r="G831" s="101"/>
      <c r="H831" s="101" t="s">
        <v>1434</v>
      </c>
      <c r="I831" s="101" t="s">
        <v>2666</v>
      </c>
      <c r="J831" s="101" t="s">
        <v>2667</v>
      </c>
      <c r="K831" s="100" t="s">
        <v>2675</v>
      </c>
      <c r="L831" s="101" t="n">
        <v>2021</v>
      </c>
      <c r="M831" s="101" t="s">
        <v>1561</v>
      </c>
    </row>
    <row r="832" customFormat="false" ht="15" hidden="false" customHeight="true" outlineLevel="0" collapsed="false">
      <c r="A832" s="101" t="n">
        <v>831</v>
      </c>
      <c r="B832" s="100" t="n">
        <v>485</v>
      </c>
      <c r="C832" s="100" t="s">
        <v>376</v>
      </c>
      <c r="D832" s="101" t="s">
        <v>111</v>
      </c>
      <c r="E832" s="101" t="s">
        <v>1169</v>
      </c>
      <c r="F832" s="101" t="s">
        <v>2676</v>
      </c>
      <c r="G832" s="101" t="s">
        <v>2677</v>
      </c>
      <c r="H832" s="101" t="s">
        <v>1434</v>
      </c>
      <c r="I832" s="101" t="s">
        <v>2666</v>
      </c>
      <c r="J832" s="101" t="s">
        <v>2667</v>
      </c>
      <c r="K832" s="100" t="s">
        <v>2678</v>
      </c>
      <c r="L832" s="101" t="n">
        <v>2021</v>
      </c>
      <c r="M832" s="101" t="s">
        <v>1561</v>
      </c>
    </row>
    <row r="833" customFormat="false" ht="15" hidden="false" customHeight="true" outlineLevel="0" collapsed="false">
      <c r="A833" s="101" t="n">
        <v>832</v>
      </c>
      <c r="B833" s="100" t="n">
        <v>486</v>
      </c>
      <c r="C833" s="100" t="s">
        <v>375</v>
      </c>
      <c r="D833" s="101" t="s">
        <v>111</v>
      </c>
      <c r="E833" s="101" t="s">
        <v>1190</v>
      </c>
      <c r="F833" s="101" t="s">
        <v>2676</v>
      </c>
      <c r="G833" s="101" t="s">
        <v>2679</v>
      </c>
      <c r="H833" s="101" t="s">
        <v>1434</v>
      </c>
      <c r="I833" s="101" t="s">
        <v>2666</v>
      </c>
      <c r="J833" s="101" t="s">
        <v>2667</v>
      </c>
      <c r="K833" s="100" t="s">
        <v>2680</v>
      </c>
      <c r="L833" s="101" t="n">
        <v>2021</v>
      </c>
      <c r="M833" s="101" t="s">
        <v>1561</v>
      </c>
    </row>
    <row r="834" customFormat="false" ht="15" hidden="false" customHeight="true" outlineLevel="0" collapsed="false">
      <c r="A834" s="101" t="n">
        <v>833</v>
      </c>
      <c r="B834" s="100" t="n">
        <v>487</v>
      </c>
      <c r="C834" s="100" t="s">
        <v>548</v>
      </c>
      <c r="D834" s="101" t="s">
        <v>111</v>
      </c>
      <c r="E834" s="101" t="s">
        <v>1166</v>
      </c>
      <c r="F834" s="101" t="s">
        <v>1390</v>
      </c>
      <c r="G834" s="101"/>
      <c r="H834" s="101" t="s">
        <v>1434</v>
      </c>
      <c r="I834" s="101" t="s">
        <v>2666</v>
      </c>
      <c r="J834" s="101" t="s">
        <v>2667</v>
      </c>
      <c r="K834" s="100" t="s">
        <v>2681</v>
      </c>
      <c r="L834" s="101" t="n">
        <v>2021</v>
      </c>
      <c r="M834" s="101" t="s">
        <v>1561</v>
      </c>
    </row>
    <row r="835" customFormat="false" ht="15" hidden="false" customHeight="true" outlineLevel="0" collapsed="false">
      <c r="A835" s="101" t="n">
        <v>834</v>
      </c>
      <c r="B835" s="100" t="n">
        <v>488</v>
      </c>
      <c r="C835" s="100" t="s">
        <v>547</v>
      </c>
      <c r="D835" s="101" t="s">
        <v>111</v>
      </c>
      <c r="E835" s="101" t="s">
        <v>1166</v>
      </c>
      <c r="F835" s="101" t="s">
        <v>1390</v>
      </c>
      <c r="G835" s="101"/>
      <c r="H835" s="101" t="s">
        <v>1434</v>
      </c>
      <c r="I835" s="101" t="s">
        <v>2666</v>
      </c>
      <c r="J835" s="101" t="s">
        <v>2667</v>
      </c>
      <c r="K835" s="100" t="s">
        <v>2682</v>
      </c>
      <c r="L835" s="101" t="n">
        <v>2021</v>
      </c>
      <c r="M835" s="101" t="s">
        <v>1561</v>
      </c>
    </row>
    <row r="836" customFormat="false" ht="15" hidden="false" customHeight="true" outlineLevel="0" collapsed="false">
      <c r="A836" s="101" t="n">
        <v>835</v>
      </c>
      <c r="B836" s="100" t="n">
        <v>489</v>
      </c>
      <c r="C836" s="100" t="s">
        <v>546</v>
      </c>
      <c r="D836" s="101" t="s">
        <v>111</v>
      </c>
      <c r="E836" s="101" t="s">
        <v>1166</v>
      </c>
      <c r="F836" s="101" t="s">
        <v>1390</v>
      </c>
      <c r="G836" s="101"/>
      <c r="H836" s="101" t="s">
        <v>1434</v>
      </c>
      <c r="I836" s="101" t="s">
        <v>2666</v>
      </c>
      <c r="J836" s="101" t="s">
        <v>2667</v>
      </c>
      <c r="K836" s="100" t="s">
        <v>2683</v>
      </c>
      <c r="L836" s="101" t="n">
        <v>2021</v>
      </c>
      <c r="M836" s="101" t="s">
        <v>1561</v>
      </c>
    </row>
    <row r="837" customFormat="false" ht="15" hidden="false" customHeight="true" outlineLevel="0" collapsed="false">
      <c r="A837" s="101" t="n">
        <v>836</v>
      </c>
      <c r="B837" s="100" t="n">
        <v>490</v>
      </c>
      <c r="C837" s="100" t="s">
        <v>373</v>
      </c>
      <c r="D837" s="101" t="s">
        <v>111</v>
      </c>
      <c r="E837" s="101" t="s">
        <v>1169</v>
      </c>
      <c r="F837" s="101" t="s">
        <v>2676</v>
      </c>
      <c r="G837" s="101" t="s">
        <v>2684</v>
      </c>
      <c r="H837" s="101" t="s">
        <v>1434</v>
      </c>
      <c r="I837" s="101" t="s">
        <v>2666</v>
      </c>
      <c r="J837" s="101" t="s">
        <v>2667</v>
      </c>
      <c r="K837" s="100" t="s">
        <v>2685</v>
      </c>
      <c r="L837" s="101" t="n">
        <v>2021</v>
      </c>
      <c r="M837" s="101" t="s">
        <v>1561</v>
      </c>
    </row>
    <row r="838" customFormat="false" ht="15" hidden="false" customHeight="true" outlineLevel="0" collapsed="false">
      <c r="A838" s="101" t="n">
        <v>837</v>
      </c>
      <c r="B838" s="100" t="n">
        <v>491</v>
      </c>
      <c r="C838" s="100" t="s">
        <v>545</v>
      </c>
      <c r="D838" s="101" t="s">
        <v>111</v>
      </c>
      <c r="E838" s="101" t="s">
        <v>1172</v>
      </c>
      <c r="F838" s="101" t="s">
        <v>2163</v>
      </c>
      <c r="G838" s="101"/>
      <c r="H838" s="101" t="s">
        <v>1434</v>
      </c>
      <c r="I838" s="101" t="s">
        <v>2666</v>
      </c>
      <c r="J838" s="101" t="s">
        <v>2667</v>
      </c>
      <c r="K838" s="100" t="s">
        <v>2686</v>
      </c>
      <c r="L838" s="101" t="n">
        <v>2021</v>
      </c>
      <c r="M838" s="101" t="s">
        <v>1561</v>
      </c>
    </row>
    <row r="839" customFormat="false" ht="15" hidden="false" customHeight="true" outlineLevel="0" collapsed="false">
      <c r="A839" s="101" t="n">
        <v>838</v>
      </c>
      <c r="B839" s="100" t="n">
        <v>492</v>
      </c>
      <c r="C839" s="100" t="s">
        <v>544</v>
      </c>
      <c r="D839" s="101" t="s">
        <v>111</v>
      </c>
      <c r="E839" s="101" t="s">
        <v>1166</v>
      </c>
      <c r="F839" s="101" t="s">
        <v>1390</v>
      </c>
      <c r="G839" s="101"/>
      <c r="H839" s="101" t="s">
        <v>1434</v>
      </c>
      <c r="I839" s="101" t="s">
        <v>2666</v>
      </c>
      <c r="J839" s="101" t="s">
        <v>2667</v>
      </c>
      <c r="K839" s="100" t="s">
        <v>2687</v>
      </c>
      <c r="L839" s="101" t="n">
        <v>2021</v>
      </c>
      <c r="M839" s="101" t="s">
        <v>1561</v>
      </c>
    </row>
    <row r="840" customFormat="false" ht="15" hidden="false" customHeight="true" outlineLevel="0" collapsed="false">
      <c r="A840" s="101" t="n">
        <v>839</v>
      </c>
      <c r="B840" s="100" t="n">
        <v>493</v>
      </c>
      <c r="C840" s="100" t="s">
        <v>543</v>
      </c>
      <c r="D840" s="101" t="s">
        <v>111</v>
      </c>
      <c r="E840" s="101" t="s">
        <v>1166</v>
      </c>
      <c r="F840" s="101" t="s">
        <v>1390</v>
      </c>
      <c r="G840" s="101"/>
      <c r="H840" s="101" t="s">
        <v>1434</v>
      </c>
      <c r="I840" s="101" t="s">
        <v>2666</v>
      </c>
      <c r="J840" s="101" t="s">
        <v>2667</v>
      </c>
      <c r="K840" s="100" t="s">
        <v>2688</v>
      </c>
      <c r="L840" s="101" t="n">
        <v>2021</v>
      </c>
      <c r="M840" s="101" t="s">
        <v>1561</v>
      </c>
    </row>
    <row r="841" customFormat="false" ht="15" hidden="false" customHeight="true" outlineLevel="0" collapsed="false">
      <c r="A841" s="101" t="n">
        <v>840</v>
      </c>
      <c r="B841" s="100" t="n">
        <v>494</v>
      </c>
      <c r="C841" s="100" t="s">
        <v>542</v>
      </c>
      <c r="D841" s="101" t="s">
        <v>111</v>
      </c>
      <c r="E841" s="101" t="s">
        <v>1166</v>
      </c>
      <c r="F841" s="101" t="s">
        <v>1390</v>
      </c>
      <c r="G841" s="101"/>
      <c r="H841" s="101" t="s">
        <v>1434</v>
      </c>
      <c r="I841" s="101" t="s">
        <v>2666</v>
      </c>
      <c r="J841" s="101" t="s">
        <v>2667</v>
      </c>
      <c r="K841" s="100" t="s">
        <v>2689</v>
      </c>
      <c r="L841" s="101" t="n">
        <v>2021</v>
      </c>
      <c r="M841" s="101" t="s">
        <v>1561</v>
      </c>
    </row>
    <row r="842" customFormat="false" ht="15" hidden="false" customHeight="true" outlineLevel="0" collapsed="false">
      <c r="A842" s="101" t="n">
        <v>841</v>
      </c>
      <c r="B842" s="100" t="n">
        <v>495</v>
      </c>
      <c r="C842" s="100" t="s">
        <v>541</v>
      </c>
      <c r="D842" s="101" t="s">
        <v>111</v>
      </c>
      <c r="E842" s="101" t="s">
        <v>1166</v>
      </c>
      <c r="F842" s="101" t="s">
        <v>1390</v>
      </c>
      <c r="G842" s="101"/>
      <c r="H842" s="101" t="s">
        <v>1434</v>
      </c>
      <c r="I842" s="101" t="s">
        <v>2666</v>
      </c>
      <c r="J842" s="101" t="s">
        <v>2667</v>
      </c>
      <c r="K842" s="100" t="s">
        <v>2690</v>
      </c>
      <c r="L842" s="101" t="n">
        <v>2021</v>
      </c>
      <c r="M842" s="101" t="s">
        <v>1561</v>
      </c>
    </row>
    <row r="843" customFormat="false" ht="15" hidden="false" customHeight="true" outlineLevel="0" collapsed="false">
      <c r="A843" s="101" t="n">
        <v>842</v>
      </c>
      <c r="B843" s="100" t="n">
        <v>496</v>
      </c>
      <c r="C843" s="100" t="s">
        <v>540</v>
      </c>
      <c r="D843" s="101" t="s">
        <v>111</v>
      </c>
      <c r="E843" s="101" t="s">
        <v>1166</v>
      </c>
      <c r="F843" s="101" t="s">
        <v>1390</v>
      </c>
      <c r="G843" s="101" t="s">
        <v>1581</v>
      </c>
      <c r="H843" s="101" t="s">
        <v>1434</v>
      </c>
      <c r="I843" s="101" t="s">
        <v>2666</v>
      </c>
      <c r="J843" s="101" t="s">
        <v>2667</v>
      </c>
      <c r="K843" s="100" t="s">
        <v>2691</v>
      </c>
      <c r="L843" s="101" t="n">
        <v>2021</v>
      </c>
      <c r="M843" s="101" t="s">
        <v>1561</v>
      </c>
    </row>
    <row r="844" customFormat="false" ht="15" hidden="false" customHeight="true" outlineLevel="0" collapsed="false">
      <c r="A844" s="101" t="n">
        <v>843</v>
      </c>
      <c r="B844" s="100" t="n">
        <v>497</v>
      </c>
      <c r="C844" s="100" t="s">
        <v>539</v>
      </c>
      <c r="D844" s="101" t="s">
        <v>111</v>
      </c>
      <c r="E844" s="101" t="s">
        <v>1172</v>
      </c>
      <c r="F844" s="101" t="s">
        <v>2163</v>
      </c>
      <c r="G844" s="101"/>
      <c r="H844" s="101" t="s">
        <v>1434</v>
      </c>
      <c r="I844" s="101" t="s">
        <v>2666</v>
      </c>
      <c r="J844" s="101" t="s">
        <v>2667</v>
      </c>
      <c r="K844" s="100" t="s">
        <v>2692</v>
      </c>
      <c r="L844" s="101" t="n">
        <v>2021</v>
      </c>
      <c r="M844" s="101" t="s">
        <v>1561</v>
      </c>
    </row>
    <row r="845" customFormat="false" ht="15" hidden="false" customHeight="true" outlineLevel="0" collapsed="false">
      <c r="A845" s="101" t="n">
        <v>844</v>
      </c>
      <c r="B845" s="100" t="n">
        <v>498</v>
      </c>
      <c r="C845" s="100" t="s">
        <v>538</v>
      </c>
      <c r="D845" s="101" t="s">
        <v>111</v>
      </c>
      <c r="E845" s="101" t="s">
        <v>1166</v>
      </c>
      <c r="F845" s="101" t="s">
        <v>1390</v>
      </c>
      <c r="G845" s="101"/>
      <c r="H845" s="101" t="s">
        <v>1434</v>
      </c>
      <c r="I845" s="101" t="s">
        <v>2666</v>
      </c>
      <c r="J845" s="101" t="s">
        <v>2667</v>
      </c>
      <c r="K845" s="100" t="s">
        <v>2693</v>
      </c>
      <c r="L845" s="101" t="n">
        <v>2021</v>
      </c>
      <c r="M845" s="101" t="s">
        <v>1561</v>
      </c>
    </row>
    <row r="846" customFormat="false" ht="15" hidden="false" customHeight="true" outlineLevel="0" collapsed="false">
      <c r="A846" s="101" t="n">
        <v>845</v>
      </c>
      <c r="B846" s="100" t="n">
        <v>499</v>
      </c>
      <c r="C846" s="100" t="s">
        <v>537</v>
      </c>
      <c r="D846" s="101" t="s">
        <v>111</v>
      </c>
      <c r="E846" s="101" t="s">
        <v>1163</v>
      </c>
      <c r="F846" s="101" t="s">
        <v>1799</v>
      </c>
      <c r="G846" s="101"/>
      <c r="H846" s="101" t="s">
        <v>1434</v>
      </c>
      <c r="I846" s="101" t="s">
        <v>2666</v>
      </c>
      <c r="J846" s="101" t="s">
        <v>2667</v>
      </c>
      <c r="K846" s="100" t="s">
        <v>2694</v>
      </c>
      <c r="L846" s="101" t="n">
        <v>2021</v>
      </c>
      <c r="M846" s="101" t="s">
        <v>1561</v>
      </c>
    </row>
    <row r="847" customFormat="false" ht="15" hidden="false" customHeight="true" outlineLevel="0" collapsed="false">
      <c r="A847" s="101" t="n">
        <v>846</v>
      </c>
      <c r="B847" s="100" t="n">
        <v>500</v>
      </c>
      <c r="C847" s="100" t="s">
        <v>536</v>
      </c>
      <c r="D847" s="101" t="s">
        <v>111</v>
      </c>
      <c r="E847" s="101" t="s">
        <v>1166</v>
      </c>
      <c r="F847" s="101" t="s">
        <v>1390</v>
      </c>
      <c r="G847" s="101"/>
      <c r="H847" s="101" t="s">
        <v>1434</v>
      </c>
      <c r="I847" s="101" t="s">
        <v>2666</v>
      </c>
      <c r="J847" s="101" t="s">
        <v>2667</v>
      </c>
      <c r="K847" s="100" t="s">
        <v>2695</v>
      </c>
      <c r="L847" s="101" t="n">
        <v>2021</v>
      </c>
      <c r="M847" s="101" t="s">
        <v>1561</v>
      </c>
    </row>
    <row r="848" customFormat="false" ht="15" hidden="false" customHeight="true" outlineLevel="0" collapsed="false">
      <c r="A848" s="101" t="n">
        <v>847</v>
      </c>
      <c r="B848" s="100" t="n">
        <v>501</v>
      </c>
      <c r="C848" s="100" t="s">
        <v>535</v>
      </c>
      <c r="D848" s="101" t="s">
        <v>111</v>
      </c>
      <c r="E848" s="101" t="s">
        <v>1166</v>
      </c>
      <c r="F848" s="101" t="s">
        <v>1390</v>
      </c>
      <c r="G848" s="101" t="s">
        <v>2684</v>
      </c>
      <c r="H848" s="101" t="s">
        <v>1434</v>
      </c>
      <c r="I848" s="101" t="s">
        <v>2666</v>
      </c>
      <c r="J848" s="101" t="s">
        <v>2667</v>
      </c>
      <c r="K848" s="100" t="s">
        <v>2696</v>
      </c>
      <c r="L848" s="101" t="n">
        <v>2021</v>
      </c>
      <c r="M848" s="101" t="s">
        <v>1561</v>
      </c>
    </row>
    <row r="849" customFormat="false" ht="15" hidden="false" customHeight="true" outlineLevel="0" collapsed="false">
      <c r="A849" s="101" t="n">
        <v>848</v>
      </c>
      <c r="B849" s="100" t="n">
        <v>502</v>
      </c>
      <c r="C849" s="100" t="s">
        <v>534</v>
      </c>
      <c r="D849" s="101" t="s">
        <v>111</v>
      </c>
      <c r="E849" s="101" t="s">
        <v>1166</v>
      </c>
      <c r="F849" s="101" t="s">
        <v>1390</v>
      </c>
      <c r="G849" s="101"/>
      <c r="H849" s="101" t="s">
        <v>1434</v>
      </c>
      <c r="I849" s="101" t="s">
        <v>2666</v>
      </c>
      <c r="J849" s="101" t="s">
        <v>2667</v>
      </c>
      <c r="K849" s="100" t="s">
        <v>2697</v>
      </c>
      <c r="L849" s="101" t="n">
        <v>2021</v>
      </c>
      <c r="M849" s="101" t="s">
        <v>1561</v>
      </c>
    </row>
    <row r="850" customFormat="false" ht="15" hidden="false" customHeight="true" outlineLevel="0" collapsed="false">
      <c r="A850" s="101" t="n">
        <v>849</v>
      </c>
      <c r="B850" s="100" t="n">
        <v>503</v>
      </c>
      <c r="C850" s="100" t="s">
        <v>533</v>
      </c>
      <c r="D850" s="101" t="s">
        <v>111</v>
      </c>
      <c r="E850" s="101" t="s">
        <v>1166</v>
      </c>
      <c r="F850" s="101" t="s">
        <v>1390</v>
      </c>
      <c r="G850" s="101"/>
      <c r="H850" s="101" t="s">
        <v>1434</v>
      </c>
      <c r="I850" s="101" t="s">
        <v>2666</v>
      </c>
      <c r="J850" s="101" t="s">
        <v>2667</v>
      </c>
      <c r="K850" s="100" t="s">
        <v>2698</v>
      </c>
      <c r="L850" s="101" t="n">
        <v>2021</v>
      </c>
      <c r="M850" s="101" t="s">
        <v>1561</v>
      </c>
    </row>
    <row r="851" customFormat="false" ht="15" hidden="false" customHeight="true" outlineLevel="0" collapsed="false">
      <c r="A851" s="101" t="n">
        <v>850</v>
      </c>
      <c r="B851" s="100" t="n">
        <v>504</v>
      </c>
      <c r="C851" s="100" t="s">
        <v>532</v>
      </c>
      <c r="D851" s="101" t="s">
        <v>111</v>
      </c>
      <c r="E851" s="101" t="s">
        <v>1166</v>
      </c>
      <c r="F851" s="101" t="s">
        <v>1390</v>
      </c>
      <c r="G851" s="101"/>
      <c r="H851" s="101" t="s">
        <v>1434</v>
      </c>
      <c r="I851" s="101" t="s">
        <v>2666</v>
      </c>
      <c r="J851" s="101" t="s">
        <v>2667</v>
      </c>
      <c r="K851" s="100" t="s">
        <v>2699</v>
      </c>
      <c r="L851" s="101" t="n">
        <v>2021</v>
      </c>
      <c r="M851" s="101" t="s">
        <v>1561</v>
      </c>
    </row>
    <row r="852" customFormat="false" ht="15" hidden="false" customHeight="true" outlineLevel="0" collapsed="false">
      <c r="A852" s="101" t="n">
        <v>851</v>
      </c>
      <c r="B852" s="100" t="n">
        <v>505</v>
      </c>
      <c r="C852" s="100" t="s">
        <v>372</v>
      </c>
      <c r="D852" s="101" t="s">
        <v>111</v>
      </c>
      <c r="E852" s="101" t="s">
        <v>1155</v>
      </c>
      <c r="F852" s="101" t="s">
        <v>1155</v>
      </c>
      <c r="G852" s="101" t="s">
        <v>2700</v>
      </c>
      <c r="H852" s="101" t="s">
        <v>1434</v>
      </c>
      <c r="I852" s="101" t="s">
        <v>2666</v>
      </c>
      <c r="J852" s="101" t="s">
        <v>2667</v>
      </c>
      <c r="K852" s="100" t="s">
        <v>2701</v>
      </c>
      <c r="L852" s="101" t="n">
        <v>2021</v>
      </c>
      <c r="M852" s="101" t="s">
        <v>1561</v>
      </c>
    </row>
    <row r="853" customFormat="false" ht="15" hidden="false" customHeight="true" outlineLevel="0" collapsed="false">
      <c r="A853" s="101" t="n">
        <v>852</v>
      </c>
      <c r="B853" s="100" t="n">
        <v>506</v>
      </c>
      <c r="C853" s="100" t="s">
        <v>531</v>
      </c>
      <c r="D853" s="101" t="s">
        <v>111</v>
      </c>
      <c r="E853" s="101" t="s">
        <v>1166</v>
      </c>
      <c r="F853" s="101" t="s">
        <v>1390</v>
      </c>
      <c r="G853" s="101"/>
      <c r="H853" s="101" t="s">
        <v>1434</v>
      </c>
      <c r="I853" s="101" t="s">
        <v>2666</v>
      </c>
      <c r="J853" s="101" t="s">
        <v>2667</v>
      </c>
      <c r="K853" s="100" t="s">
        <v>2702</v>
      </c>
      <c r="L853" s="101" t="n">
        <v>2021</v>
      </c>
      <c r="M853" s="101" t="s">
        <v>1561</v>
      </c>
    </row>
    <row r="854" customFormat="false" ht="15" hidden="false" customHeight="true" outlineLevel="0" collapsed="false">
      <c r="A854" s="101" t="n">
        <v>853</v>
      </c>
      <c r="B854" s="100" t="n">
        <v>507</v>
      </c>
      <c r="C854" s="100" t="s">
        <v>530</v>
      </c>
      <c r="D854" s="101" t="s">
        <v>111</v>
      </c>
      <c r="E854" s="101" t="s">
        <v>1166</v>
      </c>
      <c r="F854" s="101" t="s">
        <v>1390</v>
      </c>
      <c r="G854" s="101"/>
      <c r="H854" s="101" t="s">
        <v>1434</v>
      </c>
      <c r="I854" s="101" t="s">
        <v>2666</v>
      </c>
      <c r="J854" s="101" t="s">
        <v>2667</v>
      </c>
      <c r="K854" s="100" t="s">
        <v>2703</v>
      </c>
      <c r="L854" s="101" t="n">
        <v>2021</v>
      </c>
      <c r="M854" s="101" t="s">
        <v>1561</v>
      </c>
    </row>
    <row r="855" customFormat="false" ht="15" hidden="false" customHeight="true" outlineLevel="0" collapsed="false">
      <c r="A855" s="101" t="n">
        <v>854</v>
      </c>
      <c r="B855" s="100" t="n">
        <v>508</v>
      </c>
      <c r="C855" s="100" t="s">
        <v>529</v>
      </c>
      <c r="D855" s="101" t="s">
        <v>111</v>
      </c>
      <c r="E855" s="101" t="s">
        <v>1166</v>
      </c>
      <c r="F855" s="101" t="s">
        <v>1390</v>
      </c>
      <c r="G855" s="101"/>
      <c r="H855" s="101" t="s">
        <v>1434</v>
      </c>
      <c r="I855" s="101" t="s">
        <v>2666</v>
      </c>
      <c r="J855" s="101" t="s">
        <v>2667</v>
      </c>
      <c r="K855" s="100" t="s">
        <v>2704</v>
      </c>
      <c r="L855" s="101" t="n">
        <v>2021</v>
      </c>
      <c r="M855" s="101" t="s">
        <v>1561</v>
      </c>
    </row>
    <row r="856" customFormat="false" ht="15" hidden="false" customHeight="true" outlineLevel="0" collapsed="false">
      <c r="A856" s="101" t="n">
        <v>855</v>
      </c>
      <c r="B856" s="100" t="n">
        <v>509</v>
      </c>
      <c r="C856" s="100" t="s">
        <v>528</v>
      </c>
      <c r="D856" s="101" t="s">
        <v>111</v>
      </c>
      <c r="E856" s="101" t="s">
        <v>1166</v>
      </c>
      <c r="F856" s="101" t="s">
        <v>1390</v>
      </c>
      <c r="G856" s="101"/>
      <c r="H856" s="101" t="s">
        <v>1434</v>
      </c>
      <c r="I856" s="101" t="s">
        <v>2666</v>
      </c>
      <c r="J856" s="101" t="s">
        <v>2667</v>
      </c>
      <c r="K856" s="100" t="s">
        <v>2705</v>
      </c>
      <c r="L856" s="101" t="n">
        <v>2021</v>
      </c>
      <c r="M856" s="101" t="s">
        <v>1561</v>
      </c>
    </row>
    <row r="857" customFormat="false" ht="15" hidden="false" customHeight="true" outlineLevel="0" collapsed="false">
      <c r="A857" s="101" t="n">
        <v>856</v>
      </c>
      <c r="B857" s="100" t="n">
        <v>510</v>
      </c>
      <c r="C857" s="100" t="s">
        <v>527</v>
      </c>
      <c r="D857" s="101" t="s">
        <v>111</v>
      </c>
      <c r="E857" s="101" t="s">
        <v>1166</v>
      </c>
      <c r="F857" s="101" t="s">
        <v>1390</v>
      </c>
      <c r="G857" s="101"/>
      <c r="H857" s="101" t="s">
        <v>1434</v>
      </c>
      <c r="I857" s="101" t="s">
        <v>2666</v>
      </c>
      <c r="J857" s="101" t="s">
        <v>2667</v>
      </c>
      <c r="K857" s="100" t="s">
        <v>2706</v>
      </c>
      <c r="L857" s="101" t="n">
        <v>2021</v>
      </c>
      <c r="M857" s="101" t="s">
        <v>1561</v>
      </c>
    </row>
    <row r="858" customFormat="false" ht="15" hidden="false" customHeight="true" outlineLevel="0" collapsed="false">
      <c r="A858" s="101" t="n">
        <v>857</v>
      </c>
      <c r="B858" s="100" t="n">
        <v>511</v>
      </c>
      <c r="C858" s="100" t="s">
        <v>526</v>
      </c>
      <c r="D858" s="101" t="s">
        <v>111</v>
      </c>
      <c r="E858" s="101" t="s">
        <v>1166</v>
      </c>
      <c r="F858" s="101" t="s">
        <v>1390</v>
      </c>
      <c r="G858" s="101"/>
      <c r="H858" s="101" t="s">
        <v>1434</v>
      </c>
      <c r="I858" s="101" t="s">
        <v>2666</v>
      </c>
      <c r="J858" s="101" t="s">
        <v>2667</v>
      </c>
      <c r="K858" s="100" t="s">
        <v>2707</v>
      </c>
      <c r="L858" s="101" t="n">
        <v>2021</v>
      </c>
      <c r="M858" s="101" t="s">
        <v>1561</v>
      </c>
    </row>
    <row r="859" customFormat="false" ht="15" hidden="false" customHeight="true" outlineLevel="0" collapsed="false">
      <c r="A859" s="101" t="n">
        <v>858</v>
      </c>
      <c r="B859" s="100" t="n">
        <v>512</v>
      </c>
      <c r="C859" s="100" t="s">
        <v>2708</v>
      </c>
      <c r="D859" s="101" t="s">
        <v>111</v>
      </c>
      <c r="E859" s="101" t="s">
        <v>1184</v>
      </c>
      <c r="F859" s="101" t="s">
        <v>1421</v>
      </c>
      <c r="G859" s="101" t="s">
        <v>1543</v>
      </c>
      <c r="H859" s="101" t="s">
        <v>1251</v>
      </c>
      <c r="I859" s="101" t="s">
        <v>1505</v>
      </c>
      <c r="J859" s="101" t="s">
        <v>1901</v>
      </c>
      <c r="K859" s="100" t="s">
        <v>2709</v>
      </c>
      <c r="L859" s="101" t="n">
        <v>2021</v>
      </c>
      <c r="M859" s="101" t="s">
        <v>1553</v>
      </c>
    </row>
    <row r="860" customFormat="false" ht="15" hidden="false" customHeight="true" outlineLevel="0" collapsed="false">
      <c r="A860" s="101" t="n">
        <v>859</v>
      </c>
      <c r="B860" s="100" t="n">
        <v>513</v>
      </c>
      <c r="C860" s="100" t="s">
        <v>724</v>
      </c>
      <c r="D860" s="101" t="s">
        <v>111</v>
      </c>
      <c r="E860" s="101" t="s">
        <v>1157</v>
      </c>
      <c r="F860" s="101" t="s">
        <v>1157</v>
      </c>
      <c r="G860" s="101" t="s">
        <v>1144</v>
      </c>
      <c r="H860" s="101" t="s">
        <v>1434</v>
      </c>
      <c r="I860" s="101" t="s">
        <v>2666</v>
      </c>
      <c r="J860" s="101" t="s">
        <v>2667</v>
      </c>
      <c r="K860" s="100" t="s">
        <v>2710</v>
      </c>
      <c r="L860" s="101" t="n">
        <v>2021</v>
      </c>
      <c r="M860" s="101" t="s">
        <v>1561</v>
      </c>
    </row>
    <row r="861" customFormat="false" ht="15" hidden="false" customHeight="true" outlineLevel="0" collapsed="false">
      <c r="A861" s="101" t="n">
        <v>860</v>
      </c>
      <c r="B861" s="100" t="n">
        <v>514</v>
      </c>
      <c r="C861" s="100" t="s">
        <v>723</v>
      </c>
      <c r="D861" s="101" t="s">
        <v>111</v>
      </c>
      <c r="E861" s="101" t="s">
        <v>1157</v>
      </c>
      <c r="F861" s="101" t="s">
        <v>1157</v>
      </c>
      <c r="G861" s="101" t="s">
        <v>1144</v>
      </c>
      <c r="H861" s="101" t="s">
        <v>1434</v>
      </c>
      <c r="I861" s="101" t="s">
        <v>2666</v>
      </c>
      <c r="J861" s="101" t="s">
        <v>2667</v>
      </c>
      <c r="K861" s="100" t="s">
        <v>2711</v>
      </c>
      <c r="L861" s="101" t="n">
        <v>2021</v>
      </c>
      <c r="M861" s="101" t="s">
        <v>1561</v>
      </c>
    </row>
    <row r="862" customFormat="false" ht="15" hidden="false" customHeight="true" outlineLevel="0" collapsed="false">
      <c r="A862" s="101" t="n">
        <v>861</v>
      </c>
      <c r="B862" s="100" t="n">
        <v>515</v>
      </c>
      <c r="C862" s="100" t="s">
        <v>525</v>
      </c>
      <c r="D862" s="101" t="s">
        <v>111</v>
      </c>
      <c r="E862" s="101" t="s">
        <v>1166</v>
      </c>
      <c r="F862" s="101" t="s">
        <v>1390</v>
      </c>
      <c r="G862" s="101"/>
      <c r="H862" s="101" t="s">
        <v>1434</v>
      </c>
      <c r="I862" s="101" t="s">
        <v>2666</v>
      </c>
      <c r="J862" s="101" t="s">
        <v>2667</v>
      </c>
      <c r="K862" s="100" t="s">
        <v>2712</v>
      </c>
      <c r="L862" s="101" t="n">
        <v>2021</v>
      </c>
      <c r="M862" s="101" t="s">
        <v>1561</v>
      </c>
    </row>
    <row r="863" customFormat="false" ht="15" hidden="false" customHeight="true" outlineLevel="0" collapsed="false">
      <c r="A863" s="101" t="n">
        <v>862</v>
      </c>
      <c r="B863" s="100" t="n">
        <v>516</v>
      </c>
      <c r="C863" s="100" t="s">
        <v>524</v>
      </c>
      <c r="D863" s="101" t="s">
        <v>111</v>
      </c>
      <c r="E863" s="101" t="s">
        <v>1166</v>
      </c>
      <c r="F863" s="101" t="s">
        <v>1390</v>
      </c>
      <c r="G863" s="101" t="s">
        <v>2713</v>
      </c>
      <c r="H863" s="101" t="s">
        <v>1434</v>
      </c>
      <c r="I863" s="101" t="s">
        <v>2666</v>
      </c>
      <c r="J863" s="101" t="s">
        <v>2667</v>
      </c>
      <c r="K863" s="100" t="s">
        <v>2714</v>
      </c>
      <c r="L863" s="101" t="n">
        <v>2021</v>
      </c>
      <c r="M863" s="101" t="s">
        <v>1561</v>
      </c>
    </row>
    <row r="864" customFormat="false" ht="15" hidden="false" customHeight="true" outlineLevel="0" collapsed="false">
      <c r="A864" s="101" t="n">
        <v>863</v>
      </c>
      <c r="B864" s="100" t="n">
        <v>517</v>
      </c>
      <c r="C864" s="100" t="s">
        <v>523</v>
      </c>
      <c r="D864" s="101" t="s">
        <v>111</v>
      </c>
      <c r="E864" s="101" t="s">
        <v>1166</v>
      </c>
      <c r="F864" s="101" t="s">
        <v>1390</v>
      </c>
      <c r="G864" s="101"/>
      <c r="H864" s="101" t="s">
        <v>1434</v>
      </c>
      <c r="I864" s="101" t="s">
        <v>2666</v>
      </c>
      <c r="J864" s="101" t="s">
        <v>2667</v>
      </c>
      <c r="K864" s="100" t="s">
        <v>2715</v>
      </c>
      <c r="L864" s="101" t="n">
        <v>2021</v>
      </c>
      <c r="M864" s="101" t="s">
        <v>1561</v>
      </c>
    </row>
    <row r="865" customFormat="false" ht="15" hidden="false" customHeight="true" outlineLevel="0" collapsed="false">
      <c r="A865" s="101" t="n">
        <v>864</v>
      </c>
      <c r="B865" s="100" t="n">
        <v>518</v>
      </c>
      <c r="C865" s="100" t="s">
        <v>371</v>
      </c>
      <c r="D865" s="101" t="s">
        <v>111</v>
      </c>
      <c r="E865" s="101" t="s">
        <v>1155</v>
      </c>
      <c r="F865" s="101" t="s">
        <v>1155</v>
      </c>
      <c r="G865" s="101" t="s">
        <v>2700</v>
      </c>
      <c r="H865" s="101" t="s">
        <v>1434</v>
      </c>
      <c r="I865" s="101" t="s">
        <v>2666</v>
      </c>
      <c r="J865" s="101" t="s">
        <v>2667</v>
      </c>
      <c r="K865" s="100" t="s">
        <v>2716</v>
      </c>
      <c r="L865" s="101" t="n">
        <v>2021</v>
      </c>
      <c r="M865" s="101" t="s">
        <v>1561</v>
      </c>
    </row>
    <row r="866" customFormat="false" ht="15" hidden="false" customHeight="true" outlineLevel="0" collapsed="false">
      <c r="A866" s="101" t="n">
        <v>865</v>
      </c>
      <c r="B866" s="100" t="n">
        <v>519</v>
      </c>
      <c r="C866" s="100" t="s">
        <v>522</v>
      </c>
      <c r="D866" s="101" t="s">
        <v>111</v>
      </c>
      <c r="E866" s="101" t="s">
        <v>1166</v>
      </c>
      <c r="F866" s="101" t="s">
        <v>1390</v>
      </c>
      <c r="G866" s="101" t="s">
        <v>2717</v>
      </c>
      <c r="H866" s="101" t="s">
        <v>1434</v>
      </c>
      <c r="I866" s="101" t="s">
        <v>2666</v>
      </c>
      <c r="J866" s="101" t="s">
        <v>2667</v>
      </c>
      <c r="K866" s="100" t="s">
        <v>2718</v>
      </c>
      <c r="L866" s="101" t="n">
        <v>2021</v>
      </c>
      <c r="M866" s="101" t="s">
        <v>1561</v>
      </c>
    </row>
    <row r="867" customFormat="false" ht="15" hidden="false" customHeight="true" outlineLevel="0" collapsed="false">
      <c r="A867" s="101" t="n">
        <v>866</v>
      </c>
      <c r="B867" s="100" t="n">
        <v>520</v>
      </c>
      <c r="C867" s="100" t="s">
        <v>521</v>
      </c>
      <c r="D867" s="101" t="s">
        <v>111</v>
      </c>
      <c r="E867" s="101" t="s">
        <v>1166</v>
      </c>
      <c r="F867" s="101" t="s">
        <v>1390</v>
      </c>
      <c r="G867" s="101" t="s">
        <v>2719</v>
      </c>
      <c r="H867" s="101" t="s">
        <v>1434</v>
      </c>
      <c r="I867" s="101" t="s">
        <v>2666</v>
      </c>
      <c r="J867" s="101" t="s">
        <v>2667</v>
      </c>
      <c r="K867" s="100" t="s">
        <v>2720</v>
      </c>
      <c r="L867" s="101" t="n">
        <v>2021</v>
      </c>
      <c r="M867" s="101" t="s">
        <v>1561</v>
      </c>
    </row>
    <row r="868" customFormat="false" ht="15" hidden="false" customHeight="true" outlineLevel="0" collapsed="false">
      <c r="A868" s="101" t="n">
        <v>867</v>
      </c>
      <c r="B868" s="100" t="n">
        <v>521</v>
      </c>
      <c r="C868" s="100" t="s">
        <v>520</v>
      </c>
      <c r="D868" s="101" t="s">
        <v>111</v>
      </c>
      <c r="E868" s="101" t="s">
        <v>1166</v>
      </c>
      <c r="F868" s="101" t="s">
        <v>1390</v>
      </c>
      <c r="G868" s="101"/>
      <c r="H868" s="101" t="s">
        <v>1434</v>
      </c>
      <c r="I868" s="101" t="s">
        <v>2666</v>
      </c>
      <c r="J868" s="101" t="s">
        <v>2667</v>
      </c>
      <c r="K868" s="100" t="s">
        <v>2721</v>
      </c>
      <c r="L868" s="101" t="n">
        <v>2021</v>
      </c>
      <c r="M868" s="101" t="s">
        <v>1561</v>
      </c>
    </row>
    <row r="869" customFormat="false" ht="15" hidden="false" customHeight="true" outlineLevel="0" collapsed="false">
      <c r="A869" s="101" t="n">
        <v>868</v>
      </c>
      <c r="B869" s="100" t="n">
        <v>522</v>
      </c>
      <c r="C869" s="100" t="s">
        <v>519</v>
      </c>
      <c r="D869" s="101" t="s">
        <v>111</v>
      </c>
      <c r="E869" s="101" t="s">
        <v>1172</v>
      </c>
      <c r="F869" s="101" t="s">
        <v>2163</v>
      </c>
      <c r="G869" s="101"/>
      <c r="H869" s="101" t="s">
        <v>1434</v>
      </c>
      <c r="I869" s="101" t="s">
        <v>2666</v>
      </c>
      <c r="J869" s="101" t="s">
        <v>2667</v>
      </c>
      <c r="K869" s="100" t="s">
        <v>2722</v>
      </c>
      <c r="L869" s="101" t="n">
        <v>2021</v>
      </c>
      <c r="M869" s="101" t="s">
        <v>1561</v>
      </c>
    </row>
    <row r="870" customFormat="false" ht="15" hidden="false" customHeight="true" outlineLevel="0" collapsed="false">
      <c r="A870" s="101" t="n">
        <v>869</v>
      </c>
      <c r="B870" s="100" t="n">
        <v>523</v>
      </c>
      <c r="C870" s="100" t="s">
        <v>518</v>
      </c>
      <c r="D870" s="101" t="s">
        <v>111</v>
      </c>
      <c r="E870" s="101" t="s">
        <v>1172</v>
      </c>
      <c r="F870" s="101" t="s">
        <v>2163</v>
      </c>
      <c r="G870" s="101"/>
      <c r="H870" s="101" t="s">
        <v>1434</v>
      </c>
      <c r="I870" s="101" t="s">
        <v>2666</v>
      </c>
      <c r="J870" s="101" t="s">
        <v>2667</v>
      </c>
      <c r="K870" s="100" t="s">
        <v>2723</v>
      </c>
      <c r="L870" s="101" t="n">
        <v>2021</v>
      </c>
      <c r="M870" s="101" t="s">
        <v>1561</v>
      </c>
    </row>
    <row r="871" customFormat="false" ht="15" hidden="false" customHeight="true" outlineLevel="0" collapsed="false">
      <c r="A871" s="101" t="n">
        <v>870</v>
      </c>
      <c r="B871" s="100" t="n">
        <v>524</v>
      </c>
      <c r="C871" s="100" t="s">
        <v>517</v>
      </c>
      <c r="D871" s="101" t="s">
        <v>111</v>
      </c>
      <c r="E871" s="101" t="s">
        <v>1166</v>
      </c>
      <c r="F871" s="101" t="s">
        <v>1390</v>
      </c>
      <c r="G871" s="101" t="s">
        <v>2724</v>
      </c>
      <c r="H871" s="101" t="s">
        <v>1434</v>
      </c>
      <c r="I871" s="101" t="s">
        <v>2666</v>
      </c>
      <c r="J871" s="101" t="s">
        <v>2667</v>
      </c>
      <c r="K871" s="100" t="s">
        <v>2725</v>
      </c>
      <c r="L871" s="101" t="n">
        <v>2021</v>
      </c>
      <c r="M871" s="101" t="s">
        <v>1561</v>
      </c>
    </row>
    <row r="872" customFormat="false" ht="15" hidden="false" customHeight="true" outlineLevel="0" collapsed="false">
      <c r="A872" s="101" t="n">
        <v>871</v>
      </c>
      <c r="B872" s="100" t="n">
        <v>525</v>
      </c>
      <c r="C872" s="100" t="s">
        <v>213</v>
      </c>
      <c r="D872" s="101" t="s">
        <v>111</v>
      </c>
      <c r="E872" s="101" t="s">
        <v>1190</v>
      </c>
      <c r="F872" s="101" t="s">
        <v>1327</v>
      </c>
      <c r="G872" s="101" t="s">
        <v>2726</v>
      </c>
      <c r="H872" s="101" t="s">
        <v>1434</v>
      </c>
      <c r="I872" s="101" t="s">
        <v>2666</v>
      </c>
      <c r="J872" s="101" t="s">
        <v>2667</v>
      </c>
      <c r="K872" s="100" t="s">
        <v>212</v>
      </c>
      <c r="L872" s="101" t="n">
        <v>2021</v>
      </c>
      <c r="M872" s="101" t="s">
        <v>1561</v>
      </c>
    </row>
    <row r="873" customFormat="false" ht="15" hidden="false" customHeight="true" outlineLevel="0" collapsed="false">
      <c r="A873" s="101" t="n">
        <v>872</v>
      </c>
      <c r="B873" s="100" t="n">
        <v>526</v>
      </c>
      <c r="C873" s="100" t="s">
        <v>370</v>
      </c>
      <c r="D873" s="101" t="s">
        <v>111</v>
      </c>
      <c r="E873" s="101" t="s">
        <v>1190</v>
      </c>
      <c r="F873" s="101" t="s">
        <v>1327</v>
      </c>
      <c r="G873" s="101" t="s">
        <v>2147</v>
      </c>
      <c r="H873" s="101" t="s">
        <v>1434</v>
      </c>
      <c r="I873" s="101" t="s">
        <v>2666</v>
      </c>
      <c r="J873" s="101" t="s">
        <v>2667</v>
      </c>
      <c r="K873" s="100" t="s">
        <v>2727</v>
      </c>
      <c r="L873" s="101" t="n">
        <v>2021</v>
      </c>
      <c r="M873" s="101" t="s">
        <v>1561</v>
      </c>
    </row>
    <row r="874" customFormat="false" ht="15" hidden="false" customHeight="true" outlineLevel="0" collapsed="false">
      <c r="A874" s="101" t="n">
        <v>873</v>
      </c>
      <c r="B874" s="100" t="n">
        <v>527</v>
      </c>
      <c r="C874" s="100" t="s">
        <v>369</v>
      </c>
      <c r="D874" s="101" t="s">
        <v>111</v>
      </c>
      <c r="E874" s="101" t="s">
        <v>1190</v>
      </c>
      <c r="F874" s="101" t="s">
        <v>1327</v>
      </c>
      <c r="G874" s="101" t="s">
        <v>2147</v>
      </c>
      <c r="H874" s="101" t="s">
        <v>1434</v>
      </c>
      <c r="I874" s="101" t="s">
        <v>2666</v>
      </c>
      <c r="J874" s="101" t="s">
        <v>2667</v>
      </c>
      <c r="K874" s="100" t="s">
        <v>2728</v>
      </c>
      <c r="L874" s="101" t="n">
        <v>2021</v>
      </c>
      <c r="M874" s="101" t="s">
        <v>1561</v>
      </c>
    </row>
    <row r="875" customFormat="false" ht="15" hidden="false" customHeight="true" outlineLevel="0" collapsed="false">
      <c r="A875" s="101" t="n">
        <v>874</v>
      </c>
      <c r="B875" s="100" t="n">
        <v>528</v>
      </c>
      <c r="C875" s="100" t="s">
        <v>368</v>
      </c>
      <c r="D875" s="101" t="s">
        <v>111</v>
      </c>
      <c r="E875" s="101" t="s">
        <v>1190</v>
      </c>
      <c r="F875" s="101" t="s">
        <v>1327</v>
      </c>
      <c r="G875" s="101" t="s">
        <v>2726</v>
      </c>
      <c r="H875" s="101" t="s">
        <v>1434</v>
      </c>
      <c r="I875" s="101" t="s">
        <v>2666</v>
      </c>
      <c r="J875" s="101" t="s">
        <v>2667</v>
      </c>
      <c r="K875" s="100" t="s">
        <v>2729</v>
      </c>
      <c r="L875" s="101" t="n">
        <v>2021</v>
      </c>
      <c r="M875" s="101" t="s">
        <v>1561</v>
      </c>
    </row>
    <row r="876" customFormat="false" ht="15" hidden="false" customHeight="true" outlineLevel="0" collapsed="false">
      <c r="A876" s="101" t="n">
        <v>875</v>
      </c>
      <c r="B876" s="100" t="n">
        <v>529</v>
      </c>
      <c r="C876" s="100" t="s">
        <v>367</v>
      </c>
      <c r="D876" s="101" t="s">
        <v>111</v>
      </c>
      <c r="E876" s="101" t="s">
        <v>1190</v>
      </c>
      <c r="F876" s="101" t="s">
        <v>1327</v>
      </c>
      <c r="G876" s="101"/>
      <c r="H876" s="101" t="s">
        <v>1434</v>
      </c>
      <c r="I876" s="101" t="s">
        <v>2666</v>
      </c>
      <c r="J876" s="101" t="s">
        <v>2667</v>
      </c>
      <c r="K876" s="100" t="s">
        <v>2730</v>
      </c>
      <c r="L876" s="101" t="n">
        <v>2021</v>
      </c>
      <c r="M876" s="101" t="s">
        <v>1561</v>
      </c>
    </row>
    <row r="877" customFormat="false" ht="15" hidden="false" customHeight="true" outlineLevel="0" collapsed="false">
      <c r="A877" s="101" t="n">
        <v>876</v>
      </c>
      <c r="B877" s="100" t="n">
        <v>530</v>
      </c>
      <c r="C877" s="100" t="s">
        <v>366</v>
      </c>
      <c r="D877" s="101" t="s">
        <v>111</v>
      </c>
      <c r="E877" s="101" t="s">
        <v>1190</v>
      </c>
      <c r="F877" s="101" t="s">
        <v>1327</v>
      </c>
      <c r="G877" s="101" t="s">
        <v>2677</v>
      </c>
      <c r="H877" s="101" t="s">
        <v>1434</v>
      </c>
      <c r="I877" s="101" t="s">
        <v>2666</v>
      </c>
      <c r="J877" s="101" t="s">
        <v>2667</v>
      </c>
      <c r="K877" s="100" t="s">
        <v>2731</v>
      </c>
      <c r="L877" s="101" t="n">
        <v>2021</v>
      </c>
      <c r="M877" s="101" t="s">
        <v>1561</v>
      </c>
    </row>
    <row r="878" customFormat="false" ht="15" hidden="false" customHeight="true" outlineLevel="0" collapsed="false">
      <c r="A878" s="101" t="n">
        <v>877</v>
      </c>
      <c r="B878" s="100" t="n">
        <v>531</v>
      </c>
      <c r="C878" s="100" t="s">
        <v>365</v>
      </c>
      <c r="D878" s="101" t="s">
        <v>111</v>
      </c>
      <c r="E878" s="101" t="s">
        <v>1190</v>
      </c>
      <c r="F878" s="101" t="s">
        <v>1327</v>
      </c>
      <c r="G878" s="101" t="s">
        <v>2732</v>
      </c>
      <c r="H878" s="101" t="s">
        <v>1434</v>
      </c>
      <c r="I878" s="101" t="s">
        <v>2666</v>
      </c>
      <c r="J878" s="101" t="s">
        <v>2667</v>
      </c>
      <c r="K878" s="100" t="s">
        <v>2733</v>
      </c>
      <c r="L878" s="101" t="n">
        <v>2021</v>
      </c>
      <c r="M878" s="101" t="s">
        <v>1561</v>
      </c>
    </row>
    <row r="879" customFormat="false" ht="15" hidden="false" customHeight="true" outlineLevel="0" collapsed="false">
      <c r="A879" s="101" t="n">
        <v>878</v>
      </c>
      <c r="B879" s="100" t="n">
        <v>532</v>
      </c>
      <c r="C879" s="100" t="s">
        <v>363</v>
      </c>
      <c r="D879" s="101" t="s">
        <v>111</v>
      </c>
      <c r="E879" s="101" t="s">
        <v>1190</v>
      </c>
      <c r="F879" s="101" t="s">
        <v>1327</v>
      </c>
      <c r="G879" s="101" t="s">
        <v>2734</v>
      </c>
      <c r="H879" s="101" t="s">
        <v>1434</v>
      </c>
      <c r="I879" s="101" t="s">
        <v>2666</v>
      </c>
      <c r="J879" s="101" t="s">
        <v>2667</v>
      </c>
      <c r="K879" s="100" t="s">
        <v>2735</v>
      </c>
      <c r="L879" s="101" t="n">
        <v>2021</v>
      </c>
      <c r="M879" s="101" t="s">
        <v>1561</v>
      </c>
    </row>
    <row r="880" customFormat="false" ht="15" hidden="false" customHeight="true" outlineLevel="0" collapsed="false">
      <c r="A880" s="101" t="n">
        <v>879</v>
      </c>
      <c r="B880" s="100" t="n">
        <v>533</v>
      </c>
      <c r="C880" s="100" t="s">
        <v>2736</v>
      </c>
      <c r="D880" s="101" t="s">
        <v>111</v>
      </c>
      <c r="E880" s="101" t="s">
        <v>1225</v>
      </c>
      <c r="F880" s="101" t="s">
        <v>1404</v>
      </c>
      <c r="G880" s="101" t="s">
        <v>2328</v>
      </c>
      <c r="H880" s="101" t="s">
        <v>1251</v>
      </c>
      <c r="I880" s="101" t="s">
        <v>1892</v>
      </c>
      <c r="J880" s="101" t="s">
        <v>2402</v>
      </c>
      <c r="K880" s="100" t="s">
        <v>2737</v>
      </c>
      <c r="L880" s="101" t="n">
        <v>2021</v>
      </c>
      <c r="M880" s="101" t="s">
        <v>1561</v>
      </c>
    </row>
    <row r="881" customFormat="false" ht="15" hidden="false" customHeight="true" outlineLevel="0" collapsed="false">
      <c r="A881" s="101" t="n">
        <v>880</v>
      </c>
      <c r="B881" s="100" t="n">
        <v>534</v>
      </c>
      <c r="C881" s="100" t="s">
        <v>2738</v>
      </c>
      <c r="D881" s="101" t="s">
        <v>111</v>
      </c>
      <c r="E881" s="101" t="s">
        <v>1225</v>
      </c>
      <c r="F881" s="101" t="s">
        <v>1404</v>
      </c>
      <c r="G881" s="101" t="s">
        <v>2328</v>
      </c>
      <c r="H881" s="101" t="s">
        <v>1251</v>
      </c>
      <c r="I881" s="101" t="s">
        <v>1892</v>
      </c>
      <c r="J881" s="101" t="s">
        <v>2402</v>
      </c>
      <c r="K881" s="100" t="s">
        <v>2739</v>
      </c>
      <c r="L881" s="101" t="n">
        <v>2021</v>
      </c>
      <c r="M881" s="101" t="s">
        <v>1561</v>
      </c>
    </row>
    <row r="882" customFormat="false" ht="15" hidden="false" customHeight="true" outlineLevel="0" collapsed="false">
      <c r="A882" s="101" t="n">
        <v>881</v>
      </c>
      <c r="B882" s="100" t="n">
        <v>535</v>
      </c>
      <c r="C882" s="100" t="s">
        <v>2740</v>
      </c>
      <c r="D882" s="101" t="s">
        <v>111</v>
      </c>
      <c r="E882" s="101" t="s">
        <v>1225</v>
      </c>
      <c r="F882" s="101" t="s">
        <v>1404</v>
      </c>
      <c r="G882" s="101" t="s">
        <v>2328</v>
      </c>
      <c r="H882" s="101" t="s">
        <v>1251</v>
      </c>
      <c r="I882" s="101" t="s">
        <v>1892</v>
      </c>
      <c r="J882" s="101" t="s">
        <v>2402</v>
      </c>
      <c r="K882" s="100" t="s">
        <v>2741</v>
      </c>
      <c r="L882" s="101" t="n">
        <v>2021</v>
      </c>
      <c r="M882" s="101" t="s">
        <v>1561</v>
      </c>
    </row>
    <row r="883" customFormat="false" ht="15" hidden="false" customHeight="true" outlineLevel="0" collapsed="false">
      <c r="A883" s="101" t="n">
        <v>882</v>
      </c>
      <c r="B883" s="100" t="n">
        <v>536</v>
      </c>
      <c r="C883" s="100" t="s">
        <v>722</v>
      </c>
      <c r="D883" s="101" t="s">
        <v>111</v>
      </c>
      <c r="E883" s="101" t="s">
        <v>1160</v>
      </c>
      <c r="F883" s="101" t="s">
        <v>1160</v>
      </c>
      <c r="G883" s="101"/>
      <c r="H883" s="101" t="s">
        <v>1251</v>
      </c>
      <c r="I883" s="101" t="s">
        <v>1892</v>
      </c>
      <c r="J883" s="101" t="s">
        <v>2742</v>
      </c>
      <c r="K883" s="100" t="s">
        <v>2743</v>
      </c>
      <c r="L883" s="101" t="n">
        <v>2021</v>
      </c>
      <c r="M883" s="101" t="s">
        <v>1553</v>
      </c>
    </row>
    <row r="884" customFormat="false" ht="15" hidden="false" customHeight="true" outlineLevel="0" collapsed="false">
      <c r="A884" s="101" t="n">
        <v>883</v>
      </c>
      <c r="B884" s="100" t="n">
        <v>537</v>
      </c>
      <c r="C884" s="100" t="s">
        <v>516</v>
      </c>
      <c r="D884" s="101" t="s">
        <v>111</v>
      </c>
      <c r="E884" s="101" t="s">
        <v>1160</v>
      </c>
      <c r="F884" s="101" t="s">
        <v>1160</v>
      </c>
      <c r="G884" s="101"/>
      <c r="H884" s="101" t="s">
        <v>1251</v>
      </c>
      <c r="I884" s="101" t="s">
        <v>1892</v>
      </c>
      <c r="J884" s="101" t="s">
        <v>2742</v>
      </c>
      <c r="K884" s="100" t="s">
        <v>2744</v>
      </c>
      <c r="L884" s="101" t="n">
        <v>2021</v>
      </c>
      <c r="M884" s="101" t="s">
        <v>1553</v>
      </c>
    </row>
    <row r="885" customFormat="false" ht="15" hidden="false" customHeight="true" outlineLevel="0" collapsed="false">
      <c r="A885" s="101" t="n">
        <v>884</v>
      </c>
      <c r="B885" s="100" t="n">
        <v>538</v>
      </c>
      <c r="C885" s="100" t="s">
        <v>721</v>
      </c>
      <c r="D885" s="101" t="s">
        <v>111</v>
      </c>
      <c r="E885" s="101" t="s">
        <v>1160</v>
      </c>
      <c r="F885" s="101" t="s">
        <v>1160</v>
      </c>
      <c r="G885" s="101"/>
      <c r="H885" s="101" t="s">
        <v>1251</v>
      </c>
      <c r="I885" s="101" t="s">
        <v>1892</v>
      </c>
      <c r="J885" s="101" t="s">
        <v>2742</v>
      </c>
      <c r="K885" s="100" t="s">
        <v>2745</v>
      </c>
      <c r="L885" s="101" t="n">
        <v>2021</v>
      </c>
      <c r="M885" s="101" t="s">
        <v>1553</v>
      </c>
    </row>
    <row r="886" customFormat="false" ht="15" hidden="false" customHeight="true" outlineLevel="0" collapsed="false">
      <c r="A886" s="101" t="n">
        <v>885</v>
      </c>
      <c r="B886" s="100" t="n">
        <v>539</v>
      </c>
      <c r="C886" s="100" t="s">
        <v>720</v>
      </c>
      <c r="D886" s="101" t="s">
        <v>111</v>
      </c>
      <c r="E886" s="101" t="s">
        <v>1160</v>
      </c>
      <c r="F886" s="101" t="s">
        <v>1160</v>
      </c>
      <c r="G886" s="101"/>
      <c r="H886" s="101" t="s">
        <v>1251</v>
      </c>
      <c r="I886" s="101" t="s">
        <v>1892</v>
      </c>
      <c r="J886" s="101" t="s">
        <v>2742</v>
      </c>
      <c r="K886" s="100" t="s">
        <v>2746</v>
      </c>
      <c r="L886" s="101" t="n">
        <v>2021</v>
      </c>
      <c r="M886" s="101" t="s">
        <v>1553</v>
      </c>
    </row>
    <row r="887" customFormat="false" ht="15" hidden="false" customHeight="true" outlineLevel="0" collapsed="false">
      <c r="A887" s="101" t="n">
        <v>886</v>
      </c>
      <c r="B887" s="100" t="n">
        <v>540</v>
      </c>
      <c r="C887" s="100" t="s">
        <v>148</v>
      </c>
      <c r="D887" s="101" t="s">
        <v>111</v>
      </c>
      <c r="E887" s="101" t="s">
        <v>1199</v>
      </c>
      <c r="F887" s="101" t="s">
        <v>1199</v>
      </c>
      <c r="G887" s="101" t="s">
        <v>2242</v>
      </c>
      <c r="H887" s="101" t="s">
        <v>1251</v>
      </c>
      <c r="I887" s="101" t="s">
        <v>2747</v>
      </c>
      <c r="J887" s="101" t="s">
        <v>2748</v>
      </c>
      <c r="K887" s="100" t="s">
        <v>147</v>
      </c>
      <c r="L887" s="101" t="n">
        <v>2021</v>
      </c>
      <c r="M887" s="101" t="s">
        <v>1561</v>
      </c>
    </row>
    <row r="888" customFormat="false" ht="15" hidden="false" customHeight="true" outlineLevel="0" collapsed="false">
      <c r="A888" s="101" t="n">
        <v>887</v>
      </c>
      <c r="B888" s="100" t="n">
        <v>541</v>
      </c>
      <c r="C888" s="100" t="s">
        <v>985</v>
      </c>
      <c r="D888" s="101" t="s">
        <v>111</v>
      </c>
      <c r="E888" s="101" t="s">
        <v>1199</v>
      </c>
      <c r="F888" s="101" t="s">
        <v>1199</v>
      </c>
      <c r="G888" s="101" t="s">
        <v>2242</v>
      </c>
      <c r="H888" s="101" t="s">
        <v>1251</v>
      </c>
      <c r="I888" s="101" t="s">
        <v>2747</v>
      </c>
      <c r="J888" s="101" t="s">
        <v>2749</v>
      </c>
      <c r="K888" s="100" t="s">
        <v>2750</v>
      </c>
      <c r="L888" s="101" t="n">
        <v>2021</v>
      </c>
      <c r="M888" s="101" t="s">
        <v>1561</v>
      </c>
    </row>
    <row r="889" customFormat="false" ht="15" hidden="false" customHeight="true" outlineLevel="0" collapsed="false">
      <c r="A889" s="101" t="n">
        <v>888</v>
      </c>
      <c r="B889" s="100" t="n">
        <v>542</v>
      </c>
      <c r="C889" s="100" t="s">
        <v>218</v>
      </c>
      <c r="D889" s="101" t="s">
        <v>111</v>
      </c>
      <c r="E889" s="101" t="s">
        <v>1144</v>
      </c>
      <c r="F889" s="101" t="s">
        <v>2751</v>
      </c>
      <c r="G889" s="101" t="s">
        <v>2752</v>
      </c>
      <c r="H889" s="101" t="s">
        <v>1251</v>
      </c>
      <c r="I889" s="101" t="s">
        <v>1607</v>
      </c>
      <c r="J889" s="101" t="s">
        <v>1883</v>
      </c>
      <c r="K889" s="100" t="s">
        <v>217</v>
      </c>
      <c r="L889" s="101" t="n">
        <v>2021</v>
      </c>
      <c r="M889" s="101" t="s">
        <v>1561</v>
      </c>
    </row>
    <row r="890" customFormat="false" ht="15" hidden="false" customHeight="true" outlineLevel="0" collapsed="false">
      <c r="A890" s="101" t="n">
        <v>889</v>
      </c>
      <c r="B890" s="100" t="n">
        <v>543</v>
      </c>
      <c r="C890" s="100" t="s">
        <v>719</v>
      </c>
      <c r="D890" s="101" t="s">
        <v>111</v>
      </c>
      <c r="E890" s="101" t="s">
        <v>1195</v>
      </c>
      <c r="F890" s="101" t="s">
        <v>1377</v>
      </c>
      <c r="G890" s="101" t="s">
        <v>1378</v>
      </c>
      <c r="H890" s="101" t="s">
        <v>1251</v>
      </c>
      <c r="I890" s="101" t="s">
        <v>1607</v>
      </c>
      <c r="J890" s="101" t="s">
        <v>1883</v>
      </c>
      <c r="K890" s="100" t="s">
        <v>2753</v>
      </c>
      <c r="L890" s="101" t="n">
        <v>2021</v>
      </c>
      <c r="M890" s="101" t="s">
        <v>1561</v>
      </c>
    </row>
    <row r="891" customFormat="false" ht="15" hidden="false" customHeight="true" outlineLevel="0" collapsed="false">
      <c r="A891" s="101" t="n">
        <v>890</v>
      </c>
      <c r="B891" s="100" t="n">
        <v>544</v>
      </c>
      <c r="C891" s="100" t="s">
        <v>718</v>
      </c>
      <c r="D891" s="101" t="s">
        <v>111</v>
      </c>
      <c r="E891" s="101" t="s">
        <v>1195</v>
      </c>
      <c r="F891" s="101" t="s">
        <v>1377</v>
      </c>
      <c r="G891" s="101" t="s">
        <v>1378</v>
      </c>
      <c r="H891" s="101" t="s">
        <v>1251</v>
      </c>
      <c r="I891" s="101" t="s">
        <v>1607</v>
      </c>
      <c r="J891" s="101" t="s">
        <v>1883</v>
      </c>
      <c r="K891" s="100" t="s">
        <v>2754</v>
      </c>
      <c r="L891" s="101" t="n">
        <v>2021</v>
      </c>
      <c r="M891" s="101" t="s">
        <v>1561</v>
      </c>
    </row>
    <row r="892" customFormat="false" ht="15" hidden="false" customHeight="true" outlineLevel="0" collapsed="false">
      <c r="A892" s="101" t="n">
        <v>891</v>
      </c>
      <c r="B892" s="100" t="n">
        <v>545</v>
      </c>
      <c r="C892" s="100" t="s">
        <v>717</v>
      </c>
      <c r="D892" s="101" t="s">
        <v>111</v>
      </c>
      <c r="E892" s="101" t="s">
        <v>1195</v>
      </c>
      <c r="F892" s="101" t="s">
        <v>1377</v>
      </c>
      <c r="G892" s="101" t="s">
        <v>1378</v>
      </c>
      <c r="H892" s="101" t="s">
        <v>1251</v>
      </c>
      <c r="I892" s="101" t="s">
        <v>1607</v>
      </c>
      <c r="J892" s="101" t="s">
        <v>1883</v>
      </c>
      <c r="K892" s="100" t="s">
        <v>2755</v>
      </c>
      <c r="L892" s="101" t="n">
        <v>2021</v>
      </c>
      <c r="M892" s="101" t="s">
        <v>1561</v>
      </c>
    </row>
    <row r="893" customFormat="false" ht="15" hidden="false" customHeight="true" outlineLevel="0" collapsed="false">
      <c r="A893" s="101" t="n">
        <v>892</v>
      </c>
      <c r="B893" s="100" t="n">
        <v>546</v>
      </c>
      <c r="C893" s="100" t="s">
        <v>716</v>
      </c>
      <c r="D893" s="101" t="s">
        <v>111</v>
      </c>
      <c r="E893" s="101" t="s">
        <v>1195</v>
      </c>
      <c r="F893" s="101" t="s">
        <v>1377</v>
      </c>
      <c r="G893" s="101" t="s">
        <v>1378</v>
      </c>
      <c r="H893" s="101" t="s">
        <v>1251</v>
      </c>
      <c r="I893" s="101" t="s">
        <v>1607</v>
      </c>
      <c r="J893" s="101" t="s">
        <v>1883</v>
      </c>
      <c r="K893" s="100" t="s">
        <v>2756</v>
      </c>
      <c r="L893" s="101" t="n">
        <v>2021</v>
      </c>
      <c r="M893" s="101" t="s">
        <v>1561</v>
      </c>
    </row>
    <row r="894" customFormat="false" ht="15" hidden="false" customHeight="true" outlineLevel="0" collapsed="false">
      <c r="A894" s="101" t="n">
        <v>893</v>
      </c>
      <c r="B894" s="100" t="n">
        <v>547</v>
      </c>
      <c r="C894" s="100" t="s">
        <v>715</v>
      </c>
      <c r="D894" s="101" t="s">
        <v>111</v>
      </c>
      <c r="E894" s="101" t="s">
        <v>1195</v>
      </c>
      <c r="F894" s="101" t="s">
        <v>1377</v>
      </c>
      <c r="G894" s="101" t="s">
        <v>1378</v>
      </c>
      <c r="H894" s="101" t="s">
        <v>1251</v>
      </c>
      <c r="I894" s="101" t="s">
        <v>1607</v>
      </c>
      <c r="J894" s="101" t="s">
        <v>1883</v>
      </c>
      <c r="K894" s="100" t="s">
        <v>2757</v>
      </c>
      <c r="L894" s="101" t="n">
        <v>2021</v>
      </c>
      <c r="M894" s="101" t="s">
        <v>1561</v>
      </c>
    </row>
    <row r="895" customFormat="false" ht="15" hidden="false" customHeight="true" outlineLevel="0" collapsed="false">
      <c r="A895" s="101" t="n">
        <v>894</v>
      </c>
      <c r="B895" s="100" t="n">
        <v>548</v>
      </c>
      <c r="C895" s="100" t="s">
        <v>714</v>
      </c>
      <c r="D895" s="101" t="s">
        <v>111</v>
      </c>
      <c r="E895" s="101" t="s">
        <v>1157</v>
      </c>
      <c r="F895" s="101" t="s">
        <v>1157</v>
      </c>
      <c r="G895" s="101"/>
      <c r="H895" s="101" t="s">
        <v>1251</v>
      </c>
      <c r="I895" s="101" t="s">
        <v>1607</v>
      </c>
      <c r="J895" s="101" t="s">
        <v>2758</v>
      </c>
      <c r="K895" s="100" t="s">
        <v>2759</v>
      </c>
      <c r="L895" s="101" t="n">
        <v>2021</v>
      </c>
      <c r="M895" s="101" t="s">
        <v>1553</v>
      </c>
    </row>
    <row r="896" customFormat="false" ht="15" hidden="false" customHeight="true" outlineLevel="0" collapsed="false">
      <c r="A896" s="101" t="n">
        <v>895</v>
      </c>
      <c r="B896" s="100" t="n">
        <v>549</v>
      </c>
      <c r="C896" s="100" t="s">
        <v>713</v>
      </c>
      <c r="D896" s="101" t="s">
        <v>111</v>
      </c>
      <c r="E896" s="101" t="s">
        <v>1157</v>
      </c>
      <c r="F896" s="101" t="s">
        <v>1157</v>
      </c>
      <c r="G896" s="101"/>
      <c r="H896" s="101" t="s">
        <v>1251</v>
      </c>
      <c r="I896" s="101" t="s">
        <v>1607</v>
      </c>
      <c r="J896" s="101" t="s">
        <v>2758</v>
      </c>
      <c r="K896" s="100" t="s">
        <v>2760</v>
      </c>
      <c r="L896" s="101" t="n">
        <v>2021</v>
      </c>
      <c r="M896" s="101" t="s">
        <v>1553</v>
      </c>
    </row>
    <row r="897" customFormat="false" ht="15" hidden="false" customHeight="true" outlineLevel="0" collapsed="false">
      <c r="A897" s="101" t="n">
        <v>896</v>
      </c>
      <c r="B897" s="100" t="n">
        <v>550</v>
      </c>
      <c r="C897" s="100" t="s">
        <v>712</v>
      </c>
      <c r="D897" s="101" t="s">
        <v>111</v>
      </c>
      <c r="E897" s="101" t="s">
        <v>1222</v>
      </c>
      <c r="F897" s="101" t="s">
        <v>1222</v>
      </c>
      <c r="G897" s="101" t="s">
        <v>2761</v>
      </c>
      <c r="H897" s="101" t="s">
        <v>1251</v>
      </c>
      <c r="I897" s="101" t="s">
        <v>1892</v>
      </c>
      <c r="J897" s="101" t="s">
        <v>2402</v>
      </c>
      <c r="K897" s="100" t="s">
        <v>2762</v>
      </c>
      <c r="L897" s="101" t="n">
        <v>2021</v>
      </c>
      <c r="M897" s="101" t="s">
        <v>1561</v>
      </c>
    </row>
    <row r="898" customFormat="false" ht="15" hidden="false" customHeight="true" outlineLevel="0" collapsed="false">
      <c r="A898" s="101" t="n">
        <v>897</v>
      </c>
      <c r="B898" s="100" t="n">
        <v>551</v>
      </c>
      <c r="C898" s="100" t="s">
        <v>711</v>
      </c>
      <c r="D898" s="101" t="s">
        <v>111</v>
      </c>
      <c r="E898" s="101" t="s">
        <v>1222</v>
      </c>
      <c r="F898" s="101" t="s">
        <v>1222</v>
      </c>
      <c r="G898" s="101" t="s">
        <v>2763</v>
      </c>
      <c r="H898" s="101" t="s">
        <v>1251</v>
      </c>
      <c r="I898" s="101" t="s">
        <v>1892</v>
      </c>
      <c r="J898" s="101" t="s">
        <v>2402</v>
      </c>
      <c r="K898" s="100" t="s">
        <v>2764</v>
      </c>
      <c r="L898" s="101" t="n">
        <v>2021</v>
      </c>
      <c r="M898" s="101" t="s">
        <v>1561</v>
      </c>
    </row>
    <row r="899" customFormat="false" ht="15" hidden="false" customHeight="true" outlineLevel="0" collapsed="false">
      <c r="A899" s="101" t="n">
        <v>898</v>
      </c>
      <c r="B899" s="100" t="n">
        <v>552</v>
      </c>
      <c r="C899" s="100" t="s">
        <v>710</v>
      </c>
      <c r="D899" s="101" t="s">
        <v>111</v>
      </c>
      <c r="E899" s="101" t="s">
        <v>1222</v>
      </c>
      <c r="F899" s="101" t="s">
        <v>1222</v>
      </c>
      <c r="G899" s="101" t="s">
        <v>2765</v>
      </c>
      <c r="H899" s="101" t="s">
        <v>1251</v>
      </c>
      <c r="I899" s="101" t="s">
        <v>1892</v>
      </c>
      <c r="J899" s="101" t="s">
        <v>2402</v>
      </c>
      <c r="K899" s="100" t="s">
        <v>2766</v>
      </c>
      <c r="L899" s="101" t="n">
        <v>2021</v>
      </c>
      <c r="M899" s="101" t="s">
        <v>1561</v>
      </c>
    </row>
    <row r="900" customFormat="false" ht="15" hidden="false" customHeight="true" outlineLevel="0" collapsed="false">
      <c r="A900" s="101" t="n">
        <v>899</v>
      </c>
      <c r="B900" s="100" t="n">
        <v>553</v>
      </c>
      <c r="C900" s="100" t="s">
        <v>709</v>
      </c>
      <c r="D900" s="101" t="s">
        <v>111</v>
      </c>
      <c r="E900" s="101" t="s">
        <v>1222</v>
      </c>
      <c r="F900" s="101" t="s">
        <v>1222</v>
      </c>
      <c r="G900" s="101" t="s">
        <v>2319</v>
      </c>
      <c r="H900" s="101" t="s">
        <v>1251</v>
      </c>
      <c r="I900" s="101" t="s">
        <v>1892</v>
      </c>
      <c r="J900" s="101" t="s">
        <v>2402</v>
      </c>
      <c r="K900" s="100" t="s">
        <v>2767</v>
      </c>
      <c r="L900" s="101" t="n">
        <v>2021</v>
      </c>
      <c r="M900" s="101" t="s">
        <v>1561</v>
      </c>
    </row>
    <row r="901" customFormat="false" ht="15" hidden="false" customHeight="true" outlineLevel="0" collapsed="false">
      <c r="A901" s="101" t="n">
        <v>900</v>
      </c>
      <c r="B901" s="100" t="n">
        <v>554</v>
      </c>
      <c r="C901" s="100" t="s">
        <v>708</v>
      </c>
      <c r="D901" s="101" t="s">
        <v>111</v>
      </c>
      <c r="E901" s="101" t="s">
        <v>1222</v>
      </c>
      <c r="F901" s="101" t="s">
        <v>1222</v>
      </c>
      <c r="G901" s="101" t="s">
        <v>2768</v>
      </c>
      <c r="H901" s="101" t="s">
        <v>1251</v>
      </c>
      <c r="I901" s="101" t="s">
        <v>1892</v>
      </c>
      <c r="J901" s="101" t="s">
        <v>2402</v>
      </c>
      <c r="K901" s="100" t="s">
        <v>2769</v>
      </c>
      <c r="L901" s="101" t="n">
        <v>2021</v>
      </c>
      <c r="M901" s="101" t="s">
        <v>1561</v>
      </c>
    </row>
    <row r="902" customFormat="false" ht="15" hidden="false" customHeight="true" outlineLevel="0" collapsed="false">
      <c r="A902" s="101" t="n">
        <v>901</v>
      </c>
      <c r="B902" s="100" t="n">
        <v>555</v>
      </c>
      <c r="C902" s="100" t="s">
        <v>707</v>
      </c>
      <c r="D902" s="101" t="s">
        <v>111</v>
      </c>
      <c r="E902" s="101" t="s">
        <v>1222</v>
      </c>
      <c r="F902" s="101" t="s">
        <v>1222</v>
      </c>
      <c r="G902" s="101" t="s">
        <v>2770</v>
      </c>
      <c r="H902" s="101" t="s">
        <v>1251</v>
      </c>
      <c r="I902" s="101" t="s">
        <v>1892</v>
      </c>
      <c r="J902" s="101" t="s">
        <v>2402</v>
      </c>
      <c r="K902" s="100" t="s">
        <v>2771</v>
      </c>
      <c r="L902" s="101" t="n">
        <v>2021</v>
      </c>
      <c r="M902" s="101" t="s">
        <v>1561</v>
      </c>
    </row>
    <row r="903" customFormat="false" ht="15" hidden="false" customHeight="true" outlineLevel="0" collapsed="false">
      <c r="A903" s="101" t="n">
        <v>902</v>
      </c>
      <c r="B903" s="100" t="n">
        <v>556</v>
      </c>
      <c r="C903" s="100" t="s">
        <v>706</v>
      </c>
      <c r="D903" s="101" t="s">
        <v>111</v>
      </c>
      <c r="E903" s="101" t="s">
        <v>1222</v>
      </c>
      <c r="F903" s="101" t="s">
        <v>1222</v>
      </c>
      <c r="G903" s="101" t="s">
        <v>2772</v>
      </c>
      <c r="H903" s="101" t="s">
        <v>1251</v>
      </c>
      <c r="I903" s="101" t="s">
        <v>1892</v>
      </c>
      <c r="J903" s="101" t="s">
        <v>2402</v>
      </c>
      <c r="K903" s="100" t="s">
        <v>2773</v>
      </c>
      <c r="L903" s="101" t="n">
        <v>2021</v>
      </c>
      <c r="M903" s="101" t="s">
        <v>1561</v>
      </c>
    </row>
    <row r="904" customFormat="false" ht="15" hidden="false" customHeight="true" outlineLevel="0" collapsed="false">
      <c r="A904" s="101" t="n">
        <v>903</v>
      </c>
      <c r="B904" s="100" t="n">
        <v>557</v>
      </c>
      <c r="C904" s="100" t="s">
        <v>705</v>
      </c>
      <c r="D904" s="101" t="s">
        <v>111</v>
      </c>
      <c r="E904" s="101" t="s">
        <v>1222</v>
      </c>
      <c r="F904" s="101" t="s">
        <v>1222</v>
      </c>
      <c r="G904" s="101" t="s">
        <v>2774</v>
      </c>
      <c r="H904" s="101" t="s">
        <v>1251</v>
      </c>
      <c r="I904" s="101" t="s">
        <v>1892</v>
      </c>
      <c r="J904" s="101" t="s">
        <v>2402</v>
      </c>
      <c r="K904" s="100" t="s">
        <v>2775</v>
      </c>
      <c r="L904" s="101" t="n">
        <v>2021</v>
      </c>
      <c r="M904" s="101" t="s">
        <v>1561</v>
      </c>
    </row>
    <row r="905" customFormat="false" ht="15" hidden="false" customHeight="true" outlineLevel="0" collapsed="false">
      <c r="A905" s="101" t="n">
        <v>904</v>
      </c>
      <c r="B905" s="100" t="n">
        <v>558</v>
      </c>
      <c r="C905" s="100" t="s">
        <v>704</v>
      </c>
      <c r="D905" s="101" t="s">
        <v>111</v>
      </c>
      <c r="E905" s="101" t="s">
        <v>1222</v>
      </c>
      <c r="F905" s="101" t="s">
        <v>1222</v>
      </c>
      <c r="G905" s="101" t="s">
        <v>2319</v>
      </c>
      <c r="H905" s="101" t="s">
        <v>1251</v>
      </c>
      <c r="I905" s="101" t="s">
        <v>1892</v>
      </c>
      <c r="J905" s="101" t="s">
        <v>2776</v>
      </c>
      <c r="K905" s="100" t="s">
        <v>2777</v>
      </c>
      <c r="L905" s="101" t="n">
        <v>2021</v>
      </c>
      <c r="M905" s="101" t="s">
        <v>1553</v>
      </c>
    </row>
    <row r="906" customFormat="false" ht="15" hidden="false" customHeight="true" outlineLevel="0" collapsed="false">
      <c r="A906" s="101" t="n">
        <v>905</v>
      </c>
      <c r="B906" s="100" t="n">
        <v>559</v>
      </c>
      <c r="C906" s="100" t="s">
        <v>703</v>
      </c>
      <c r="D906" s="101" t="s">
        <v>111</v>
      </c>
      <c r="E906" s="101" t="s">
        <v>1222</v>
      </c>
      <c r="F906" s="101" t="s">
        <v>1222</v>
      </c>
      <c r="G906" s="101" t="s">
        <v>2310</v>
      </c>
      <c r="H906" s="101" t="s">
        <v>1251</v>
      </c>
      <c r="I906" s="101" t="s">
        <v>1892</v>
      </c>
      <c r="J906" s="101" t="s">
        <v>1989</v>
      </c>
      <c r="K906" s="100" t="s">
        <v>2778</v>
      </c>
      <c r="L906" s="101" t="n">
        <v>2021</v>
      </c>
      <c r="M906" s="101" t="s">
        <v>1553</v>
      </c>
    </row>
    <row r="907" customFormat="false" ht="15" hidden="false" customHeight="true" outlineLevel="0" collapsed="false">
      <c r="A907" s="101" t="n">
        <v>906</v>
      </c>
      <c r="B907" s="100" t="n">
        <v>560</v>
      </c>
      <c r="C907" s="100" t="s">
        <v>2779</v>
      </c>
      <c r="D907" s="101" t="s">
        <v>111</v>
      </c>
      <c r="E907" s="101" t="s">
        <v>1182</v>
      </c>
      <c r="F907" s="101" t="s">
        <v>1182</v>
      </c>
      <c r="G907" s="101"/>
      <c r="H907" s="101" t="s">
        <v>1251</v>
      </c>
      <c r="I907" s="101" t="s">
        <v>1296</v>
      </c>
      <c r="J907" s="101" t="s">
        <v>2780</v>
      </c>
      <c r="K907" s="100" t="s">
        <v>2781</v>
      </c>
      <c r="L907" s="101" t="n">
        <v>2021</v>
      </c>
      <c r="M907" s="101" t="s">
        <v>1553</v>
      </c>
    </row>
    <row r="908" customFormat="false" ht="15" hidden="false" customHeight="true" outlineLevel="0" collapsed="false">
      <c r="A908" s="101" t="n">
        <v>907</v>
      </c>
      <c r="B908" s="100" t="n">
        <v>561</v>
      </c>
      <c r="C908" s="100" t="s">
        <v>2782</v>
      </c>
      <c r="D908" s="101" t="s">
        <v>111</v>
      </c>
      <c r="E908" s="101" t="s">
        <v>1159</v>
      </c>
      <c r="F908" s="101" t="s">
        <v>1159</v>
      </c>
      <c r="G908" s="101"/>
      <c r="H908" s="101" t="s">
        <v>1251</v>
      </c>
      <c r="I908" s="101" t="s">
        <v>1607</v>
      </c>
      <c r="J908" s="101" t="s">
        <v>1883</v>
      </c>
      <c r="K908" s="100" t="s">
        <v>2783</v>
      </c>
      <c r="L908" s="101" t="n">
        <v>2022</v>
      </c>
      <c r="M908" s="101" t="s">
        <v>1561</v>
      </c>
    </row>
    <row r="909" customFormat="false" ht="15" hidden="false" customHeight="true" outlineLevel="0" collapsed="false">
      <c r="A909" s="101" t="n">
        <v>908</v>
      </c>
      <c r="B909" s="100" t="n">
        <v>562</v>
      </c>
      <c r="C909" s="100" t="s">
        <v>993</v>
      </c>
      <c r="D909" s="101" t="s">
        <v>111</v>
      </c>
      <c r="E909" s="101" t="s">
        <v>1199</v>
      </c>
      <c r="F909" s="101" t="s">
        <v>1199</v>
      </c>
      <c r="G909" s="101"/>
      <c r="H909" s="101" t="s">
        <v>1251</v>
      </c>
      <c r="I909" s="101" t="s">
        <v>2631</v>
      </c>
      <c r="J909" s="101" t="s">
        <v>2632</v>
      </c>
      <c r="K909" s="100" t="s">
        <v>2784</v>
      </c>
      <c r="L909" s="101" t="n">
        <v>2023</v>
      </c>
      <c r="M909" s="101" t="s">
        <v>1561</v>
      </c>
    </row>
    <row r="910" customFormat="false" ht="15" hidden="false" customHeight="true" outlineLevel="0" collapsed="false">
      <c r="A910" s="101" t="n">
        <v>909</v>
      </c>
      <c r="B910" s="100" t="n">
        <v>563</v>
      </c>
      <c r="C910" s="100" t="s">
        <v>140</v>
      </c>
      <c r="D910" s="101" t="s">
        <v>111</v>
      </c>
      <c r="E910" s="101" t="s">
        <v>1199</v>
      </c>
      <c r="F910" s="101" t="s">
        <v>1199</v>
      </c>
      <c r="G910" s="101"/>
      <c r="H910" s="101" t="s">
        <v>1251</v>
      </c>
      <c r="I910" s="101" t="s">
        <v>2631</v>
      </c>
      <c r="J910" s="101" t="s">
        <v>2632</v>
      </c>
      <c r="K910" s="100" t="s">
        <v>139</v>
      </c>
      <c r="L910" s="101" t="n">
        <v>2023</v>
      </c>
      <c r="M910" s="101" t="s">
        <v>1561</v>
      </c>
    </row>
    <row r="911" customFormat="false" ht="15" hidden="false" customHeight="true" outlineLevel="0" collapsed="false">
      <c r="A911" s="101" t="n">
        <v>910</v>
      </c>
      <c r="B911" s="100" t="n">
        <v>564</v>
      </c>
      <c r="C911" s="100" t="s">
        <v>702</v>
      </c>
      <c r="D911" s="101" t="s">
        <v>111</v>
      </c>
      <c r="E911" s="101" t="s">
        <v>1215</v>
      </c>
      <c r="F911" s="101" t="s">
        <v>1215</v>
      </c>
      <c r="G911" s="101"/>
      <c r="H911" s="101" t="s">
        <v>1251</v>
      </c>
      <c r="I911" s="101" t="s">
        <v>1505</v>
      </c>
      <c r="J911" s="101" t="s">
        <v>1992</v>
      </c>
      <c r="K911" s="100" t="s">
        <v>2785</v>
      </c>
      <c r="L911" s="101" t="n">
        <v>2023</v>
      </c>
      <c r="M911" s="101"/>
    </row>
    <row r="912" customFormat="false" ht="15" hidden="false" customHeight="true" outlineLevel="0" collapsed="false">
      <c r="A912" s="101" t="n">
        <v>911</v>
      </c>
      <c r="B912" s="100" t="n">
        <v>565</v>
      </c>
      <c r="C912" s="100" t="s">
        <v>701</v>
      </c>
      <c r="D912" s="101" t="s">
        <v>111</v>
      </c>
      <c r="E912" s="101" t="s">
        <v>1215</v>
      </c>
      <c r="F912" s="101" t="s">
        <v>1215</v>
      </c>
      <c r="G912" s="101"/>
      <c r="H912" s="101" t="s">
        <v>1251</v>
      </c>
      <c r="I912" s="101" t="s">
        <v>1505</v>
      </c>
      <c r="J912" s="101" t="s">
        <v>1992</v>
      </c>
      <c r="K912" s="100" t="s">
        <v>2786</v>
      </c>
      <c r="L912" s="101" t="n">
        <v>2023</v>
      </c>
      <c r="M912" s="101"/>
    </row>
    <row r="913" customFormat="false" ht="15" hidden="false" customHeight="true" outlineLevel="0" collapsed="false">
      <c r="A913" s="101" t="n">
        <v>912</v>
      </c>
      <c r="B913" s="100" t="n">
        <v>566</v>
      </c>
      <c r="C913" s="100" t="s">
        <v>700</v>
      </c>
      <c r="D913" s="101" t="s">
        <v>111</v>
      </c>
      <c r="E913" s="101" t="s">
        <v>1215</v>
      </c>
      <c r="F913" s="101" t="s">
        <v>1215</v>
      </c>
      <c r="G913" s="101"/>
      <c r="H913" s="101" t="s">
        <v>1251</v>
      </c>
      <c r="I913" s="101" t="s">
        <v>1505</v>
      </c>
      <c r="J913" s="101" t="s">
        <v>1898</v>
      </c>
      <c r="K913" s="100" t="s">
        <v>2787</v>
      </c>
      <c r="L913" s="101" t="n">
        <v>2023</v>
      </c>
      <c r="M913" s="101" t="s">
        <v>1553</v>
      </c>
    </row>
    <row r="914" customFormat="false" ht="15" hidden="false" customHeight="true" outlineLevel="0" collapsed="false">
      <c r="A914" s="101" t="n">
        <v>913</v>
      </c>
      <c r="B914" s="100" t="n">
        <v>567</v>
      </c>
      <c r="C914" s="100" t="s">
        <v>699</v>
      </c>
      <c r="D914" s="101" t="s">
        <v>111</v>
      </c>
      <c r="E914" s="101" t="s">
        <v>1215</v>
      </c>
      <c r="F914" s="101" t="s">
        <v>1215</v>
      </c>
      <c r="G914" s="101"/>
      <c r="H914" s="101" t="s">
        <v>1251</v>
      </c>
      <c r="I914" s="101" t="s">
        <v>1505</v>
      </c>
      <c r="J914" s="101" t="s">
        <v>1898</v>
      </c>
      <c r="K914" s="100" t="s">
        <v>2788</v>
      </c>
      <c r="L914" s="101" t="n">
        <v>2023</v>
      </c>
      <c r="M914" s="101" t="s">
        <v>1553</v>
      </c>
    </row>
    <row r="915" customFormat="false" ht="15" hidden="false" customHeight="true" outlineLevel="0" collapsed="false">
      <c r="A915" s="101" t="n">
        <v>914</v>
      </c>
      <c r="B915" s="100" t="n">
        <v>568</v>
      </c>
      <c r="C915" s="100" t="s">
        <v>698</v>
      </c>
      <c r="D915" s="101" t="s">
        <v>111</v>
      </c>
      <c r="E915" s="101" t="s">
        <v>1215</v>
      </c>
      <c r="F915" s="101" t="s">
        <v>1215</v>
      </c>
      <c r="G915" s="101"/>
      <c r="H915" s="101" t="s">
        <v>1251</v>
      </c>
      <c r="I915" s="101" t="s">
        <v>1505</v>
      </c>
      <c r="J915" s="101" t="s">
        <v>1898</v>
      </c>
      <c r="K915" s="100" t="s">
        <v>2789</v>
      </c>
      <c r="L915" s="101" t="n">
        <v>2023</v>
      </c>
      <c r="M915" s="101" t="s">
        <v>1553</v>
      </c>
    </row>
    <row r="916" customFormat="false" ht="15" hidden="false" customHeight="true" outlineLevel="0" collapsed="false">
      <c r="A916" s="101" t="n">
        <v>915</v>
      </c>
      <c r="B916" s="100" t="n">
        <v>569</v>
      </c>
      <c r="C916" s="100" t="s">
        <v>697</v>
      </c>
      <c r="D916" s="101" t="s">
        <v>111</v>
      </c>
      <c r="E916" s="101" t="s">
        <v>1215</v>
      </c>
      <c r="F916" s="101" t="s">
        <v>1215</v>
      </c>
      <c r="G916" s="101"/>
      <c r="H916" s="101" t="s">
        <v>1251</v>
      </c>
      <c r="I916" s="101" t="s">
        <v>1505</v>
      </c>
      <c r="J916" s="101" t="s">
        <v>1898</v>
      </c>
      <c r="K916" s="100" t="s">
        <v>2790</v>
      </c>
      <c r="L916" s="101" t="n">
        <v>2023</v>
      </c>
      <c r="M916" s="101" t="s">
        <v>1553</v>
      </c>
    </row>
    <row r="917" customFormat="false" ht="15" hidden="false" customHeight="true" outlineLevel="0" collapsed="false">
      <c r="A917" s="101" t="n">
        <v>916</v>
      </c>
      <c r="B917" s="100" t="n">
        <v>570</v>
      </c>
      <c r="C917" s="100" t="s">
        <v>696</v>
      </c>
      <c r="D917" s="101" t="s">
        <v>111</v>
      </c>
      <c r="E917" s="101" t="s">
        <v>1215</v>
      </c>
      <c r="F917" s="101" t="s">
        <v>1215</v>
      </c>
      <c r="G917" s="101"/>
      <c r="H917" s="101" t="s">
        <v>1251</v>
      </c>
      <c r="I917" s="101" t="s">
        <v>1505</v>
      </c>
      <c r="J917" s="101" t="s">
        <v>1898</v>
      </c>
      <c r="K917" s="100" t="s">
        <v>2791</v>
      </c>
      <c r="L917" s="101" t="n">
        <v>2023</v>
      </c>
      <c r="M917" s="101" t="s">
        <v>1553</v>
      </c>
    </row>
    <row r="918" customFormat="false" ht="15" hidden="false" customHeight="true" outlineLevel="0" collapsed="false">
      <c r="A918" s="101" t="n">
        <v>917</v>
      </c>
      <c r="B918" s="100" t="n">
        <v>571</v>
      </c>
      <c r="C918" s="100" t="s">
        <v>695</v>
      </c>
      <c r="D918" s="101" t="s">
        <v>111</v>
      </c>
      <c r="E918" s="101" t="s">
        <v>1215</v>
      </c>
      <c r="F918" s="101" t="s">
        <v>1215</v>
      </c>
      <c r="G918" s="101"/>
      <c r="H918" s="101" t="s">
        <v>1251</v>
      </c>
      <c r="I918" s="101" t="s">
        <v>1505</v>
      </c>
      <c r="J918" s="101" t="s">
        <v>1898</v>
      </c>
      <c r="K918" s="100" t="s">
        <v>2792</v>
      </c>
      <c r="L918" s="101" t="n">
        <v>2023</v>
      </c>
      <c r="M918" s="101" t="s">
        <v>1553</v>
      </c>
    </row>
    <row r="919" customFormat="false" ht="15" hidden="false" customHeight="true" outlineLevel="0" collapsed="false">
      <c r="A919" s="101" t="n">
        <v>918</v>
      </c>
      <c r="B919" s="100" t="n">
        <v>572</v>
      </c>
      <c r="C919" s="100" t="s">
        <v>694</v>
      </c>
      <c r="D919" s="101" t="s">
        <v>111</v>
      </c>
      <c r="E919" s="101" t="s">
        <v>1215</v>
      </c>
      <c r="F919" s="101" t="s">
        <v>1215</v>
      </c>
      <c r="G919" s="101"/>
      <c r="H919" s="101" t="s">
        <v>1251</v>
      </c>
      <c r="I919" s="101" t="s">
        <v>1505</v>
      </c>
      <c r="J919" s="101" t="s">
        <v>1898</v>
      </c>
      <c r="K919" s="100" t="s">
        <v>2793</v>
      </c>
      <c r="L919" s="101" t="n">
        <v>2023</v>
      </c>
      <c r="M919" s="101" t="s">
        <v>1553</v>
      </c>
    </row>
    <row r="920" customFormat="false" ht="15" hidden="false" customHeight="true" outlineLevel="0" collapsed="false">
      <c r="A920" s="101" t="n">
        <v>919</v>
      </c>
      <c r="B920" s="100" t="n">
        <v>573</v>
      </c>
      <c r="C920" s="100" t="s">
        <v>693</v>
      </c>
      <c r="D920" s="101" t="s">
        <v>111</v>
      </c>
      <c r="E920" s="101" t="s">
        <v>1215</v>
      </c>
      <c r="F920" s="101" t="s">
        <v>1215</v>
      </c>
      <c r="G920" s="101"/>
      <c r="H920" s="101" t="s">
        <v>1251</v>
      </c>
      <c r="I920" s="101" t="s">
        <v>1505</v>
      </c>
      <c r="J920" s="101" t="s">
        <v>1898</v>
      </c>
      <c r="K920" s="100" t="s">
        <v>2794</v>
      </c>
      <c r="L920" s="101" t="n">
        <v>2023</v>
      </c>
      <c r="M920" s="101" t="s">
        <v>1553</v>
      </c>
    </row>
    <row r="921" customFormat="false" ht="15" hidden="false" customHeight="true" outlineLevel="0" collapsed="false">
      <c r="A921" s="101" t="n">
        <v>920</v>
      </c>
      <c r="B921" s="100" t="n">
        <v>574</v>
      </c>
      <c r="C921" s="100" t="s">
        <v>692</v>
      </c>
      <c r="D921" s="101" t="s">
        <v>111</v>
      </c>
      <c r="E921" s="101" t="s">
        <v>1215</v>
      </c>
      <c r="F921" s="101" t="s">
        <v>1215</v>
      </c>
      <c r="G921" s="101"/>
      <c r="H921" s="101" t="s">
        <v>1251</v>
      </c>
      <c r="I921" s="101" t="s">
        <v>1505</v>
      </c>
      <c r="J921" s="101" t="s">
        <v>1898</v>
      </c>
      <c r="K921" s="100" t="s">
        <v>2795</v>
      </c>
      <c r="L921" s="101" t="n">
        <v>2023</v>
      </c>
      <c r="M921" s="101" t="s">
        <v>1553</v>
      </c>
    </row>
    <row r="922" customFormat="false" ht="15" hidden="false" customHeight="true" outlineLevel="0" collapsed="false">
      <c r="A922" s="101" t="n">
        <v>921</v>
      </c>
      <c r="B922" s="100" t="n">
        <v>575</v>
      </c>
      <c r="C922" s="100" t="s">
        <v>222</v>
      </c>
      <c r="D922" s="101" t="s">
        <v>111</v>
      </c>
      <c r="E922" s="101" t="s">
        <v>1144</v>
      </c>
      <c r="F922" s="101" t="s">
        <v>2173</v>
      </c>
      <c r="G922" s="101" t="s">
        <v>2796</v>
      </c>
      <c r="H922" s="101" t="s">
        <v>1251</v>
      </c>
      <c r="I922" s="101" t="s">
        <v>2797</v>
      </c>
      <c r="J922" s="101" t="s">
        <v>1997</v>
      </c>
      <c r="K922" s="100" t="s">
        <v>221</v>
      </c>
      <c r="L922" s="101" t="n">
        <v>2024</v>
      </c>
      <c r="M922" s="101" t="s">
        <v>1553</v>
      </c>
    </row>
    <row r="923" customFormat="false" ht="15" hidden="false" customHeight="true" outlineLevel="0" collapsed="false">
      <c r="A923" s="101" t="n">
        <v>922</v>
      </c>
      <c r="B923" s="100" t="n">
        <v>576</v>
      </c>
      <c r="C923" s="100" t="s">
        <v>225</v>
      </c>
      <c r="D923" s="101" t="s">
        <v>111</v>
      </c>
      <c r="E923" s="101" t="s">
        <v>1144</v>
      </c>
      <c r="F923" s="101" t="s">
        <v>2173</v>
      </c>
      <c r="G923" s="101" t="s">
        <v>2798</v>
      </c>
      <c r="H923" s="101" t="s">
        <v>1251</v>
      </c>
      <c r="I923" s="101" t="s">
        <v>2797</v>
      </c>
      <c r="J923" s="101" t="s">
        <v>1997</v>
      </c>
      <c r="K923" s="100" t="s">
        <v>224</v>
      </c>
      <c r="L923" s="101" t="n">
        <v>2024</v>
      </c>
      <c r="M923" s="101" t="s">
        <v>1553</v>
      </c>
    </row>
    <row r="924" customFormat="false" ht="15" hidden="false" customHeight="true" outlineLevel="0" collapsed="false">
      <c r="A924" s="101" t="n">
        <v>923</v>
      </c>
      <c r="B924" s="100" t="n">
        <v>577</v>
      </c>
      <c r="C924" s="100" t="s">
        <v>227</v>
      </c>
      <c r="D924" s="101" t="s">
        <v>111</v>
      </c>
      <c r="E924" s="101" t="s">
        <v>1144</v>
      </c>
      <c r="F924" s="101" t="s">
        <v>2173</v>
      </c>
      <c r="G924" s="101" t="s">
        <v>2796</v>
      </c>
      <c r="H924" s="101" t="s">
        <v>1251</v>
      </c>
      <c r="I924" s="101" t="s">
        <v>2797</v>
      </c>
      <c r="J924" s="101" t="s">
        <v>1997</v>
      </c>
      <c r="K924" s="100" t="s">
        <v>226</v>
      </c>
      <c r="L924" s="101" t="n">
        <v>2024</v>
      </c>
      <c r="M924" s="101" t="s">
        <v>1553</v>
      </c>
    </row>
    <row r="925" customFormat="false" ht="15" hidden="false" customHeight="true" outlineLevel="0" collapsed="false">
      <c r="A925" s="101" t="n">
        <v>924</v>
      </c>
      <c r="B925" s="100" t="n">
        <v>578</v>
      </c>
      <c r="C925" s="100" t="s">
        <v>229</v>
      </c>
      <c r="D925" s="101" t="s">
        <v>111</v>
      </c>
      <c r="E925" s="101" t="s">
        <v>1144</v>
      </c>
      <c r="F925" s="101" t="s">
        <v>2173</v>
      </c>
      <c r="G925" s="101" t="s">
        <v>2798</v>
      </c>
      <c r="H925" s="101" t="s">
        <v>1251</v>
      </c>
      <c r="I925" s="101" t="s">
        <v>2797</v>
      </c>
      <c r="J925" s="101" t="s">
        <v>1997</v>
      </c>
      <c r="K925" s="100" t="s">
        <v>228</v>
      </c>
      <c r="L925" s="101" t="n">
        <v>2024</v>
      </c>
      <c r="M925" s="101" t="s">
        <v>1553</v>
      </c>
    </row>
    <row r="926" customFormat="false" ht="15" hidden="false" customHeight="true" outlineLevel="0" collapsed="false">
      <c r="A926" s="101"/>
      <c r="B926" s="100"/>
      <c r="C926" s="100"/>
      <c r="D926" s="101"/>
      <c r="E926" s="101"/>
      <c r="F926" s="101"/>
      <c r="G926" s="101"/>
      <c r="H926" s="101"/>
      <c r="I926" s="101"/>
      <c r="J926" s="101"/>
      <c r="K926" s="100"/>
      <c r="L926" s="101"/>
      <c r="M926" s="101"/>
    </row>
    <row r="927" customFormat="false" ht="15" hidden="false" customHeight="true" outlineLevel="0" collapsed="false">
      <c r="A927" s="101"/>
      <c r="B927" s="100"/>
      <c r="C927" s="100"/>
      <c r="D927" s="101"/>
      <c r="E927" s="101"/>
      <c r="F927" s="101"/>
      <c r="G927" s="101"/>
      <c r="H927" s="101"/>
      <c r="I927" s="101"/>
      <c r="J927" s="101"/>
      <c r="K927" s="100"/>
      <c r="L927" s="101"/>
      <c r="M927" s="101"/>
    </row>
    <row r="928" customFormat="false" ht="15" hidden="false" customHeight="true" outlineLevel="0" collapsed="false">
      <c r="A928" s="101"/>
      <c r="B928" s="100"/>
      <c r="C928" s="100"/>
      <c r="D928" s="101"/>
      <c r="E928" s="101"/>
      <c r="F928" s="101"/>
      <c r="G928" s="101"/>
      <c r="H928" s="101"/>
      <c r="I928" s="101"/>
      <c r="J928" s="101"/>
      <c r="K928" s="100"/>
      <c r="L928" s="101"/>
      <c r="M928" s="101"/>
    </row>
    <row r="929" customFormat="false" ht="15" hidden="false" customHeight="true" outlineLevel="0" collapsed="false">
      <c r="A929" s="101"/>
      <c r="B929" s="100"/>
      <c r="C929" s="100"/>
      <c r="D929" s="101"/>
      <c r="E929" s="101"/>
      <c r="F929" s="101"/>
      <c r="G929" s="101"/>
      <c r="H929" s="101"/>
      <c r="I929" s="101"/>
      <c r="J929" s="101"/>
      <c r="K929" s="100"/>
      <c r="L929" s="101"/>
      <c r="M929" s="101"/>
    </row>
    <row r="930" customFormat="false" ht="15" hidden="false" customHeight="true" outlineLevel="0" collapsed="false">
      <c r="A930" s="101" t="n">
        <v>929</v>
      </c>
      <c r="B930" s="100" t="n">
        <v>5</v>
      </c>
      <c r="C930" s="100" t="s">
        <v>359</v>
      </c>
      <c r="D930" s="101" t="s">
        <v>198</v>
      </c>
      <c r="E930" s="101" t="s">
        <v>1161</v>
      </c>
      <c r="F930" s="101" t="s">
        <v>1161</v>
      </c>
      <c r="G930" s="101" t="s">
        <v>1433</v>
      </c>
      <c r="H930" s="101" t="s">
        <v>1251</v>
      </c>
      <c r="I930" s="101" t="s">
        <v>2799</v>
      </c>
      <c r="J930" s="101" t="s">
        <v>2800</v>
      </c>
      <c r="K930" s="100" t="s">
        <v>2801</v>
      </c>
      <c r="L930" s="101" t="n">
        <v>2008</v>
      </c>
      <c r="M930" s="101"/>
    </row>
    <row r="931" customFormat="false" ht="15" hidden="false" customHeight="true" outlineLevel="0" collapsed="false">
      <c r="A931" s="101" t="n">
        <v>930</v>
      </c>
      <c r="B931" s="100" t="n">
        <v>6</v>
      </c>
      <c r="C931" s="100" t="s">
        <v>514</v>
      </c>
      <c r="D931" s="101" t="s">
        <v>198</v>
      </c>
      <c r="E931" s="101" t="s">
        <v>1161</v>
      </c>
      <c r="F931" s="101" t="s">
        <v>1161</v>
      </c>
      <c r="G931" s="101" t="s">
        <v>1433</v>
      </c>
      <c r="H931" s="101" t="s">
        <v>1251</v>
      </c>
      <c r="I931" s="101" t="s">
        <v>2799</v>
      </c>
      <c r="J931" s="101" t="s">
        <v>2800</v>
      </c>
      <c r="K931" s="100" t="s">
        <v>2802</v>
      </c>
      <c r="L931" s="101" t="n">
        <v>2009</v>
      </c>
      <c r="M931" s="101"/>
    </row>
    <row r="932" customFormat="false" ht="15" hidden="false" customHeight="true" outlineLevel="0" collapsed="false">
      <c r="A932" s="101"/>
      <c r="B932" s="100"/>
      <c r="C932" s="100"/>
      <c r="D932" s="101"/>
      <c r="E932" s="101"/>
      <c r="F932" s="101"/>
      <c r="G932" s="101"/>
      <c r="H932" s="101"/>
      <c r="I932" s="101"/>
      <c r="J932" s="101"/>
      <c r="K932" s="100"/>
      <c r="L932" s="101"/>
      <c r="M932" s="101"/>
    </row>
    <row r="933" customFormat="false" ht="15" hidden="false" customHeight="true" outlineLevel="0" collapsed="false">
      <c r="A933" s="101" t="n">
        <v>932</v>
      </c>
      <c r="B933" s="100" t="n">
        <v>8</v>
      </c>
      <c r="C933" s="100" t="s">
        <v>200</v>
      </c>
      <c r="D933" s="101" t="s">
        <v>198</v>
      </c>
      <c r="E933" s="101" t="s">
        <v>1204</v>
      </c>
      <c r="F933" s="101"/>
      <c r="G933" s="101"/>
      <c r="H933" s="101" t="s">
        <v>1251</v>
      </c>
      <c r="I933" s="101" t="s">
        <v>2799</v>
      </c>
      <c r="J933" s="101" t="s">
        <v>2800</v>
      </c>
      <c r="K933" s="100" t="s">
        <v>199</v>
      </c>
      <c r="L933" s="101" t="n">
        <v>2005</v>
      </c>
      <c r="M933" s="101"/>
    </row>
    <row r="934" customFormat="false" ht="15" hidden="false" customHeight="true" outlineLevel="0" collapsed="false">
      <c r="A934" s="101"/>
      <c r="B934" s="100"/>
      <c r="C934" s="100"/>
      <c r="D934" s="101"/>
      <c r="E934" s="101"/>
      <c r="F934" s="101"/>
      <c r="G934" s="101"/>
      <c r="H934" s="101"/>
      <c r="I934" s="101"/>
      <c r="J934" s="101"/>
      <c r="K934" s="100"/>
      <c r="L934" s="101"/>
      <c r="M934" s="101"/>
    </row>
    <row r="935" customFormat="false" ht="15" hidden="false" customHeight="true" outlineLevel="0" collapsed="false">
      <c r="A935" s="101"/>
      <c r="B935" s="100"/>
      <c r="C935" s="100"/>
      <c r="D935" s="101"/>
      <c r="E935" s="101"/>
      <c r="F935" s="101"/>
      <c r="G935" s="101"/>
      <c r="H935" s="101"/>
      <c r="I935" s="101"/>
      <c r="J935" s="101"/>
      <c r="K935" s="100"/>
      <c r="L935" s="101"/>
      <c r="M935" s="101"/>
    </row>
    <row r="936" customFormat="false" ht="15" hidden="false" customHeight="true" outlineLevel="0" collapsed="false">
      <c r="A936" s="101"/>
      <c r="B936" s="100"/>
      <c r="C936" s="100"/>
      <c r="D936" s="101"/>
      <c r="E936" s="101"/>
      <c r="F936" s="101"/>
      <c r="G936" s="101"/>
      <c r="H936" s="101"/>
      <c r="I936" s="101"/>
      <c r="J936" s="101"/>
      <c r="K936" s="100"/>
      <c r="L936" s="101"/>
      <c r="M936" s="101"/>
    </row>
    <row r="937" customFormat="false" ht="15" hidden="false" customHeight="true" outlineLevel="0" collapsed="false">
      <c r="A937" s="101" t="n">
        <v>936</v>
      </c>
      <c r="B937" s="100" t="n">
        <v>12</v>
      </c>
      <c r="C937" s="100" t="s">
        <v>912</v>
      </c>
      <c r="D937" s="101" t="s">
        <v>198</v>
      </c>
      <c r="E937" s="101" t="s">
        <v>1204</v>
      </c>
      <c r="F937" s="101"/>
      <c r="G937" s="101"/>
      <c r="H937" s="101" t="s">
        <v>1235</v>
      </c>
      <c r="I937" s="101" t="s">
        <v>2799</v>
      </c>
      <c r="J937" s="101" t="s">
        <v>2803</v>
      </c>
      <c r="K937" s="100" t="s">
        <v>2804</v>
      </c>
      <c r="L937" s="101" t="n">
        <v>2024</v>
      </c>
      <c r="M937" s="101"/>
    </row>
    <row r="938" customFormat="false" ht="15" hidden="false" customHeight="true" outlineLevel="0" collapsed="false">
      <c r="A938" s="101" t="n">
        <v>937</v>
      </c>
      <c r="B938" s="100" t="n">
        <v>13</v>
      </c>
      <c r="C938" s="100" t="s">
        <v>911</v>
      </c>
      <c r="D938" s="101" t="s">
        <v>198</v>
      </c>
      <c r="E938" s="101" t="s">
        <v>1204</v>
      </c>
      <c r="F938" s="101"/>
      <c r="G938" s="101"/>
      <c r="H938" s="101" t="s">
        <v>1235</v>
      </c>
      <c r="I938" s="101" t="s">
        <v>2799</v>
      </c>
      <c r="J938" s="101" t="s">
        <v>2803</v>
      </c>
      <c r="K938" s="100" t="s">
        <v>2805</v>
      </c>
      <c r="L938" s="101" t="n">
        <v>2024</v>
      </c>
      <c r="M938" s="101"/>
    </row>
    <row r="939" customFormat="false" ht="15" hidden="false" customHeight="true" outlineLevel="0" collapsed="false">
      <c r="A939" s="101" t="n">
        <v>938</v>
      </c>
      <c r="B939" s="100" t="n">
        <v>14</v>
      </c>
      <c r="C939" s="100" t="s">
        <v>910</v>
      </c>
      <c r="D939" s="101" t="s">
        <v>198</v>
      </c>
      <c r="E939" s="101" t="s">
        <v>1204</v>
      </c>
      <c r="F939" s="101"/>
      <c r="G939" s="101"/>
      <c r="H939" s="101" t="s">
        <v>1235</v>
      </c>
      <c r="I939" s="101" t="s">
        <v>2799</v>
      </c>
      <c r="J939" s="101" t="s">
        <v>2803</v>
      </c>
      <c r="K939" s="100" t="s">
        <v>2806</v>
      </c>
      <c r="L939" s="101" t="n">
        <v>2024</v>
      </c>
      <c r="M939" s="101"/>
    </row>
    <row r="940" customFormat="false" ht="15" hidden="false" customHeight="true" outlineLevel="0" collapsed="false">
      <c r="A940" s="101"/>
      <c r="B940" s="100"/>
      <c r="C940" s="100"/>
      <c r="D940" s="101"/>
      <c r="E940" s="101"/>
      <c r="F940" s="101"/>
      <c r="G940" s="101"/>
      <c r="H940" s="101"/>
      <c r="I940" s="101"/>
      <c r="J940" s="101"/>
      <c r="K940" s="100"/>
      <c r="L940" s="101"/>
      <c r="M940" s="101"/>
    </row>
    <row r="941" customFormat="false" ht="15" hidden="false" customHeight="true" outlineLevel="0" collapsed="false">
      <c r="A941" s="101"/>
      <c r="B941" s="100"/>
      <c r="C941" s="100"/>
      <c r="D941" s="101"/>
      <c r="E941" s="101"/>
      <c r="F941" s="101"/>
      <c r="G941" s="101"/>
      <c r="H941" s="101"/>
      <c r="I941" s="101"/>
      <c r="J941" s="101"/>
      <c r="K941" s="100"/>
      <c r="L941" s="101"/>
      <c r="M941" s="101"/>
    </row>
    <row r="942" customFormat="false" ht="15" hidden="false" customHeight="true" outlineLevel="0" collapsed="false">
      <c r="A942" s="101"/>
      <c r="B942" s="100"/>
      <c r="C942" s="100"/>
      <c r="D942" s="101"/>
      <c r="E942" s="101"/>
      <c r="F942" s="101"/>
      <c r="G942" s="101"/>
      <c r="H942" s="101"/>
      <c r="I942" s="101"/>
      <c r="J942" s="101"/>
      <c r="K942" s="100"/>
      <c r="L942" s="101"/>
      <c r="M942" s="101"/>
    </row>
    <row r="943" customFormat="false" ht="15" hidden="false" customHeight="true" outlineLevel="0" collapsed="false">
      <c r="A943" s="101"/>
      <c r="B943" s="100"/>
      <c r="C943" s="100"/>
      <c r="D943" s="101"/>
      <c r="E943" s="101"/>
      <c r="F943" s="101"/>
      <c r="G943" s="101"/>
      <c r="H943" s="101"/>
      <c r="I943" s="101"/>
      <c r="J943" s="101"/>
      <c r="K943" s="100"/>
      <c r="L943" s="101"/>
      <c r="M943" s="101"/>
    </row>
    <row r="944" customFormat="false" ht="15" hidden="false" customHeight="true" outlineLevel="0" collapsed="false">
      <c r="A944" s="101" t="n">
        <v>943</v>
      </c>
      <c r="B944" s="100" t="n">
        <v>19</v>
      </c>
      <c r="C944" s="100" t="s">
        <v>1025</v>
      </c>
      <c r="D944" s="101" t="s">
        <v>198</v>
      </c>
      <c r="E944" s="101" t="s">
        <v>1161</v>
      </c>
      <c r="F944" s="101" t="s">
        <v>1161</v>
      </c>
      <c r="G944" s="101" t="s">
        <v>1433</v>
      </c>
      <c r="H944" s="101" t="s">
        <v>1251</v>
      </c>
      <c r="I944" s="101" t="s">
        <v>2799</v>
      </c>
      <c r="J944" s="101" t="s">
        <v>2807</v>
      </c>
      <c r="K944" s="100" t="s">
        <v>2808</v>
      </c>
      <c r="L944" s="101" t="n">
        <v>2012</v>
      </c>
      <c r="M944" s="101"/>
    </row>
    <row r="945" customFormat="false" ht="15" hidden="false" customHeight="true" outlineLevel="0" collapsed="false">
      <c r="A945" s="101" t="n">
        <v>944</v>
      </c>
      <c r="B945" s="100" t="n">
        <v>20</v>
      </c>
      <c r="C945" s="100" t="s">
        <v>909</v>
      </c>
      <c r="D945" s="101" t="s">
        <v>198</v>
      </c>
      <c r="E945" s="101" t="s">
        <v>1213</v>
      </c>
      <c r="F945" s="101" t="s">
        <v>1468</v>
      </c>
      <c r="G945" s="101"/>
      <c r="H945" s="101" t="s">
        <v>1251</v>
      </c>
      <c r="I945" s="101" t="s">
        <v>2809</v>
      </c>
      <c r="J945" s="101" t="s">
        <v>2810</v>
      </c>
      <c r="K945" s="100" t="s">
        <v>2811</v>
      </c>
      <c r="L945" s="101" t="n">
        <v>2013</v>
      </c>
      <c r="M945" s="101"/>
    </row>
    <row r="946" customFormat="false" ht="15" hidden="false" customHeight="true" outlineLevel="0" collapsed="false">
      <c r="A946" s="101" t="n">
        <v>945</v>
      </c>
      <c r="B946" s="100" t="n">
        <v>21</v>
      </c>
      <c r="C946" s="100" t="s">
        <v>908</v>
      </c>
      <c r="D946" s="101" t="s">
        <v>198</v>
      </c>
      <c r="E946" s="101" t="s">
        <v>1204</v>
      </c>
      <c r="F946" s="101"/>
      <c r="G946" s="101"/>
      <c r="H946" s="101" t="s">
        <v>1251</v>
      </c>
      <c r="I946" s="101" t="s">
        <v>2799</v>
      </c>
      <c r="J946" s="101" t="s">
        <v>2812</v>
      </c>
      <c r="K946" s="100" t="s">
        <v>2813</v>
      </c>
      <c r="L946" s="101" t="n">
        <v>2016</v>
      </c>
      <c r="M946" s="101"/>
    </row>
    <row r="947" customFormat="false" ht="15" hidden="false" customHeight="true" outlineLevel="0" collapsed="false">
      <c r="A947" s="101" t="n">
        <v>946</v>
      </c>
      <c r="B947" s="100" t="n">
        <v>22</v>
      </c>
      <c r="C947" s="100" t="s">
        <v>907</v>
      </c>
      <c r="D947" s="101" t="s">
        <v>198</v>
      </c>
      <c r="E947" s="101" t="s">
        <v>1204</v>
      </c>
      <c r="F947" s="101"/>
      <c r="G947" s="101"/>
      <c r="H947" s="101" t="s">
        <v>1251</v>
      </c>
      <c r="I947" s="101" t="s">
        <v>2799</v>
      </c>
      <c r="J947" s="101" t="s">
        <v>2812</v>
      </c>
      <c r="K947" s="100" t="s">
        <v>2814</v>
      </c>
      <c r="L947" s="101" t="n">
        <v>2016</v>
      </c>
      <c r="M947" s="101"/>
    </row>
    <row r="948" customFormat="false" ht="15" hidden="false" customHeight="true" outlineLevel="0" collapsed="false">
      <c r="A948" s="101" t="n">
        <v>947</v>
      </c>
      <c r="B948" s="100" t="n">
        <v>23</v>
      </c>
      <c r="C948" s="100" t="s">
        <v>906</v>
      </c>
      <c r="D948" s="101" t="s">
        <v>198</v>
      </c>
      <c r="E948" s="101" t="s">
        <v>1204</v>
      </c>
      <c r="F948" s="101"/>
      <c r="G948" s="101"/>
      <c r="H948" s="101" t="s">
        <v>1251</v>
      </c>
      <c r="I948" s="101" t="s">
        <v>2799</v>
      </c>
      <c r="J948" s="101" t="s">
        <v>2812</v>
      </c>
      <c r="K948" s="100" t="s">
        <v>2815</v>
      </c>
      <c r="L948" s="101" t="n">
        <v>2016</v>
      </c>
      <c r="M948" s="101"/>
    </row>
    <row r="949" customFormat="false" ht="15" hidden="false" customHeight="true" outlineLevel="0" collapsed="false">
      <c r="A949" s="101"/>
      <c r="B949" s="100"/>
      <c r="C949" s="100"/>
      <c r="D949" s="101"/>
      <c r="E949" s="101"/>
      <c r="F949" s="101"/>
      <c r="G949" s="101"/>
      <c r="H949" s="101"/>
      <c r="I949" s="101"/>
      <c r="J949" s="101"/>
      <c r="K949" s="100"/>
      <c r="L949" s="101"/>
      <c r="M949" s="101"/>
    </row>
    <row r="950" customFormat="false" ht="15" hidden="false" customHeight="true" outlineLevel="0" collapsed="false">
      <c r="A950" s="101"/>
      <c r="B950" s="100"/>
      <c r="C950" s="100"/>
      <c r="D950" s="101"/>
      <c r="E950" s="101"/>
      <c r="F950" s="101"/>
      <c r="G950" s="101"/>
      <c r="H950" s="101"/>
      <c r="I950" s="101"/>
      <c r="J950" s="101"/>
      <c r="K950" s="100"/>
      <c r="L950" s="101"/>
      <c r="M950" s="101"/>
    </row>
    <row r="951" customFormat="false" ht="15" hidden="false" customHeight="true" outlineLevel="0" collapsed="false">
      <c r="A951" s="101"/>
      <c r="B951" s="100"/>
      <c r="C951" s="100"/>
      <c r="D951" s="101"/>
      <c r="E951" s="101"/>
      <c r="F951" s="101"/>
      <c r="G951" s="101"/>
      <c r="H951" s="101"/>
      <c r="I951" s="101"/>
      <c r="J951" s="101"/>
      <c r="K951" s="100"/>
      <c r="L951" s="101"/>
      <c r="M951" s="101"/>
    </row>
    <row r="952" customFormat="false" ht="15" hidden="false" customHeight="true" outlineLevel="0" collapsed="false">
      <c r="A952" s="101"/>
      <c r="B952" s="100"/>
      <c r="C952" s="100"/>
      <c r="D952" s="101"/>
      <c r="E952" s="101"/>
      <c r="F952" s="101"/>
      <c r="G952" s="101"/>
      <c r="H952" s="101"/>
      <c r="I952" s="101"/>
      <c r="J952" s="101"/>
      <c r="K952" s="100"/>
      <c r="L952" s="101"/>
      <c r="M952" s="101"/>
    </row>
    <row r="953" customFormat="false" ht="15" hidden="false" customHeight="true" outlineLevel="0" collapsed="false">
      <c r="A953" s="101"/>
      <c r="B953" s="100"/>
      <c r="C953" s="100"/>
      <c r="D953" s="101"/>
      <c r="E953" s="101"/>
      <c r="F953" s="101"/>
      <c r="G953" s="101"/>
      <c r="H953" s="101"/>
      <c r="I953" s="101"/>
      <c r="J953" s="101"/>
      <c r="K953" s="100"/>
      <c r="L953" s="101"/>
      <c r="M953" s="101"/>
    </row>
    <row r="954" customFormat="false" ht="15" hidden="false" customHeight="true" outlineLevel="0" collapsed="false">
      <c r="A954" s="101"/>
      <c r="B954" s="100"/>
      <c r="C954" s="100"/>
      <c r="D954" s="101"/>
      <c r="E954" s="101"/>
      <c r="F954" s="101"/>
      <c r="G954" s="101"/>
      <c r="H954" s="101"/>
      <c r="I954" s="101"/>
      <c r="J954" s="101"/>
      <c r="K954" s="100"/>
      <c r="L954" s="101"/>
      <c r="M954" s="101"/>
    </row>
    <row r="955" customFormat="false" ht="15" hidden="false" customHeight="true" outlineLevel="0" collapsed="false">
      <c r="A955" s="101" t="n">
        <v>954</v>
      </c>
      <c r="B955" s="100" t="n">
        <v>30</v>
      </c>
      <c r="C955" s="100" t="s">
        <v>237</v>
      </c>
      <c r="D955" s="101" t="s">
        <v>198</v>
      </c>
      <c r="E955" s="101" t="s">
        <v>1161</v>
      </c>
      <c r="F955" s="101" t="s">
        <v>1161</v>
      </c>
      <c r="G955" s="101"/>
      <c r="H955" s="101" t="s">
        <v>1251</v>
      </c>
      <c r="I955" s="101" t="s">
        <v>2799</v>
      </c>
      <c r="J955" s="101" t="s">
        <v>2812</v>
      </c>
      <c r="K955" s="100" t="s">
        <v>236</v>
      </c>
      <c r="L955" s="101" t="n">
        <v>2023</v>
      </c>
      <c r="M955" s="101"/>
    </row>
    <row r="956" customFormat="false" ht="15" hidden="false" customHeight="true" outlineLevel="0" collapsed="false">
      <c r="A956" s="101" t="n">
        <v>955</v>
      </c>
      <c r="B956" s="100" t="n">
        <v>31</v>
      </c>
      <c r="C956" s="100" t="s">
        <v>1024</v>
      </c>
      <c r="D956" s="101" t="s">
        <v>198</v>
      </c>
      <c r="E956" s="101" t="s">
        <v>1161</v>
      </c>
      <c r="F956" s="101" t="s">
        <v>1161</v>
      </c>
      <c r="G956" s="101"/>
      <c r="H956" s="101" t="s">
        <v>1251</v>
      </c>
      <c r="I956" s="101" t="s">
        <v>2799</v>
      </c>
      <c r="J956" s="101" t="s">
        <v>2812</v>
      </c>
      <c r="K956" s="100" t="s">
        <v>2816</v>
      </c>
      <c r="L956" s="101" t="n">
        <v>2023</v>
      </c>
      <c r="M956" s="101"/>
    </row>
    <row r="957" customFormat="false" ht="15" hidden="false" customHeight="true" outlineLevel="0" collapsed="false">
      <c r="A957" s="101" t="n">
        <v>956</v>
      </c>
      <c r="B957" s="100" t="n">
        <v>32</v>
      </c>
      <c r="C957" s="100" t="s">
        <v>1012</v>
      </c>
      <c r="D957" s="101" t="s">
        <v>198</v>
      </c>
      <c r="E957" s="101" t="s">
        <v>1161</v>
      </c>
      <c r="F957" s="101" t="s">
        <v>1161</v>
      </c>
      <c r="G957" s="101"/>
      <c r="H957" s="101" t="s">
        <v>1251</v>
      </c>
      <c r="I957" s="101" t="s">
        <v>2799</v>
      </c>
      <c r="J957" s="101" t="s">
        <v>2812</v>
      </c>
      <c r="K957" s="100" t="s">
        <v>2817</v>
      </c>
      <c r="L957" s="101" t="n">
        <v>2023</v>
      </c>
      <c r="M957" s="101"/>
    </row>
    <row r="958" customFormat="false" ht="15" hidden="false" customHeight="true" outlineLevel="0" collapsed="false">
      <c r="A958" s="101" t="n">
        <v>957</v>
      </c>
      <c r="B958" s="100" t="n">
        <v>33</v>
      </c>
      <c r="C958" s="100" t="s">
        <v>204</v>
      </c>
      <c r="D958" s="101" t="s">
        <v>198</v>
      </c>
      <c r="E958" s="101" t="s">
        <v>1161</v>
      </c>
      <c r="F958" s="101" t="s">
        <v>1161</v>
      </c>
      <c r="G958" s="101"/>
      <c r="H958" s="101" t="s">
        <v>1251</v>
      </c>
      <c r="I958" s="101" t="s">
        <v>2799</v>
      </c>
      <c r="J958" s="101" t="s">
        <v>2812</v>
      </c>
      <c r="K958" s="100" t="s">
        <v>203</v>
      </c>
      <c r="L958" s="101" t="n">
        <v>2023</v>
      </c>
      <c r="M958" s="101"/>
    </row>
    <row r="959" customFormat="false" ht="15" hidden="false" customHeight="true" outlineLevel="0" collapsed="false">
      <c r="A959" s="101" t="n">
        <v>958</v>
      </c>
      <c r="B959" s="100" t="n">
        <v>34</v>
      </c>
      <c r="C959" s="100" t="s">
        <v>1023</v>
      </c>
      <c r="D959" s="101" t="s">
        <v>198</v>
      </c>
      <c r="E959" s="101" t="s">
        <v>1161</v>
      </c>
      <c r="F959" s="101" t="s">
        <v>1161</v>
      </c>
      <c r="G959" s="101"/>
      <c r="H959" s="101" t="s">
        <v>1251</v>
      </c>
      <c r="I959" s="101" t="s">
        <v>2799</v>
      </c>
      <c r="J959" s="101" t="s">
        <v>2812</v>
      </c>
      <c r="K959" s="100" t="s">
        <v>2818</v>
      </c>
      <c r="L959" s="101" t="n">
        <v>2023</v>
      </c>
      <c r="M959" s="101"/>
    </row>
    <row r="960" customFormat="false" ht="15" hidden="false" customHeight="true" outlineLevel="0" collapsed="false">
      <c r="A960" s="101" t="n">
        <v>959</v>
      </c>
      <c r="B960" s="100" t="n">
        <v>35</v>
      </c>
      <c r="C960" s="100" t="s">
        <v>1022</v>
      </c>
      <c r="D960" s="101" t="s">
        <v>198</v>
      </c>
      <c r="E960" s="101" t="s">
        <v>1161</v>
      </c>
      <c r="F960" s="101" t="s">
        <v>1161</v>
      </c>
      <c r="G960" s="101"/>
      <c r="H960" s="101" t="s">
        <v>1251</v>
      </c>
      <c r="I960" s="101" t="s">
        <v>2799</v>
      </c>
      <c r="J960" s="101" t="s">
        <v>2812</v>
      </c>
      <c r="K960" s="100" t="s">
        <v>2819</v>
      </c>
      <c r="L960" s="101" t="n">
        <v>2023</v>
      </c>
      <c r="M960" s="101"/>
    </row>
    <row r="961" customFormat="false" ht="15" hidden="false" customHeight="true" outlineLevel="0" collapsed="false">
      <c r="A961" s="101" t="n">
        <v>960</v>
      </c>
      <c r="B961" s="100" t="n">
        <v>36</v>
      </c>
      <c r="C961" s="100" t="s">
        <v>1021</v>
      </c>
      <c r="D961" s="101" t="s">
        <v>198</v>
      </c>
      <c r="E961" s="101" t="s">
        <v>1161</v>
      </c>
      <c r="F961" s="101" t="s">
        <v>1161</v>
      </c>
      <c r="G961" s="101"/>
      <c r="H961" s="101" t="s">
        <v>1251</v>
      </c>
      <c r="I961" s="101" t="s">
        <v>2799</v>
      </c>
      <c r="J961" s="101" t="s">
        <v>2812</v>
      </c>
      <c r="K961" s="100" t="s">
        <v>2820</v>
      </c>
      <c r="L961" s="101" t="n">
        <v>2023</v>
      </c>
      <c r="M961" s="101"/>
    </row>
    <row r="962" customFormat="false" ht="15" hidden="false" customHeight="true" outlineLevel="0" collapsed="false">
      <c r="A962" s="101" t="n">
        <v>961</v>
      </c>
      <c r="B962" s="100" t="n">
        <v>37</v>
      </c>
      <c r="C962" s="100" t="s">
        <v>1020</v>
      </c>
      <c r="D962" s="101" t="s">
        <v>198</v>
      </c>
      <c r="E962" s="101" t="s">
        <v>1161</v>
      </c>
      <c r="F962" s="101" t="s">
        <v>1161</v>
      </c>
      <c r="G962" s="101"/>
      <c r="H962" s="101" t="s">
        <v>1251</v>
      </c>
      <c r="I962" s="101" t="s">
        <v>2799</v>
      </c>
      <c r="J962" s="101" t="s">
        <v>2812</v>
      </c>
      <c r="K962" s="100" t="s">
        <v>2821</v>
      </c>
      <c r="L962" s="101" t="n">
        <v>2023</v>
      </c>
      <c r="M962" s="101"/>
    </row>
    <row r="963" customFormat="false" ht="15" hidden="false" customHeight="true" outlineLevel="0" collapsed="false">
      <c r="A963" s="101" t="n">
        <v>962</v>
      </c>
      <c r="B963" s="100" t="n">
        <v>38</v>
      </c>
      <c r="C963" s="100" t="s">
        <v>1019</v>
      </c>
      <c r="D963" s="101" t="s">
        <v>198</v>
      </c>
      <c r="E963" s="101" t="s">
        <v>1161</v>
      </c>
      <c r="F963" s="101" t="s">
        <v>1161</v>
      </c>
      <c r="G963" s="101"/>
      <c r="H963" s="101" t="s">
        <v>1251</v>
      </c>
      <c r="I963" s="101" t="s">
        <v>2799</v>
      </c>
      <c r="J963" s="101" t="s">
        <v>2812</v>
      </c>
      <c r="K963" s="100" t="s">
        <v>2822</v>
      </c>
      <c r="L963" s="101" t="n">
        <v>2023</v>
      </c>
      <c r="M963" s="101"/>
    </row>
    <row r="964" customFormat="false" ht="15" hidden="false" customHeight="true" outlineLevel="0" collapsed="false">
      <c r="A964" s="101" t="n">
        <v>963</v>
      </c>
      <c r="B964" s="100" t="n">
        <v>39</v>
      </c>
      <c r="C964" s="100" t="s">
        <v>202</v>
      </c>
      <c r="D964" s="101" t="s">
        <v>198</v>
      </c>
      <c r="E964" s="101" t="s">
        <v>1204</v>
      </c>
      <c r="F964" s="101" t="s">
        <v>2823</v>
      </c>
      <c r="G964" s="101"/>
      <c r="H964" s="101" t="s">
        <v>1251</v>
      </c>
      <c r="I964" s="101" t="s">
        <v>2799</v>
      </c>
      <c r="J964" s="101" t="s">
        <v>2812</v>
      </c>
      <c r="K964" s="100" t="s">
        <v>201</v>
      </c>
      <c r="L964" s="101" t="n">
        <v>2023</v>
      </c>
      <c r="M964" s="101"/>
    </row>
    <row r="965" customFormat="false" ht="15" hidden="false" customHeight="true" outlineLevel="0" collapsed="false">
      <c r="A965" s="101" t="n">
        <v>964</v>
      </c>
      <c r="B965" s="100" t="n">
        <v>40</v>
      </c>
      <c r="C965" s="100" t="s">
        <v>2824</v>
      </c>
      <c r="D965" s="101" t="s">
        <v>198</v>
      </c>
      <c r="E965" s="101" t="s">
        <v>1161</v>
      </c>
      <c r="F965" s="101" t="s">
        <v>1161</v>
      </c>
      <c r="G965" s="101"/>
      <c r="H965" s="101" t="s">
        <v>1251</v>
      </c>
      <c r="I965" s="101" t="s">
        <v>2799</v>
      </c>
      <c r="J965" s="101" t="s">
        <v>2825</v>
      </c>
      <c r="K965" s="100" t="s">
        <v>2826</v>
      </c>
      <c r="L965" s="101" t="n">
        <v>2023</v>
      </c>
      <c r="M965" s="101"/>
    </row>
    <row r="966" customFormat="false" ht="15" hidden="false" customHeight="true" outlineLevel="0" collapsed="false">
      <c r="A966" s="101" t="n">
        <v>965</v>
      </c>
      <c r="B966" s="100" t="n">
        <v>41</v>
      </c>
      <c r="C966" s="100" t="s">
        <v>2827</v>
      </c>
      <c r="D966" s="101" t="s">
        <v>198</v>
      </c>
      <c r="E966" s="101" t="s">
        <v>1161</v>
      </c>
      <c r="F966" s="101" t="s">
        <v>1161</v>
      </c>
      <c r="G966" s="101"/>
      <c r="H966" s="101" t="s">
        <v>1251</v>
      </c>
      <c r="I966" s="101" t="s">
        <v>2799</v>
      </c>
      <c r="J966" s="101" t="s">
        <v>2825</v>
      </c>
      <c r="K966" s="100" t="s">
        <v>2828</v>
      </c>
      <c r="L966" s="101" t="n">
        <v>2023</v>
      </c>
      <c r="M966" s="101"/>
    </row>
    <row r="967" customFormat="false" ht="15" hidden="false" customHeight="true" outlineLevel="0" collapsed="false">
      <c r="A967" s="101" t="n">
        <v>966</v>
      </c>
      <c r="B967" s="100" t="n">
        <v>42</v>
      </c>
      <c r="C967" s="100" t="s">
        <v>2829</v>
      </c>
      <c r="D967" s="101" t="s">
        <v>198</v>
      </c>
      <c r="E967" s="101" t="s">
        <v>1161</v>
      </c>
      <c r="F967" s="101" t="s">
        <v>1161</v>
      </c>
      <c r="G967" s="101"/>
      <c r="H967" s="101" t="s">
        <v>1251</v>
      </c>
      <c r="I967" s="101" t="s">
        <v>2799</v>
      </c>
      <c r="J967" s="101" t="s">
        <v>2825</v>
      </c>
      <c r="K967" s="100" t="s">
        <v>2830</v>
      </c>
      <c r="L967" s="101" t="n">
        <v>2023</v>
      </c>
      <c r="M967" s="101"/>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C5A8A"/>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J16" activeCellId="0" sqref="J16"/>
    </sheetView>
  </sheetViews>
  <sheetFormatPr defaultColWidth="8.71484375" defaultRowHeight="15" zeroHeight="false" outlineLevelRow="0" outlineLevelCol="0"/>
  <cols>
    <col collapsed="false" customWidth="true" hidden="false" outlineLevel="0" max="1" min="1" style="0" width="20.29"/>
    <col collapsed="false" customWidth="true" hidden="false" outlineLevel="0" max="2" min="2" style="0" width="12"/>
    <col collapsed="false" customWidth="true" hidden="false" outlineLevel="0" max="3" min="3" style="0" width="22"/>
    <col collapsed="false" customWidth="true" hidden="false" outlineLevel="0" max="4" min="4" style="0" width="28"/>
    <col collapsed="false" customWidth="true" hidden="false" outlineLevel="0" max="5" min="5" style="0" width="22"/>
    <col collapsed="false" customWidth="true" hidden="false" outlineLevel="0" max="8" min="6" style="0" width="14"/>
    <col collapsed="false" customWidth="true" hidden="false" outlineLevel="0" max="9" min="9" style="0" width="20"/>
    <col collapsed="false" customWidth="true" hidden="false" outlineLevel="0" max="10" min="10" style="0" width="14"/>
    <col collapsed="false" customWidth="true" hidden="false" outlineLevel="0" max="11" min="11" style="0" width="13"/>
  </cols>
  <sheetData>
    <row r="1" customFormat="false" ht="30" hidden="false" customHeight="true" outlineLevel="0" collapsed="false">
      <c r="A1" s="86" t="s">
        <v>306</v>
      </c>
      <c r="B1" s="86" t="s">
        <v>289</v>
      </c>
      <c r="C1" s="86" t="s">
        <v>308</v>
      </c>
      <c r="D1" s="86" t="s">
        <v>290</v>
      </c>
      <c r="E1" s="113" t="s">
        <v>334</v>
      </c>
      <c r="F1" s="86" t="s">
        <v>20</v>
      </c>
      <c r="G1" s="113" t="s">
        <v>335</v>
      </c>
      <c r="H1" s="86" t="s">
        <v>2831</v>
      </c>
      <c r="I1" s="113" t="s">
        <v>336</v>
      </c>
      <c r="J1" s="86" t="s">
        <v>2832</v>
      </c>
      <c r="K1" s="86" t="s">
        <v>2833</v>
      </c>
    </row>
    <row r="2" customFormat="false" ht="15" hidden="false" customHeight="true" outlineLevel="0" collapsed="false">
      <c r="A2" s="55" t="s">
        <v>2834</v>
      </c>
      <c r="B2" s="56" t="s">
        <v>2835</v>
      </c>
      <c r="C2" s="56" t="s">
        <v>162</v>
      </c>
      <c r="D2" s="56" t="s">
        <v>2836</v>
      </c>
      <c r="E2" s="114" t="str">
        <f aca="false">IFERROR(VLOOKUP(F2,Equipos!$C$2:$E$967,2,FALSE()),"")</f>
        <v>Ventilador Mecánico </v>
      </c>
      <c r="F2" s="55" t="s">
        <v>26</v>
      </c>
      <c r="G2" s="115" t="str">
        <f aca="false">IFERROR(VLOOKUP(F2,Equipos!$C$2:$K$967,9,FALSE()),"")</f>
        <v>ASHK-0151</v>
      </c>
      <c r="H2" s="56" t="s">
        <v>1100</v>
      </c>
      <c r="I2" s="114" t="str">
        <f aca="false">IFERROR(VLOOKUP(F2,Equipos!$C$2:$E$967,3,FALSE()),"")</f>
        <v>UPC Adulto</v>
      </c>
      <c r="J2" s="56" t="s">
        <v>1103</v>
      </c>
      <c r="K2" s="56" t="s">
        <v>2837</v>
      </c>
    </row>
    <row r="3" customFormat="false" ht="15" hidden="false" customHeight="true" outlineLevel="0" collapsed="false">
      <c r="A3" s="55" t="s">
        <v>2838</v>
      </c>
      <c r="B3" s="56" t="s">
        <v>2839</v>
      </c>
      <c r="C3" s="56" t="s">
        <v>162</v>
      </c>
      <c r="D3" s="56" t="s">
        <v>2840</v>
      </c>
      <c r="E3" s="114" t="str">
        <f aca="false">IFERROR(VLOOKUP(F3,Equipos!$C$2:$E$967,2,FALSE()),"")</f>
        <v>Ventilador Mecánico </v>
      </c>
      <c r="F3" s="55" t="s">
        <v>848</v>
      </c>
      <c r="G3" s="115" t="str">
        <f aca="false">IFERROR(VLOOKUP(F3,Equipos!$C$2:$K$967,9,FALSE()),"")</f>
        <v>27406</v>
      </c>
      <c r="H3" s="56" t="s">
        <v>1100</v>
      </c>
      <c r="I3" s="114" t="str">
        <f aca="false">IFERROR(VLOOKUP(F3,Equipos!$C$2:$E$967,3,FALSE()),"")</f>
        <v>UPC Pediátrica </v>
      </c>
      <c r="J3" s="56" t="s">
        <v>1094</v>
      </c>
    </row>
    <row r="4" customFormat="false" ht="15" hidden="false" customHeight="true" outlineLevel="0" collapsed="false">
      <c r="A4" s="55" t="s">
        <v>2841</v>
      </c>
      <c r="B4" s="56" t="s">
        <v>2842</v>
      </c>
      <c r="C4" s="56" t="s">
        <v>64</v>
      </c>
      <c r="D4" s="56" t="s">
        <v>2843</v>
      </c>
      <c r="E4" s="114" t="str">
        <f aca="false">IFERROR(VLOOKUP(F4,Equipos!$C$2:$E$967,2,FALSE()),"")</f>
        <v>Máquina Diálisis</v>
      </c>
      <c r="F4" s="55" t="s">
        <v>908</v>
      </c>
      <c r="G4" s="115" t="str">
        <f aca="false">IFERROR(VLOOKUP(F4,Equipos!$C$2:$K$967,9,FALSE()),"")</f>
        <v>5SXAEL56</v>
      </c>
      <c r="H4" s="56" t="s">
        <v>353</v>
      </c>
      <c r="I4" s="114" t="str">
        <f aca="false">IFERROR(VLOOKUP(F4,Equipos!$C$2:$E$967,3,FALSE()),"")</f>
        <v>UPC Adulto</v>
      </c>
      <c r="J4" s="56" t="s">
        <v>1103</v>
      </c>
      <c r="K4" s="56" t="s">
        <v>2844</v>
      </c>
    </row>
    <row r="5" customFormat="false" ht="15" hidden="false" customHeight="true" outlineLevel="0" collapsed="false">
      <c r="A5" s="55" t="s">
        <v>2845</v>
      </c>
      <c r="B5" s="56" t="s">
        <v>2846</v>
      </c>
      <c r="C5" s="56" t="s">
        <v>64</v>
      </c>
      <c r="D5" s="56" t="s">
        <v>2847</v>
      </c>
      <c r="E5" s="114" t="str">
        <f aca="false">IFERROR(VLOOKUP(F5,Equipos!$C$2:$E$967,2,FALSE()),"")</f>
        <v>Máquina Diálisis</v>
      </c>
      <c r="F5" s="55" t="s">
        <v>1012</v>
      </c>
      <c r="G5" s="115" t="str">
        <f aca="false">IFERROR(VLOOKUP(F5,Equipos!$C$2:$K$967,9,FALSE()),"")</f>
        <v>3SXA4HDK</v>
      </c>
      <c r="H5" s="56" t="s">
        <v>1100</v>
      </c>
      <c r="I5" s="114" t="str">
        <f aca="false">IFERROR(VLOOKUP(F5,Equipos!$C$2:$E$967,3,FALSE()),"")</f>
        <v>Hemodiálisis</v>
      </c>
      <c r="J5" s="56" t="s">
        <v>1103</v>
      </c>
      <c r="K5" s="56" t="s">
        <v>2844</v>
      </c>
    </row>
    <row r="6" customFormat="false" ht="15" hidden="false" customHeight="true" outlineLevel="0" collapsed="false">
      <c r="A6" s="55" t="s">
        <v>2848</v>
      </c>
      <c r="B6" s="56" t="s">
        <v>2849</v>
      </c>
      <c r="C6" s="56" t="s">
        <v>64</v>
      </c>
      <c r="D6" s="56" t="s">
        <v>2850</v>
      </c>
      <c r="E6" s="114" t="str">
        <f aca="false">IFERROR(VLOOKUP(F6,Equipos!$C$2:$E$967,2,FALSE()),"")</f>
        <v>Máquina Diálisis</v>
      </c>
      <c r="F6" s="55" t="s">
        <v>2827</v>
      </c>
      <c r="G6" s="115" t="str">
        <f aca="false">IFERROR(VLOOKUP(F6,Equipos!$C$2:$K$967,9,FALSE()),"")</f>
        <v>9VSAMM17</v>
      </c>
      <c r="H6" s="56" t="s">
        <v>1100</v>
      </c>
      <c r="I6" s="114" t="str">
        <f aca="false">IFERROR(VLOOKUP(F6,Equipos!$C$2:$E$967,3,FALSE()),"")</f>
        <v>Hemodiálisis</v>
      </c>
      <c r="J6" s="56" t="s">
        <v>1094</v>
      </c>
    </row>
    <row r="7" customFormat="false" ht="15" hidden="false" customHeight="true" outlineLevel="0" collapsed="false">
      <c r="A7" s="55" t="s">
        <v>2851</v>
      </c>
      <c r="B7" s="56" t="s">
        <v>2852</v>
      </c>
      <c r="C7" s="56" t="s">
        <v>162</v>
      </c>
      <c r="D7" s="56" t="s">
        <v>2853</v>
      </c>
      <c r="E7" s="114" t="str">
        <f aca="false">IFERROR(VLOOKUP(F7,Equipos!$C$2:$E$967,2,FALSE()),"")</f>
        <v>Ventilador Mecánico </v>
      </c>
      <c r="F7" s="55" t="s">
        <v>27</v>
      </c>
      <c r="G7" s="115" t="str">
        <f aca="false">IFERROR(VLOOKUP(F7,Equipos!$C$2:$K$967,9,FALSE()),"")</f>
        <v>40966N0134</v>
      </c>
      <c r="H7" s="56" t="s">
        <v>1100</v>
      </c>
      <c r="I7" s="114" t="str">
        <f aca="false">IFERROR(VLOOKUP(F7,Equipos!$C$2:$E$967,3,FALSE()),"")</f>
        <v>UPC 3er Piso</v>
      </c>
      <c r="J7" s="56" t="s">
        <v>1094</v>
      </c>
    </row>
    <row r="8" customFormat="false" ht="15" hidden="false" customHeight="true" outlineLevel="0" collapsed="false">
      <c r="A8" s="55" t="s">
        <v>2854</v>
      </c>
      <c r="B8" s="56" t="s">
        <v>2855</v>
      </c>
      <c r="C8" s="56" t="s">
        <v>162</v>
      </c>
      <c r="D8" s="56" t="s">
        <v>2853</v>
      </c>
      <c r="E8" s="114" t="str">
        <f aca="false">IFERROR(VLOOKUP(F8,Equipos!$C$2:$E$967,2,FALSE()),"")</f>
        <v>Ventilador Mecánico </v>
      </c>
      <c r="F8" s="55" t="s">
        <v>28</v>
      </c>
      <c r="G8" s="115" t="str">
        <f aca="false">IFERROR(VLOOKUP(F8,Equipos!$C$2:$K$967,9,FALSE()),"")</f>
        <v>40966N0118</v>
      </c>
      <c r="H8" s="56" t="s">
        <v>1100</v>
      </c>
      <c r="I8" s="114" t="str">
        <f aca="false">IFERROR(VLOOKUP(F8,Equipos!$C$2:$E$967,3,FALSE()),"")</f>
        <v>UPC 3er Piso</v>
      </c>
      <c r="J8" s="56" t="s">
        <v>1094</v>
      </c>
    </row>
    <row r="9" customFormat="false" ht="15" hidden="false" customHeight="true" outlineLevel="0" collapsed="false">
      <c r="A9" s="55" t="s">
        <v>2856</v>
      </c>
      <c r="B9" s="56" t="s">
        <v>2857</v>
      </c>
      <c r="C9" s="56" t="s">
        <v>162</v>
      </c>
      <c r="D9" s="56" t="s">
        <v>2858</v>
      </c>
      <c r="E9" s="114" t="str">
        <f aca="false">IFERROR(VLOOKUP(F9,Equipos!$C$2:$E$967,2,FALSE()),"")</f>
        <v>Ventilador Mecánico </v>
      </c>
      <c r="F9" s="55" t="s">
        <v>25</v>
      </c>
      <c r="G9" s="115" t="str">
        <f aca="false">IFERROR(VLOOKUP(F9,Equipos!$C$2:$K$967,9,FALSE()),"")</f>
        <v>ASFN-0008</v>
      </c>
      <c r="H9" s="56" t="s">
        <v>1100</v>
      </c>
      <c r="I9" s="114" t="str">
        <f aca="false">IFERROR(VLOOKUP(F9,Equipos!$C$2:$E$967,3,FALSE()),"")</f>
        <v>UPC Adulto</v>
      </c>
      <c r="J9" s="56" t="s">
        <v>1103</v>
      </c>
      <c r="K9" s="56" t="s">
        <v>2837</v>
      </c>
    </row>
    <row r="10" customFormat="false" ht="15" hidden="false" customHeight="true" outlineLevel="0" collapsed="false">
      <c r="A10" s="55" t="s">
        <v>2859</v>
      </c>
      <c r="B10" s="56" t="s">
        <v>2860</v>
      </c>
      <c r="C10" s="56" t="s">
        <v>63</v>
      </c>
      <c r="D10" s="56" t="s">
        <v>2861</v>
      </c>
      <c r="E10" s="114" t="str">
        <f aca="false">IFERROR(VLOOKUP(F10,Equipos!$C$2:$E$967,2,FALSE()),"")</f>
        <v>Monitor Multiparámetros</v>
      </c>
      <c r="F10" s="55" t="s">
        <v>561</v>
      </c>
      <c r="G10" s="115" t="str">
        <f aca="false">IFERROR(VLOOKUP(F10,Equipos!$C$2:$K$967,9,FALSE()),"")</f>
        <v>261594-M21407240059</v>
      </c>
      <c r="H10" s="56" t="s">
        <v>1100</v>
      </c>
      <c r="I10" s="114" t="str">
        <f aca="false">IFERROR(VLOOKUP(F10,Equipos!$C$2:$E$967,3,FALSE()),"")</f>
        <v>Medicina</v>
      </c>
      <c r="J10" s="56" t="s">
        <v>1094</v>
      </c>
    </row>
    <row r="11" customFormat="false" ht="15" hidden="false" customHeight="true" outlineLevel="0" collapsed="false">
      <c r="A11" s="55" t="s">
        <v>2862</v>
      </c>
      <c r="B11" s="56" t="s">
        <v>2863</v>
      </c>
      <c r="C11" s="56" t="s">
        <v>63</v>
      </c>
      <c r="D11" s="56" t="s">
        <v>2864</v>
      </c>
      <c r="E11" s="114" t="str">
        <f aca="false">IFERROR(VLOOKUP(F11,Equipos!$C$2:$E$967,2,FALSE()),"")</f>
        <v>Monitor Multiparámetros</v>
      </c>
      <c r="F11" s="55" t="s">
        <v>562</v>
      </c>
      <c r="G11" s="115" t="str">
        <f aca="false">IFERROR(VLOOKUP(F11,Equipos!$C$2:$K$967,9,FALSE()),"")</f>
        <v>261594-M21407000058</v>
      </c>
      <c r="H11" s="56" t="s">
        <v>1100</v>
      </c>
      <c r="I11" s="114" t="str">
        <f aca="false">IFERROR(VLOOKUP(F11,Equipos!$C$2:$E$967,3,FALSE()),"")</f>
        <v>Medicina</v>
      </c>
      <c r="J11" s="56" t="s">
        <v>1094</v>
      </c>
    </row>
    <row r="12" customFormat="false" ht="15" hidden="false" customHeight="true" outlineLevel="0" collapsed="false">
      <c r="A12" s="55" t="s">
        <v>2865</v>
      </c>
      <c r="B12" s="56" t="s">
        <v>2866</v>
      </c>
      <c r="C12" s="56" t="s">
        <v>128</v>
      </c>
      <c r="D12" s="56" t="s">
        <v>2867</v>
      </c>
      <c r="E12" s="114" t="str">
        <f aca="false">IFERROR(VLOOKUP(F12,Equipos!$C$2:$E$967,2,FALSE()),"")</f>
        <v>Monitor Multiparámetros</v>
      </c>
      <c r="F12" s="55" t="s">
        <v>184</v>
      </c>
      <c r="G12" s="115" t="str">
        <f aca="false">IFERROR(VLOOKUP(F12,Equipos!$C$2:$K$967,9,FALSE()),"")</f>
        <v>DE351C1466</v>
      </c>
      <c r="H12" s="56" t="s">
        <v>1100</v>
      </c>
      <c r="I12" s="114" t="str">
        <f aca="false">IFERROR(VLOOKUP(F12,Equipos!$C$2:$E$967,3,FALSE()),"")</f>
        <v>Pabellones Gineco-Obstétricos</v>
      </c>
      <c r="J12" s="56" t="s">
        <v>1094</v>
      </c>
    </row>
    <row r="13" customFormat="false" ht="15" hidden="false" customHeight="true" outlineLevel="0" collapsed="false">
      <c r="A13" s="55" t="s">
        <v>2868</v>
      </c>
      <c r="B13" s="56" t="s">
        <v>2869</v>
      </c>
      <c r="C13" s="56" t="s">
        <v>64</v>
      </c>
      <c r="D13" s="56" t="s">
        <v>2870</v>
      </c>
      <c r="E13" s="114" t="str">
        <f aca="false">IFERROR(VLOOKUP(F13,Equipos!$C$2:$E$967,2,FALSE()),"")</f>
        <v>Máquina Diálisis</v>
      </c>
      <c r="F13" s="55" t="s">
        <v>908</v>
      </c>
      <c r="G13" s="115" t="str">
        <f aca="false">IFERROR(VLOOKUP(F13,Equipos!$C$2:$K$967,9,FALSE()),"")</f>
        <v>5SXAEL56</v>
      </c>
      <c r="H13" s="56" t="s">
        <v>1100</v>
      </c>
      <c r="I13" s="114" t="str">
        <f aca="false">IFERROR(VLOOKUP(F13,Equipos!$C$2:$E$967,3,FALSE()),"")</f>
        <v>UPC Adulto</v>
      </c>
      <c r="J13" s="56" t="s">
        <v>1094</v>
      </c>
    </row>
    <row r="14" customFormat="false" ht="15" hidden="false" customHeight="true" outlineLevel="0" collapsed="false">
      <c r="A14" s="55" t="s">
        <v>2871</v>
      </c>
      <c r="B14" s="56" t="s">
        <v>2837</v>
      </c>
      <c r="C14" s="56" t="s">
        <v>162</v>
      </c>
      <c r="D14" s="56" t="s">
        <v>2872</v>
      </c>
      <c r="E14" s="114" t="str">
        <f aca="false">IFERROR(VLOOKUP(F14,Equipos!$C$2:$E$967,2,FALSE()),"")</f>
        <v>Ventilador Mecánico </v>
      </c>
      <c r="F14" s="55" t="s">
        <v>25</v>
      </c>
      <c r="G14" s="115" t="str">
        <f aca="false">IFERROR(VLOOKUP(F14,Equipos!$C$2:$K$967,9,FALSE()),"")</f>
        <v>ASFN-0008</v>
      </c>
      <c r="H14" s="56" t="s">
        <v>1100</v>
      </c>
      <c r="I14" s="114" t="str">
        <f aca="false">IFERROR(VLOOKUP(F14,Equipos!$C$2:$E$967,3,FALSE()),"")</f>
        <v>UPC Adulto</v>
      </c>
      <c r="J14" s="56" t="s">
        <v>1094</v>
      </c>
    </row>
    <row r="15" customFormat="false" ht="15" hidden="false" customHeight="true" outlineLevel="0" collapsed="false">
      <c r="A15" s="55" t="s">
        <v>2873</v>
      </c>
      <c r="B15" s="56" t="s">
        <v>2874</v>
      </c>
      <c r="C15" s="56" t="s">
        <v>162</v>
      </c>
      <c r="D15" s="56" t="s">
        <v>2875</v>
      </c>
      <c r="E15" s="114" t="str">
        <f aca="false">IFERROR(VLOOKUP(F15,Equipos!$C$2:$E$967,2,FALSE()),"")</f>
        <v>Ventilador Mecánico </v>
      </c>
      <c r="F15" s="55" t="s">
        <v>29</v>
      </c>
      <c r="G15" s="115" t="str">
        <f aca="false">IFERROR(VLOOKUP(F15,Equipos!$C$2:$K$967,9,FALSE()),"")</f>
        <v>ASJL-0081</v>
      </c>
      <c r="H15" s="56" t="s">
        <v>1100</v>
      </c>
      <c r="I15" s="114" t="str">
        <f aca="false">IFERROR(VLOOKUP(F15,Equipos!$C$2:$E$967,3,FALSE()),"")</f>
        <v>UPC 3er Piso</v>
      </c>
      <c r="J15" s="56" t="s">
        <v>1094</v>
      </c>
    </row>
    <row r="16" customFormat="false" ht="15" hidden="false" customHeight="true" outlineLevel="0" collapsed="false">
      <c r="A16" s="0" t="s">
        <v>2876</v>
      </c>
      <c r="B16" s="116" t="n">
        <v>46184</v>
      </c>
      <c r="C16" s="56" t="s">
        <v>128</v>
      </c>
      <c r="D16" s="56" t="s">
        <v>2877</v>
      </c>
      <c r="E16" s="114" t="str">
        <f aca="false">IFERROR(VLOOKUP(F16,Equipos!$C$2:$E$967,2,FALSE()),"")</f>
        <v>Monitor Multiparámetros</v>
      </c>
      <c r="F16" s="55" t="s">
        <v>264</v>
      </c>
      <c r="G16" s="115" t="str">
        <f aca="false">IFERROR(VLOOKUP(F16,Equipos!$C$2:$K$967,9,FALSE()),"")</f>
        <v>5613543568</v>
      </c>
      <c r="H16" s="56" t="s">
        <v>1100</v>
      </c>
      <c r="I16" s="114" t="str">
        <f aca="false">IFERROR(VLOOKUP(F16,Equipos!$C$2:$E$967,3,FALSE()),"")</f>
        <v>Pabellón Quirúrgico</v>
      </c>
      <c r="J16" s="56" t="s">
        <v>1094</v>
      </c>
    </row>
    <row r="17" customFormat="false" ht="15" hidden="false" customHeight="true" outlineLevel="0" collapsed="false">
      <c r="A17" s="55"/>
      <c r="E17" s="114" t="str">
        <f aca="false">IFERROR(VLOOKUP(F17,Equipos!$C$2:$E$967,2,FALSE()),"")</f>
        <v/>
      </c>
      <c r="F17" s="55"/>
      <c r="G17" s="115" t="str">
        <f aca="false">IFERROR(VLOOKUP(F17,Equipos!$C$2:$K$967,9,FALSE()),"")</f>
        <v/>
      </c>
      <c r="I17" s="114" t="str">
        <f aca="false">IFERROR(VLOOKUP(F17,Equipos!$C$2:$E$967,3,FALSE()),"")</f>
        <v/>
      </c>
    </row>
    <row r="18" customFormat="false" ht="15" hidden="false" customHeight="true" outlineLevel="0" collapsed="false">
      <c r="A18" s="55"/>
      <c r="E18" s="114" t="str">
        <f aca="false">IFERROR(VLOOKUP(F18,Equipos!$C$2:$E$967,2,FALSE()),"")</f>
        <v/>
      </c>
      <c r="F18" s="55"/>
      <c r="G18" s="115" t="str">
        <f aca="false">IFERROR(VLOOKUP(F18,Equipos!$C$2:$K$967,9,FALSE()),"")</f>
        <v/>
      </c>
      <c r="I18" s="114" t="str">
        <f aca="false">IFERROR(VLOOKUP(F18,Equipos!$C$2:$E$967,3,FALSE()),"")</f>
        <v/>
      </c>
    </row>
    <row r="19" customFormat="false" ht="15" hidden="false" customHeight="true" outlineLevel="0" collapsed="false">
      <c r="A19" s="55"/>
      <c r="E19" s="114" t="str">
        <f aca="false">IFERROR(VLOOKUP(F19,Equipos!$C$2:$E$967,2,FALSE()),"")</f>
        <v/>
      </c>
      <c r="F19" s="55"/>
      <c r="G19" s="115" t="str">
        <f aca="false">IFERROR(VLOOKUP(F19,Equipos!$C$2:$K$967,9,FALSE()),"")</f>
        <v/>
      </c>
      <c r="I19" s="114" t="str">
        <f aca="false">IFERROR(VLOOKUP(F19,Equipos!$C$2:$E$967,3,FALSE()),"")</f>
        <v/>
      </c>
    </row>
    <row r="20" customFormat="false" ht="15" hidden="false" customHeight="true" outlineLevel="0" collapsed="false">
      <c r="A20" s="55"/>
      <c r="E20" s="114" t="str">
        <f aca="false">IFERROR(VLOOKUP(F20,Equipos!$C$2:$E$967,2,FALSE()),"")</f>
        <v/>
      </c>
      <c r="F20" s="55"/>
      <c r="G20" s="115" t="str">
        <f aca="false">IFERROR(VLOOKUP(F20,Equipos!$C$2:$K$967,9,FALSE()),"")</f>
        <v/>
      </c>
      <c r="I20" s="114" t="str">
        <f aca="false">IFERROR(VLOOKUP(F20,Equipos!$C$2:$E$967,3,FALSE()),"")</f>
        <v/>
      </c>
    </row>
    <row r="21" customFormat="false" ht="15" hidden="false" customHeight="true" outlineLevel="0" collapsed="false">
      <c r="A21" s="55"/>
      <c r="E21" s="114" t="str">
        <f aca="false">IFERROR(VLOOKUP(F21,Equipos!$C$2:$E$967,2,FALSE()),"")</f>
        <v/>
      </c>
      <c r="F21" s="55"/>
      <c r="G21" s="115" t="str">
        <f aca="false">IFERROR(VLOOKUP(F21,Equipos!$C$2:$K$967,9,FALSE()),"")</f>
        <v/>
      </c>
      <c r="I21" s="114" t="str">
        <f aca="false">IFERROR(VLOOKUP(F21,Equipos!$C$2:$E$967,3,FALSE()),"")</f>
        <v/>
      </c>
    </row>
    <row r="22" customFormat="false" ht="15" hidden="false" customHeight="true" outlineLevel="0" collapsed="false">
      <c r="A22" s="55"/>
      <c r="E22" s="114" t="str">
        <f aca="false">IFERROR(VLOOKUP(F22,Equipos!$C$2:$E$967,2,FALSE()),"")</f>
        <v/>
      </c>
      <c r="F22" s="55"/>
      <c r="G22" s="115" t="str">
        <f aca="false">IFERROR(VLOOKUP(F22,Equipos!$C$2:$K$967,9,FALSE()),"")</f>
        <v/>
      </c>
      <c r="I22" s="114" t="str">
        <f aca="false">IFERROR(VLOOKUP(F22,Equipos!$C$2:$E$967,3,FALSE()),"")</f>
        <v/>
      </c>
    </row>
    <row r="23" customFormat="false" ht="15" hidden="false" customHeight="true" outlineLevel="0" collapsed="false">
      <c r="A23" s="55"/>
      <c r="E23" s="114" t="str">
        <f aca="false">IFERROR(VLOOKUP(F23,Equipos!$C$2:$E$967,2,FALSE()),"")</f>
        <v/>
      </c>
      <c r="F23" s="55"/>
      <c r="G23" s="115" t="str">
        <f aca="false">IFERROR(VLOOKUP(F23,Equipos!$C$2:$K$967,9,FALSE()),"")</f>
        <v/>
      </c>
      <c r="I23" s="114" t="str">
        <f aca="false">IFERROR(VLOOKUP(F23,Equipos!$C$2:$E$967,3,FALSE()),"")</f>
        <v/>
      </c>
    </row>
    <row r="24" customFormat="false" ht="15" hidden="false" customHeight="true" outlineLevel="0" collapsed="false">
      <c r="A24" s="55"/>
      <c r="E24" s="114" t="str">
        <f aca="false">IFERROR(VLOOKUP(F24,Equipos!$C$2:$E$967,2,FALSE()),"")</f>
        <v/>
      </c>
      <c r="F24" s="55"/>
      <c r="G24" s="115" t="str">
        <f aca="false">IFERROR(VLOOKUP(F24,Equipos!$C$2:$K$967,9,FALSE()),"")</f>
        <v/>
      </c>
      <c r="I24" s="114" t="str">
        <f aca="false">IFERROR(VLOOKUP(F24,Equipos!$C$2:$E$967,3,FALSE()),"")</f>
        <v/>
      </c>
    </row>
    <row r="25" customFormat="false" ht="15" hidden="false" customHeight="true" outlineLevel="0" collapsed="false">
      <c r="A25" s="55"/>
      <c r="E25" s="114" t="str">
        <f aca="false">IFERROR(VLOOKUP(F25,Equipos!$C$2:$E$967,2,FALSE()),"")</f>
        <v/>
      </c>
      <c r="F25" s="55"/>
      <c r="G25" s="115" t="str">
        <f aca="false">IFERROR(VLOOKUP(F25,Equipos!$C$2:$K$967,9,FALSE()),"")</f>
        <v/>
      </c>
      <c r="I25" s="114" t="str">
        <f aca="false">IFERROR(VLOOKUP(F25,Equipos!$C$2:$E$967,3,FALSE()),"")</f>
        <v/>
      </c>
    </row>
    <row r="26" customFormat="false" ht="15" hidden="false" customHeight="true" outlineLevel="0" collapsed="false">
      <c r="A26" s="55"/>
      <c r="E26" s="114" t="str">
        <f aca="false">IFERROR(VLOOKUP(F26,Equipos!$C$2:$E$967,2,FALSE()),"")</f>
        <v/>
      </c>
      <c r="F26" s="55"/>
      <c r="G26" s="115" t="str">
        <f aca="false">IFERROR(VLOOKUP(F26,Equipos!$C$2:$K$967,9,FALSE()),"")</f>
        <v/>
      </c>
      <c r="I26" s="114" t="str">
        <f aca="false">IFERROR(VLOOKUP(F26,Equipos!$C$2:$E$967,3,FALSE()),"")</f>
        <v/>
      </c>
    </row>
    <row r="27" customFormat="false" ht="15" hidden="false" customHeight="true" outlineLevel="0" collapsed="false">
      <c r="A27" s="55"/>
      <c r="E27" s="114" t="str">
        <f aca="false">IFERROR(VLOOKUP(F27,Equipos!$C$2:$E$967,2,FALSE()),"")</f>
        <v/>
      </c>
      <c r="F27" s="55"/>
      <c r="G27" s="115" t="str">
        <f aca="false">IFERROR(VLOOKUP(F27,Equipos!$C$2:$K$967,9,FALSE()),"")</f>
        <v/>
      </c>
      <c r="I27" s="114" t="str">
        <f aca="false">IFERROR(VLOOKUP(F27,Equipos!$C$2:$E$967,3,FALSE()),"")</f>
        <v/>
      </c>
    </row>
    <row r="28" customFormat="false" ht="15" hidden="false" customHeight="true" outlineLevel="0" collapsed="false">
      <c r="A28" s="55"/>
      <c r="E28" s="114" t="str">
        <f aca="false">IFERROR(VLOOKUP(F28,Equipos!$C$2:$E$967,2,FALSE()),"")</f>
        <v/>
      </c>
      <c r="F28" s="55"/>
      <c r="G28" s="115" t="str">
        <f aca="false">IFERROR(VLOOKUP(F28,Equipos!$C$2:$K$967,9,FALSE()),"")</f>
        <v/>
      </c>
      <c r="I28" s="114" t="str">
        <f aca="false">IFERROR(VLOOKUP(F28,Equipos!$C$2:$E$967,3,FALSE()),"")</f>
        <v/>
      </c>
    </row>
    <row r="29" customFormat="false" ht="15" hidden="false" customHeight="true" outlineLevel="0" collapsed="false">
      <c r="A29" s="55"/>
      <c r="E29" s="114" t="str">
        <f aca="false">IFERROR(VLOOKUP(F29,Equipos!$C$2:$E$967,2,FALSE()),"")</f>
        <v/>
      </c>
      <c r="F29" s="55"/>
      <c r="G29" s="115" t="str">
        <f aca="false">IFERROR(VLOOKUP(F29,Equipos!$C$2:$K$967,9,FALSE()),"")</f>
        <v/>
      </c>
      <c r="I29" s="114" t="str">
        <f aca="false">IFERROR(VLOOKUP(F29,Equipos!$C$2:$E$967,3,FALSE()),"")</f>
        <v/>
      </c>
    </row>
    <row r="30" customFormat="false" ht="15" hidden="false" customHeight="true" outlineLevel="0" collapsed="false">
      <c r="A30" s="55"/>
      <c r="E30" s="114" t="str">
        <f aca="false">IFERROR(VLOOKUP(F30,Equipos!$C$2:$E$967,2,FALSE()),"")</f>
        <v/>
      </c>
      <c r="F30" s="55"/>
      <c r="G30" s="115" t="str">
        <f aca="false">IFERROR(VLOOKUP(F30,Equipos!$C$2:$K$967,9,FALSE()),"")</f>
        <v/>
      </c>
      <c r="I30" s="114" t="str">
        <f aca="false">IFERROR(VLOOKUP(F30,Equipos!$C$2:$E$967,3,FALSE()),"")</f>
        <v/>
      </c>
    </row>
    <row r="31" customFormat="false" ht="15" hidden="false" customHeight="true" outlineLevel="0" collapsed="false">
      <c r="A31" s="55"/>
      <c r="E31" s="114" t="str">
        <f aca="false">IFERROR(VLOOKUP(F31,Equipos!$C$2:$E$967,2,FALSE()),"")</f>
        <v/>
      </c>
      <c r="F31" s="55"/>
      <c r="G31" s="115" t="str">
        <f aca="false">IFERROR(VLOOKUP(F31,Equipos!$C$2:$K$967,9,FALSE()),"")</f>
        <v/>
      </c>
      <c r="I31" s="114" t="str">
        <f aca="false">IFERROR(VLOOKUP(F31,Equipos!$C$2:$E$967,3,FALSE()),"")</f>
        <v/>
      </c>
    </row>
    <row r="32" customFormat="false" ht="15" hidden="false" customHeight="true" outlineLevel="0" collapsed="false">
      <c r="A32" s="55"/>
      <c r="E32" s="114" t="str">
        <f aca="false">IFERROR(VLOOKUP(F32,Equipos!$C$2:$E$967,2,FALSE()),"")</f>
        <v/>
      </c>
      <c r="F32" s="55"/>
      <c r="G32" s="115" t="str">
        <f aca="false">IFERROR(VLOOKUP(F32,Equipos!$C$2:$K$967,9,FALSE()),"")</f>
        <v/>
      </c>
      <c r="I32" s="114" t="str">
        <f aca="false">IFERROR(VLOOKUP(F32,Equipos!$C$2:$E$967,3,FALSE()),"")</f>
        <v/>
      </c>
    </row>
    <row r="33" customFormat="false" ht="15" hidden="false" customHeight="true" outlineLevel="0" collapsed="false">
      <c r="A33" s="55"/>
      <c r="E33" s="114" t="str">
        <f aca="false">IFERROR(VLOOKUP(F33,Equipos!$C$2:$E$967,2,FALSE()),"")</f>
        <v/>
      </c>
      <c r="F33" s="55"/>
      <c r="G33" s="115" t="str">
        <f aca="false">IFERROR(VLOOKUP(F33,Equipos!$C$2:$K$967,9,FALSE()),"")</f>
        <v/>
      </c>
      <c r="I33" s="114" t="str">
        <f aca="false">IFERROR(VLOOKUP(F33,Equipos!$C$2:$E$967,3,FALSE()),"")</f>
        <v/>
      </c>
    </row>
    <row r="34" customFormat="false" ht="15" hidden="false" customHeight="true" outlineLevel="0" collapsed="false">
      <c r="A34" s="55"/>
      <c r="E34" s="114" t="str">
        <f aca="false">IFERROR(VLOOKUP(F34,Equipos!$C$2:$E$967,2,FALSE()),"")</f>
        <v/>
      </c>
      <c r="F34" s="55"/>
      <c r="G34" s="115" t="str">
        <f aca="false">IFERROR(VLOOKUP(F34,Equipos!$C$2:$K$967,9,FALSE()),"")</f>
        <v/>
      </c>
      <c r="I34" s="114" t="str">
        <f aca="false">IFERROR(VLOOKUP(F34,Equipos!$C$2:$E$967,3,FALSE()),"")</f>
        <v/>
      </c>
    </row>
    <row r="35" customFormat="false" ht="15" hidden="false" customHeight="true" outlineLevel="0" collapsed="false">
      <c r="A35" s="55"/>
      <c r="E35" s="114" t="str">
        <f aca="false">IFERROR(VLOOKUP(F35,Equipos!$C$2:$E$967,2,FALSE()),"")</f>
        <v/>
      </c>
      <c r="F35" s="55"/>
      <c r="G35" s="115" t="str">
        <f aca="false">IFERROR(VLOOKUP(F35,Equipos!$C$2:$K$967,9,FALSE()),"")</f>
        <v/>
      </c>
      <c r="I35" s="114" t="str">
        <f aca="false">IFERROR(VLOOKUP(F35,Equipos!$C$2:$E$967,3,FALSE()),"")</f>
        <v/>
      </c>
    </row>
    <row r="36" customFormat="false" ht="15" hidden="false" customHeight="true" outlineLevel="0" collapsed="false">
      <c r="A36" s="55"/>
      <c r="E36" s="114" t="str">
        <f aca="false">IFERROR(VLOOKUP(F36,Equipos!$C$2:$E$967,2,FALSE()),"")</f>
        <v/>
      </c>
      <c r="F36" s="55"/>
      <c r="G36" s="115" t="str">
        <f aca="false">IFERROR(VLOOKUP(F36,Equipos!$C$2:$K$967,9,FALSE()),"")</f>
        <v/>
      </c>
      <c r="I36" s="114" t="str">
        <f aca="false">IFERROR(VLOOKUP(F36,Equipos!$C$2:$E$967,3,FALSE()),"")</f>
        <v/>
      </c>
    </row>
    <row r="37" customFormat="false" ht="15" hidden="false" customHeight="true" outlineLevel="0" collapsed="false">
      <c r="A37" s="55"/>
      <c r="E37" s="114" t="str">
        <f aca="false">IFERROR(VLOOKUP(F37,Equipos!$C$2:$E$967,2,FALSE()),"")</f>
        <v/>
      </c>
      <c r="F37" s="55"/>
      <c r="G37" s="115" t="str">
        <f aca="false">IFERROR(VLOOKUP(F37,Equipos!$C$2:$K$967,9,FALSE()),"")</f>
        <v/>
      </c>
      <c r="I37" s="114" t="str">
        <f aca="false">IFERROR(VLOOKUP(F37,Equipos!$C$2:$E$967,3,FALSE()),"")</f>
        <v/>
      </c>
    </row>
    <row r="38" customFormat="false" ht="15" hidden="false" customHeight="true" outlineLevel="0" collapsed="false">
      <c r="A38" s="55"/>
      <c r="E38" s="114" t="str">
        <f aca="false">IFERROR(VLOOKUP(F38,Equipos!$C$2:$E$967,2,FALSE()),"")</f>
        <v/>
      </c>
      <c r="F38" s="55"/>
      <c r="G38" s="115" t="str">
        <f aca="false">IFERROR(VLOOKUP(F38,Equipos!$C$2:$K$967,9,FALSE()),"")</f>
        <v/>
      </c>
      <c r="I38" s="114" t="str">
        <f aca="false">IFERROR(VLOOKUP(F38,Equipos!$C$2:$E$967,3,FALSE()),"")</f>
        <v/>
      </c>
    </row>
    <row r="39" customFormat="false" ht="15" hidden="false" customHeight="true" outlineLevel="0" collapsed="false">
      <c r="A39" s="55"/>
      <c r="E39" s="114" t="str">
        <f aca="false">IFERROR(VLOOKUP(F39,Equipos!$C$2:$E$967,2,FALSE()),"")</f>
        <v/>
      </c>
      <c r="F39" s="55"/>
      <c r="G39" s="115" t="str">
        <f aca="false">IFERROR(VLOOKUP(F39,Equipos!$C$2:$K$967,9,FALSE()),"")</f>
        <v/>
      </c>
      <c r="I39" s="114" t="str">
        <f aca="false">IFERROR(VLOOKUP(F39,Equipos!$C$2:$E$967,3,FALSE()),"")</f>
        <v/>
      </c>
    </row>
    <row r="40" customFormat="false" ht="15" hidden="false" customHeight="true" outlineLevel="0" collapsed="false">
      <c r="A40" s="55"/>
      <c r="E40" s="114" t="str">
        <f aca="false">IFERROR(VLOOKUP(F40,Equipos!$C$2:$E$967,2,FALSE()),"")</f>
        <v/>
      </c>
      <c r="F40" s="55"/>
      <c r="G40" s="115" t="str">
        <f aca="false">IFERROR(VLOOKUP(F40,Equipos!$C$2:$K$967,9,FALSE()),"")</f>
        <v/>
      </c>
      <c r="I40" s="114" t="str">
        <f aca="false">IFERROR(VLOOKUP(F40,Equipos!$C$2:$E$967,3,FALSE()),"")</f>
        <v/>
      </c>
    </row>
    <row r="41" customFormat="false" ht="15" hidden="false" customHeight="true" outlineLevel="0" collapsed="false">
      <c r="A41" s="55"/>
      <c r="E41" s="114" t="str">
        <f aca="false">IFERROR(VLOOKUP(F41,Equipos!$C$2:$E$967,2,FALSE()),"")</f>
        <v/>
      </c>
      <c r="F41" s="55"/>
      <c r="G41" s="115" t="str">
        <f aca="false">IFERROR(VLOOKUP(F41,Equipos!$C$2:$K$967,9,FALSE()),"")</f>
        <v/>
      </c>
      <c r="I41" s="114" t="str">
        <f aca="false">IFERROR(VLOOKUP(F41,Equipos!$C$2:$E$967,3,FALSE()),"")</f>
        <v/>
      </c>
    </row>
    <row r="42" customFormat="false" ht="15" hidden="false" customHeight="true" outlineLevel="0" collapsed="false">
      <c r="A42" s="55"/>
      <c r="E42" s="114" t="str">
        <f aca="false">IFERROR(VLOOKUP(F42,Equipos!$C$2:$E$967,2,FALSE()),"")</f>
        <v/>
      </c>
      <c r="F42" s="55"/>
      <c r="G42" s="115" t="str">
        <f aca="false">IFERROR(VLOOKUP(F42,Equipos!$C$2:$K$967,9,FALSE()),"")</f>
        <v/>
      </c>
      <c r="I42" s="114" t="str">
        <f aca="false">IFERROR(VLOOKUP(F42,Equipos!$C$2:$E$967,3,FALSE()),"")</f>
        <v/>
      </c>
    </row>
    <row r="43" customFormat="false" ht="15" hidden="false" customHeight="true" outlineLevel="0" collapsed="false">
      <c r="A43" s="55"/>
      <c r="E43" s="114" t="str">
        <f aca="false">IFERROR(VLOOKUP(F43,Equipos!$C$2:$E$967,2,FALSE()),"")</f>
        <v/>
      </c>
      <c r="F43" s="55"/>
      <c r="G43" s="115" t="str">
        <f aca="false">IFERROR(VLOOKUP(F43,Equipos!$C$2:$K$967,9,FALSE()),"")</f>
        <v/>
      </c>
      <c r="I43" s="114" t="str">
        <f aca="false">IFERROR(VLOOKUP(F43,Equipos!$C$2:$E$967,3,FALSE()),"")</f>
        <v/>
      </c>
    </row>
    <row r="44" customFormat="false" ht="15" hidden="false" customHeight="true" outlineLevel="0" collapsed="false">
      <c r="A44" s="55"/>
      <c r="E44" s="114" t="str">
        <f aca="false">IFERROR(VLOOKUP(F44,Equipos!$C$2:$E$967,2,FALSE()),"")</f>
        <v/>
      </c>
      <c r="F44" s="55"/>
      <c r="G44" s="115" t="str">
        <f aca="false">IFERROR(VLOOKUP(F44,Equipos!$C$2:$K$967,9,FALSE()),"")</f>
        <v/>
      </c>
      <c r="I44" s="114" t="str">
        <f aca="false">IFERROR(VLOOKUP(F44,Equipos!$C$2:$E$967,3,FALSE()),"")</f>
        <v/>
      </c>
    </row>
    <row r="45" customFormat="false" ht="15" hidden="false" customHeight="true" outlineLevel="0" collapsed="false">
      <c r="A45" s="55"/>
      <c r="E45" s="114" t="str">
        <f aca="false">IFERROR(VLOOKUP(F45,Equipos!$C$2:$E$967,2,FALSE()),"")</f>
        <v/>
      </c>
      <c r="F45" s="55"/>
      <c r="G45" s="115" t="str">
        <f aca="false">IFERROR(VLOOKUP(F45,Equipos!$C$2:$K$967,9,FALSE()),"")</f>
        <v/>
      </c>
      <c r="I45" s="114" t="str">
        <f aca="false">IFERROR(VLOOKUP(F45,Equipos!$C$2:$E$967,3,FALSE()),"")</f>
        <v/>
      </c>
    </row>
    <row r="46" customFormat="false" ht="15" hidden="false" customHeight="true" outlineLevel="0" collapsed="false">
      <c r="A46" s="55"/>
      <c r="E46" s="114" t="str">
        <f aca="false">IFERROR(VLOOKUP(F46,Equipos!$C$2:$E$967,2,FALSE()),"")</f>
        <v/>
      </c>
      <c r="F46" s="55"/>
      <c r="G46" s="115" t="str">
        <f aca="false">IFERROR(VLOOKUP(F46,Equipos!$C$2:$K$967,9,FALSE()),"")</f>
        <v/>
      </c>
      <c r="I46" s="114" t="str">
        <f aca="false">IFERROR(VLOOKUP(F46,Equipos!$C$2:$E$967,3,FALSE()),"")</f>
        <v/>
      </c>
    </row>
    <row r="47" customFormat="false" ht="15" hidden="false" customHeight="true" outlineLevel="0" collapsed="false">
      <c r="A47" s="55"/>
      <c r="E47" s="114" t="str">
        <f aca="false">IFERROR(VLOOKUP(F47,Equipos!$C$2:$E$967,2,FALSE()),"")</f>
        <v/>
      </c>
      <c r="F47" s="55"/>
      <c r="G47" s="115" t="str">
        <f aca="false">IFERROR(VLOOKUP(F47,Equipos!$C$2:$K$967,9,FALSE()),"")</f>
        <v/>
      </c>
      <c r="I47" s="114" t="str">
        <f aca="false">IFERROR(VLOOKUP(F47,Equipos!$C$2:$E$967,3,FALSE()),"")</f>
        <v/>
      </c>
    </row>
    <row r="48" customFormat="false" ht="15" hidden="false" customHeight="true" outlineLevel="0" collapsed="false">
      <c r="A48" s="55"/>
      <c r="E48" s="114" t="str">
        <f aca="false">IFERROR(VLOOKUP(F48,Equipos!$C$2:$E$967,2,FALSE()),"")</f>
        <v/>
      </c>
      <c r="F48" s="55"/>
      <c r="G48" s="115" t="str">
        <f aca="false">IFERROR(VLOOKUP(F48,Equipos!$C$2:$K$967,9,FALSE()),"")</f>
        <v/>
      </c>
      <c r="I48" s="114" t="str">
        <f aca="false">IFERROR(VLOOKUP(F48,Equipos!$C$2:$E$967,3,FALSE()),"")</f>
        <v/>
      </c>
    </row>
    <row r="49" customFormat="false" ht="15" hidden="false" customHeight="true" outlineLevel="0" collapsed="false">
      <c r="A49" s="55"/>
      <c r="E49" s="114" t="str">
        <f aca="false">IFERROR(VLOOKUP(F49,Equipos!$C$2:$E$967,2,FALSE()),"")</f>
        <v/>
      </c>
      <c r="F49" s="55"/>
      <c r="G49" s="115" t="str">
        <f aca="false">IFERROR(VLOOKUP(F49,Equipos!$C$2:$K$967,9,FALSE()),"")</f>
        <v/>
      </c>
      <c r="I49" s="114" t="str">
        <f aca="false">IFERROR(VLOOKUP(F49,Equipos!$C$2:$E$967,3,FALSE()),"")</f>
        <v/>
      </c>
    </row>
    <row r="50" customFormat="false" ht="15" hidden="false" customHeight="true" outlineLevel="0" collapsed="false">
      <c r="A50" s="55"/>
      <c r="E50" s="114" t="str">
        <f aca="false">IFERROR(VLOOKUP(F50,Equipos!$C$2:$E$967,2,FALSE()),"")</f>
        <v/>
      </c>
      <c r="F50" s="55"/>
      <c r="G50" s="115" t="str">
        <f aca="false">IFERROR(VLOOKUP(F50,Equipos!$C$2:$K$967,9,FALSE()),"")</f>
        <v/>
      </c>
      <c r="I50" s="114" t="str">
        <f aca="false">IFERROR(VLOOKUP(F50,Equipos!$C$2:$E$967,3,FALSE()),"")</f>
        <v/>
      </c>
    </row>
    <row r="51" customFormat="false" ht="15" hidden="false" customHeight="true" outlineLevel="0" collapsed="false">
      <c r="A51" s="55"/>
      <c r="E51" s="114" t="str">
        <f aca="false">IFERROR(VLOOKUP(F51,Equipos!$C$2:$E$967,2,FALSE()),"")</f>
        <v/>
      </c>
      <c r="F51" s="55"/>
      <c r="G51" s="115" t="str">
        <f aca="false">IFERROR(VLOOKUP(F51,Equipos!$C$2:$K$967,9,FALSE()),"")</f>
        <v/>
      </c>
      <c r="I51" s="114" t="str">
        <f aca="false">IFERROR(VLOOKUP(F51,Equipos!$C$2:$E$967,3,FALSE()),"")</f>
        <v/>
      </c>
    </row>
    <row r="52" customFormat="false" ht="15" hidden="false" customHeight="true" outlineLevel="0" collapsed="false">
      <c r="A52" s="55"/>
      <c r="E52" s="114" t="str">
        <f aca="false">IFERROR(VLOOKUP(F52,Equipos!$C$2:$E$967,2,FALSE()),"")</f>
        <v/>
      </c>
      <c r="F52" s="55"/>
      <c r="G52" s="115" t="str">
        <f aca="false">IFERROR(VLOOKUP(F52,Equipos!$C$2:$K$967,9,FALSE()),"")</f>
        <v/>
      </c>
      <c r="I52" s="114" t="str">
        <f aca="false">IFERROR(VLOOKUP(F52,Equipos!$C$2:$E$967,3,FALSE()),"")</f>
        <v/>
      </c>
    </row>
    <row r="53" customFormat="false" ht="15" hidden="false" customHeight="true" outlineLevel="0" collapsed="false">
      <c r="A53" s="55"/>
      <c r="E53" s="114" t="str">
        <f aca="false">IFERROR(VLOOKUP(F53,Equipos!$C$2:$E$967,2,FALSE()),"")</f>
        <v/>
      </c>
      <c r="F53" s="55"/>
      <c r="G53" s="115" t="str">
        <f aca="false">IFERROR(VLOOKUP(F53,Equipos!$C$2:$K$967,9,FALSE()),"")</f>
        <v/>
      </c>
      <c r="I53" s="114" t="str">
        <f aca="false">IFERROR(VLOOKUP(F53,Equipos!$C$2:$E$967,3,FALSE()),"")</f>
        <v/>
      </c>
    </row>
    <row r="54" customFormat="false" ht="15" hidden="false" customHeight="true" outlineLevel="0" collapsed="false">
      <c r="A54" s="55"/>
      <c r="E54" s="114" t="str">
        <f aca="false">IFERROR(VLOOKUP(F54,Equipos!$C$2:$E$967,2,FALSE()),"")</f>
        <v/>
      </c>
      <c r="F54" s="55"/>
      <c r="G54" s="115" t="str">
        <f aca="false">IFERROR(VLOOKUP(F54,Equipos!$C$2:$K$967,9,FALSE()),"")</f>
        <v/>
      </c>
      <c r="I54" s="114" t="str">
        <f aca="false">IFERROR(VLOOKUP(F54,Equipos!$C$2:$E$967,3,FALSE()),"")</f>
        <v/>
      </c>
    </row>
    <row r="55" customFormat="false" ht="15" hidden="false" customHeight="true" outlineLevel="0" collapsed="false">
      <c r="A55" s="55"/>
      <c r="E55" s="114" t="str">
        <f aca="false">IFERROR(VLOOKUP(F55,Equipos!$C$2:$E$967,2,FALSE()),"")</f>
        <v/>
      </c>
      <c r="F55" s="55"/>
      <c r="G55" s="115" t="str">
        <f aca="false">IFERROR(VLOOKUP(F55,Equipos!$C$2:$K$967,9,FALSE()),"")</f>
        <v/>
      </c>
      <c r="I55" s="114" t="str">
        <f aca="false">IFERROR(VLOOKUP(F55,Equipos!$C$2:$E$967,3,FALSE()),"")</f>
        <v/>
      </c>
    </row>
    <row r="56" customFormat="false" ht="15" hidden="false" customHeight="true" outlineLevel="0" collapsed="false">
      <c r="A56" s="55"/>
      <c r="E56" s="114" t="str">
        <f aca="false">IFERROR(VLOOKUP(F56,Equipos!$C$2:$E$967,2,FALSE()),"")</f>
        <v/>
      </c>
      <c r="F56" s="55"/>
      <c r="G56" s="115" t="str">
        <f aca="false">IFERROR(VLOOKUP(F56,Equipos!$C$2:$K$967,9,FALSE()),"")</f>
        <v/>
      </c>
      <c r="I56" s="114" t="str">
        <f aca="false">IFERROR(VLOOKUP(F56,Equipos!$C$2:$E$967,3,FALSE()),"")</f>
        <v/>
      </c>
    </row>
    <row r="57" customFormat="false" ht="15" hidden="false" customHeight="true" outlineLevel="0" collapsed="false">
      <c r="A57" s="55"/>
      <c r="E57" s="114" t="str">
        <f aca="false">IFERROR(VLOOKUP(F57,Equipos!$C$2:$E$967,2,FALSE()),"")</f>
        <v/>
      </c>
      <c r="F57" s="55"/>
      <c r="G57" s="115" t="str">
        <f aca="false">IFERROR(VLOOKUP(F57,Equipos!$C$2:$K$967,9,FALSE()),"")</f>
        <v/>
      </c>
      <c r="I57" s="114" t="str">
        <f aca="false">IFERROR(VLOOKUP(F57,Equipos!$C$2:$E$967,3,FALSE()),"")</f>
        <v/>
      </c>
    </row>
    <row r="58" customFormat="false" ht="15" hidden="false" customHeight="true" outlineLevel="0" collapsed="false">
      <c r="A58" s="55"/>
      <c r="E58" s="114" t="str">
        <f aca="false">IFERROR(VLOOKUP(F58,Equipos!$C$2:$E$967,2,FALSE()),"")</f>
        <v/>
      </c>
      <c r="F58" s="55"/>
      <c r="G58" s="115" t="str">
        <f aca="false">IFERROR(VLOOKUP(F58,Equipos!$C$2:$K$967,9,FALSE()),"")</f>
        <v/>
      </c>
      <c r="I58" s="114" t="str">
        <f aca="false">IFERROR(VLOOKUP(F58,Equipos!$C$2:$E$967,3,FALSE()),"")</f>
        <v/>
      </c>
    </row>
    <row r="59" customFormat="false" ht="15" hidden="false" customHeight="true" outlineLevel="0" collapsed="false">
      <c r="A59" s="55"/>
      <c r="E59" s="114" t="str">
        <f aca="false">IFERROR(VLOOKUP(F59,Equipos!$C$2:$E$967,2,FALSE()),"")</f>
        <v/>
      </c>
      <c r="F59" s="55"/>
      <c r="G59" s="115" t="str">
        <f aca="false">IFERROR(VLOOKUP(F59,Equipos!$C$2:$K$967,9,FALSE()),"")</f>
        <v/>
      </c>
      <c r="I59" s="114" t="str">
        <f aca="false">IFERROR(VLOOKUP(F59,Equipos!$C$2:$E$967,3,FALSE()),"")</f>
        <v/>
      </c>
    </row>
    <row r="60" customFormat="false" ht="15" hidden="false" customHeight="true" outlineLevel="0" collapsed="false">
      <c r="A60" s="55"/>
      <c r="E60" s="114" t="str">
        <f aca="false">IFERROR(VLOOKUP(F60,Equipos!$C$2:$E$967,2,FALSE()),"")</f>
        <v/>
      </c>
      <c r="F60" s="55"/>
      <c r="G60" s="115" t="str">
        <f aca="false">IFERROR(VLOOKUP(F60,Equipos!$C$2:$K$967,9,FALSE()),"")</f>
        <v/>
      </c>
      <c r="I60" s="114" t="str">
        <f aca="false">IFERROR(VLOOKUP(F60,Equipos!$C$2:$E$967,3,FALSE()),"")</f>
        <v/>
      </c>
    </row>
    <row r="61" customFormat="false" ht="15" hidden="false" customHeight="true" outlineLevel="0" collapsed="false">
      <c r="A61" s="55"/>
      <c r="E61" s="114" t="str">
        <f aca="false">IFERROR(VLOOKUP(F61,Equipos!$C$2:$E$967,2,FALSE()),"")</f>
        <v/>
      </c>
      <c r="F61" s="55"/>
      <c r="G61" s="115" t="str">
        <f aca="false">IFERROR(VLOOKUP(F61,Equipos!$C$2:$K$967,9,FALSE()),"")</f>
        <v/>
      </c>
      <c r="I61" s="114" t="str">
        <f aca="false">IFERROR(VLOOKUP(F61,Equipos!$C$2:$E$967,3,FALSE()),"")</f>
        <v/>
      </c>
    </row>
    <row r="62" customFormat="false" ht="15" hidden="false" customHeight="true" outlineLevel="0" collapsed="false">
      <c r="A62" s="55"/>
      <c r="E62" s="114" t="str">
        <f aca="false">IFERROR(VLOOKUP(F62,Equipos!$C$2:$E$967,2,FALSE()),"")</f>
        <v/>
      </c>
      <c r="F62" s="55"/>
      <c r="G62" s="115" t="str">
        <f aca="false">IFERROR(VLOOKUP(F62,Equipos!$C$2:$K$967,9,FALSE()),"")</f>
        <v/>
      </c>
      <c r="I62" s="114" t="str">
        <f aca="false">IFERROR(VLOOKUP(F62,Equipos!$C$2:$E$967,3,FALSE()),"")</f>
        <v/>
      </c>
    </row>
    <row r="63" customFormat="false" ht="15" hidden="false" customHeight="true" outlineLevel="0" collapsed="false">
      <c r="A63" s="55"/>
      <c r="E63" s="114" t="str">
        <f aca="false">IFERROR(VLOOKUP(F63,Equipos!$C$2:$E$967,2,FALSE()),"")</f>
        <v/>
      </c>
      <c r="F63" s="55"/>
      <c r="G63" s="115" t="str">
        <f aca="false">IFERROR(VLOOKUP(F63,Equipos!$C$2:$K$967,9,FALSE()),"")</f>
        <v/>
      </c>
      <c r="I63" s="114" t="str">
        <f aca="false">IFERROR(VLOOKUP(F63,Equipos!$C$2:$E$967,3,FALSE()),"")</f>
        <v/>
      </c>
    </row>
    <row r="64" customFormat="false" ht="15" hidden="false" customHeight="true" outlineLevel="0" collapsed="false">
      <c r="A64" s="55"/>
      <c r="E64" s="114" t="str">
        <f aca="false">IFERROR(VLOOKUP(F64,Equipos!$C$2:$E$967,2,FALSE()),"")</f>
        <v/>
      </c>
      <c r="F64" s="55"/>
      <c r="G64" s="115" t="str">
        <f aca="false">IFERROR(VLOOKUP(F64,Equipos!$C$2:$K$967,9,FALSE()),"")</f>
        <v/>
      </c>
      <c r="I64" s="114" t="str">
        <f aca="false">IFERROR(VLOOKUP(F64,Equipos!$C$2:$E$967,3,FALSE()),"")</f>
        <v/>
      </c>
    </row>
    <row r="65" customFormat="false" ht="15" hidden="false" customHeight="true" outlineLevel="0" collapsed="false">
      <c r="A65" s="55"/>
      <c r="E65" s="114" t="str">
        <f aca="false">IFERROR(VLOOKUP(F65,Equipos!$C$2:$E$967,2,FALSE()),"")</f>
        <v/>
      </c>
      <c r="F65" s="55"/>
      <c r="G65" s="115" t="str">
        <f aca="false">IFERROR(VLOOKUP(F65,Equipos!$C$2:$K$967,9,FALSE()),"")</f>
        <v/>
      </c>
      <c r="I65" s="114" t="str">
        <f aca="false">IFERROR(VLOOKUP(F65,Equipos!$C$2:$E$967,3,FALSE()),"")</f>
        <v/>
      </c>
    </row>
    <row r="66" customFormat="false" ht="15" hidden="false" customHeight="true" outlineLevel="0" collapsed="false">
      <c r="A66" s="55"/>
      <c r="E66" s="114" t="str">
        <f aca="false">IFERROR(VLOOKUP(F66,Equipos!$C$2:$E$967,2,FALSE()),"")</f>
        <v/>
      </c>
      <c r="F66" s="55"/>
      <c r="G66" s="115" t="str">
        <f aca="false">IFERROR(VLOOKUP(F66,Equipos!$C$2:$K$967,9,FALSE()),"")</f>
        <v/>
      </c>
      <c r="I66" s="114" t="str">
        <f aca="false">IFERROR(VLOOKUP(F66,Equipos!$C$2:$E$967,3,FALSE()),"")</f>
        <v/>
      </c>
    </row>
    <row r="67" customFormat="false" ht="15" hidden="false" customHeight="true" outlineLevel="0" collapsed="false">
      <c r="A67" s="55"/>
      <c r="E67" s="114" t="str">
        <f aca="false">IFERROR(VLOOKUP(F67,Equipos!$C$2:$E$967,2,FALSE()),"")</f>
        <v/>
      </c>
      <c r="F67" s="55"/>
      <c r="G67" s="115" t="str">
        <f aca="false">IFERROR(VLOOKUP(F67,Equipos!$C$2:$K$967,9,FALSE()),"")</f>
        <v/>
      </c>
      <c r="I67" s="114" t="str">
        <f aca="false">IFERROR(VLOOKUP(F67,Equipos!$C$2:$E$967,3,FALSE()),"")</f>
        <v/>
      </c>
    </row>
    <row r="68" customFormat="false" ht="15" hidden="false" customHeight="true" outlineLevel="0" collapsed="false">
      <c r="A68" s="55"/>
      <c r="E68" s="114" t="str">
        <f aca="false">IFERROR(VLOOKUP(F68,Equipos!$C$2:$E$967,2,FALSE()),"")</f>
        <v/>
      </c>
      <c r="F68" s="55"/>
      <c r="G68" s="115" t="str">
        <f aca="false">IFERROR(VLOOKUP(F68,Equipos!$C$2:$K$967,9,FALSE()),"")</f>
        <v/>
      </c>
      <c r="I68" s="114" t="str">
        <f aca="false">IFERROR(VLOOKUP(F68,Equipos!$C$2:$E$967,3,FALSE()),"")</f>
        <v/>
      </c>
    </row>
    <row r="69" customFormat="false" ht="15" hidden="false" customHeight="true" outlineLevel="0" collapsed="false">
      <c r="A69" s="55"/>
      <c r="E69" s="114" t="str">
        <f aca="false">IFERROR(VLOOKUP(F69,Equipos!$C$2:$E$967,2,FALSE()),"")</f>
        <v/>
      </c>
      <c r="F69" s="55"/>
      <c r="G69" s="115" t="str">
        <f aca="false">IFERROR(VLOOKUP(F69,Equipos!$C$2:$K$967,9,FALSE()),"")</f>
        <v/>
      </c>
      <c r="I69" s="114" t="str">
        <f aca="false">IFERROR(VLOOKUP(F69,Equipos!$C$2:$E$967,3,FALSE()),"")</f>
        <v/>
      </c>
    </row>
    <row r="70" customFormat="false" ht="15" hidden="false" customHeight="true" outlineLevel="0" collapsed="false">
      <c r="A70" s="55"/>
      <c r="E70" s="114" t="str">
        <f aca="false">IFERROR(VLOOKUP(F70,Equipos!$C$2:$E$967,2,FALSE()),"")</f>
        <v/>
      </c>
      <c r="F70" s="55"/>
      <c r="G70" s="115" t="str">
        <f aca="false">IFERROR(VLOOKUP(F70,Equipos!$C$2:$K$967,9,FALSE()),"")</f>
        <v/>
      </c>
      <c r="I70" s="114" t="str">
        <f aca="false">IFERROR(VLOOKUP(F70,Equipos!$C$2:$E$967,3,FALSE()),"")</f>
        <v/>
      </c>
    </row>
    <row r="71" customFormat="false" ht="15" hidden="false" customHeight="true" outlineLevel="0" collapsed="false">
      <c r="A71" s="55"/>
      <c r="E71" s="114" t="str">
        <f aca="false">IFERROR(VLOOKUP(F71,Equipos!$C$2:$E$967,2,FALSE()),"")</f>
        <v/>
      </c>
      <c r="F71" s="55"/>
      <c r="G71" s="115" t="str">
        <f aca="false">IFERROR(VLOOKUP(F71,Equipos!$C$2:$K$967,9,FALSE()),"")</f>
        <v/>
      </c>
      <c r="I71" s="114" t="str">
        <f aca="false">IFERROR(VLOOKUP(F71,Equipos!$C$2:$E$967,3,FALSE()),"")</f>
        <v/>
      </c>
    </row>
    <row r="72" customFormat="false" ht="15" hidden="false" customHeight="true" outlineLevel="0" collapsed="false">
      <c r="A72" s="55"/>
      <c r="E72" s="114" t="str">
        <f aca="false">IFERROR(VLOOKUP(F72,Equipos!$C$2:$E$967,2,FALSE()),"")</f>
        <v/>
      </c>
      <c r="F72" s="55"/>
      <c r="G72" s="115" t="str">
        <f aca="false">IFERROR(VLOOKUP(F72,Equipos!$C$2:$K$967,9,FALSE()),"")</f>
        <v/>
      </c>
      <c r="I72" s="114" t="str">
        <f aca="false">IFERROR(VLOOKUP(F72,Equipos!$C$2:$E$967,3,FALSE()),"")</f>
        <v/>
      </c>
    </row>
    <row r="73" customFormat="false" ht="15" hidden="false" customHeight="true" outlineLevel="0" collapsed="false">
      <c r="A73" s="55"/>
      <c r="E73" s="114" t="str">
        <f aca="false">IFERROR(VLOOKUP(F73,Equipos!$C$2:$E$967,2,FALSE()),"")</f>
        <v/>
      </c>
      <c r="F73" s="55"/>
      <c r="G73" s="115" t="str">
        <f aca="false">IFERROR(VLOOKUP(F73,Equipos!$C$2:$K$967,9,FALSE()),"")</f>
        <v/>
      </c>
      <c r="I73" s="114" t="str">
        <f aca="false">IFERROR(VLOOKUP(F73,Equipos!$C$2:$E$967,3,FALSE()),"")</f>
        <v/>
      </c>
    </row>
    <row r="74" customFormat="false" ht="15" hidden="false" customHeight="true" outlineLevel="0" collapsed="false">
      <c r="A74" s="55"/>
      <c r="E74" s="114" t="str">
        <f aca="false">IFERROR(VLOOKUP(F74,Equipos!$C$2:$E$967,2,FALSE()),"")</f>
        <v/>
      </c>
      <c r="F74" s="55"/>
      <c r="G74" s="115" t="str">
        <f aca="false">IFERROR(VLOOKUP(F74,Equipos!$C$2:$K$967,9,FALSE()),"")</f>
        <v/>
      </c>
      <c r="I74" s="114" t="str">
        <f aca="false">IFERROR(VLOOKUP(F74,Equipos!$C$2:$E$967,3,FALSE()),"")</f>
        <v/>
      </c>
    </row>
    <row r="75" customFormat="false" ht="15" hidden="false" customHeight="true" outlineLevel="0" collapsed="false">
      <c r="A75" s="55"/>
      <c r="E75" s="114" t="str">
        <f aca="false">IFERROR(VLOOKUP(F75,Equipos!$C$2:$E$967,2,FALSE()),"")</f>
        <v/>
      </c>
      <c r="F75" s="55"/>
      <c r="G75" s="115" t="str">
        <f aca="false">IFERROR(VLOOKUP(F75,Equipos!$C$2:$K$967,9,FALSE()),"")</f>
        <v/>
      </c>
      <c r="I75" s="114" t="str">
        <f aca="false">IFERROR(VLOOKUP(F75,Equipos!$C$2:$E$967,3,FALSE()),"")</f>
        <v/>
      </c>
    </row>
    <row r="76" customFormat="false" ht="15" hidden="false" customHeight="true" outlineLevel="0" collapsed="false">
      <c r="A76" s="55"/>
      <c r="E76" s="114" t="str">
        <f aca="false">IFERROR(VLOOKUP(F76,Equipos!$C$2:$E$967,2,FALSE()),"")</f>
        <v/>
      </c>
      <c r="F76" s="55"/>
      <c r="G76" s="115" t="str">
        <f aca="false">IFERROR(VLOOKUP(F76,Equipos!$C$2:$K$967,9,FALSE()),"")</f>
        <v/>
      </c>
      <c r="I76" s="114" t="str">
        <f aca="false">IFERROR(VLOOKUP(F76,Equipos!$C$2:$E$967,3,FALSE()),"")</f>
        <v/>
      </c>
    </row>
    <row r="77" customFormat="false" ht="15" hidden="false" customHeight="true" outlineLevel="0" collapsed="false">
      <c r="A77" s="55"/>
      <c r="E77" s="114" t="str">
        <f aca="false">IFERROR(VLOOKUP(F77,Equipos!$C$2:$E$967,2,FALSE()),"")</f>
        <v/>
      </c>
      <c r="F77" s="55"/>
      <c r="G77" s="115" t="str">
        <f aca="false">IFERROR(VLOOKUP(F77,Equipos!$C$2:$K$967,9,FALSE()),"")</f>
        <v/>
      </c>
      <c r="I77" s="114" t="str">
        <f aca="false">IFERROR(VLOOKUP(F77,Equipos!$C$2:$E$967,3,FALSE()),"")</f>
        <v/>
      </c>
    </row>
    <row r="78" customFormat="false" ht="15" hidden="false" customHeight="true" outlineLevel="0" collapsed="false">
      <c r="A78" s="55"/>
      <c r="E78" s="114" t="str">
        <f aca="false">IFERROR(VLOOKUP(F78,Equipos!$C$2:$E$967,2,FALSE()),"")</f>
        <v/>
      </c>
      <c r="F78" s="55"/>
      <c r="G78" s="115" t="str">
        <f aca="false">IFERROR(VLOOKUP(F78,Equipos!$C$2:$K$967,9,FALSE()),"")</f>
        <v/>
      </c>
      <c r="I78" s="114" t="str">
        <f aca="false">IFERROR(VLOOKUP(F78,Equipos!$C$2:$E$967,3,FALSE()),"")</f>
        <v/>
      </c>
    </row>
    <row r="79" customFormat="false" ht="15" hidden="false" customHeight="true" outlineLevel="0" collapsed="false">
      <c r="A79" s="55"/>
      <c r="E79" s="114" t="str">
        <f aca="false">IFERROR(VLOOKUP(F79,Equipos!$C$2:$E$967,2,FALSE()),"")</f>
        <v/>
      </c>
      <c r="F79" s="55"/>
      <c r="G79" s="115" t="str">
        <f aca="false">IFERROR(VLOOKUP(F79,Equipos!$C$2:$K$967,9,FALSE()),"")</f>
        <v/>
      </c>
      <c r="I79" s="114" t="str">
        <f aca="false">IFERROR(VLOOKUP(F79,Equipos!$C$2:$E$967,3,FALSE()),"")</f>
        <v/>
      </c>
    </row>
    <row r="80" customFormat="false" ht="15" hidden="false" customHeight="true" outlineLevel="0" collapsed="false">
      <c r="A80" s="55"/>
      <c r="E80" s="114" t="str">
        <f aca="false">IFERROR(VLOOKUP(F80,Equipos!$C$2:$E$967,2,FALSE()),"")</f>
        <v/>
      </c>
      <c r="F80" s="55"/>
      <c r="G80" s="115" t="str">
        <f aca="false">IFERROR(VLOOKUP(F80,Equipos!$C$2:$K$967,9,FALSE()),"")</f>
        <v/>
      </c>
      <c r="I80" s="114" t="str">
        <f aca="false">IFERROR(VLOOKUP(F80,Equipos!$C$2:$E$967,3,FALSE()),"")</f>
        <v/>
      </c>
    </row>
    <row r="81" customFormat="false" ht="15" hidden="false" customHeight="true" outlineLevel="0" collapsed="false">
      <c r="A81" s="55"/>
      <c r="E81" s="114" t="str">
        <f aca="false">IFERROR(VLOOKUP(F81,Equipos!$C$2:$E$967,2,FALSE()),"")</f>
        <v/>
      </c>
      <c r="F81" s="55"/>
      <c r="G81" s="115" t="str">
        <f aca="false">IFERROR(VLOOKUP(F81,Equipos!$C$2:$K$967,9,FALSE()),"")</f>
        <v/>
      </c>
      <c r="I81" s="114" t="str">
        <f aca="false">IFERROR(VLOOKUP(F81,Equipos!$C$2:$E$967,3,FALSE()),"")</f>
        <v/>
      </c>
    </row>
    <row r="82" customFormat="false" ht="15" hidden="false" customHeight="true" outlineLevel="0" collapsed="false">
      <c r="A82" s="55"/>
      <c r="E82" s="114" t="str">
        <f aca="false">IFERROR(VLOOKUP(F82,Equipos!$C$2:$E$967,2,FALSE()),"")</f>
        <v/>
      </c>
      <c r="F82" s="55"/>
      <c r="G82" s="115" t="str">
        <f aca="false">IFERROR(VLOOKUP(F82,Equipos!$C$2:$K$967,9,FALSE()),"")</f>
        <v/>
      </c>
      <c r="I82" s="114" t="str">
        <f aca="false">IFERROR(VLOOKUP(F82,Equipos!$C$2:$E$967,3,FALSE()),"")</f>
        <v/>
      </c>
    </row>
    <row r="83" customFormat="false" ht="15" hidden="false" customHeight="true" outlineLevel="0" collapsed="false">
      <c r="A83" s="55"/>
      <c r="E83" s="114" t="str">
        <f aca="false">IFERROR(VLOOKUP(F83,Equipos!$C$2:$E$967,2,FALSE()),"")</f>
        <v/>
      </c>
      <c r="F83" s="55"/>
      <c r="G83" s="115" t="str">
        <f aca="false">IFERROR(VLOOKUP(F83,Equipos!$C$2:$K$967,9,FALSE()),"")</f>
        <v/>
      </c>
      <c r="I83" s="114" t="str">
        <f aca="false">IFERROR(VLOOKUP(F83,Equipos!$C$2:$E$967,3,FALSE()),"")</f>
        <v/>
      </c>
    </row>
    <row r="84" customFormat="false" ht="15" hidden="false" customHeight="true" outlineLevel="0" collapsed="false">
      <c r="A84" s="55"/>
      <c r="E84" s="114" t="str">
        <f aca="false">IFERROR(VLOOKUP(F84,Equipos!$C$2:$E$967,2,FALSE()),"")</f>
        <v/>
      </c>
      <c r="F84" s="55"/>
      <c r="G84" s="115" t="str">
        <f aca="false">IFERROR(VLOOKUP(F84,Equipos!$C$2:$K$967,9,FALSE()),"")</f>
        <v/>
      </c>
      <c r="I84" s="114" t="str">
        <f aca="false">IFERROR(VLOOKUP(F84,Equipos!$C$2:$E$967,3,FALSE()),"")</f>
        <v/>
      </c>
    </row>
    <row r="85" customFormat="false" ht="15" hidden="false" customHeight="true" outlineLevel="0" collapsed="false">
      <c r="A85" s="55"/>
      <c r="E85" s="114" t="str">
        <f aca="false">IFERROR(VLOOKUP(F85,Equipos!$C$2:$E$967,2,FALSE()),"")</f>
        <v/>
      </c>
      <c r="F85" s="55"/>
      <c r="G85" s="115" t="str">
        <f aca="false">IFERROR(VLOOKUP(F85,Equipos!$C$2:$K$967,9,FALSE()),"")</f>
        <v/>
      </c>
      <c r="I85" s="114" t="str">
        <f aca="false">IFERROR(VLOOKUP(F85,Equipos!$C$2:$E$967,3,FALSE()),"")</f>
        <v/>
      </c>
    </row>
    <row r="86" customFormat="false" ht="15" hidden="false" customHeight="true" outlineLevel="0" collapsed="false">
      <c r="A86" s="55"/>
      <c r="E86" s="114" t="str">
        <f aca="false">IFERROR(VLOOKUP(F86,Equipos!$C$2:$E$967,2,FALSE()),"")</f>
        <v/>
      </c>
      <c r="F86" s="55"/>
      <c r="G86" s="115" t="str">
        <f aca="false">IFERROR(VLOOKUP(F86,Equipos!$C$2:$K$967,9,FALSE()),"")</f>
        <v/>
      </c>
      <c r="I86" s="114" t="str">
        <f aca="false">IFERROR(VLOOKUP(F86,Equipos!$C$2:$E$967,3,FALSE()),"")</f>
        <v/>
      </c>
    </row>
    <row r="87" customFormat="false" ht="15" hidden="false" customHeight="true" outlineLevel="0" collapsed="false">
      <c r="A87" s="55"/>
      <c r="E87" s="114" t="str">
        <f aca="false">IFERROR(VLOOKUP(F87,Equipos!$C$2:$E$967,2,FALSE()),"")</f>
        <v/>
      </c>
      <c r="F87" s="55"/>
      <c r="G87" s="115" t="str">
        <f aca="false">IFERROR(VLOOKUP(F87,Equipos!$C$2:$K$967,9,FALSE()),"")</f>
        <v/>
      </c>
      <c r="I87" s="114" t="str">
        <f aca="false">IFERROR(VLOOKUP(F87,Equipos!$C$2:$E$967,3,FALSE()),"")</f>
        <v/>
      </c>
    </row>
    <row r="88" customFormat="false" ht="15" hidden="false" customHeight="true" outlineLevel="0" collapsed="false">
      <c r="A88" s="55"/>
      <c r="E88" s="114" t="str">
        <f aca="false">IFERROR(VLOOKUP(F88,Equipos!$C$2:$E$967,2,FALSE()),"")</f>
        <v/>
      </c>
      <c r="F88" s="55"/>
      <c r="G88" s="115" t="str">
        <f aca="false">IFERROR(VLOOKUP(F88,Equipos!$C$2:$K$967,9,FALSE()),"")</f>
        <v/>
      </c>
      <c r="I88" s="114" t="str">
        <f aca="false">IFERROR(VLOOKUP(F88,Equipos!$C$2:$E$967,3,FALSE()),"")</f>
        <v/>
      </c>
    </row>
    <row r="89" customFormat="false" ht="15" hidden="false" customHeight="true" outlineLevel="0" collapsed="false">
      <c r="A89" s="55"/>
      <c r="E89" s="114" t="str">
        <f aca="false">IFERROR(VLOOKUP(F89,Equipos!$C$2:$E$967,2,FALSE()),"")</f>
        <v/>
      </c>
      <c r="F89" s="55"/>
      <c r="G89" s="115" t="str">
        <f aca="false">IFERROR(VLOOKUP(F89,Equipos!$C$2:$K$967,9,FALSE()),"")</f>
        <v/>
      </c>
      <c r="I89" s="114" t="str">
        <f aca="false">IFERROR(VLOOKUP(F89,Equipos!$C$2:$E$967,3,FALSE()),"")</f>
        <v/>
      </c>
    </row>
    <row r="90" customFormat="false" ht="15" hidden="false" customHeight="true" outlineLevel="0" collapsed="false">
      <c r="A90" s="55"/>
      <c r="E90" s="114" t="str">
        <f aca="false">IFERROR(VLOOKUP(F90,Equipos!$C$2:$E$967,2,FALSE()),"")</f>
        <v/>
      </c>
      <c r="F90" s="55"/>
      <c r="G90" s="115" t="str">
        <f aca="false">IFERROR(VLOOKUP(F90,Equipos!$C$2:$K$967,9,FALSE()),"")</f>
        <v/>
      </c>
      <c r="I90" s="114" t="str">
        <f aca="false">IFERROR(VLOOKUP(F90,Equipos!$C$2:$E$967,3,FALSE()),"")</f>
        <v/>
      </c>
    </row>
    <row r="91" customFormat="false" ht="15" hidden="false" customHeight="true" outlineLevel="0" collapsed="false">
      <c r="A91" s="55"/>
      <c r="E91" s="114" t="str">
        <f aca="false">IFERROR(VLOOKUP(F91,Equipos!$C$2:$E$967,2,FALSE()),"")</f>
        <v/>
      </c>
      <c r="F91" s="55"/>
      <c r="G91" s="115" t="str">
        <f aca="false">IFERROR(VLOOKUP(F91,Equipos!$C$2:$K$967,9,FALSE()),"")</f>
        <v/>
      </c>
      <c r="I91" s="114" t="str">
        <f aca="false">IFERROR(VLOOKUP(F91,Equipos!$C$2:$E$967,3,FALSE()),"")</f>
        <v/>
      </c>
    </row>
    <row r="92" customFormat="false" ht="15" hidden="false" customHeight="true" outlineLevel="0" collapsed="false">
      <c r="A92" s="55"/>
      <c r="E92" s="114" t="str">
        <f aca="false">IFERROR(VLOOKUP(F92,Equipos!$C$2:$E$967,2,FALSE()),"")</f>
        <v/>
      </c>
      <c r="F92" s="55"/>
      <c r="G92" s="115" t="str">
        <f aca="false">IFERROR(VLOOKUP(F92,Equipos!$C$2:$K$967,9,FALSE()),"")</f>
        <v/>
      </c>
      <c r="I92" s="114" t="str">
        <f aca="false">IFERROR(VLOOKUP(F92,Equipos!$C$2:$E$967,3,FALSE()),"")</f>
        <v/>
      </c>
    </row>
    <row r="93" customFormat="false" ht="15" hidden="false" customHeight="true" outlineLevel="0" collapsed="false">
      <c r="A93" s="55"/>
      <c r="E93" s="114" t="str">
        <f aca="false">IFERROR(VLOOKUP(F93,Equipos!$C$2:$E$967,2,FALSE()),"")</f>
        <v/>
      </c>
      <c r="F93" s="55"/>
      <c r="G93" s="115" t="str">
        <f aca="false">IFERROR(VLOOKUP(F93,Equipos!$C$2:$K$967,9,FALSE()),"")</f>
        <v/>
      </c>
      <c r="I93" s="114" t="str">
        <f aca="false">IFERROR(VLOOKUP(F93,Equipos!$C$2:$E$967,3,FALSE()),"")</f>
        <v/>
      </c>
    </row>
    <row r="94" customFormat="false" ht="15" hidden="false" customHeight="true" outlineLevel="0" collapsed="false">
      <c r="A94" s="55"/>
      <c r="E94" s="114" t="str">
        <f aca="false">IFERROR(VLOOKUP(F94,Equipos!$C$2:$E$967,2,FALSE()),"")</f>
        <v/>
      </c>
      <c r="F94" s="55"/>
      <c r="G94" s="115" t="str">
        <f aca="false">IFERROR(VLOOKUP(F94,Equipos!$C$2:$K$967,9,FALSE()),"")</f>
        <v/>
      </c>
      <c r="I94" s="114" t="str">
        <f aca="false">IFERROR(VLOOKUP(F94,Equipos!$C$2:$E$967,3,FALSE()),"")</f>
        <v/>
      </c>
    </row>
    <row r="95" customFormat="false" ht="15" hidden="false" customHeight="true" outlineLevel="0" collapsed="false">
      <c r="A95" s="55"/>
      <c r="E95" s="114" t="str">
        <f aca="false">IFERROR(VLOOKUP(F95,Equipos!$C$2:$E$967,2,FALSE()),"")</f>
        <v/>
      </c>
      <c r="F95" s="55"/>
      <c r="G95" s="115" t="str">
        <f aca="false">IFERROR(VLOOKUP(F95,Equipos!$C$2:$K$967,9,FALSE()),"")</f>
        <v/>
      </c>
      <c r="I95" s="114" t="str">
        <f aca="false">IFERROR(VLOOKUP(F95,Equipos!$C$2:$E$967,3,FALSE()),"")</f>
        <v/>
      </c>
    </row>
    <row r="96" customFormat="false" ht="15" hidden="false" customHeight="true" outlineLevel="0" collapsed="false">
      <c r="A96" s="55"/>
      <c r="E96" s="114" t="str">
        <f aca="false">IFERROR(VLOOKUP(F96,Equipos!$C$2:$E$967,2,FALSE()),"")</f>
        <v/>
      </c>
      <c r="F96" s="55"/>
      <c r="G96" s="115" t="str">
        <f aca="false">IFERROR(VLOOKUP(F96,Equipos!$C$2:$K$967,9,FALSE()),"")</f>
        <v/>
      </c>
      <c r="I96" s="114" t="str">
        <f aca="false">IFERROR(VLOOKUP(F96,Equipos!$C$2:$E$967,3,FALSE()),"")</f>
        <v/>
      </c>
    </row>
    <row r="97" customFormat="false" ht="15" hidden="false" customHeight="true" outlineLevel="0" collapsed="false">
      <c r="A97" s="55"/>
      <c r="E97" s="114" t="str">
        <f aca="false">IFERROR(VLOOKUP(F97,Equipos!$C$2:$E$967,2,FALSE()),"")</f>
        <v/>
      </c>
      <c r="F97" s="55"/>
      <c r="G97" s="115" t="str">
        <f aca="false">IFERROR(VLOOKUP(F97,Equipos!$C$2:$K$967,9,FALSE()),"")</f>
        <v/>
      </c>
      <c r="I97" s="114" t="str">
        <f aca="false">IFERROR(VLOOKUP(F97,Equipos!$C$2:$E$967,3,FALSE()),"")</f>
        <v/>
      </c>
    </row>
    <row r="98" customFormat="false" ht="15" hidden="false" customHeight="true" outlineLevel="0" collapsed="false">
      <c r="A98" s="55"/>
      <c r="E98" s="114" t="str">
        <f aca="false">IFERROR(VLOOKUP(F98,Equipos!$C$2:$E$967,2,FALSE()),"")</f>
        <v/>
      </c>
      <c r="F98" s="55"/>
      <c r="G98" s="115" t="str">
        <f aca="false">IFERROR(VLOOKUP(F98,Equipos!$C$2:$K$967,9,FALSE()),"")</f>
        <v/>
      </c>
      <c r="I98" s="114" t="str">
        <f aca="false">IFERROR(VLOOKUP(F98,Equipos!$C$2:$E$967,3,FALSE()),"")</f>
        <v/>
      </c>
    </row>
    <row r="99" customFormat="false" ht="15" hidden="false" customHeight="true" outlineLevel="0" collapsed="false">
      <c r="A99" s="55"/>
      <c r="E99" s="114" t="str">
        <f aca="false">IFERROR(VLOOKUP(F99,Equipos!$C$2:$E$967,2,FALSE()),"")</f>
        <v/>
      </c>
      <c r="F99" s="55"/>
      <c r="G99" s="115" t="str">
        <f aca="false">IFERROR(VLOOKUP(F99,Equipos!$C$2:$K$967,9,FALSE()),"")</f>
        <v/>
      </c>
      <c r="I99" s="114" t="str">
        <f aca="false">IFERROR(VLOOKUP(F99,Equipos!$C$2:$E$967,3,FALSE()),"")</f>
        <v/>
      </c>
    </row>
    <row r="100" customFormat="false" ht="15" hidden="false" customHeight="true" outlineLevel="0" collapsed="false">
      <c r="A100" s="55"/>
      <c r="E100" s="114" t="str">
        <f aca="false">IFERROR(VLOOKUP(F100,Equipos!$C$2:$E$967,2,FALSE()),"")</f>
        <v/>
      </c>
      <c r="F100" s="55"/>
      <c r="G100" s="115" t="str">
        <f aca="false">IFERROR(VLOOKUP(F100,Equipos!$C$2:$K$967,9,FALSE()),"")</f>
        <v/>
      </c>
      <c r="I100" s="114" t="str">
        <f aca="false">IFERROR(VLOOKUP(F100,Equipos!$C$2:$E$967,3,FALSE()),"")</f>
        <v/>
      </c>
    </row>
    <row r="101" customFormat="false" ht="15" hidden="false" customHeight="true" outlineLevel="0" collapsed="false">
      <c r="A101" s="55"/>
      <c r="E101" s="114" t="str">
        <f aca="false">IFERROR(VLOOKUP(F101,Equipos!$C$2:$E$967,2,FALSE()),"")</f>
        <v/>
      </c>
      <c r="F101" s="55"/>
      <c r="G101" s="115" t="str">
        <f aca="false">IFERROR(VLOOKUP(F101,Equipos!$C$2:$K$967,9,FALSE()),"")</f>
        <v/>
      </c>
      <c r="I101" s="114" t="str">
        <f aca="false">IFERROR(VLOOKUP(F101,Equipos!$C$2:$E$967,3,FALSE()),"")</f>
        <v/>
      </c>
    </row>
    <row r="102" customFormat="false" ht="15" hidden="false" customHeight="true" outlineLevel="0" collapsed="false">
      <c r="A102" s="55"/>
      <c r="E102" s="114" t="str">
        <f aca="false">IFERROR(VLOOKUP(F102,Equipos!$C$2:$E$967,2,FALSE()),"")</f>
        <v/>
      </c>
      <c r="F102" s="55"/>
      <c r="G102" s="115" t="str">
        <f aca="false">IFERROR(VLOOKUP(F102,Equipos!$C$2:$K$967,9,FALSE()),"")</f>
        <v/>
      </c>
      <c r="I102" s="114" t="str">
        <f aca="false">IFERROR(VLOOKUP(F102,Equipos!$C$2:$E$967,3,FALSE()),"")</f>
        <v/>
      </c>
    </row>
    <row r="103" customFormat="false" ht="15" hidden="false" customHeight="true" outlineLevel="0" collapsed="false">
      <c r="A103" s="55"/>
      <c r="E103" s="114" t="str">
        <f aca="false">IFERROR(VLOOKUP(F103,Equipos!$C$2:$E$967,2,FALSE()),"")</f>
        <v/>
      </c>
      <c r="F103" s="55"/>
      <c r="G103" s="115" t="str">
        <f aca="false">IFERROR(VLOOKUP(F103,Equipos!$C$2:$K$967,9,FALSE()),"")</f>
        <v/>
      </c>
      <c r="I103" s="114" t="str">
        <f aca="false">IFERROR(VLOOKUP(F103,Equipos!$C$2:$E$967,3,FALSE()),"")</f>
        <v/>
      </c>
    </row>
    <row r="104" customFormat="false" ht="15" hidden="false" customHeight="true" outlineLevel="0" collapsed="false">
      <c r="A104" s="55"/>
      <c r="E104" s="114" t="str">
        <f aca="false">IFERROR(VLOOKUP(F104,Equipos!$C$2:$E$967,2,FALSE()),"")</f>
        <v/>
      </c>
      <c r="F104" s="55"/>
      <c r="G104" s="115" t="str">
        <f aca="false">IFERROR(VLOOKUP(F104,Equipos!$C$2:$K$967,9,FALSE()),"")</f>
        <v/>
      </c>
      <c r="I104" s="114" t="str">
        <f aca="false">IFERROR(VLOOKUP(F104,Equipos!$C$2:$E$967,3,FALSE()),"")</f>
        <v/>
      </c>
    </row>
    <row r="105" customFormat="false" ht="15" hidden="false" customHeight="true" outlineLevel="0" collapsed="false">
      <c r="A105" s="55"/>
      <c r="E105" s="114" t="str">
        <f aca="false">IFERROR(VLOOKUP(F105,Equipos!$C$2:$E$967,2,FALSE()),"")</f>
        <v/>
      </c>
      <c r="F105" s="55"/>
      <c r="G105" s="115" t="str">
        <f aca="false">IFERROR(VLOOKUP(F105,Equipos!$C$2:$K$967,9,FALSE()),"")</f>
        <v/>
      </c>
      <c r="I105" s="114" t="str">
        <f aca="false">IFERROR(VLOOKUP(F105,Equipos!$C$2:$E$967,3,FALSE()),"")</f>
        <v/>
      </c>
    </row>
    <row r="106" customFormat="false" ht="15" hidden="false" customHeight="true" outlineLevel="0" collapsed="false">
      <c r="A106" s="55"/>
      <c r="E106" s="114" t="str">
        <f aca="false">IFERROR(VLOOKUP(F106,Equipos!$C$2:$E$967,2,FALSE()),"")</f>
        <v/>
      </c>
      <c r="F106" s="55"/>
      <c r="G106" s="115" t="str">
        <f aca="false">IFERROR(VLOOKUP(F106,Equipos!$C$2:$K$967,9,FALSE()),"")</f>
        <v/>
      </c>
      <c r="I106" s="114" t="str">
        <f aca="false">IFERROR(VLOOKUP(F106,Equipos!$C$2:$E$967,3,FALSE()),"")</f>
        <v/>
      </c>
    </row>
    <row r="107" customFormat="false" ht="15" hidden="false" customHeight="true" outlineLevel="0" collapsed="false">
      <c r="A107" s="55"/>
      <c r="E107" s="114" t="str">
        <f aca="false">IFERROR(VLOOKUP(F107,Equipos!$C$2:$E$967,2,FALSE()),"")</f>
        <v/>
      </c>
      <c r="F107" s="55"/>
      <c r="G107" s="115" t="str">
        <f aca="false">IFERROR(VLOOKUP(F107,Equipos!$C$2:$K$967,9,FALSE()),"")</f>
        <v/>
      </c>
      <c r="I107" s="114" t="str">
        <f aca="false">IFERROR(VLOOKUP(F107,Equipos!$C$2:$E$967,3,FALSE()),"")</f>
        <v/>
      </c>
    </row>
    <row r="108" customFormat="false" ht="15" hidden="false" customHeight="true" outlineLevel="0" collapsed="false">
      <c r="A108" s="55"/>
      <c r="E108" s="114" t="str">
        <f aca="false">IFERROR(VLOOKUP(F108,Equipos!$C$2:$E$967,2,FALSE()),"")</f>
        <v/>
      </c>
      <c r="F108" s="55"/>
      <c r="G108" s="115" t="str">
        <f aca="false">IFERROR(VLOOKUP(F108,Equipos!$C$2:$K$967,9,FALSE()),"")</f>
        <v/>
      </c>
      <c r="I108" s="114" t="str">
        <f aca="false">IFERROR(VLOOKUP(F108,Equipos!$C$2:$E$967,3,FALSE()),"")</f>
        <v/>
      </c>
    </row>
    <row r="109" customFormat="false" ht="15" hidden="false" customHeight="true" outlineLevel="0" collapsed="false">
      <c r="A109" s="55"/>
      <c r="E109" s="114" t="str">
        <f aca="false">IFERROR(VLOOKUP(F109,Equipos!$C$2:$E$967,2,FALSE()),"")</f>
        <v/>
      </c>
      <c r="F109" s="55"/>
      <c r="G109" s="115" t="str">
        <f aca="false">IFERROR(VLOOKUP(F109,Equipos!$C$2:$K$967,9,FALSE()),"")</f>
        <v/>
      </c>
      <c r="I109" s="114" t="str">
        <f aca="false">IFERROR(VLOOKUP(F109,Equipos!$C$2:$E$967,3,FALSE()),"")</f>
        <v/>
      </c>
    </row>
    <row r="110" customFormat="false" ht="15" hidden="false" customHeight="true" outlineLevel="0" collapsed="false">
      <c r="A110" s="55"/>
      <c r="E110" s="114" t="str">
        <f aca="false">IFERROR(VLOOKUP(F110,Equipos!$C$2:$E$967,2,FALSE()),"")</f>
        <v/>
      </c>
      <c r="F110" s="55"/>
      <c r="G110" s="115" t="str">
        <f aca="false">IFERROR(VLOOKUP(F110,Equipos!$C$2:$K$967,9,FALSE()),"")</f>
        <v/>
      </c>
      <c r="I110" s="114" t="str">
        <f aca="false">IFERROR(VLOOKUP(F110,Equipos!$C$2:$E$967,3,FALSE()),"")</f>
        <v/>
      </c>
    </row>
    <row r="111" customFormat="false" ht="15" hidden="false" customHeight="true" outlineLevel="0" collapsed="false">
      <c r="A111" s="55"/>
      <c r="E111" s="114" t="str">
        <f aca="false">IFERROR(VLOOKUP(F111,Equipos!$C$2:$E$967,2,FALSE()),"")</f>
        <v/>
      </c>
      <c r="F111" s="55"/>
      <c r="G111" s="115" t="str">
        <f aca="false">IFERROR(VLOOKUP(F111,Equipos!$C$2:$K$967,9,FALSE()),"")</f>
        <v/>
      </c>
      <c r="I111" s="114" t="str">
        <f aca="false">IFERROR(VLOOKUP(F111,Equipos!$C$2:$E$967,3,FALSE()),"")</f>
        <v/>
      </c>
    </row>
    <row r="112" customFormat="false" ht="15" hidden="false" customHeight="true" outlineLevel="0" collapsed="false">
      <c r="A112" s="55"/>
      <c r="E112" s="114" t="str">
        <f aca="false">IFERROR(VLOOKUP(F112,Equipos!$C$2:$E$967,2,FALSE()),"")</f>
        <v/>
      </c>
      <c r="F112" s="55"/>
      <c r="G112" s="115" t="str">
        <f aca="false">IFERROR(VLOOKUP(F112,Equipos!$C$2:$K$967,9,FALSE()),"")</f>
        <v/>
      </c>
      <c r="I112" s="114" t="str">
        <f aca="false">IFERROR(VLOOKUP(F112,Equipos!$C$2:$E$967,3,FALSE()),"")</f>
        <v/>
      </c>
    </row>
    <row r="113" customFormat="false" ht="15" hidden="false" customHeight="true" outlineLevel="0" collapsed="false">
      <c r="A113" s="55"/>
      <c r="E113" s="114" t="str">
        <f aca="false">IFERROR(VLOOKUP(F113,Equipos!$C$2:$E$967,2,FALSE()),"")</f>
        <v/>
      </c>
      <c r="F113" s="55"/>
      <c r="G113" s="115" t="str">
        <f aca="false">IFERROR(VLOOKUP(F113,Equipos!$C$2:$K$967,9,FALSE()),"")</f>
        <v/>
      </c>
      <c r="I113" s="114" t="str">
        <f aca="false">IFERROR(VLOOKUP(F113,Equipos!$C$2:$E$967,3,FALSE()),"")</f>
        <v/>
      </c>
    </row>
    <row r="114" customFormat="false" ht="15" hidden="false" customHeight="true" outlineLevel="0" collapsed="false">
      <c r="A114" s="55"/>
      <c r="E114" s="114" t="str">
        <f aca="false">IFERROR(VLOOKUP(F114,Equipos!$C$2:$E$967,2,FALSE()),"")</f>
        <v/>
      </c>
      <c r="F114" s="55"/>
      <c r="G114" s="115" t="str">
        <f aca="false">IFERROR(VLOOKUP(F114,Equipos!$C$2:$K$967,9,FALSE()),"")</f>
        <v/>
      </c>
      <c r="I114" s="114" t="str">
        <f aca="false">IFERROR(VLOOKUP(F114,Equipos!$C$2:$E$967,3,FALSE()),"")</f>
        <v/>
      </c>
    </row>
    <row r="115" customFormat="false" ht="15" hidden="false" customHeight="true" outlineLevel="0" collapsed="false">
      <c r="A115" s="55"/>
      <c r="E115" s="114" t="str">
        <f aca="false">IFERROR(VLOOKUP(F115,Equipos!$C$2:$E$967,2,FALSE()),"")</f>
        <v/>
      </c>
      <c r="F115" s="55"/>
      <c r="G115" s="115" t="str">
        <f aca="false">IFERROR(VLOOKUP(F115,Equipos!$C$2:$K$967,9,FALSE()),"")</f>
        <v/>
      </c>
      <c r="I115" s="114" t="str">
        <f aca="false">IFERROR(VLOOKUP(F115,Equipos!$C$2:$E$967,3,FALSE()),"")</f>
        <v/>
      </c>
    </row>
    <row r="116" customFormat="false" ht="15" hidden="false" customHeight="true" outlineLevel="0" collapsed="false">
      <c r="A116" s="55"/>
      <c r="E116" s="114" t="str">
        <f aca="false">IFERROR(VLOOKUP(F116,Equipos!$C$2:$E$967,2,FALSE()),"")</f>
        <v/>
      </c>
      <c r="F116" s="55"/>
      <c r="G116" s="115" t="str">
        <f aca="false">IFERROR(VLOOKUP(F116,Equipos!$C$2:$K$967,9,FALSE()),"")</f>
        <v/>
      </c>
      <c r="I116" s="114" t="str">
        <f aca="false">IFERROR(VLOOKUP(F116,Equipos!$C$2:$E$967,3,FALSE()),"")</f>
        <v/>
      </c>
    </row>
    <row r="117" customFormat="false" ht="15" hidden="false" customHeight="true" outlineLevel="0" collapsed="false">
      <c r="A117" s="55"/>
      <c r="E117" s="114" t="str">
        <f aca="false">IFERROR(VLOOKUP(F117,Equipos!$C$2:$E$967,2,FALSE()),"")</f>
        <v/>
      </c>
      <c r="F117" s="55"/>
      <c r="G117" s="115" t="str">
        <f aca="false">IFERROR(VLOOKUP(F117,Equipos!$C$2:$K$967,9,FALSE()),"")</f>
        <v/>
      </c>
      <c r="I117" s="114" t="str">
        <f aca="false">IFERROR(VLOOKUP(F117,Equipos!$C$2:$E$967,3,FALSE()),"")</f>
        <v/>
      </c>
    </row>
    <row r="118" customFormat="false" ht="15" hidden="false" customHeight="true" outlineLevel="0" collapsed="false">
      <c r="A118" s="55"/>
      <c r="E118" s="114" t="str">
        <f aca="false">IFERROR(VLOOKUP(F118,Equipos!$C$2:$E$967,2,FALSE()),"")</f>
        <v/>
      </c>
      <c r="F118" s="55"/>
      <c r="G118" s="115" t="str">
        <f aca="false">IFERROR(VLOOKUP(F118,Equipos!$C$2:$K$967,9,FALSE()),"")</f>
        <v/>
      </c>
      <c r="I118" s="114" t="str">
        <f aca="false">IFERROR(VLOOKUP(F118,Equipos!$C$2:$E$967,3,FALSE()),"")</f>
        <v/>
      </c>
    </row>
    <row r="119" customFormat="false" ht="15" hidden="false" customHeight="true" outlineLevel="0" collapsed="false">
      <c r="A119" s="55"/>
      <c r="E119" s="114" t="str">
        <f aca="false">IFERROR(VLOOKUP(F119,Equipos!$C$2:$E$967,2,FALSE()),"")</f>
        <v/>
      </c>
      <c r="F119" s="55"/>
      <c r="G119" s="115" t="str">
        <f aca="false">IFERROR(VLOOKUP(F119,Equipos!$C$2:$K$967,9,FALSE()),"")</f>
        <v/>
      </c>
      <c r="I119" s="114" t="str">
        <f aca="false">IFERROR(VLOOKUP(F119,Equipos!$C$2:$E$967,3,FALSE()),"")</f>
        <v/>
      </c>
    </row>
    <row r="120" customFormat="false" ht="15" hidden="false" customHeight="true" outlineLevel="0" collapsed="false">
      <c r="A120" s="55"/>
      <c r="E120" s="114" t="str">
        <f aca="false">IFERROR(VLOOKUP(F120,Equipos!$C$2:$E$967,2,FALSE()),"")</f>
        <v/>
      </c>
      <c r="F120" s="55"/>
      <c r="G120" s="115" t="str">
        <f aca="false">IFERROR(VLOOKUP(F120,Equipos!$C$2:$K$967,9,FALSE()),"")</f>
        <v/>
      </c>
      <c r="I120" s="114" t="str">
        <f aca="false">IFERROR(VLOOKUP(F120,Equipos!$C$2:$E$967,3,FALSE()),"")</f>
        <v/>
      </c>
    </row>
    <row r="121" customFormat="false" ht="15" hidden="false" customHeight="true" outlineLevel="0" collapsed="false">
      <c r="A121" s="55"/>
      <c r="E121" s="114" t="str">
        <f aca="false">IFERROR(VLOOKUP(F121,Equipos!$C$2:$E$967,2,FALSE()),"")</f>
        <v/>
      </c>
      <c r="F121" s="55"/>
      <c r="G121" s="115" t="str">
        <f aca="false">IFERROR(VLOOKUP(F121,Equipos!$C$2:$K$967,9,FALSE()),"")</f>
        <v/>
      </c>
      <c r="I121" s="114" t="str">
        <f aca="false">IFERROR(VLOOKUP(F121,Equipos!$C$2:$E$967,3,FALSE()),"")</f>
        <v/>
      </c>
    </row>
    <row r="122" customFormat="false" ht="15" hidden="false" customHeight="true" outlineLevel="0" collapsed="false">
      <c r="A122" s="55"/>
      <c r="E122" s="114" t="str">
        <f aca="false">IFERROR(VLOOKUP(F122,Equipos!$C$2:$E$967,2,FALSE()),"")</f>
        <v/>
      </c>
      <c r="F122" s="55"/>
      <c r="G122" s="115" t="str">
        <f aca="false">IFERROR(VLOOKUP(F122,Equipos!$C$2:$K$967,9,FALSE()),"")</f>
        <v/>
      </c>
      <c r="I122" s="114" t="str">
        <f aca="false">IFERROR(VLOOKUP(F122,Equipos!$C$2:$E$967,3,FALSE()),"")</f>
        <v/>
      </c>
    </row>
    <row r="123" customFormat="false" ht="15" hidden="false" customHeight="true" outlineLevel="0" collapsed="false">
      <c r="A123" s="55"/>
      <c r="E123" s="114" t="str">
        <f aca="false">IFERROR(VLOOKUP(F123,Equipos!$C$2:$E$967,2,FALSE()),"")</f>
        <v/>
      </c>
      <c r="F123" s="55"/>
      <c r="G123" s="115" t="str">
        <f aca="false">IFERROR(VLOOKUP(F123,Equipos!$C$2:$K$967,9,FALSE()),"")</f>
        <v/>
      </c>
      <c r="I123" s="114" t="str">
        <f aca="false">IFERROR(VLOOKUP(F123,Equipos!$C$2:$E$967,3,FALSE()),"")</f>
        <v/>
      </c>
    </row>
    <row r="124" customFormat="false" ht="15" hidden="false" customHeight="true" outlineLevel="0" collapsed="false">
      <c r="A124" s="55"/>
      <c r="E124" s="114" t="str">
        <f aca="false">IFERROR(VLOOKUP(F124,Equipos!$C$2:$E$967,2,FALSE()),"")</f>
        <v/>
      </c>
      <c r="F124" s="55"/>
      <c r="G124" s="115" t="str">
        <f aca="false">IFERROR(VLOOKUP(F124,Equipos!$C$2:$K$967,9,FALSE()),"")</f>
        <v/>
      </c>
      <c r="I124" s="114" t="str">
        <f aca="false">IFERROR(VLOOKUP(F124,Equipos!$C$2:$E$967,3,FALSE()),"")</f>
        <v/>
      </c>
    </row>
    <row r="125" customFormat="false" ht="15" hidden="false" customHeight="true" outlineLevel="0" collapsed="false">
      <c r="A125" s="55"/>
      <c r="E125" s="114" t="str">
        <f aca="false">IFERROR(VLOOKUP(F125,Equipos!$C$2:$E$967,2,FALSE()),"")</f>
        <v/>
      </c>
      <c r="F125" s="55"/>
      <c r="G125" s="115" t="str">
        <f aca="false">IFERROR(VLOOKUP(F125,Equipos!$C$2:$K$967,9,FALSE()),"")</f>
        <v/>
      </c>
      <c r="I125" s="114" t="str">
        <f aca="false">IFERROR(VLOOKUP(F125,Equipos!$C$2:$E$967,3,FALSE()),"")</f>
        <v/>
      </c>
    </row>
    <row r="126" customFormat="false" ht="15" hidden="false" customHeight="true" outlineLevel="0" collapsed="false">
      <c r="A126" s="55"/>
      <c r="E126" s="114" t="str">
        <f aca="false">IFERROR(VLOOKUP(F126,Equipos!$C$2:$E$967,2,FALSE()),"")</f>
        <v/>
      </c>
      <c r="F126" s="55"/>
      <c r="G126" s="115" t="str">
        <f aca="false">IFERROR(VLOOKUP(F126,Equipos!$C$2:$K$967,9,FALSE()),"")</f>
        <v/>
      </c>
      <c r="I126" s="114" t="str">
        <f aca="false">IFERROR(VLOOKUP(F126,Equipos!$C$2:$E$967,3,FALSE()),"")</f>
        <v/>
      </c>
    </row>
    <row r="127" customFormat="false" ht="15" hidden="false" customHeight="true" outlineLevel="0" collapsed="false">
      <c r="A127" s="55"/>
      <c r="E127" s="114" t="str">
        <f aca="false">IFERROR(VLOOKUP(F127,Equipos!$C$2:$E$967,2,FALSE()),"")</f>
        <v/>
      </c>
      <c r="F127" s="55"/>
      <c r="G127" s="115" t="str">
        <f aca="false">IFERROR(VLOOKUP(F127,Equipos!$C$2:$K$967,9,FALSE()),"")</f>
        <v/>
      </c>
      <c r="I127" s="114" t="str">
        <f aca="false">IFERROR(VLOOKUP(F127,Equipos!$C$2:$E$967,3,FALSE()),"")</f>
        <v/>
      </c>
    </row>
    <row r="128" customFormat="false" ht="15" hidden="false" customHeight="true" outlineLevel="0" collapsed="false">
      <c r="A128" s="55"/>
      <c r="E128" s="114" t="str">
        <f aca="false">IFERROR(VLOOKUP(F128,Equipos!$C$2:$E$967,2,FALSE()),"")</f>
        <v/>
      </c>
      <c r="F128" s="55"/>
      <c r="G128" s="115" t="str">
        <f aca="false">IFERROR(VLOOKUP(F128,Equipos!$C$2:$K$967,9,FALSE()),"")</f>
        <v/>
      </c>
      <c r="I128" s="114" t="str">
        <f aca="false">IFERROR(VLOOKUP(F128,Equipos!$C$2:$E$967,3,FALSE()),"")</f>
        <v/>
      </c>
    </row>
    <row r="129" customFormat="false" ht="15" hidden="false" customHeight="true" outlineLevel="0" collapsed="false">
      <c r="A129" s="55"/>
      <c r="E129" s="114" t="str">
        <f aca="false">IFERROR(VLOOKUP(F129,Equipos!$C$2:$E$967,2,FALSE()),"")</f>
        <v/>
      </c>
      <c r="F129" s="55"/>
      <c r="G129" s="115" t="str">
        <f aca="false">IFERROR(VLOOKUP(F129,Equipos!$C$2:$K$967,9,FALSE()),"")</f>
        <v/>
      </c>
      <c r="I129" s="114" t="str">
        <f aca="false">IFERROR(VLOOKUP(F129,Equipos!$C$2:$E$967,3,FALSE()),"")</f>
        <v/>
      </c>
    </row>
    <row r="130" customFormat="false" ht="15" hidden="false" customHeight="true" outlineLevel="0" collapsed="false">
      <c r="A130" s="55"/>
      <c r="E130" s="114" t="str">
        <f aca="false">IFERROR(VLOOKUP(F130,Equipos!$C$2:$E$967,2,FALSE()),"")</f>
        <v/>
      </c>
      <c r="F130" s="55"/>
      <c r="G130" s="115" t="str">
        <f aca="false">IFERROR(VLOOKUP(F130,Equipos!$C$2:$K$967,9,FALSE()),"")</f>
        <v/>
      </c>
      <c r="I130" s="114" t="str">
        <f aca="false">IFERROR(VLOOKUP(F130,Equipos!$C$2:$E$967,3,FALSE()),"")</f>
        <v/>
      </c>
    </row>
    <row r="131" customFormat="false" ht="15" hidden="false" customHeight="true" outlineLevel="0" collapsed="false">
      <c r="A131" s="55"/>
      <c r="E131" s="114" t="str">
        <f aca="false">IFERROR(VLOOKUP(F131,Equipos!$C$2:$E$967,2,FALSE()),"")</f>
        <v/>
      </c>
      <c r="F131" s="55"/>
      <c r="G131" s="115" t="str">
        <f aca="false">IFERROR(VLOOKUP(F131,Equipos!$C$2:$K$967,9,FALSE()),"")</f>
        <v/>
      </c>
      <c r="I131" s="114" t="str">
        <f aca="false">IFERROR(VLOOKUP(F131,Equipos!$C$2:$E$967,3,FALSE()),"")</f>
        <v/>
      </c>
    </row>
    <row r="132" customFormat="false" ht="15" hidden="false" customHeight="true" outlineLevel="0" collapsed="false">
      <c r="A132" s="55"/>
      <c r="E132" s="114" t="str">
        <f aca="false">IFERROR(VLOOKUP(F132,Equipos!$C$2:$E$967,2,FALSE()),"")</f>
        <v/>
      </c>
      <c r="F132" s="55"/>
      <c r="G132" s="115" t="str">
        <f aca="false">IFERROR(VLOOKUP(F132,Equipos!$C$2:$K$967,9,FALSE()),"")</f>
        <v/>
      </c>
      <c r="I132" s="114" t="str">
        <f aca="false">IFERROR(VLOOKUP(F132,Equipos!$C$2:$E$967,3,FALSE()),"")</f>
        <v/>
      </c>
    </row>
    <row r="133" customFormat="false" ht="15" hidden="false" customHeight="true" outlineLevel="0" collapsed="false">
      <c r="A133" s="55"/>
      <c r="E133" s="114" t="str">
        <f aca="false">IFERROR(VLOOKUP(F133,Equipos!$C$2:$E$967,2,FALSE()),"")</f>
        <v/>
      </c>
      <c r="F133" s="55"/>
      <c r="G133" s="115" t="str">
        <f aca="false">IFERROR(VLOOKUP(F133,Equipos!$C$2:$K$967,9,FALSE()),"")</f>
        <v/>
      </c>
      <c r="I133" s="114" t="str">
        <f aca="false">IFERROR(VLOOKUP(F133,Equipos!$C$2:$E$967,3,FALSE()),"")</f>
        <v/>
      </c>
    </row>
    <row r="134" customFormat="false" ht="15" hidden="false" customHeight="true" outlineLevel="0" collapsed="false">
      <c r="A134" s="55"/>
      <c r="E134" s="114" t="str">
        <f aca="false">IFERROR(VLOOKUP(F134,Equipos!$C$2:$E$967,2,FALSE()),"")</f>
        <v/>
      </c>
      <c r="F134" s="55"/>
      <c r="G134" s="115" t="str">
        <f aca="false">IFERROR(VLOOKUP(F134,Equipos!$C$2:$K$967,9,FALSE()),"")</f>
        <v/>
      </c>
      <c r="I134" s="114" t="str">
        <f aca="false">IFERROR(VLOOKUP(F134,Equipos!$C$2:$E$967,3,FALSE()),"")</f>
        <v/>
      </c>
    </row>
    <row r="135" customFormat="false" ht="15" hidden="false" customHeight="true" outlineLevel="0" collapsed="false">
      <c r="A135" s="55"/>
      <c r="E135" s="114" t="str">
        <f aca="false">IFERROR(VLOOKUP(F135,Equipos!$C$2:$E$967,2,FALSE()),"")</f>
        <v/>
      </c>
      <c r="F135" s="55"/>
      <c r="G135" s="115" t="str">
        <f aca="false">IFERROR(VLOOKUP(F135,Equipos!$C$2:$K$967,9,FALSE()),"")</f>
        <v/>
      </c>
      <c r="I135" s="114" t="str">
        <f aca="false">IFERROR(VLOOKUP(F135,Equipos!$C$2:$E$967,3,FALSE()),"")</f>
        <v/>
      </c>
    </row>
    <row r="136" customFormat="false" ht="15" hidden="false" customHeight="true" outlineLevel="0" collapsed="false">
      <c r="A136" s="55"/>
      <c r="E136" s="114" t="str">
        <f aca="false">IFERROR(VLOOKUP(F136,Equipos!$C$2:$E$967,2,FALSE()),"")</f>
        <v/>
      </c>
      <c r="F136" s="55"/>
      <c r="G136" s="115" t="str">
        <f aca="false">IFERROR(VLOOKUP(F136,Equipos!$C$2:$K$967,9,FALSE()),"")</f>
        <v/>
      </c>
      <c r="I136" s="114" t="str">
        <f aca="false">IFERROR(VLOOKUP(F136,Equipos!$C$2:$E$967,3,FALSE()),"")</f>
        <v/>
      </c>
    </row>
    <row r="137" customFormat="false" ht="15" hidden="false" customHeight="true" outlineLevel="0" collapsed="false">
      <c r="A137" s="55"/>
      <c r="E137" s="114" t="str">
        <f aca="false">IFERROR(VLOOKUP(F137,Equipos!$C$2:$E$967,2,FALSE()),"")</f>
        <v/>
      </c>
      <c r="F137" s="55"/>
      <c r="G137" s="115" t="str">
        <f aca="false">IFERROR(VLOOKUP(F137,Equipos!$C$2:$K$967,9,FALSE()),"")</f>
        <v/>
      </c>
      <c r="I137" s="114" t="str">
        <f aca="false">IFERROR(VLOOKUP(F137,Equipos!$C$2:$E$967,3,FALSE()),"")</f>
        <v/>
      </c>
    </row>
    <row r="138" customFormat="false" ht="15" hidden="false" customHeight="true" outlineLevel="0" collapsed="false">
      <c r="A138" s="55"/>
      <c r="E138" s="114" t="str">
        <f aca="false">IFERROR(VLOOKUP(F138,Equipos!$C$2:$E$967,2,FALSE()),"")</f>
        <v/>
      </c>
      <c r="F138" s="55"/>
      <c r="G138" s="115" t="str">
        <f aca="false">IFERROR(VLOOKUP(F138,Equipos!$C$2:$K$967,9,FALSE()),"")</f>
        <v/>
      </c>
      <c r="I138" s="114" t="str">
        <f aca="false">IFERROR(VLOOKUP(F138,Equipos!$C$2:$E$967,3,FALSE()),"")</f>
        <v/>
      </c>
    </row>
    <row r="139" customFormat="false" ht="15" hidden="false" customHeight="true" outlineLevel="0" collapsed="false">
      <c r="A139" s="55"/>
      <c r="E139" s="114" t="str">
        <f aca="false">IFERROR(VLOOKUP(F139,Equipos!$C$2:$E$967,2,FALSE()),"")</f>
        <v/>
      </c>
      <c r="F139" s="55"/>
      <c r="G139" s="115" t="str">
        <f aca="false">IFERROR(VLOOKUP(F139,Equipos!$C$2:$K$967,9,FALSE()),"")</f>
        <v/>
      </c>
      <c r="I139" s="114" t="str">
        <f aca="false">IFERROR(VLOOKUP(F139,Equipos!$C$2:$E$967,3,FALSE()),"")</f>
        <v/>
      </c>
    </row>
    <row r="140" customFormat="false" ht="15" hidden="false" customHeight="true" outlineLevel="0" collapsed="false">
      <c r="A140" s="55"/>
      <c r="E140" s="114" t="str">
        <f aca="false">IFERROR(VLOOKUP(F140,Equipos!$C$2:$E$967,2,FALSE()),"")</f>
        <v/>
      </c>
      <c r="F140" s="55"/>
      <c r="G140" s="115" t="str">
        <f aca="false">IFERROR(VLOOKUP(F140,Equipos!$C$2:$K$967,9,FALSE()),"")</f>
        <v/>
      </c>
      <c r="I140" s="114" t="str">
        <f aca="false">IFERROR(VLOOKUP(F140,Equipos!$C$2:$E$967,3,FALSE()),"")</f>
        <v/>
      </c>
    </row>
    <row r="141" customFormat="false" ht="15" hidden="false" customHeight="true" outlineLevel="0" collapsed="false">
      <c r="A141" s="55"/>
      <c r="E141" s="114" t="str">
        <f aca="false">IFERROR(VLOOKUP(F141,Equipos!$C$2:$E$967,2,FALSE()),"")</f>
        <v/>
      </c>
      <c r="F141" s="55"/>
      <c r="G141" s="115" t="str">
        <f aca="false">IFERROR(VLOOKUP(F141,Equipos!$C$2:$K$967,9,FALSE()),"")</f>
        <v/>
      </c>
      <c r="I141" s="114" t="str">
        <f aca="false">IFERROR(VLOOKUP(F141,Equipos!$C$2:$E$967,3,FALSE()),"")</f>
        <v/>
      </c>
    </row>
    <row r="142" customFormat="false" ht="15" hidden="false" customHeight="true" outlineLevel="0" collapsed="false">
      <c r="A142" s="55"/>
      <c r="E142" s="114" t="str">
        <f aca="false">IFERROR(VLOOKUP(F142,Equipos!$C$2:$E$967,2,FALSE()),"")</f>
        <v/>
      </c>
      <c r="F142" s="55"/>
      <c r="G142" s="115" t="str">
        <f aca="false">IFERROR(VLOOKUP(F142,Equipos!$C$2:$K$967,9,FALSE()),"")</f>
        <v/>
      </c>
      <c r="I142" s="114" t="str">
        <f aca="false">IFERROR(VLOOKUP(F142,Equipos!$C$2:$E$967,3,FALSE()),"")</f>
        <v/>
      </c>
    </row>
    <row r="143" customFormat="false" ht="15" hidden="false" customHeight="true" outlineLevel="0" collapsed="false">
      <c r="A143" s="55"/>
      <c r="E143" s="114" t="str">
        <f aca="false">IFERROR(VLOOKUP(F143,Equipos!$C$2:$E$967,2,FALSE()),"")</f>
        <v/>
      </c>
      <c r="F143" s="55"/>
      <c r="G143" s="115" t="str">
        <f aca="false">IFERROR(VLOOKUP(F143,Equipos!$C$2:$K$967,9,FALSE()),"")</f>
        <v/>
      </c>
      <c r="I143" s="114" t="str">
        <f aca="false">IFERROR(VLOOKUP(F143,Equipos!$C$2:$E$967,3,FALSE()),"")</f>
        <v/>
      </c>
    </row>
    <row r="144" customFormat="false" ht="15" hidden="false" customHeight="true" outlineLevel="0" collapsed="false">
      <c r="A144" s="55"/>
      <c r="E144" s="114" t="str">
        <f aca="false">IFERROR(VLOOKUP(F144,Equipos!$C$2:$E$967,2,FALSE()),"")</f>
        <v/>
      </c>
      <c r="F144" s="55"/>
      <c r="G144" s="115" t="str">
        <f aca="false">IFERROR(VLOOKUP(F144,Equipos!$C$2:$K$967,9,FALSE()),"")</f>
        <v/>
      </c>
      <c r="I144" s="114" t="str">
        <f aca="false">IFERROR(VLOOKUP(F144,Equipos!$C$2:$E$967,3,FALSE()),"")</f>
        <v/>
      </c>
    </row>
    <row r="145" customFormat="false" ht="15" hidden="false" customHeight="true" outlineLevel="0" collapsed="false">
      <c r="A145" s="55"/>
      <c r="E145" s="114" t="str">
        <f aca="false">IFERROR(VLOOKUP(F145,Equipos!$C$2:$E$967,2,FALSE()),"")</f>
        <v/>
      </c>
      <c r="F145" s="55"/>
      <c r="G145" s="115" t="str">
        <f aca="false">IFERROR(VLOOKUP(F145,Equipos!$C$2:$K$967,9,FALSE()),"")</f>
        <v/>
      </c>
      <c r="I145" s="114" t="str">
        <f aca="false">IFERROR(VLOOKUP(F145,Equipos!$C$2:$E$967,3,FALSE()),"")</f>
        <v/>
      </c>
    </row>
    <row r="146" customFormat="false" ht="15" hidden="false" customHeight="true" outlineLevel="0" collapsed="false">
      <c r="A146" s="55"/>
      <c r="E146" s="114" t="str">
        <f aca="false">IFERROR(VLOOKUP(F146,Equipos!$C$2:$E$967,2,FALSE()),"")</f>
        <v/>
      </c>
      <c r="F146" s="55"/>
      <c r="G146" s="115" t="str">
        <f aca="false">IFERROR(VLOOKUP(F146,Equipos!$C$2:$K$967,9,FALSE()),"")</f>
        <v/>
      </c>
      <c r="I146" s="114" t="str">
        <f aca="false">IFERROR(VLOOKUP(F146,Equipos!$C$2:$E$967,3,FALSE()),"")</f>
        <v/>
      </c>
    </row>
    <row r="147" customFormat="false" ht="15" hidden="false" customHeight="true" outlineLevel="0" collapsed="false">
      <c r="A147" s="55"/>
      <c r="E147" s="114" t="str">
        <f aca="false">IFERROR(VLOOKUP(F147,Equipos!$C$2:$E$967,2,FALSE()),"")</f>
        <v/>
      </c>
      <c r="F147" s="55"/>
      <c r="G147" s="115" t="str">
        <f aca="false">IFERROR(VLOOKUP(F147,Equipos!$C$2:$K$967,9,FALSE()),"")</f>
        <v/>
      </c>
      <c r="I147" s="114" t="str">
        <f aca="false">IFERROR(VLOOKUP(F147,Equipos!$C$2:$E$967,3,FALSE()),"")</f>
        <v/>
      </c>
    </row>
    <row r="148" customFormat="false" ht="15" hidden="false" customHeight="true" outlineLevel="0" collapsed="false">
      <c r="A148" s="55"/>
      <c r="E148" s="114" t="str">
        <f aca="false">IFERROR(VLOOKUP(F148,Equipos!$C$2:$E$967,2,FALSE()),"")</f>
        <v/>
      </c>
      <c r="F148" s="55"/>
      <c r="G148" s="115" t="str">
        <f aca="false">IFERROR(VLOOKUP(F148,Equipos!$C$2:$K$967,9,FALSE()),"")</f>
        <v/>
      </c>
      <c r="I148" s="114" t="str">
        <f aca="false">IFERROR(VLOOKUP(F148,Equipos!$C$2:$E$967,3,FALSE()),"")</f>
        <v/>
      </c>
    </row>
    <row r="149" customFormat="false" ht="15" hidden="false" customHeight="true" outlineLevel="0" collapsed="false">
      <c r="A149" s="55"/>
      <c r="E149" s="114" t="str">
        <f aca="false">IFERROR(VLOOKUP(F149,Equipos!$C$2:$E$967,2,FALSE()),"")</f>
        <v/>
      </c>
      <c r="F149" s="55"/>
      <c r="G149" s="115" t="str">
        <f aca="false">IFERROR(VLOOKUP(F149,Equipos!$C$2:$K$967,9,FALSE()),"")</f>
        <v/>
      </c>
      <c r="I149" s="114" t="str">
        <f aca="false">IFERROR(VLOOKUP(F149,Equipos!$C$2:$E$967,3,FALSE()),"")</f>
        <v/>
      </c>
    </row>
    <row r="150" customFormat="false" ht="15" hidden="false" customHeight="true" outlineLevel="0" collapsed="false">
      <c r="A150" s="55"/>
      <c r="E150" s="114" t="str">
        <f aca="false">IFERROR(VLOOKUP(F150,Equipos!$C$2:$E$967,2,FALSE()),"")</f>
        <v/>
      </c>
      <c r="F150" s="55"/>
      <c r="G150" s="115" t="str">
        <f aca="false">IFERROR(VLOOKUP(F150,Equipos!$C$2:$K$967,9,FALSE()),"")</f>
        <v/>
      </c>
      <c r="I150" s="114" t="str">
        <f aca="false">IFERROR(VLOOKUP(F150,Equipos!$C$2:$E$967,3,FALSE()),"")</f>
        <v/>
      </c>
    </row>
    <row r="151" customFormat="false" ht="15" hidden="false" customHeight="true" outlineLevel="0" collapsed="false">
      <c r="A151" s="55"/>
      <c r="E151" s="114" t="str">
        <f aca="false">IFERROR(VLOOKUP(F151,Equipos!$C$2:$E$967,2,FALSE()),"")</f>
        <v/>
      </c>
      <c r="F151" s="55"/>
      <c r="G151" s="115" t="str">
        <f aca="false">IFERROR(VLOOKUP(F151,Equipos!$C$2:$K$967,9,FALSE()),"")</f>
        <v/>
      </c>
      <c r="I151" s="114" t="str">
        <f aca="false">IFERROR(VLOOKUP(F151,Equipos!$C$2:$E$967,3,FALSE()),"")</f>
        <v/>
      </c>
    </row>
    <row r="152" customFormat="false" ht="15" hidden="false" customHeight="true" outlineLevel="0" collapsed="false">
      <c r="A152" s="55"/>
      <c r="E152" s="114" t="str">
        <f aca="false">IFERROR(VLOOKUP(F152,Equipos!$C$2:$E$967,2,FALSE()),"")</f>
        <v/>
      </c>
      <c r="F152" s="55"/>
      <c r="G152" s="115" t="str">
        <f aca="false">IFERROR(VLOOKUP(F152,Equipos!$C$2:$K$967,9,FALSE()),"")</f>
        <v/>
      </c>
      <c r="I152" s="114" t="str">
        <f aca="false">IFERROR(VLOOKUP(F152,Equipos!$C$2:$E$967,3,FALSE()),"")</f>
        <v/>
      </c>
    </row>
    <row r="153" customFormat="false" ht="15" hidden="false" customHeight="true" outlineLevel="0" collapsed="false">
      <c r="A153" s="55"/>
      <c r="E153" s="114" t="str">
        <f aca="false">IFERROR(VLOOKUP(F153,Equipos!$C$2:$E$967,2,FALSE()),"")</f>
        <v/>
      </c>
      <c r="F153" s="55"/>
      <c r="G153" s="115" t="str">
        <f aca="false">IFERROR(VLOOKUP(F153,Equipos!$C$2:$K$967,9,FALSE()),"")</f>
        <v/>
      </c>
      <c r="I153" s="114" t="str">
        <f aca="false">IFERROR(VLOOKUP(F153,Equipos!$C$2:$E$967,3,FALSE()),"")</f>
        <v/>
      </c>
    </row>
    <row r="154" customFormat="false" ht="15" hidden="false" customHeight="true" outlineLevel="0" collapsed="false">
      <c r="A154" s="55"/>
      <c r="E154" s="114" t="str">
        <f aca="false">IFERROR(VLOOKUP(F154,Equipos!$C$2:$E$967,2,FALSE()),"")</f>
        <v/>
      </c>
      <c r="F154" s="55"/>
      <c r="G154" s="115" t="str">
        <f aca="false">IFERROR(VLOOKUP(F154,Equipos!$C$2:$K$967,9,FALSE()),"")</f>
        <v/>
      </c>
      <c r="I154" s="114" t="str">
        <f aca="false">IFERROR(VLOOKUP(F154,Equipos!$C$2:$E$967,3,FALSE()),"")</f>
        <v/>
      </c>
    </row>
    <row r="155" customFormat="false" ht="15" hidden="false" customHeight="true" outlineLevel="0" collapsed="false">
      <c r="A155" s="55"/>
      <c r="E155" s="114" t="str">
        <f aca="false">IFERROR(VLOOKUP(F155,Equipos!$C$2:$E$967,2,FALSE()),"")</f>
        <v/>
      </c>
      <c r="F155" s="55"/>
      <c r="G155" s="115" t="str">
        <f aca="false">IFERROR(VLOOKUP(F155,Equipos!$C$2:$K$967,9,FALSE()),"")</f>
        <v/>
      </c>
      <c r="I155" s="114" t="str">
        <f aca="false">IFERROR(VLOOKUP(F155,Equipos!$C$2:$E$967,3,FALSE()),"")</f>
        <v/>
      </c>
    </row>
    <row r="156" customFormat="false" ht="15" hidden="false" customHeight="true" outlineLevel="0" collapsed="false">
      <c r="A156" s="55"/>
      <c r="E156" s="114" t="str">
        <f aca="false">IFERROR(VLOOKUP(F156,Equipos!$C$2:$E$967,2,FALSE()),"")</f>
        <v/>
      </c>
      <c r="F156" s="55"/>
      <c r="G156" s="115" t="str">
        <f aca="false">IFERROR(VLOOKUP(F156,Equipos!$C$2:$K$967,9,FALSE()),"")</f>
        <v/>
      </c>
      <c r="I156" s="114" t="str">
        <f aca="false">IFERROR(VLOOKUP(F156,Equipos!$C$2:$E$967,3,FALSE()),"")</f>
        <v/>
      </c>
    </row>
    <row r="157" customFormat="false" ht="15" hidden="false" customHeight="true" outlineLevel="0" collapsed="false">
      <c r="A157" s="55"/>
      <c r="E157" s="114" t="str">
        <f aca="false">IFERROR(VLOOKUP(F157,Equipos!$C$2:$E$967,2,FALSE()),"")</f>
        <v/>
      </c>
      <c r="F157" s="55"/>
      <c r="G157" s="115" t="str">
        <f aca="false">IFERROR(VLOOKUP(F157,Equipos!$C$2:$K$967,9,FALSE()),"")</f>
        <v/>
      </c>
      <c r="I157" s="114" t="str">
        <f aca="false">IFERROR(VLOOKUP(F157,Equipos!$C$2:$E$967,3,FALSE()),"")</f>
        <v/>
      </c>
    </row>
    <row r="158" customFormat="false" ht="15" hidden="false" customHeight="true" outlineLevel="0" collapsed="false">
      <c r="A158" s="55"/>
      <c r="E158" s="114" t="str">
        <f aca="false">IFERROR(VLOOKUP(F158,Equipos!$C$2:$E$967,2,FALSE()),"")</f>
        <v/>
      </c>
      <c r="F158" s="55"/>
      <c r="G158" s="115" t="str">
        <f aca="false">IFERROR(VLOOKUP(F158,Equipos!$C$2:$K$967,9,FALSE()),"")</f>
        <v/>
      </c>
      <c r="I158" s="114" t="str">
        <f aca="false">IFERROR(VLOOKUP(F158,Equipos!$C$2:$E$967,3,FALSE()),"")</f>
        <v/>
      </c>
    </row>
    <row r="159" customFormat="false" ht="15" hidden="false" customHeight="true" outlineLevel="0" collapsed="false">
      <c r="A159" s="55"/>
      <c r="E159" s="114" t="str">
        <f aca="false">IFERROR(VLOOKUP(F159,Equipos!$C$2:$E$967,2,FALSE()),"")</f>
        <v/>
      </c>
      <c r="F159" s="55"/>
      <c r="G159" s="115" t="str">
        <f aca="false">IFERROR(VLOOKUP(F159,Equipos!$C$2:$K$967,9,FALSE()),"")</f>
        <v/>
      </c>
      <c r="I159" s="114" t="str">
        <f aca="false">IFERROR(VLOOKUP(F159,Equipos!$C$2:$E$967,3,FALSE()),"")</f>
        <v/>
      </c>
    </row>
    <row r="160" customFormat="false" ht="15" hidden="false" customHeight="true" outlineLevel="0" collapsed="false">
      <c r="A160" s="55"/>
      <c r="E160" s="114" t="str">
        <f aca="false">IFERROR(VLOOKUP(F160,Equipos!$C$2:$E$967,2,FALSE()),"")</f>
        <v/>
      </c>
      <c r="F160" s="55"/>
      <c r="G160" s="115" t="str">
        <f aca="false">IFERROR(VLOOKUP(F160,Equipos!$C$2:$K$967,9,FALSE()),"")</f>
        <v/>
      </c>
      <c r="I160" s="114" t="str">
        <f aca="false">IFERROR(VLOOKUP(F160,Equipos!$C$2:$E$967,3,FALSE()),"")</f>
        <v/>
      </c>
    </row>
    <row r="161" customFormat="false" ht="15" hidden="false" customHeight="true" outlineLevel="0" collapsed="false">
      <c r="A161" s="55"/>
      <c r="E161" s="114" t="str">
        <f aca="false">IFERROR(VLOOKUP(F161,Equipos!$C$2:$E$967,2,FALSE()),"")</f>
        <v/>
      </c>
      <c r="F161" s="55"/>
      <c r="G161" s="115" t="str">
        <f aca="false">IFERROR(VLOOKUP(F161,Equipos!$C$2:$K$967,9,FALSE()),"")</f>
        <v/>
      </c>
      <c r="I161" s="114" t="str">
        <f aca="false">IFERROR(VLOOKUP(F161,Equipos!$C$2:$E$967,3,FALSE()),"")</f>
        <v/>
      </c>
    </row>
    <row r="162" customFormat="false" ht="15" hidden="false" customHeight="true" outlineLevel="0" collapsed="false">
      <c r="A162" s="55"/>
      <c r="E162" s="114" t="str">
        <f aca="false">IFERROR(VLOOKUP(F162,Equipos!$C$2:$E$967,2,FALSE()),"")</f>
        <v/>
      </c>
      <c r="F162" s="55"/>
      <c r="G162" s="115" t="str">
        <f aca="false">IFERROR(VLOOKUP(F162,Equipos!$C$2:$K$967,9,FALSE()),"")</f>
        <v/>
      </c>
      <c r="I162" s="114" t="str">
        <f aca="false">IFERROR(VLOOKUP(F162,Equipos!$C$2:$E$967,3,FALSE()),"")</f>
        <v/>
      </c>
    </row>
    <row r="163" customFormat="false" ht="15" hidden="false" customHeight="true" outlineLevel="0" collapsed="false">
      <c r="A163" s="55"/>
      <c r="E163" s="114" t="str">
        <f aca="false">IFERROR(VLOOKUP(F163,Equipos!$C$2:$E$967,2,FALSE()),"")</f>
        <v/>
      </c>
      <c r="F163" s="55"/>
      <c r="G163" s="115" t="str">
        <f aca="false">IFERROR(VLOOKUP(F163,Equipos!$C$2:$K$967,9,FALSE()),"")</f>
        <v/>
      </c>
      <c r="I163" s="114" t="str">
        <f aca="false">IFERROR(VLOOKUP(F163,Equipos!$C$2:$E$967,3,FALSE()),"")</f>
        <v/>
      </c>
    </row>
    <row r="164" customFormat="false" ht="15" hidden="false" customHeight="true" outlineLevel="0" collapsed="false">
      <c r="A164" s="55"/>
      <c r="E164" s="114" t="str">
        <f aca="false">IFERROR(VLOOKUP(F164,Equipos!$C$2:$E$967,2,FALSE()),"")</f>
        <v/>
      </c>
      <c r="F164" s="55"/>
      <c r="G164" s="115" t="str">
        <f aca="false">IFERROR(VLOOKUP(F164,Equipos!$C$2:$K$967,9,FALSE()),"")</f>
        <v/>
      </c>
      <c r="I164" s="114" t="str">
        <f aca="false">IFERROR(VLOOKUP(F164,Equipos!$C$2:$E$967,3,FALSE()),"")</f>
        <v/>
      </c>
    </row>
    <row r="165" customFormat="false" ht="15" hidden="false" customHeight="true" outlineLevel="0" collapsed="false">
      <c r="A165" s="55"/>
      <c r="E165" s="114" t="str">
        <f aca="false">IFERROR(VLOOKUP(F165,Equipos!$C$2:$E$967,2,FALSE()),"")</f>
        <v/>
      </c>
      <c r="F165" s="55"/>
      <c r="G165" s="115" t="str">
        <f aca="false">IFERROR(VLOOKUP(F165,Equipos!$C$2:$K$967,9,FALSE()),"")</f>
        <v/>
      </c>
      <c r="I165" s="114" t="str">
        <f aca="false">IFERROR(VLOOKUP(F165,Equipos!$C$2:$E$967,3,FALSE()),"")</f>
        <v/>
      </c>
    </row>
    <row r="166" customFormat="false" ht="15" hidden="false" customHeight="true" outlineLevel="0" collapsed="false">
      <c r="A166" s="55"/>
      <c r="E166" s="114" t="str">
        <f aca="false">IFERROR(VLOOKUP(F166,Equipos!$C$2:$E$967,2,FALSE()),"")</f>
        <v/>
      </c>
      <c r="F166" s="55"/>
      <c r="G166" s="115" t="str">
        <f aca="false">IFERROR(VLOOKUP(F166,Equipos!$C$2:$K$967,9,FALSE()),"")</f>
        <v/>
      </c>
      <c r="I166" s="114" t="str">
        <f aca="false">IFERROR(VLOOKUP(F166,Equipos!$C$2:$E$967,3,FALSE()),"")</f>
        <v/>
      </c>
    </row>
    <row r="167" customFormat="false" ht="15" hidden="false" customHeight="true" outlineLevel="0" collapsed="false">
      <c r="A167" s="55"/>
      <c r="E167" s="114" t="str">
        <f aca="false">IFERROR(VLOOKUP(F167,Equipos!$C$2:$E$967,2,FALSE()),"")</f>
        <v/>
      </c>
      <c r="F167" s="55"/>
      <c r="G167" s="115" t="str">
        <f aca="false">IFERROR(VLOOKUP(F167,Equipos!$C$2:$K$967,9,FALSE()),"")</f>
        <v/>
      </c>
      <c r="I167" s="114" t="str">
        <f aca="false">IFERROR(VLOOKUP(F167,Equipos!$C$2:$E$967,3,FALSE()),"")</f>
        <v/>
      </c>
    </row>
    <row r="168" customFormat="false" ht="15" hidden="false" customHeight="true" outlineLevel="0" collapsed="false">
      <c r="A168" s="55"/>
      <c r="E168" s="114" t="str">
        <f aca="false">IFERROR(VLOOKUP(F168,Equipos!$C$2:$E$967,2,FALSE()),"")</f>
        <v/>
      </c>
      <c r="F168" s="55"/>
      <c r="G168" s="115" t="str">
        <f aca="false">IFERROR(VLOOKUP(F168,Equipos!$C$2:$K$967,9,FALSE()),"")</f>
        <v/>
      </c>
      <c r="I168" s="114" t="str">
        <f aca="false">IFERROR(VLOOKUP(F168,Equipos!$C$2:$E$967,3,FALSE()),"")</f>
        <v/>
      </c>
    </row>
    <row r="169" customFormat="false" ht="15" hidden="false" customHeight="true" outlineLevel="0" collapsed="false">
      <c r="A169" s="55"/>
      <c r="E169" s="114" t="str">
        <f aca="false">IFERROR(VLOOKUP(F169,Equipos!$C$2:$E$967,2,FALSE()),"")</f>
        <v/>
      </c>
      <c r="F169" s="55"/>
      <c r="G169" s="115" t="str">
        <f aca="false">IFERROR(VLOOKUP(F169,Equipos!$C$2:$K$967,9,FALSE()),"")</f>
        <v/>
      </c>
      <c r="I169" s="114" t="str">
        <f aca="false">IFERROR(VLOOKUP(F169,Equipos!$C$2:$E$967,3,FALSE()),"")</f>
        <v/>
      </c>
    </row>
    <row r="170" customFormat="false" ht="15" hidden="false" customHeight="true" outlineLevel="0" collapsed="false">
      <c r="A170" s="55"/>
      <c r="E170" s="114" t="str">
        <f aca="false">IFERROR(VLOOKUP(F170,Equipos!$C$2:$E$967,2,FALSE()),"")</f>
        <v/>
      </c>
      <c r="F170" s="55"/>
      <c r="G170" s="115" t="str">
        <f aca="false">IFERROR(VLOOKUP(F170,Equipos!$C$2:$K$967,9,FALSE()),"")</f>
        <v/>
      </c>
      <c r="I170" s="114" t="str">
        <f aca="false">IFERROR(VLOOKUP(F170,Equipos!$C$2:$E$967,3,FALSE()),"")</f>
        <v/>
      </c>
    </row>
    <row r="171" customFormat="false" ht="15" hidden="false" customHeight="true" outlineLevel="0" collapsed="false">
      <c r="A171" s="55"/>
      <c r="E171" s="114" t="str">
        <f aca="false">IFERROR(VLOOKUP(F171,Equipos!$C$2:$E$967,2,FALSE()),"")</f>
        <v/>
      </c>
      <c r="F171" s="55"/>
      <c r="G171" s="115" t="str">
        <f aca="false">IFERROR(VLOOKUP(F171,Equipos!$C$2:$K$967,9,FALSE()),"")</f>
        <v/>
      </c>
      <c r="I171" s="114" t="str">
        <f aca="false">IFERROR(VLOOKUP(F171,Equipos!$C$2:$E$967,3,FALSE()),"")</f>
        <v/>
      </c>
    </row>
    <row r="172" customFormat="false" ht="15" hidden="false" customHeight="true" outlineLevel="0" collapsed="false">
      <c r="A172" s="55"/>
      <c r="E172" s="114" t="str">
        <f aca="false">IFERROR(VLOOKUP(F172,Equipos!$C$2:$E$967,2,FALSE()),"")</f>
        <v/>
      </c>
      <c r="F172" s="55"/>
      <c r="G172" s="115" t="str">
        <f aca="false">IFERROR(VLOOKUP(F172,Equipos!$C$2:$K$967,9,FALSE()),"")</f>
        <v/>
      </c>
      <c r="I172" s="114" t="str">
        <f aca="false">IFERROR(VLOOKUP(F172,Equipos!$C$2:$E$967,3,FALSE()),"")</f>
        <v/>
      </c>
    </row>
    <row r="173" customFormat="false" ht="15" hidden="false" customHeight="true" outlineLevel="0" collapsed="false">
      <c r="A173" s="55"/>
      <c r="E173" s="114" t="str">
        <f aca="false">IFERROR(VLOOKUP(F173,Equipos!$C$2:$E$967,2,FALSE()),"")</f>
        <v/>
      </c>
      <c r="F173" s="55"/>
      <c r="G173" s="115" t="str">
        <f aca="false">IFERROR(VLOOKUP(F173,Equipos!$C$2:$K$967,9,FALSE()),"")</f>
        <v/>
      </c>
      <c r="I173" s="114" t="str">
        <f aca="false">IFERROR(VLOOKUP(F173,Equipos!$C$2:$E$967,3,FALSE()),"")</f>
        <v/>
      </c>
    </row>
    <row r="174" customFormat="false" ht="15" hidden="false" customHeight="true" outlineLevel="0" collapsed="false">
      <c r="A174" s="55"/>
      <c r="E174" s="114" t="str">
        <f aca="false">IFERROR(VLOOKUP(F174,Equipos!$C$2:$E$967,2,FALSE()),"")</f>
        <v/>
      </c>
      <c r="F174" s="55"/>
      <c r="G174" s="115" t="str">
        <f aca="false">IFERROR(VLOOKUP(F174,Equipos!$C$2:$K$967,9,FALSE()),"")</f>
        <v/>
      </c>
      <c r="I174" s="114" t="str">
        <f aca="false">IFERROR(VLOOKUP(F174,Equipos!$C$2:$E$967,3,FALSE()),"")</f>
        <v/>
      </c>
    </row>
    <row r="175" customFormat="false" ht="15" hidden="false" customHeight="true" outlineLevel="0" collapsed="false">
      <c r="A175" s="55"/>
      <c r="E175" s="114" t="str">
        <f aca="false">IFERROR(VLOOKUP(F175,Equipos!$C$2:$E$967,2,FALSE()),"")</f>
        <v/>
      </c>
      <c r="F175" s="55"/>
      <c r="G175" s="115" t="str">
        <f aca="false">IFERROR(VLOOKUP(F175,Equipos!$C$2:$K$967,9,FALSE()),"")</f>
        <v/>
      </c>
      <c r="I175" s="114" t="str">
        <f aca="false">IFERROR(VLOOKUP(F175,Equipos!$C$2:$E$967,3,FALSE()),"")</f>
        <v/>
      </c>
    </row>
    <row r="176" customFormat="false" ht="15" hidden="false" customHeight="true" outlineLevel="0" collapsed="false">
      <c r="A176" s="55"/>
      <c r="E176" s="114" t="str">
        <f aca="false">IFERROR(VLOOKUP(F176,Equipos!$C$2:$E$967,2,FALSE()),"")</f>
        <v/>
      </c>
      <c r="F176" s="55"/>
      <c r="G176" s="115" t="str">
        <f aca="false">IFERROR(VLOOKUP(F176,Equipos!$C$2:$K$967,9,FALSE()),"")</f>
        <v/>
      </c>
      <c r="I176" s="114" t="str">
        <f aca="false">IFERROR(VLOOKUP(F176,Equipos!$C$2:$E$967,3,FALSE()),"")</f>
        <v/>
      </c>
    </row>
    <row r="177" customFormat="false" ht="15" hidden="false" customHeight="true" outlineLevel="0" collapsed="false">
      <c r="A177" s="55"/>
      <c r="E177" s="114" t="str">
        <f aca="false">IFERROR(VLOOKUP(F177,Equipos!$C$2:$E$967,2,FALSE()),"")</f>
        <v/>
      </c>
      <c r="F177" s="55"/>
      <c r="G177" s="115" t="str">
        <f aca="false">IFERROR(VLOOKUP(F177,Equipos!$C$2:$K$967,9,FALSE()),"")</f>
        <v/>
      </c>
      <c r="I177" s="114" t="str">
        <f aca="false">IFERROR(VLOOKUP(F177,Equipos!$C$2:$E$967,3,FALSE()),"")</f>
        <v/>
      </c>
    </row>
    <row r="178" customFormat="false" ht="15" hidden="false" customHeight="true" outlineLevel="0" collapsed="false">
      <c r="A178" s="55"/>
      <c r="E178" s="114" t="str">
        <f aca="false">IFERROR(VLOOKUP(F178,Equipos!$C$2:$E$967,2,FALSE()),"")</f>
        <v/>
      </c>
      <c r="F178" s="55"/>
      <c r="G178" s="115" t="str">
        <f aca="false">IFERROR(VLOOKUP(F178,Equipos!$C$2:$K$967,9,FALSE()),"")</f>
        <v/>
      </c>
      <c r="I178" s="114" t="str">
        <f aca="false">IFERROR(VLOOKUP(F178,Equipos!$C$2:$E$967,3,FALSE()),"")</f>
        <v/>
      </c>
    </row>
    <row r="179" customFormat="false" ht="15" hidden="false" customHeight="true" outlineLevel="0" collapsed="false">
      <c r="A179" s="55"/>
      <c r="E179" s="114" t="str">
        <f aca="false">IFERROR(VLOOKUP(F179,Equipos!$C$2:$E$967,2,FALSE()),"")</f>
        <v/>
      </c>
      <c r="F179" s="55"/>
      <c r="G179" s="115" t="str">
        <f aca="false">IFERROR(VLOOKUP(F179,Equipos!$C$2:$K$967,9,FALSE()),"")</f>
        <v/>
      </c>
      <c r="I179" s="114" t="str">
        <f aca="false">IFERROR(VLOOKUP(F179,Equipos!$C$2:$E$967,3,FALSE()),"")</f>
        <v/>
      </c>
    </row>
    <row r="180" customFormat="false" ht="15" hidden="false" customHeight="true" outlineLevel="0" collapsed="false">
      <c r="A180" s="55"/>
      <c r="E180" s="114" t="str">
        <f aca="false">IFERROR(VLOOKUP(F180,Equipos!$C$2:$E$967,2,FALSE()),"")</f>
        <v/>
      </c>
      <c r="F180" s="55"/>
      <c r="G180" s="115" t="str">
        <f aca="false">IFERROR(VLOOKUP(F180,Equipos!$C$2:$K$967,9,FALSE()),"")</f>
        <v/>
      </c>
      <c r="I180" s="114" t="str">
        <f aca="false">IFERROR(VLOOKUP(F180,Equipos!$C$2:$E$967,3,FALSE()),"")</f>
        <v/>
      </c>
    </row>
    <row r="181" customFormat="false" ht="15" hidden="false" customHeight="true" outlineLevel="0" collapsed="false">
      <c r="A181" s="55"/>
      <c r="E181" s="114" t="str">
        <f aca="false">IFERROR(VLOOKUP(F181,Equipos!$C$2:$E$967,2,FALSE()),"")</f>
        <v/>
      </c>
      <c r="F181" s="55"/>
      <c r="G181" s="115" t="str">
        <f aca="false">IFERROR(VLOOKUP(F181,Equipos!$C$2:$K$967,9,FALSE()),"")</f>
        <v/>
      </c>
      <c r="I181" s="114" t="str">
        <f aca="false">IFERROR(VLOOKUP(F181,Equipos!$C$2:$E$967,3,FALSE()),"")</f>
        <v/>
      </c>
    </row>
    <row r="182" customFormat="false" ht="15" hidden="false" customHeight="true" outlineLevel="0" collapsed="false">
      <c r="A182" s="55"/>
      <c r="E182" s="114" t="str">
        <f aca="false">IFERROR(VLOOKUP(F182,Equipos!$C$2:$E$967,2,FALSE()),"")</f>
        <v/>
      </c>
      <c r="F182" s="55"/>
      <c r="G182" s="115" t="str">
        <f aca="false">IFERROR(VLOOKUP(F182,Equipos!$C$2:$K$967,9,FALSE()),"")</f>
        <v/>
      </c>
      <c r="I182" s="114" t="str">
        <f aca="false">IFERROR(VLOOKUP(F182,Equipos!$C$2:$E$967,3,FALSE()),"")</f>
        <v/>
      </c>
    </row>
    <row r="183" customFormat="false" ht="15" hidden="false" customHeight="true" outlineLevel="0" collapsed="false">
      <c r="A183" s="55"/>
      <c r="E183" s="114" t="str">
        <f aca="false">IFERROR(VLOOKUP(F183,Equipos!$C$2:$E$967,2,FALSE()),"")</f>
        <v/>
      </c>
      <c r="F183" s="55"/>
      <c r="G183" s="115" t="str">
        <f aca="false">IFERROR(VLOOKUP(F183,Equipos!$C$2:$K$967,9,FALSE()),"")</f>
        <v/>
      </c>
      <c r="I183" s="114" t="str">
        <f aca="false">IFERROR(VLOOKUP(F183,Equipos!$C$2:$E$967,3,FALSE()),"")</f>
        <v/>
      </c>
    </row>
    <row r="184" customFormat="false" ht="15" hidden="false" customHeight="true" outlineLevel="0" collapsed="false">
      <c r="A184" s="55"/>
      <c r="E184" s="114" t="str">
        <f aca="false">IFERROR(VLOOKUP(F184,Equipos!$C$2:$E$967,2,FALSE()),"")</f>
        <v/>
      </c>
      <c r="F184" s="55"/>
      <c r="G184" s="115" t="str">
        <f aca="false">IFERROR(VLOOKUP(F184,Equipos!$C$2:$K$967,9,FALSE()),"")</f>
        <v/>
      </c>
      <c r="I184" s="114" t="str">
        <f aca="false">IFERROR(VLOOKUP(F184,Equipos!$C$2:$E$967,3,FALSE()),"")</f>
        <v/>
      </c>
    </row>
    <row r="185" customFormat="false" ht="15" hidden="false" customHeight="true" outlineLevel="0" collapsed="false">
      <c r="A185" s="55"/>
      <c r="E185" s="114" t="str">
        <f aca="false">IFERROR(VLOOKUP(F185,Equipos!$C$2:$E$967,2,FALSE()),"")</f>
        <v/>
      </c>
      <c r="F185" s="55"/>
      <c r="G185" s="115" t="str">
        <f aca="false">IFERROR(VLOOKUP(F185,Equipos!$C$2:$K$967,9,FALSE()),"")</f>
        <v/>
      </c>
      <c r="I185" s="114" t="str">
        <f aca="false">IFERROR(VLOOKUP(F185,Equipos!$C$2:$E$967,3,FALSE()),"")</f>
        <v/>
      </c>
    </row>
    <row r="186" customFormat="false" ht="15" hidden="false" customHeight="true" outlineLevel="0" collapsed="false">
      <c r="A186" s="55"/>
      <c r="E186" s="114" t="str">
        <f aca="false">IFERROR(VLOOKUP(F186,Equipos!$C$2:$E$967,2,FALSE()),"")</f>
        <v/>
      </c>
      <c r="F186" s="55"/>
      <c r="G186" s="115" t="str">
        <f aca="false">IFERROR(VLOOKUP(F186,Equipos!$C$2:$K$967,9,FALSE()),"")</f>
        <v/>
      </c>
      <c r="I186" s="114" t="str">
        <f aca="false">IFERROR(VLOOKUP(F186,Equipos!$C$2:$E$967,3,FALSE()),"")</f>
        <v/>
      </c>
    </row>
    <row r="187" customFormat="false" ht="15" hidden="false" customHeight="true" outlineLevel="0" collapsed="false">
      <c r="A187" s="55"/>
      <c r="E187" s="114" t="str">
        <f aca="false">IFERROR(VLOOKUP(F187,Equipos!$C$2:$E$967,2,FALSE()),"")</f>
        <v/>
      </c>
      <c r="F187" s="55"/>
      <c r="G187" s="115" t="str">
        <f aca="false">IFERROR(VLOOKUP(F187,Equipos!$C$2:$K$967,9,FALSE()),"")</f>
        <v/>
      </c>
      <c r="I187" s="114" t="str">
        <f aca="false">IFERROR(VLOOKUP(F187,Equipos!$C$2:$E$967,3,FALSE()),"")</f>
        <v/>
      </c>
    </row>
    <row r="188" customFormat="false" ht="15" hidden="false" customHeight="true" outlineLevel="0" collapsed="false">
      <c r="A188" s="55"/>
      <c r="E188" s="114" t="str">
        <f aca="false">IFERROR(VLOOKUP(F188,Equipos!$C$2:$E$967,2,FALSE()),"")</f>
        <v/>
      </c>
      <c r="F188" s="55"/>
      <c r="G188" s="115" t="str">
        <f aca="false">IFERROR(VLOOKUP(F188,Equipos!$C$2:$K$967,9,FALSE()),"")</f>
        <v/>
      </c>
      <c r="I188" s="114" t="str">
        <f aca="false">IFERROR(VLOOKUP(F188,Equipos!$C$2:$E$967,3,FALSE()),"")</f>
        <v/>
      </c>
    </row>
    <row r="189" customFormat="false" ht="15" hidden="false" customHeight="true" outlineLevel="0" collapsed="false">
      <c r="A189" s="55"/>
      <c r="E189" s="114" t="str">
        <f aca="false">IFERROR(VLOOKUP(F189,Equipos!$C$2:$E$967,2,FALSE()),"")</f>
        <v/>
      </c>
      <c r="F189" s="55"/>
      <c r="G189" s="115" t="str">
        <f aca="false">IFERROR(VLOOKUP(F189,Equipos!$C$2:$K$967,9,FALSE()),"")</f>
        <v/>
      </c>
      <c r="I189" s="114" t="str">
        <f aca="false">IFERROR(VLOOKUP(F189,Equipos!$C$2:$E$967,3,FALSE()),"")</f>
        <v/>
      </c>
    </row>
    <row r="190" customFormat="false" ht="15" hidden="false" customHeight="true" outlineLevel="0" collapsed="false">
      <c r="A190" s="55"/>
      <c r="E190" s="114" t="str">
        <f aca="false">IFERROR(VLOOKUP(F190,Equipos!$C$2:$E$967,2,FALSE()),"")</f>
        <v/>
      </c>
      <c r="F190" s="55"/>
      <c r="G190" s="115" t="str">
        <f aca="false">IFERROR(VLOOKUP(F190,Equipos!$C$2:$K$967,9,FALSE()),"")</f>
        <v/>
      </c>
      <c r="I190" s="114" t="str">
        <f aca="false">IFERROR(VLOOKUP(F190,Equipos!$C$2:$E$967,3,FALSE()),"")</f>
        <v/>
      </c>
    </row>
    <row r="191" customFormat="false" ht="15" hidden="false" customHeight="true" outlineLevel="0" collapsed="false">
      <c r="A191" s="55"/>
      <c r="E191" s="114" t="str">
        <f aca="false">IFERROR(VLOOKUP(F191,Equipos!$C$2:$E$967,2,FALSE()),"")</f>
        <v/>
      </c>
      <c r="F191" s="55"/>
      <c r="G191" s="115" t="str">
        <f aca="false">IFERROR(VLOOKUP(F191,Equipos!$C$2:$K$967,9,FALSE()),"")</f>
        <v/>
      </c>
      <c r="I191" s="114" t="str">
        <f aca="false">IFERROR(VLOOKUP(F191,Equipos!$C$2:$E$967,3,FALSE()),"")</f>
        <v/>
      </c>
    </row>
    <row r="192" customFormat="false" ht="15" hidden="false" customHeight="true" outlineLevel="0" collapsed="false">
      <c r="A192" s="55"/>
      <c r="E192" s="114" t="str">
        <f aca="false">IFERROR(VLOOKUP(F192,Equipos!$C$2:$E$967,2,FALSE()),"")</f>
        <v/>
      </c>
      <c r="F192" s="55"/>
      <c r="G192" s="115" t="str">
        <f aca="false">IFERROR(VLOOKUP(F192,Equipos!$C$2:$K$967,9,FALSE()),"")</f>
        <v/>
      </c>
      <c r="I192" s="114" t="str">
        <f aca="false">IFERROR(VLOOKUP(F192,Equipos!$C$2:$E$967,3,FALSE()),"")</f>
        <v/>
      </c>
    </row>
    <row r="193" customFormat="false" ht="15" hidden="false" customHeight="true" outlineLevel="0" collapsed="false">
      <c r="A193" s="55"/>
      <c r="E193" s="114" t="str">
        <f aca="false">IFERROR(VLOOKUP(F193,Equipos!$C$2:$E$967,2,FALSE()),"")</f>
        <v/>
      </c>
      <c r="F193" s="55"/>
      <c r="G193" s="115" t="str">
        <f aca="false">IFERROR(VLOOKUP(F193,Equipos!$C$2:$K$967,9,FALSE()),"")</f>
        <v/>
      </c>
      <c r="I193" s="114" t="str">
        <f aca="false">IFERROR(VLOOKUP(F193,Equipos!$C$2:$E$967,3,FALSE()),"")</f>
        <v/>
      </c>
    </row>
    <row r="194" customFormat="false" ht="15" hidden="false" customHeight="true" outlineLevel="0" collapsed="false">
      <c r="A194" s="55"/>
      <c r="E194" s="114" t="str">
        <f aca="false">IFERROR(VLOOKUP(F194,Equipos!$C$2:$E$967,2,FALSE()),"")</f>
        <v/>
      </c>
      <c r="F194" s="55"/>
      <c r="G194" s="115" t="str">
        <f aca="false">IFERROR(VLOOKUP(F194,Equipos!$C$2:$K$967,9,FALSE()),"")</f>
        <v/>
      </c>
      <c r="I194" s="114" t="str">
        <f aca="false">IFERROR(VLOOKUP(F194,Equipos!$C$2:$E$967,3,FALSE()),"")</f>
        <v/>
      </c>
    </row>
    <row r="195" customFormat="false" ht="15" hidden="false" customHeight="true" outlineLevel="0" collapsed="false">
      <c r="A195" s="55"/>
      <c r="E195" s="114" t="str">
        <f aca="false">IFERROR(VLOOKUP(F195,Equipos!$C$2:$E$967,2,FALSE()),"")</f>
        <v/>
      </c>
      <c r="F195" s="55"/>
      <c r="G195" s="115" t="str">
        <f aca="false">IFERROR(VLOOKUP(F195,Equipos!$C$2:$K$967,9,FALSE()),"")</f>
        <v/>
      </c>
      <c r="I195" s="114" t="str">
        <f aca="false">IFERROR(VLOOKUP(F195,Equipos!$C$2:$E$967,3,FALSE()),"")</f>
        <v/>
      </c>
    </row>
    <row r="196" customFormat="false" ht="15" hidden="false" customHeight="true" outlineLevel="0" collapsed="false">
      <c r="A196" s="55"/>
      <c r="E196" s="114" t="str">
        <f aca="false">IFERROR(VLOOKUP(F196,Equipos!$C$2:$E$967,2,FALSE()),"")</f>
        <v/>
      </c>
      <c r="F196" s="55"/>
      <c r="G196" s="115" t="str">
        <f aca="false">IFERROR(VLOOKUP(F196,Equipos!$C$2:$K$967,9,FALSE()),"")</f>
        <v/>
      </c>
      <c r="I196" s="114" t="str">
        <f aca="false">IFERROR(VLOOKUP(F196,Equipos!$C$2:$E$967,3,FALSE()),"")</f>
        <v/>
      </c>
    </row>
    <row r="197" customFormat="false" ht="15" hidden="false" customHeight="true" outlineLevel="0" collapsed="false">
      <c r="A197" s="55"/>
      <c r="E197" s="114" t="str">
        <f aca="false">IFERROR(VLOOKUP(F197,Equipos!$C$2:$E$967,2,FALSE()),"")</f>
        <v/>
      </c>
      <c r="F197" s="55"/>
      <c r="G197" s="115" t="str">
        <f aca="false">IFERROR(VLOOKUP(F197,Equipos!$C$2:$K$967,9,FALSE()),"")</f>
        <v/>
      </c>
      <c r="I197" s="114" t="str">
        <f aca="false">IFERROR(VLOOKUP(F197,Equipos!$C$2:$E$967,3,FALSE()),"")</f>
        <v/>
      </c>
    </row>
    <row r="198" customFormat="false" ht="15" hidden="false" customHeight="true" outlineLevel="0" collapsed="false">
      <c r="A198" s="55"/>
      <c r="E198" s="114" t="str">
        <f aca="false">IFERROR(VLOOKUP(F198,Equipos!$C$2:$E$967,2,FALSE()),"")</f>
        <v/>
      </c>
      <c r="F198" s="55"/>
      <c r="G198" s="115" t="str">
        <f aca="false">IFERROR(VLOOKUP(F198,Equipos!$C$2:$K$967,9,FALSE()),"")</f>
        <v/>
      </c>
      <c r="I198" s="114" t="str">
        <f aca="false">IFERROR(VLOOKUP(F198,Equipos!$C$2:$E$967,3,FALSE()),"")</f>
        <v/>
      </c>
    </row>
    <row r="199" customFormat="false" ht="15" hidden="false" customHeight="true" outlineLevel="0" collapsed="false">
      <c r="A199" s="55"/>
      <c r="E199" s="114" t="str">
        <f aca="false">IFERROR(VLOOKUP(F199,Equipos!$C$2:$E$967,2,FALSE()),"")</f>
        <v/>
      </c>
      <c r="F199" s="55"/>
      <c r="G199" s="115" t="str">
        <f aca="false">IFERROR(VLOOKUP(F199,Equipos!$C$2:$K$967,9,FALSE()),"")</f>
        <v/>
      </c>
      <c r="I199" s="114" t="str">
        <f aca="false">IFERROR(VLOOKUP(F199,Equipos!$C$2:$E$967,3,FALSE()),"")</f>
        <v/>
      </c>
    </row>
    <row r="200" customFormat="false" ht="15" hidden="false" customHeight="true" outlineLevel="0" collapsed="false">
      <c r="A200" s="55"/>
      <c r="E200" s="114" t="str">
        <f aca="false">IFERROR(VLOOKUP(F200,Equipos!$C$2:$E$967,2,FALSE()),"")</f>
        <v/>
      </c>
      <c r="F200" s="55"/>
      <c r="G200" s="115" t="str">
        <f aca="false">IFERROR(VLOOKUP(F200,Equipos!$C$2:$K$967,9,FALSE()),"")</f>
        <v/>
      </c>
      <c r="I200" s="114" t="str">
        <f aca="false">IFERROR(VLOOKUP(F200,Equipos!$C$2:$E$967,3,FALSE()),"")</f>
        <v/>
      </c>
    </row>
    <row r="201" customFormat="false" ht="15" hidden="false" customHeight="true" outlineLevel="0" collapsed="false">
      <c r="A201" s="55"/>
      <c r="E201" s="114" t="str">
        <f aca="false">IFERROR(VLOOKUP(F201,Equipos!$C$2:$E$967,2,FALSE()),"")</f>
        <v/>
      </c>
      <c r="F201" s="55"/>
      <c r="G201" s="115" t="str">
        <f aca="false">IFERROR(VLOOKUP(F201,Equipos!$C$2:$K$967,9,FALSE()),"")</f>
        <v/>
      </c>
      <c r="I201" s="114" t="str">
        <f aca="false">IFERROR(VLOOKUP(F201,Equipos!$C$2:$E$967,3,FALSE()),"")</f>
        <v/>
      </c>
    </row>
    <row r="202" customFormat="false" ht="15" hidden="false" customHeight="true" outlineLevel="0" collapsed="false">
      <c r="E202" s="114" t="str">
        <f aca="false">IFERROR(VLOOKUP(F202,Equipos!$C$2:$E$967,2,FALSE()),"")</f>
        <v/>
      </c>
      <c r="G202" s="114" t="str">
        <f aca="false">IFERROR(VLOOKUP(F202,Equipos!$C$2:$K$967,9,FALSE()),"")</f>
        <v/>
      </c>
      <c r="I202" s="114" t="str">
        <f aca="false">IFERROR(VLOOKUP(F202,Equipos!$C$2:$E$967,3,FALSE()),"")</f>
        <v/>
      </c>
    </row>
    <row r="203" customFormat="false" ht="15" hidden="false" customHeight="true" outlineLevel="0" collapsed="false">
      <c r="E203" s="114" t="str">
        <f aca="false">IFERROR(VLOOKUP(F203,Equipos!$C$2:$E$967,2,FALSE()),"")</f>
        <v/>
      </c>
      <c r="G203" s="114" t="str">
        <f aca="false">IFERROR(VLOOKUP(F203,Equipos!$C$2:$K$967,9,FALSE()),"")</f>
        <v/>
      </c>
      <c r="I203" s="114" t="str">
        <f aca="false">IFERROR(VLOOKUP(F203,Equipos!$C$2:$E$967,3,FALSE()),"")</f>
        <v/>
      </c>
    </row>
    <row r="204" customFormat="false" ht="15" hidden="false" customHeight="true" outlineLevel="0" collapsed="false">
      <c r="E204" s="114" t="str">
        <f aca="false">IFERROR(VLOOKUP(F204,Equipos!$C$2:$E$967,2,FALSE()),"")</f>
        <v/>
      </c>
      <c r="G204" s="114" t="str">
        <f aca="false">IFERROR(VLOOKUP(F204,Equipos!$C$2:$K$967,9,FALSE()),"")</f>
        <v/>
      </c>
      <c r="I204" s="114" t="str">
        <f aca="false">IFERROR(VLOOKUP(F204,Equipos!$C$2:$E$967,3,FALSE()),"")</f>
        <v/>
      </c>
    </row>
    <row r="205" customFormat="false" ht="15" hidden="false" customHeight="true" outlineLevel="0" collapsed="false">
      <c r="E205" s="114" t="str">
        <f aca="false">IFERROR(VLOOKUP(F205,Equipos!$C$2:$E$967,2,FALSE()),"")</f>
        <v/>
      </c>
      <c r="G205" s="114" t="str">
        <f aca="false">IFERROR(VLOOKUP(F205,Equipos!$C$2:$K$967,9,FALSE()),"")</f>
        <v/>
      </c>
      <c r="I205" s="114" t="str">
        <f aca="false">IFERROR(VLOOKUP(F205,Equipos!$C$2:$E$967,3,FALSE()),"")</f>
        <v/>
      </c>
    </row>
    <row r="206" customFormat="false" ht="15" hidden="false" customHeight="true" outlineLevel="0" collapsed="false">
      <c r="E206" s="114" t="str">
        <f aca="false">IFERROR(VLOOKUP(F206,Equipos!$C$2:$E$967,2,FALSE()),"")</f>
        <v/>
      </c>
      <c r="G206" s="114" t="str">
        <f aca="false">IFERROR(VLOOKUP(F206,Equipos!$C$2:$K$967,9,FALSE()),"")</f>
        <v/>
      </c>
      <c r="I206" s="114" t="str">
        <f aca="false">IFERROR(VLOOKUP(F206,Equipos!$C$2:$E$967,3,FALSE()),"")</f>
        <v/>
      </c>
    </row>
    <row r="207" customFormat="false" ht="15" hidden="false" customHeight="true" outlineLevel="0" collapsed="false">
      <c r="E207" s="114" t="str">
        <f aca="false">IFERROR(VLOOKUP(F207,Equipos!$C$2:$E$967,2,FALSE()),"")</f>
        <v/>
      </c>
      <c r="G207" s="114" t="str">
        <f aca="false">IFERROR(VLOOKUP(F207,Equipos!$C$2:$K$967,9,FALSE()),"")</f>
        <v/>
      </c>
      <c r="I207" s="114" t="str">
        <f aca="false">IFERROR(VLOOKUP(F207,Equipos!$C$2:$E$967,3,FALSE()),"")</f>
        <v/>
      </c>
    </row>
    <row r="208" customFormat="false" ht="15" hidden="false" customHeight="true" outlineLevel="0" collapsed="false">
      <c r="E208" s="114" t="str">
        <f aca="false">IFERROR(VLOOKUP(F208,Equipos!$C$2:$E$967,2,FALSE()),"")</f>
        <v/>
      </c>
      <c r="G208" s="114" t="str">
        <f aca="false">IFERROR(VLOOKUP(F208,Equipos!$C$2:$K$967,9,FALSE()),"")</f>
        <v/>
      </c>
      <c r="I208" s="114" t="str">
        <f aca="false">IFERROR(VLOOKUP(F208,Equipos!$C$2:$E$967,3,FALSE()),"")</f>
        <v/>
      </c>
    </row>
    <row r="209" customFormat="false" ht="15" hidden="false" customHeight="true" outlineLevel="0" collapsed="false">
      <c r="E209" s="114" t="str">
        <f aca="false">IFERROR(VLOOKUP(F209,Equipos!$C$2:$E$967,2,FALSE()),"")</f>
        <v/>
      </c>
      <c r="G209" s="114" t="str">
        <f aca="false">IFERROR(VLOOKUP(F209,Equipos!$C$2:$K$967,9,FALSE()),"")</f>
        <v/>
      </c>
      <c r="I209" s="114" t="str">
        <f aca="false">IFERROR(VLOOKUP(F209,Equipos!$C$2:$E$967,3,FALSE()),"")</f>
        <v/>
      </c>
    </row>
    <row r="210" customFormat="false" ht="15" hidden="false" customHeight="true" outlineLevel="0" collapsed="false">
      <c r="E210" s="114" t="str">
        <f aca="false">IFERROR(VLOOKUP(F210,Equipos!$C$2:$E$967,2,FALSE()),"")</f>
        <v/>
      </c>
      <c r="G210" s="114" t="str">
        <f aca="false">IFERROR(VLOOKUP(F210,Equipos!$C$2:$K$967,9,FALSE()),"")</f>
        <v/>
      </c>
      <c r="I210" s="114" t="str">
        <f aca="false">IFERROR(VLOOKUP(F210,Equipos!$C$2:$E$967,3,FALSE()),"")</f>
        <v/>
      </c>
    </row>
    <row r="211" customFormat="false" ht="15" hidden="false" customHeight="true" outlineLevel="0" collapsed="false">
      <c r="E211" s="114" t="str">
        <f aca="false">IFERROR(VLOOKUP(F211,Equipos!$C$2:$E$967,2,FALSE()),"")</f>
        <v/>
      </c>
      <c r="G211" s="114" t="str">
        <f aca="false">IFERROR(VLOOKUP(F211,Equipos!$C$2:$K$967,9,FALSE()),"")</f>
        <v/>
      </c>
      <c r="I211" s="114" t="str">
        <f aca="false">IFERROR(VLOOKUP(F211,Equipos!$C$2:$E$967,3,FALSE()),"")</f>
        <v/>
      </c>
    </row>
    <row r="212" customFormat="false" ht="15" hidden="false" customHeight="true" outlineLevel="0" collapsed="false">
      <c r="E212" s="114" t="str">
        <f aca="false">IFERROR(VLOOKUP(F212,Equipos!$C$2:$E$967,2,FALSE()),"")</f>
        <v/>
      </c>
      <c r="G212" s="114" t="str">
        <f aca="false">IFERROR(VLOOKUP(F212,Equipos!$C$2:$K$967,9,FALSE()),"")</f>
        <v/>
      </c>
      <c r="I212" s="114" t="str">
        <f aca="false">IFERROR(VLOOKUP(F212,Equipos!$C$2:$E$967,3,FALSE()),"")</f>
        <v/>
      </c>
    </row>
    <row r="213" customFormat="false" ht="15" hidden="false" customHeight="true" outlineLevel="0" collapsed="false">
      <c r="E213" s="114" t="str">
        <f aca="false">IFERROR(VLOOKUP(F213,Equipos!$C$2:$E$967,2,FALSE()),"")</f>
        <v/>
      </c>
      <c r="G213" s="114" t="str">
        <f aca="false">IFERROR(VLOOKUP(F213,Equipos!$C$2:$K$967,9,FALSE()),"")</f>
        <v/>
      </c>
      <c r="I213" s="114" t="str">
        <f aca="false">IFERROR(VLOOKUP(F213,Equipos!$C$2:$E$967,3,FALSE()),"")</f>
        <v/>
      </c>
    </row>
    <row r="214" customFormat="false" ht="15" hidden="false" customHeight="true" outlineLevel="0" collapsed="false">
      <c r="E214" s="114" t="str">
        <f aca="false">IFERROR(VLOOKUP(F214,Equipos!$C$2:$E$967,2,FALSE()),"")</f>
        <v/>
      </c>
      <c r="G214" s="114" t="str">
        <f aca="false">IFERROR(VLOOKUP(F214,Equipos!$C$2:$K$967,9,FALSE()),"")</f>
        <v/>
      </c>
      <c r="I214" s="114" t="str">
        <f aca="false">IFERROR(VLOOKUP(F214,Equipos!$C$2:$E$967,3,FALSE()),"")</f>
        <v/>
      </c>
    </row>
    <row r="215" customFormat="false" ht="15" hidden="false" customHeight="true" outlineLevel="0" collapsed="false">
      <c r="E215" s="114" t="str">
        <f aca="false">IFERROR(VLOOKUP(F215,Equipos!$C$2:$E$967,2,FALSE()),"")</f>
        <v/>
      </c>
      <c r="G215" s="114" t="str">
        <f aca="false">IFERROR(VLOOKUP(F215,Equipos!$C$2:$K$967,9,FALSE()),"")</f>
        <v/>
      </c>
      <c r="I215" s="114" t="str">
        <f aca="false">IFERROR(VLOOKUP(F215,Equipos!$C$2:$E$967,3,FALSE()),"")</f>
        <v/>
      </c>
    </row>
    <row r="216" customFormat="false" ht="15" hidden="false" customHeight="true" outlineLevel="0" collapsed="false">
      <c r="E216" s="114" t="str">
        <f aca="false">IFERROR(VLOOKUP(F216,Equipos!$C$2:$E$967,2,FALSE()),"")</f>
        <v/>
      </c>
      <c r="G216" s="114" t="str">
        <f aca="false">IFERROR(VLOOKUP(F216,Equipos!$C$2:$K$967,9,FALSE()),"")</f>
        <v/>
      </c>
      <c r="I216" s="114" t="str">
        <f aca="false">IFERROR(VLOOKUP(F216,Equipos!$C$2:$E$967,3,FALSE()),"")</f>
        <v/>
      </c>
    </row>
    <row r="217" customFormat="false" ht="15" hidden="false" customHeight="true" outlineLevel="0" collapsed="false">
      <c r="E217" s="114" t="str">
        <f aca="false">IFERROR(VLOOKUP(F217,Equipos!$C$2:$E$967,2,FALSE()),"")</f>
        <v/>
      </c>
      <c r="G217" s="114" t="str">
        <f aca="false">IFERROR(VLOOKUP(F217,Equipos!$C$2:$K$967,9,FALSE()),"")</f>
        <v/>
      </c>
      <c r="I217" s="114" t="str">
        <f aca="false">IFERROR(VLOOKUP(F217,Equipos!$C$2:$E$967,3,FALSE()),"")</f>
        <v/>
      </c>
    </row>
    <row r="218" customFormat="false" ht="15" hidden="false" customHeight="true" outlineLevel="0" collapsed="false">
      <c r="E218" s="114" t="str">
        <f aca="false">IFERROR(VLOOKUP(F218,Equipos!$C$2:$E$967,2,FALSE()),"")</f>
        <v/>
      </c>
      <c r="G218" s="114" t="str">
        <f aca="false">IFERROR(VLOOKUP(F218,Equipos!$C$2:$K$967,9,FALSE()),"")</f>
        <v/>
      </c>
      <c r="I218" s="114" t="str">
        <f aca="false">IFERROR(VLOOKUP(F218,Equipos!$C$2:$E$967,3,FALSE()),"")</f>
        <v/>
      </c>
    </row>
    <row r="219" customFormat="false" ht="15" hidden="false" customHeight="true" outlineLevel="0" collapsed="false">
      <c r="E219" s="114" t="str">
        <f aca="false">IFERROR(VLOOKUP(F219,Equipos!$C$2:$E$967,2,FALSE()),"")</f>
        <v/>
      </c>
      <c r="G219" s="114" t="str">
        <f aca="false">IFERROR(VLOOKUP(F219,Equipos!$C$2:$K$967,9,FALSE()),"")</f>
        <v/>
      </c>
      <c r="I219" s="114" t="str">
        <f aca="false">IFERROR(VLOOKUP(F219,Equipos!$C$2:$E$967,3,FALSE()),"")</f>
        <v/>
      </c>
    </row>
    <row r="220" customFormat="false" ht="15" hidden="false" customHeight="true" outlineLevel="0" collapsed="false">
      <c r="E220" s="114" t="str">
        <f aca="false">IFERROR(VLOOKUP(F220,Equipos!$C$2:$E$967,2,FALSE()),"")</f>
        <v/>
      </c>
      <c r="G220" s="114" t="str">
        <f aca="false">IFERROR(VLOOKUP(F220,Equipos!$C$2:$K$967,9,FALSE()),"")</f>
        <v/>
      </c>
      <c r="I220" s="114" t="str">
        <f aca="false">IFERROR(VLOOKUP(F220,Equipos!$C$2:$E$967,3,FALSE()),"")</f>
        <v/>
      </c>
    </row>
    <row r="221" customFormat="false" ht="15" hidden="false" customHeight="true" outlineLevel="0" collapsed="false">
      <c r="E221" s="114" t="str">
        <f aca="false">IFERROR(VLOOKUP(F221,Equipos!$C$2:$E$967,2,FALSE()),"")</f>
        <v/>
      </c>
      <c r="G221" s="114" t="str">
        <f aca="false">IFERROR(VLOOKUP(F221,Equipos!$C$2:$K$967,9,FALSE()),"")</f>
        <v/>
      </c>
      <c r="I221" s="114" t="str">
        <f aca="false">IFERROR(VLOOKUP(F221,Equipos!$C$2:$E$967,3,FALSE()),"")</f>
        <v/>
      </c>
    </row>
    <row r="222" customFormat="false" ht="15" hidden="false" customHeight="true" outlineLevel="0" collapsed="false">
      <c r="E222" s="114" t="str">
        <f aca="false">IFERROR(VLOOKUP(F222,Equipos!$C$2:$E$967,2,FALSE()),"")</f>
        <v/>
      </c>
      <c r="G222" s="114" t="str">
        <f aca="false">IFERROR(VLOOKUP(F222,Equipos!$C$2:$K$967,9,FALSE()),"")</f>
        <v/>
      </c>
      <c r="I222" s="114" t="str">
        <f aca="false">IFERROR(VLOOKUP(F222,Equipos!$C$2:$E$967,3,FALSE()),"")</f>
        <v/>
      </c>
    </row>
    <row r="223" customFormat="false" ht="15" hidden="false" customHeight="true" outlineLevel="0" collapsed="false">
      <c r="E223" s="114" t="str">
        <f aca="false">IFERROR(VLOOKUP(F223,Equipos!$C$2:$E$967,2,FALSE()),"")</f>
        <v/>
      </c>
      <c r="G223" s="114" t="str">
        <f aca="false">IFERROR(VLOOKUP(F223,Equipos!$C$2:$K$967,9,FALSE()),"")</f>
        <v/>
      </c>
      <c r="I223" s="114" t="str">
        <f aca="false">IFERROR(VLOOKUP(F223,Equipos!$C$2:$E$967,3,FALSE()),"")</f>
        <v/>
      </c>
    </row>
    <row r="224" customFormat="false" ht="15" hidden="false" customHeight="true" outlineLevel="0" collapsed="false">
      <c r="E224" s="114" t="str">
        <f aca="false">IFERROR(VLOOKUP(F224,Equipos!$C$2:$E$967,2,FALSE()),"")</f>
        <v/>
      </c>
      <c r="G224" s="114" t="str">
        <f aca="false">IFERROR(VLOOKUP(F224,Equipos!$C$2:$K$967,9,FALSE()),"")</f>
        <v/>
      </c>
      <c r="I224" s="114" t="str">
        <f aca="false">IFERROR(VLOOKUP(F224,Equipos!$C$2:$E$967,3,FALSE()),"")</f>
        <v/>
      </c>
    </row>
    <row r="225" customFormat="false" ht="15" hidden="false" customHeight="true" outlineLevel="0" collapsed="false">
      <c r="E225" s="114" t="str">
        <f aca="false">IFERROR(VLOOKUP(F225,Equipos!$C$2:$E$967,2,FALSE()),"")</f>
        <v/>
      </c>
      <c r="G225" s="114" t="str">
        <f aca="false">IFERROR(VLOOKUP(F225,Equipos!$C$2:$K$967,9,FALSE()),"")</f>
        <v/>
      </c>
      <c r="I225" s="114" t="str">
        <f aca="false">IFERROR(VLOOKUP(F225,Equipos!$C$2:$E$967,3,FALSE()),"")</f>
        <v/>
      </c>
    </row>
    <row r="226" customFormat="false" ht="15" hidden="false" customHeight="true" outlineLevel="0" collapsed="false">
      <c r="E226" s="114" t="str">
        <f aca="false">IFERROR(VLOOKUP(F226,Equipos!$C$2:$E$967,2,FALSE()),"")</f>
        <v/>
      </c>
      <c r="G226" s="114" t="str">
        <f aca="false">IFERROR(VLOOKUP(F226,Equipos!$C$2:$K$967,9,FALSE()),"")</f>
        <v/>
      </c>
      <c r="I226" s="114" t="str">
        <f aca="false">IFERROR(VLOOKUP(F226,Equipos!$C$2:$E$967,3,FALSE()),"")</f>
        <v/>
      </c>
    </row>
    <row r="227" customFormat="false" ht="15" hidden="false" customHeight="true" outlineLevel="0" collapsed="false">
      <c r="E227" s="114" t="str">
        <f aca="false">IFERROR(VLOOKUP(F227,Equipos!$C$2:$E$967,2,FALSE()),"")</f>
        <v/>
      </c>
      <c r="G227" s="114" t="str">
        <f aca="false">IFERROR(VLOOKUP(F227,Equipos!$C$2:$K$967,9,FALSE()),"")</f>
        <v/>
      </c>
      <c r="I227" s="114" t="str">
        <f aca="false">IFERROR(VLOOKUP(F227,Equipos!$C$2:$E$967,3,FALSE()),"")</f>
        <v/>
      </c>
    </row>
    <row r="228" customFormat="false" ht="15" hidden="false" customHeight="true" outlineLevel="0" collapsed="false">
      <c r="E228" s="114" t="str">
        <f aca="false">IFERROR(VLOOKUP(F228,Equipos!$C$2:$E$967,2,FALSE()),"")</f>
        <v/>
      </c>
      <c r="G228" s="114" t="str">
        <f aca="false">IFERROR(VLOOKUP(F228,Equipos!$C$2:$K$967,9,FALSE()),"")</f>
        <v/>
      </c>
      <c r="I228" s="114" t="str">
        <f aca="false">IFERROR(VLOOKUP(F228,Equipos!$C$2:$E$967,3,FALSE()),"")</f>
        <v/>
      </c>
    </row>
    <row r="229" customFormat="false" ht="15" hidden="false" customHeight="true" outlineLevel="0" collapsed="false">
      <c r="E229" s="114" t="str">
        <f aca="false">IFERROR(VLOOKUP(F229,Equipos!$C$2:$E$967,2,FALSE()),"")</f>
        <v/>
      </c>
      <c r="G229" s="114" t="str">
        <f aca="false">IFERROR(VLOOKUP(F229,Equipos!$C$2:$K$967,9,FALSE()),"")</f>
        <v/>
      </c>
      <c r="I229" s="114" t="str">
        <f aca="false">IFERROR(VLOOKUP(F229,Equipos!$C$2:$E$967,3,FALSE()),"")</f>
        <v/>
      </c>
    </row>
    <row r="230" customFormat="false" ht="15" hidden="false" customHeight="true" outlineLevel="0" collapsed="false">
      <c r="E230" s="114" t="str">
        <f aca="false">IFERROR(VLOOKUP(F230,Equipos!$C$2:$E$967,2,FALSE()),"")</f>
        <v/>
      </c>
      <c r="G230" s="114" t="str">
        <f aca="false">IFERROR(VLOOKUP(F230,Equipos!$C$2:$K$967,9,FALSE()),"")</f>
        <v/>
      </c>
      <c r="I230" s="114" t="str">
        <f aca="false">IFERROR(VLOOKUP(F230,Equipos!$C$2:$E$967,3,FALSE()),"")</f>
        <v/>
      </c>
    </row>
    <row r="231" customFormat="false" ht="15" hidden="false" customHeight="true" outlineLevel="0" collapsed="false">
      <c r="E231" s="114" t="str">
        <f aca="false">IFERROR(VLOOKUP(F231,Equipos!$C$2:$E$967,2,FALSE()),"")</f>
        <v/>
      </c>
      <c r="G231" s="114" t="str">
        <f aca="false">IFERROR(VLOOKUP(F231,Equipos!$C$2:$K$967,9,FALSE()),"")</f>
        <v/>
      </c>
      <c r="I231" s="114" t="str">
        <f aca="false">IFERROR(VLOOKUP(F231,Equipos!$C$2:$E$967,3,FALSE()),"")</f>
        <v/>
      </c>
    </row>
    <row r="232" customFormat="false" ht="15" hidden="false" customHeight="true" outlineLevel="0" collapsed="false">
      <c r="E232" s="114" t="str">
        <f aca="false">IFERROR(VLOOKUP(F232,Equipos!$C$2:$E$967,2,FALSE()),"")</f>
        <v/>
      </c>
      <c r="G232" s="114" t="str">
        <f aca="false">IFERROR(VLOOKUP(F232,Equipos!$C$2:$K$967,9,FALSE()),"")</f>
        <v/>
      </c>
      <c r="I232" s="114" t="str">
        <f aca="false">IFERROR(VLOOKUP(F232,Equipos!$C$2:$E$967,3,FALSE()),"")</f>
        <v/>
      </c>
    </row>
    <row r="233" customFormat="false" ht="15" hidden="false" customHeight="true" outlineLevel="0" collapsed="false">
      <c r="E233" s="114" t="str">
        <f aca="false">IFERROR(VLOOKUP(F233,Equipos!$C$2:$E$967,2,FALSE()),"")</f>
        <v/>
      </c>
      <c r="G233" s="114" t="str">
        <f aca="false">IFERROR(VLOOKUP(F233,Equipos!$C$2:$K$967,9,FALSE()),"")</f>
        <v/>
      </c>
      <c r="I233" s="114" t="str">
        <f aca="false">IFERROR(VLOOKUP(F233,Equipos!$C$2:$E$967,3,FALSE()),"")</f>
        <v/>
      </c>
    </row>
    <row r="234" customFormat="false" ht="15" hidden="false" customHeight="true" outlineLevel="0" collapsed="false">
      <c r="E234" s="114" t="str">
        <f aca="false">IFERROR(VLOOKUP(F234,Equipos!$C$2:$E$967,2,FALSE()),"")</f>
        <v/>
      </c>
      <c r="G234" s="114" t="str">
        <f aca="false">IFERROR(VLOOKUP(F234,Equipos!$C$2:$K$967,9,FALSE()),"")</f>
        <v/>
      </c>
      <c r="I234" s="114" t="str">
        <f aca="false">IFERROR(VLOOKUP(F234,Equipos!$C$2:$E$967,3,FALSE()),"")</f>
        <v/>
      </c>
    </row>
    <row r="235" customFormat="false" ht="15" hidden="false" customHeight="true" outlineLevel="0" collapsed="false">
      <c r="E235" s="114" t="str">
        <f aca="false">IFERROR(VLOOKUP(F235,Equipos!$C$2:$E$967,2,FALSE()),"")</f>
        <v/>
      </c>
      <c r="G235" s="114" t="str">
        <f aca="false">IFERROR(VLOOKUP(F235,Equipos!$C$2:$K$967,9,FALSE()),"")</f>
        <v/>
      </c>
      <c r="I235" s="114" t="str">
        <f aca="false">IFERROR(VLOOKUP(F235,Equipos!$C$2:$E$967,3,FALSE()),"")</f>
        <v/>
      </c>
    </row>
    <row r="236" customFormat="false" ht="15" hidden="false" customHeight="true" outlineLevel="0" collapsed="false">
      <c r="E236" s="114" t="str">
        <f aca="false">IFERROR(VLOOKUP(F236,Equipos!$C$2:$E$967,2,FALSE()),"")</f>
        <v/>
      </c>
      <c r="G236" s="114" t="str">
        <f aca="false">IFERROR(VLOOKUP(F236,Equipos!$C$2:$K$967,9,FALSE()),"")</f>
        <v/>
      </c>
      <c r="I236" s="114" t="str">
        <f aca="false">IFERROR(VLOOKUP(F236,Equipos!$C$2:$E$967,3,FALSE()),"")</f>
        <v/>
      </c>
    </row>
    <row r="237" customFormat="false" ht="15" hidden="false" customHeight="true" outlineLevel="0" collapsed="false">
      <c r="E237" s="114" t="str">
        <f aca="false">IFERROR(VLOOKUP(F237,Equipos!$C$2:$E$967,2,FALSE()),"")</f>
        <v/>
      </c>
      <c r="G237" s="114" t="str">
        <f aca="false">IFERROR(VLOOKUP(F237,Equipos!$C$2:$K$967,9,FALSE()),"")</f>
        <v/>
      </c>
      <c r="I237" s="114" t="str">
        <f aca="false">IFERROR(VLOOKUP(F237,Equipos!$C$2:$E$967,3,FALSE()),"")</f>
        <v/>
      </c>
    </row>
    <row r="238" customFormat="false" ht="15" hidden="false" customHeight="true" outlineLevel="0" collapsed="false">
      <c r="E238" s="114" t="str">
        <f aca="false">IFERROR(VLOOKUP(F238,Equipos!$C$2:$E$967,2,FALSE()),"")</f>
        <v/>
      </c>
      <c r="G238" s="114" t="str">
        <f aca="false">IFERROR(VLOOKUP(F238,Equipos!$C$2:$K$967,9,FALSE()),"")</f>
        <v/>
      </c>
      <c r="I238" s="114" t="str">
        <f aca="false">IFERROR(VLOOKUP(F238,Equipos!$C$2:$E$967,3,FALSE()),"")</f>
        <v/>
      </c>
    </row>
    <row r="239" customFormat="false" ht="15" hidden="false" customHeight="true" outlineLevel="0" collapsed="false">
      <c r="E239" s="114" t="str">
        <f aca="false">IFERROR(VLOOKUP(F239,Equipos!$C$2:$E$967,2,FALSE()),"")</f>
        <v/>
      </c>
      <c r="G239" s="114" t="str">
        <f aca="false">IFERROR(VLOOKUP(F239,Equipos!$C$2:$K$967,9,FALSE()),"")</f>
        <v/>
      </c>
      <c r="I239" s="114" t="str">
        <f aca="false">IFERROR(VLOOKUP(F239,Equipos!$C$2:$E$967,3,FALSE()),"")</f>
        <v/>
      </c>
    </row>
    <row r="240" customFormat="false" ht="15" hidden="false" customHeight="true" outlineLevel="0" collapsed="false">
      <c r="E240" s="114" t="str">
        <f aca="false">IFERROR(VLOOKUP(F240,Equipos!$C$2:$E$967,2,FALSE()),"")</f>
        <v/>
      </c>
      <c r="G240" s="114" t="str">
        <f aca="false">IFERROR(VLOOKUP(F240,Equipos!$C$2:$K$967,9,FALSE()),"")</f>
        <v/>
      </c>
      <c r="I240" s="114" t="str">
        <f aca="false">IFERROR(VLOOKUP(F240,Equipos!$C$2:$E$967,3,FALSE()),"")</f>
        <v/>
      </c>
    </row>
    <row r="241" customFormat="false" ht="15" hidden="false" customHeight="true" outlineLevel="0" collapsed="false">
      <c r="E241" s="114" t="str">
        <f aca="false">IFERROR(VLOOKUP(F241,Equipos!$C$2:$E$967,2,FALSE()),"")</f>
        <v/>
      </c>
      <c r="G241" s="114" t="str">
        <f aca="false">IFERROR(VLOOKUP(F241,Equipos!$C$2:$K$967,9,FALSE()),"")</f>
        <v/>
      </c>
      <c r="I241" s="114" t="str">
        <f aca="false">IFERROR(VLOOKUP(F241,Equipos!$C$2:$E$967,3,FALSE()),"")</f>
        <v/>
      </c>
    </row>
    <row r="242" customFormat="false" ht="15" hidden="false" customHeight="true" outlineLevel="0" collapsed="false">
      <c r="E242" s="114" t="str">
        <f aca="false">IFERROR(VLOOKUP(F242,Equipos!$C$2:$E$967,2,FALSE()),"")</f>
        <v/>
      </c>
      <c r="G242" s="114" t="str">
        <f aca="false">IFERROR(VLOOKUP(F242,Equipos!$C$2:$K$967,9,FALSE()),"")</f>
        <v/>
      </c>
      <c r="I242" s="114" t="str">
        <f aca="false">IFERROR(VLOOKUP(F242,Equipos!$C$2:$E$967,3,FALSE()),"")</f>
        <v/>
      </c>
    </row>
    <row r="243" customFormat="false" ht="15" hidden="false" customHeight="true" outlineLevel="0" collapsed="false">
      <c r="E243" s="114" t="str">
        <f aca="false">IFERROR(VLOOKUP(F243,Equipos!$C$2:$E$967,2,FALSE()),"")</f>
        <v/>
      </c>
      <c r="G243" s="114" t="str">
        <f aca="false">IFERROR(VLOOKUP(F243,Equipos!$C$2:$K$967,9,FALSE()),"")</f>
        <v/>
      </c>
      <c r="I243" s="114" t="str">
        <f aca="false">IFERROR(VLOOKUP(F243,Equipos!$C$2:$E$967,3,FALSE()),"")</f>
        <v/>
      </c>
    </row>
    <row r="244" customFormat="false" ht="15" hidden="false" customHeight="true" outlineLevel="0" collapsed="false">
      <c r="E244" s="114" t="str">
        <f aca="false">IFERROR(VLOOKUP(F244,Equipos!$C$2:$E$967,2,FALSE()),"")</f>
        <v/>
      </c>
      <c r="G244" s="114" t="str">
        <f aca="false">IFERROR(VLOOKUP(F244,Equipos!$C$2:$K$967,9,FALSE()),"")</f>
        <v/>
      </c>
      <c r="I244" s="114" t="str">
        <f aca="false">IFERROR(VLOOKUP(F244,Equipos!$C$2:$E$967,3,FALSE()),"")</f>
        <v/>
      </c>
    </row>
    <row r="245" customFormat="false" ht="15" hidden="false" customHeight="true" outlineLevel="0" collapsed="false">
      <c r="E245" s="114" t="str">
        <f aca="false">IFERROR(VLOOKUP(F245,Equipos!$C$2:$E$967,2,FALSE()),"")</f>
        <v/>
      </c>
      <c r="G245" s="114" t="str">
        <f aca="false">IFERROR(VLOOKUP(F245,Equipos!$C$2:$K$967,9,FALSE()),"")</f>
        <v/>
      </c>
      <c r="I245" s="114" t="str">
        <f aca="false">IFERROR(VLOOKUP(F245,Equipos!$C$2:$E$967,3,FALSE()),"")</f>
        <v/>
      </c>
    </row>
    <row r="246" customFormat="false" ht="15" hidden="false" customHeight="true" outlineLevel="0" collapsed="false">
      <c r="E246" s="114" t="str">
        <f aca="false">IFERROR(VLOOKUP(F246,Equipos!$C$2:$E$967,2,FALSE()),"")</f>
        <v/>
      </c>
      <c r="G246" s="114" t="str">
        <f aca="false">IFERROR(VLOOKUP(F246,Equipos!$C$2:$K$967,9,FALSE()),"")</f>
        <v/>
      </c>
      <c r="I246" s="114" t="str">
        <f aca="false">IFERROR(VLOOKUP(F246,Equipos!$C$2:$E$967,3,FALSE()),"")</f>
        <v/>
      </c>
    </row>
    <row r="247" customFormat="false" ht="15" hidden="false" customHeight="true" outlineLevel="0" collapsed="false">
      <c r="E247" s="114" t="str">
        <f aca="false">IFERROR(VLOOKUP(F247,Equipos!$C$2:$E$967,2,FALSE()),"")</f>
        <v/>
      </c>
      <c r="G247" s="114" t="str">
        <f aca="false">IFERROR(VLOOKUP(F247,Equipos!$C$2:$K$967,9,FALSE()),"")</f>
        <v/>
      </c>
      <c r="I247" s="114" t="str">
        <f aca="false">IFERROR(VLOOKUP(F247,Equipos!$C$2:$E$967,3,FALSE()),"")</f>
        <v/>
      </c>
    </row>
    <row r="248" customFormat="false" ht="15" hidden="false" customHeight="true" outlineLevel="0" collapsed="false">
      <c r="E248" s="114" t="str">
        <f aca="false">IFERROR(VLOOKUP(F248,Equipos!$C$2:$E$967,2,FALSE()),"")</f>
        <v/>
      </c>
      <c r="G248" s="114" t="str">
        <f aca="false">IFERROR(VLOOKUP(F248,Equipos!$C$2:$K$967,9,FALSE()),"")</f>
        <v/>
      </c>
      <c r="I248" s="114" t="str">
        <f aca="false">IFERROR(VLOOKUP(F248,Equipos!$C$2:$E$967,3,FALSE()),"")</f>
        <v/>
      </c>
    </row>
    <row r="249" customFormat="false" ht="15" hidden="false" customHeight="true" outlineLevel="0" collapsed="false">
      <c r="E249" s="114" t="str">
        <f aca="false">IFERROR(VLOOKUP(F249,Equipos!$C$2:$E$967,2,FALSE()),"")</f>
        <v/>
      </c>
      <c r="G249" s="114" t="str">
        <f aca="false">IFERROR(VLOOKUP(F249,Equipos!$C$2:$K$967,9,FALSE()),"")</f>
        <v/>
      </c>
      <c r="I249" s="114" t="str">
        <f aca="false">IFERROR(VLOOKUP(F249,Equipos!$C$2:$E$967,3,FALSE()),"")</f>
        <v/>
      </c>
    </row>
    <row r="250" customFormat="false" ht="15" hidden="false" customHeight="true" outlineLevel="0" collapsed="false">
      <c r="E250" s="114" t="str">
        <f aca="false">IFERROR(VLOOKUP(F250,Equipos!$C$2:$E$967,2,FALSE()),"")</f>
        <v/>
      </c>
      <c r="G250" s="114" t="str">
        <f aca="false">IFERROR(VLOOKUP(F250,Equipos!$C$2:$K$967,9,FALSE()),"")</f>
        <v/>
      </c>
      <c r="I250" s="114" t="str">
        <f aca="false">IFERROR(VLOOKUP(F250,Equipos!$C$2:$E$967,3,FALSE()),"")</f>
        <v/>
      </c>
    </row>
    <row r="251" customFormat="false" ht="15" hidden="false" customHeight="true" outlineLevel="0" collapsed="false">
      <c r="E251" s="114" t="str">
        <f aca="false">IFERROR(VLOOKUP(F251,Equipos!$C$2:$E$967,2,FALSE()),"")</f>
        <v/>
      </c>
      <c r="G251" s="114" t="str">
        <f aca="false">IFERROR(VLOOKUP(F251,Equipos!$C$2:$K$967,9,FALSE()),"")</f>
        <v/>
      </c>
      <c r="I251" s="114" t="str">
        <f aca="false">IFERROR(VLOOKUP(F251,Equipos!$C$2:$E$967,3,FALSE()),"")</f>
        <v/>
      </c>
    </row>
    <row r="252" customFormat="false" ht="15" hidden="false" customHeight="true" outlineLevel="0" collapsed="false">
      <c r="E252" s="114" t="str">
        <f aca="false">IFERROR(VLOOKUP(F252,Equipos!$C$2:$E$967,2,FALSE()),"")</f>
        <v/>
      </c>
      <c r="G252" s="114" t="str">
        <f aca="false">IFERROR(VLOOKUP(F252,Equipos!$C$2:$K$967,9,FALSE()),"")</f>
        <v/>
      </c>
      <c r="I252" s="114" t="str">
        <f aca="false">IFERROR(VLOOKUP(F252,Equipos!$C$2:$E$967,3,FALSE()),"")</f>
        <v/>
      </c>
    </row>
    <row r="253" customFormat="false" ht="15" hidden="false" customHeight="true" outlineLevel="0" collapsed="false">
      <c r="E253" s="114" t="str">
        <f aca="false">IFERROR(VLOOKUP(F253,Equipos!$C$2:$E$967,2,FALSE()),"")</f>
        <v/>
      </c>
      <c r="G253" s="114" t="str">
        <f aca="false">IFERROR(VLOOKUP(F253,Equipos!$C$2:$K$967,9,FALSE()),"")</f>
        <v/>
      </c>
      <c r="I253" s="114" t="str">
        <f aca="false">IFERROR(VLOOKUP(F253,Equipos!$C$2:$E$967,3,FALSE()),"")</f>
        <v/>
      </c>
    </row>
    <row r="254" customFormat="false" ht="15" hidden="false" customHeight="true" outlineLevel="0" collapsed="false">
      <c r="E254" s="114" t="str">
        <f aca="false">IFERROR(VLOOKUP(F254,Equipos!$C$2:$E$967,2,FALSE()),"")</f>
        <v/>
      </c>
      <c r="G254" s="114" t="str">
        <f aca="false">IFERROR(VLOOKUP(F254,Equipos!$C$2:$K$967,9,FALSE()),"")</f>
        <v/>
      </c>
      <c r="I254" s="114" t="str">
        <f aca="false">IFERROR(VLOOKUP(F254,Equipos!$C$2:$E$967,3,FALSE()),"")</f>
        <v/>
      </c>
    </row>
    <row r="255" customFormat="false" ht="15" hidden="false" customHeight="true" outlineLevel="0" collapsed="false">
      <c r="E255" s="114" t="str">
        <f aca="false">IFERROR(VLOOKUP(F255,Equipos!$C$2:$E$967,2,FALSE()),"")</f>
        <v/>
      </c>
      <c r="G255" s="114" t="str">
        <f aca="false">IFERROR(VLOOKUP(F255,Equipos!$C$2:$K$967,9,FALSE()),"")</f>
        <v/>
      </c>
      <c r="I255" s="114" t="str">
        <f aca="false">IFERROR(VLOOKUP(F255,Equipos!$C$2:$E$967,3,FALSE()),"")</f>
        <v/>
      </c>
    </row>
    <row r="256" customFormat="false" ht="15" hidden="false" customHeight="true" outlineLevel="0" collapsed="false">
      <c r="E256" s="114" t="str">
        <f aca="false">IFERROR(VLOOKUP(F256,Equipos!$C$2:$E$967,2,FALSE()),"")</f>
        <v/>
      </c>
      <c r="G256" s="114" t="str">
        <f aca="false">IFERROR(VLOOKUP(F256,Equipos!$C$2:$K$967,9,FALSE()),"")</f>
        <v/>
      </c>
      <c r="I256" s="114" t="str">
        <f aca="false">IFERROR(VLOOKUP(F256,Equipos!$C$2:$E$967,3,FALSE()),"")</f>
        <v/>
      </c>
    </row>
    <row r="257" customFormat="false" ht="15" hidden="false" customHeight="true" outlineLevel="0" collapsed="false">
      <c r="E257" s="114" t="str">
        <f aca="false">IFERROR(VLOOKUP(F257,Equipos!$C$2:$E$967,2,FALSE()),"")</f>
        <v/>
      </c>
      <c r="G257" s="114" t="str">
        <f aca="false">IFERROR(VLOOKUP(F257,Equipos!$C$2:$K$967,9,FALSE()),"")</f>
        <v/>
      </c>
      <c r="I257" s="114" t="str">
        <f aca="false">IFERROR(VLOOKUP(F257,Equipos!$C$2:$E$967,3,FALSE()),"")</f>
        <v/>
      </c>
    </row>
    <row r="258" customFormat="false" ht="15" hidden="false" customHeight="true" outlineLevel="0" collapsed="false">
      <c r="E258" s="114" t="str">
        <f aca="false">IFERROR(VLOOKUP(F258,Equipos!$C$2:$E$967,2,FALSE()),"")</f>
        <v/>
      </c>
      <c r="G258" s="114" t="str">
        <f aca="false">IFERROR(VLOOKUP(F258,Equipos!$C$2:$K$967,9,FALSE()),"")</f>
        <v/>
      </c>
      <c r="I258" s="114" t="str">
        <f aca="false">IFERROR(VLOOKUP(F258,Equipos!$C$2:$E$967,3,FALSE()),"")</f>
        <v/>
      </c>
    </row>
    <row r="259" customFormat="false" ht="15" hidden="false" customHeight="true" outlineLevel="0" collapsed="false">
      <c r="E259" s="114" t="str">
        <f aca="false">IFERROR(VLOOKUP(F259,Equipos!$C$2:$E$967,2,FALSE()),"")</f>
        <v/>
      </c>
      <c r="G259" s="114" t="str">
        <f aca="false">IFERROR(VLOOKUP(F259,Equipos!$C$2:$K$967,9,FALSE()),"")</f>
        <v/>
      </c>
      <c r="I259" s="114" t="str">
        <f aca="false">IFERROR(VLOOKUP(F259,Equipos!$C$2:$E$967,3,FALSE()),"")</f>
        <v/>
      </c>
    </row>
    <row r="260" customFormat="false" ht="15" hidden="false" customHeight="true" outlineLevel="0" collapsed="false">
      <c r="E260" s="114" t="str">
        <f aca="false">IFERROR(VLOOKUP(F260,Equipos!$C$2:$E$967,2,FALSE()),"")</f>
        <v/>
      </c>
      <c r="G260" s="114" t="str">
        <f aca="false">IFERROR(VLOOKUP(F260,Equipos!$C$2:$K$967,9,FALSE()),"")</f>
        <v/>
      </c>
      <c r="I260" s="114" t="str">
        <f aca="false">IFERROR(VLOOKUP(F260,Equipos!$C$2:$E$967,3,FALSE()),"")</f>
        <v/>
      </c>
    </row>
    <row r="261" customFormat="false" ht="15" hidden="false" customHeight="true" outlineLevel="0" collapsed="false">
      <c r="E261" s="114" t="str">
        <f aca="false">IFERROR(VLOOKUP(F261,Equipos!$C$2:$E$967,2,FALSE()),"")</f>
        <v/>
      </c>
      <c r="G261" s="114" t="str">
        <f aca="false">IFERROR(VLOOKUP(F261,Equipos!$C$2:$K$967,9,FALSE()),"")</f>
        <v/>
      </c>
      <c r="I261" s="114" t="str">
        <f aca="false">IFERROR(VLOOKUP(F261,Equipos!$C$2:$E$967,3,FALSE()),"")</f>
        <v/>
      </c>
    </row>
    <row r="262" customFormat="false" ht="15" hidden="false" customHeight="true" outlineLevel="0" collapsed="false">
      <c r="E262" s="114" t="str">
        <f aca="false">IFERROR(VLOOKUP(F262,Equipos!$C$2:$E$967,2,FALSE()),"")</f>
        <v/>
      </c>
      <c r="G262" s="114" t="str">
        <f aca="false">IFERROR(VLOOKUP(F262,Equipos!$C$2:$K$967,9,FALSE()),"")</f>
        <v/>
      </c>
      <c r="I262" s="114" t="str">
        <f aca="false">IFERROR(VLOOKUP(F262,Equipos!$C$2:$E$967,3,FALSE()),"")</f>
        <v/>
      </c>
    </row>
    <row r="263" customFormat="false" ht="15" hidden="false" customHeight="true" outlineLevel="0" collapsed="false">
      <c r="E263" s="114" t="str">
        <f aca="false">IFERROR(VLOOKUP(F263,Equipos!$C$2:$E$967,2,FALSE()),"")</f>
        <v/>
      </c>
      <c r="G263" s="114" t="str">
        <f aca="false">IFERROR(VLOOKUP(F263,Equipos!$C$2:$K$967,9,FALSE()),"")</f>
        <v/>
      </c>
      <c r="I263" s="114" t="str">
        <f aca="false">IFERROR(VLOOKUP(F263,Equipos!$C$2:$E$967,3,FALSE()),"")</f>
        <v/>
      </c>
    </row>
    <row r="264" customFormat="false" ht="15" hidden="false" customHeight="true" outlineLevel="0" collapsed="false">
      <c r="E264" s="114" t="str">
        <f aca="false">IFERROR(VLOOKUP(F264,Equipos!$C$2:$E$967,2,FALSE()),"")</f>
        <v/>
      </c>
      <c r="G264" s="114" t="str">
        <f aca="false">IFERROR(VLOOKUP(F264,Equipos!$C$2:$K$967,9,FALSE()),"")</f>
        <v/>
      </c>
      <c r="I264" s="114" t="str">
        <f aca="false">IFERROR(VLOOKUP(F264,Equipos!$C$2:$E$967,3,FALSE()),"")</f>
        <v/>
      </c>
    </row>
    <row r="265" customFormat="false" ht="15" hidden="false" customHeight="true" outlineLevel="0" collapsed="false">
      <c r="E265" s="114" t="str">
        <f aca="false">IFERROR(VLOOKUP(F265,Equipos!$C$2:$E$967,2,FALSE()),"")</f>
        <v/>
      </c>
      <c r="G265" s="114" t="str">
        <f aca="false">IFERROR(VLOOKUP(F265,Equipos!$C$2:$K$967,9,FALSE()),"")</f>
        <v/>
      </c>
      <c r="I265" s="114" t="str">
        <f aca="false">IFERROR(VLOOKUP(F265,Equipos!$C$2:$E$967,3,FALSE()),"")</f>
        <v/>
      </c>
    </row>
    <row r="266" customFormat="false" ht="15" hidden="false" customHeight="true" outlineLevel="0" collapsed="false">
      <c r="E266" s="114" t="str">
        <f aca="false">IFERROR(VLOOKUP(F266,Equipos!$C$2:$E$967,2,FALSE()),"")</f>
        <v/>
      </c>
      <c r="G266" s="114" t="str">
        <f aca="false">IFERROR(VLOOKUP(F266,Equipos!$C$2:$K$967,9,FALSE()),"")</f>
        <v/>
      </c>
      <c r="I266" s="114" t="str">
        <f aca="false">IFERROR(VLOOKUP(F266,Equipos!$C$2:$E$967,3,FALSE()),"")</f>
        <v/>
      </c>
    </row>
    <row r="267" customFormat="false" ht="15" hidden="false" customHeight="true" outlineLevel="0" collapsed="false">
      <c r="E267" s="114" t="str">
        <f aca="false">IFERROR(VLOOKUP(F267,Equipos!$C$2:$E$967,2,FALSE()),"")</f>
        <v/>
      </c>
      <c r="G267" s="114" t="str">
        <f aca="false">IFERROR(VLOOKUP(F267,Equipos!$C$2:$K$967,9,FALSE()),"")</f>
        <v/>
      </c>
      <c r="I267" s="114" t="str">
        <f aca="false">IFERROR(VLOOKUP(F267,Equipos!$C$2:$E$967,3,FALSE()),"")</f>
        <v/>
      </c>
    </row>
    <row r="268" customFormat="false" ht="15" hidden="false" customHeight="true" outlineLevel="0" collapsed="false">
      <c r="E268" s="114" t="str">
        <f aca="false">IFERROR(VLOOKUP(F268,Equipos!$C$2:$E$967,2,FALSE()),"")</f>
        <v/>
      </c>
      <c r="G268" s="114" t="str">
        <f aca="false">IFERROR(VLOOKUP(F268,Equipos!$C$2:$K$967,9,FALSE()),"")</f>
        <v/>
      </c>
      <c r="I268" s="114" t="str">
        <f aca="false">IFERROR(VLOOKUP(F268,Equipos!$C$2:$E$967,3,FALSE()),"")</f>
        <v/>
      </c>
    </row>
    <row r="269" customFormat="false" ht="15" hidden="false" customHeight="true" outlineLevel="0" collapsed="false">
      <c r="E269" s="114" t="str">
        <f aca="false">IFERROR(VLOOKUP(F269,Equipos!$C$2:$E$967,2,FALSE()),"")</f>
        <v/>
      </c>
      <c r="G269" s="114" t="str">
        <f aca="false">IFERROR(VLOOKUP(F269,Equipos!$C$2:$K$967,9,FALSE()),"")</f>
        <v/>
      </c>
      <c r="I269" s="114" t="str">
        <f aca="false">IFERROR(VLOOKUP(F269,Equipos!$C$2:$E$967,3,FALSE()),"")</f>
        <v/>
      </c>
    </row>
    <row r="270" customFormat="false" ht="15" hidden="false" customHeight="true" outlineLevel="0" collapsed="false">
      <c r="E270" s="114" t="str">
        <f aca="false">IFERROR(VLOOKUP(F270,Equipos!$C$2:$E$967,2,FALSE()),"")</f>
        <v/>
      </c>
      <c r="G270" s="114" t="str">
        <f aca="false">IFERROR(VLOOKUP(F270,Equipos!$C$2:$K$967,9,FALSE()),"")</f>
        <v/>
      </c>
      <c r="I270" s="114" t="str">
        <f aca="false">IFERROR(VLOOKUP(F270,Equipos!$C$2:$E$967,3,FALSE()),"")</f>
        <v/>
      </c>
    </row>
    <row r="271" customFormat="false" ht="15" hidden="false" customHeight="true" outlineLevel="0" collapsed="false">
      <c r="E271" s="114" t="str">
        <f aca="false">IFERROR(VLOOKUP(F271,Equipos!$C$2:$E$967,2,FALSE()),"")</f>
        <v/>
      </c>
      <c r="G271" s="114" t="str">
        <f aca="false">IFERROR(VLOOKUP(F271,Equipos!$C$2:$K$967,9,FALSE()),"")</f>
        <v/>
      </c>
      <c r="I271" s="114" t="str">
        <f aca="false">IFERROR(VLOOKUP(F271,Equipos!$C$2:$E$967,3,FALSE()),"")</f>
        <v/>
      </c>
    </row>
    <row r="272" customFormat="false" ht="15" hidden="false" customHeight="true" outlineLevel="0" collapsed="false">
      <c r="E272" s="114" t="str">
        <f aca="false">IFERROR(VLOOKUP(F272,Equipos!$C$2:$E$967,2,FALSE()),"")</f>
        <v/>
      </c>
      <c r="G272" s="114" t="str">
        <f aca="false">IFERROR(VLOOKUP(F272,Equipos!$C$2:$K$967,9,FALSE()),"")</f>
        <v/>
      </c>
      <c r="I272" s="114" t="str">
        <f aca="false">IFERROR(VLOOKUP(F272,Equipos!$C$2:$E$967,3,FALSE()),"")</f>
        <v/>
      </c>
    </row>
    <row r="273" customFormat="false" ht="15" hidden="false" customHeight="true" outlineLevel="0" collapsed="false">
      <c r="E273" s="114" t="str">
        <f aca="false">IFERROR(VLOOKUP(F273,Equipos!$C$2:$E$967,2,FALSE()),"")</f>
        <v/>
      </c>
      <c r="G273" s="114" t="str">
        <f aca="false">IFERROR(VLOOKUP(F273,Equipos!$C$2:$K$967,9,FALSE()),"")</f>
        <v/>
      </c>
      <c r="I273" s="114" t="str">
        <f aca="false">IFERROR(VLOOKUP(F273,Equipos!$C$2:$E$967,3,FALSE()),"")</f>
        <v/>
      </c>
    </row>
    <row r="274" customFormat="false" ht="15" hidden="false" customHeight="true" outlineLevel="0" collapsed="false">
      <c r="E274" s="114" t="str">
        <f aca="false">IFERROR(VLOOKUP(F274,Equipos!$C$2:$E$967,2,FALSE()),"")</f>
        <v/>
      </c>
      <c r="G274" s="114" t="str">
        <f aca="false">IFERROR(VLOOKUP(F274,Equipos!$C$2:$K$967,9,FALSE()),"")</f>
        <v/>
      </c>
      <c r="I274" s="114" t="str">
        <f aca="false">IFERROR(VLOOKUP(F274,Equipos!$C$2:$E$967,3,FALSE()),"")</f>
        <v/>
      </c>
    </row>
    <row r="275" customFormat="false" ht="15" hidden="false" customHeight="true" outlineLevel="0" collapsed="false">
      <c r="E275" s="114" t="str">
        <f aca="false">IFERROR(VLOOKUP(F275,Equipos!$C$2:$E$967,2,FALSE()),"")</f>
        <v/>
      </c>
      <c r="G275" s="114" t="str">
        <f aca="false">IFERROR(VLOOKUP(F275,Equipos!$C$2:$K$967,9,FALSE()),"")</f>
        <v/>
      </c>
      <c r="I275" s="114" t="str">
        <f aca="false">IFERROR(VLOOKUP(F275,Equipos!$C$2:$E$967,3,FALSE()),"")</f>
        <v/>
      </c>
    </row>
    <row r="276" customFormat="false" ht="15" hidden="false" customHeight="true" outlineLevel="0" collapsed="false">
      <c r="E276" s="114" t="str">
        <f aca="false">IFERROR(VLOOKUP(F276,Equipos!$C$2:$E$967,2,FALSE()),"")</f>
        <v/>
      </c>
      <c r="G276" s="114" t="str">
        <f aca="false">IFERROR(VLOOKUP(F276,Equipos!$C$2:$K$967,9,FALSE()),"")</f>
        <v/>
      </c>
      <c r="I276" s="114" t="str">
        <f aca="false">IFERROR(VLOOKUP(F276,Equipos!$C$2:$E$967,3,FALSE()),"")</f>
        <v/>
      </c>
    </row>
    <row r="277" customFormat="false" ht="15" hidden="false" customHeight="true" outlineLevel="0" collapsed="false">
      <c r="E277" s="114" t="str">
        <f aca="false">IFERROR(VLOOKUP(F277,Equipos!$C$2:$E$967,2,FALSE()),"")</f>
        <v/>
      </c>
      <c r="G277" s="114" t="str">
        <f aca="false">IFERROR(VLOOKUP(F277,Equipos!$C$2:$K$967,9,FALSE()),"")</f>
        <v/>
      </c>
      <c r="I277" s="114" t="str">
        <f aca="false">IFERROR(VLOOKUP(F277,Equipos!$C$2:$E$967,3,FALSE()),"")</f>
        <v/>
      </c>
    </row>
    <row r="278" customFormat="false" ht="15" hidden="false" customHeight="true" outlineLevel="0" collapsed="false">
      <c r="E278" s="114" t="str">
        <f aca="false">IFERROR(VLOOKUP(F278,Equipos!$C$2:$E$967,2,FALSE()),"")</f>
        <v/>
      </c>
      <c r="G278" s="114" t="str">
        <f aca="false">IFERROR(VLOOKUP(F278,Equipos!$C$2:$K$967,9,FALSE()),"")</f>
        <v/>
      </c>
      <c r="I278" s="114" t="str">
        <f aca="false">IFERROR(VLOOKUP(F278,Equipos!$C$2:$E$967,3,FALSE()),"")</f>
        <v/>
      </c>
    </row>
    <row r="279" customFormat="false" ht="15" hidden="false" customHeight="true" outlineLevel="0" collapsed="false">
      <c r="E279" s="114" t="str">
        <f aca="false">IFERROR(VLOOKUP(F279,Equipos!$C$2:$E$967,2,FALSE()),"")</f>
        <v/>
      </c>
      <c r="G279" s="114" t="str">
        <f aca="false">IFERROR(VLOOKUP(F279,Equipos!$C$2:$K$967,9,FALSE()),"")</f>
        <v/>
      </c>
      <c r="I279" s="114" t="str">
        <f aca="false">IFERROR(VLOOKUP(F279,Equipos!$C$2:$E$967,3,FALSE()),"")</f>
        <v/>
      </c>
    </row>
    <row r="280" customFormat="false" ht="15" hidden="false" customHeight="true" outlineLevel="0" collapsed="false">
      <c r="E280" s="114" t="str">
        <f aca="false">IFERROR(VLOOKUP(F280,Equipos!$C$2:$E$967,2,FALSE()),"")</f>
        <v/>
      </c>
      <c r="G280" s="114" t="str">
        <f aca="false">IFERROR(VLOOKUP(F280,Equipos!$C$2:$K$967,9,FALSE()),"")</f>
        <v/>
      </c>
      <c r="I280" s="114" t="str">
        <f aca="false">IFERROR(VLOOKUP(F280,Equipos!$C$2:$E$967,3,FALSE()),"")</f>
        <v/>
      </c>
    </row>
    <row r="281" customFormat="false" ht="15" hidden="false" customHeight="true" outlineLevel="0" collapsed="false">
      <c r="E281" s="114" t="str">
        <f aca="false">IFERROR(VLOOKUP(F281,Equipos!$C$2:$E$967,2,FALSE()),"")</f>
        <v/>
      </c>
      <c r="G281" s="114" t="str">
        <f aca="false">IFERROR(VLOOKUP(F281,Equipos!$C$2:$K$967,9,FALSE()),"")</f>
        <v/>
      </c>
      <c r="I281" s="114" t="str">
        <f aca="false">IFERROR(VLOOKUP(F281,Equipos!$C$2:$E$967,3,FALSE()),"")</f>
        <v/>
      </c>
    </row>
    <row r="282" customFormat="false" ht="15" hidden="false" customHeight="true" outlineLevel="0" collapsed="false">
      <c r="E282" s="114" t="str">
        <f aca="false">IFERROR(VLOOKUP(F282,Equipos!$C$2:$E$967,2,FALSE()),"")</f>
        <v/>
      </c>
      <c r="G282" s="114" t="str">
        <f aca="false">IFERROR(VLOOKUP(F282,Equipos!$C$2:$K$967,9,FALSE()),"")</f>
        <v/>
      </c>
      <c r="I282" s="114" t="str">
        <f aca="false">IFERROR(VLOOKUP(F282,Equipos!$C$2:$E$967,3,FALSE()),"")</f>
        <v/>
      </c>
    </row>
    <row r="283" customFormat="false" ht="15" hidden="false" customHeight="true" outlineLevel="0" collapsed="false">
      <c r="E283" s="114" t="str">
        <f aca="false">IFERROR(VLOOKUP(F283,Equipos!$C$2:$E$967,2,FALSE()),"")</f>
        <v/>
      </c>
      <c r="G283" s="114" t="str">
        <f aca="false">IFERROR(VLOOKUP(F283,Equipos!$C$2:$K$967,9,FALSE()),"")</f>
        <v/>
      </c>
      <c r="I283" s="114" t="str">
        <f aca="false">IFERROR(VLOOKUP(F283,Equipos!$C$2:$E$967,3,FALSE()),"")</f>
        <v/>
      </c>
    </row>
    <row r="284" customFormat="false" ht="15" hidden="false" customHeight="true" outlineLevel="0" collapsed="false">
      <c r="E284" s="114" t="str">
        <f aca="false">IFERROR(VLOOKUP(F284,Equipos!$C$2:$E$967,2,FALSE()),"")</f>
        <v/>
      </c>
      <c r="G284" s="114" t="str">
        <f aca="false">IFERROR(VLOOKUP(F284,Equipos!$C$2:$K$967,9,FALSE()),"")</f>
        <v/>
      </c>
      <c r="I284" s="114" t="str">
        <f aca="false">IFERROR(VLOOKUP(F284,Equipos!$C$2:$E$967,3,FALSE()),"")</f>
        <v/>
      </c>
    </row>
    <row r="285" customFormat="false" ht="15" hidden="false" customHeight="true" outlineLevel="0" collapsed="false">
      <c r="E285" s="114" t="str">
        <f aca="false">IFERROR(VLOOKUP(F285,Equipos!$C$2:$E$967,2,FALSE()),"")</f>
        <v/>
      </c>
      <c r="G285" s="114" t="str">
        <f aca="false">IFERROR(VLOOKUP(F285,Equipos!$C$2:$K$967,9,FALSE()),"")</f>
        <v/>
      </c>
      <c r="I285" s="114" t="str">
        <f aca="false">IFERROR(VLOOKUP(F285,Equipos!$C$2:$E$967,3,FALSE()),"")</f>
        <v/>
      </c>
    </row>
    <row r="286" customFormat="false" ht="15" hidden="false" customHeight="true" outlineLevel="0" collapsed="false">
      <c r="E286" s="114" t="str">
        <f aca="false">IFERROR(VLOOKUP(F286,Equipos!$C$2:$E$967,2,FALSE()),"")</f>
        <v/>
      </c>
      <c r="G286" s="114" t="str">
        <f aca="false">IFERROR(VLOOKUP(F286,Equipos!$C$2:$K$967,9,FALSE()),"")</f>
        <v/>
      </c>
      <c r="I286" s="114" t="str">
        <f aca="false">IFERROR(VLOOKUP(F286,Equipos!$C$2:$E$967,3,FALSE()),"")</f>
        <v/>
      </c>
    </row>
    <row r="287" customFormat="false" ht="15" hidden="false" customHeight="true" outlineLevel="0" collapsed="false">
      <c r="E287" s="114" t="str">
        <f aca="false">IFERROR(VLOOKUP(F287,Equipos!$C$2:$E$967,2,FALSE()),"")</f>
        <v/>
      </c>
      <c r="G287" s="114" t="str">
        <f aca="false">IFERROR(VLOOKUP(F287,Equipos!$C$2:$K$967,9,FALSE()),"")</f>
        <v/>
      </c>
      <c r="I287" s="114" t="str">
        <f aca="false">IFERROR(VLOOKUP(F287,Equipos!$C$2:$E$967,3,FALSE()),"")</f>
        <v/>
      </c>
    </row>
    <row r="288" customFormat="false" ht="15" hidden="false" customHeight="true" outlineLevel="0" collapsed="false">
      <c r="E288" s="114" t="str">
        <f aca="false">IFERROR(VLOOKUP(F288,Equipos!$C$2:$E$967,2,FALSE()),"")</f>
        <v/>
      </c>
      <c r="G288" s="114" t="str">
        <f aca="false">IFERROR(VLOOKUP(F288,Equipos!$C$2:$K$967,9,FALSE()),"")</f>
        <v/>
      </c>
      <c r="I288" s="114" t="str">
        <f aca="false">IFERROR(VLOOKUP(F288,Equipos!$C$2:$E$967,3,FALSE()),"")</f>
        <v/>
      </c>
    </row>
    <row r="289" customFormat="false" ht="15" hidden="false" customHeight="true" outlineLevel="0" collapsed="false">
      <c r="E289" s="114" t="str">
        <f aca="false">IFERROR(VLOOKUP(F289,Equipos!$C$2:$E$967,2,FALSE()),"")</f>
        <v/>
      </c>
      <c r="G289" s="114" t="str">
        <f aca="false">IFERROR(VLOOKUP(F289,Equipos!$C$2:$K$967,9,FALSE()),"")</f>
        <v/>
      </c>
      <c r="I289" s="114" t="str">
        <f aca="false">IFERROR(VLOOKUP(F289,Equipos!$C$2:$E$967,3,FALSE()),"")</f>
        <v/>
      </c>
    </row>
    <row r="290" customFormat="false" ht="15" hidden="false" customHeight="true" outlineLevel="0" collapsed="false">
      <c r="E290" s="114" t="str">
        <f aca="false">IFERROR(VLOOKUP(F290,Equipos!$C$2:$E$967,2,FALSE()),"")</f>
        <v/>
      </c>
      <c r="G290" s="114" t="str">
        <f aca="false">IFERROR(VLOOKUP(F290,Equipos!$C$2:$K$967,9,FALSE()),"")</f>
        <v/>
      </c>
      <c r="I290" s="114" t="str">
        <f aca="false">IFERROR(VLOOKUP(F290,Equipos!$C$2:$E$967,3,FALSE()),"")</f>
        <v/>
      </c>
    </row>
    <row r="291" customFormat="false" ht="15" hidden="false" customHeight="true" outlineLevel="0" collapsed="false">
      <c r="E291" s="114" t="str">
        <f aca="false">IFERROR(VLOOKUP(F291,Equipos!$C$2:$E$967,2,FALSE()),"")</f>
        <v/>
      </c>
      <c r="G291" s="114" t="str">
        <f aca="false">IFERROR(VLOOKUP(F291,Equipos!$C$2:$K$967,9,FALSE()),"")</f>
        <v/>
      </c>
      <c r="I291" s="114" t="str">
        <f aca="false">IFERROR(VLOOKUP(F291,Equipos!$C$2:$E$967,3,FALSE()),"")</f>
        <v/>
      </c>
    </row>
    <row r="292" customFormat="false" ht="15" hidden="false" customHeight="true" outlineLevel="0" collapsed="false">
      <c r="E292" s="114" t="str">
        <f aca="false">IFERROR(VLOOKUP(F292,Equipos!$C$2:$E$967,2,FALSE()),"")</f>
        <v/>
      </c>
      <c r="G292" s="114" t="str">
        <f aca="false">IFERROR(VLOOKUP(F292,Equipos!$C$2:$K$967,9,FALSE()),"")</f>
        <v/>
      </c>
      <c r="I292" s="114" t="str">
        <f aca="false">IFERROR(VLOOKUP(F292,Equipos!$C$2:$E$967,3,FALSE()),"")</f>
        <v/>
      </c>
    </row>
    <row r="293" customFormat="false" ht="15" hidden="false" customHeight="true" outlineLevel="0" collapsed="false">
      <c r="E293" s="114" t="str">
        <f aca="false">IFERROR(VLOOKUP(F293,Equipos!$C$2:$E$967,2,FALSE()),"")</f>
        <v/>
      </c>
      <c r="G293" s="114" t="str">
        <f aca="false">IFERROR(VLOOKUP(F293,Equipos!$C$2:$K$967,9,FALSE()),"")</f>
        <v/>
      </c>
      <c r="I293" s="114" t="str">
        <f aca="false">IFERROR(VLOOKUP(F293,Equipos!$C$2:$E$967,3,FALSE()),"")</f>
        <v/>
      </c>
    </row>
    <row r="294" customFormat="false" ht="15" hidden="false" customHeight="true" outlineLevel="0" collapsed="false">
      <c r="E294" s="114" t="str">
        <f aca="false">IFERROR(VLOOKUP(F294,Equipos!$C$2:$E$967,2,FALSE()),"")</f>
        <v/>
      </c>
      <c r="G294" s="114" t="str">
        <f aca="false">IFERROR(VLOOKUP(F294,Equipos!$C$2:$K$967,9,FALSE()),"")</f>
        <v/>
      </c>
      <c r="I294" s="114" t="str">
        <f aca="false">IFERROR(VLOOKUP(F294,Equipos!$C$2:$E$967,3,FALSE()),"")</f>
        <v/>
      </c>
    </row>
    <row r="295" customFormat="false" ht="15" hidden="false" customHeight="true" outlineLevel="0" collapsed="false">
      <c r="E295" s="114" t="str">
        <f aca="false">IFERROR(VLOOKUP(F295,Equipos!$C$2:$E$967,2,FALSE()),"")</f>
        <v/>
      </c>
      <c r="G295" s="114" t="str">
        <f aca="false">IFERROR(VLOOKUP(F295,Equipos!$C$2:$K$967,9,FALSE()),"")</f>
        <v/>
      </c>
      <c r="I295" s="114" t="str">
        <f aca="false">IFERROR(VLOOKUP(F295,Equipos!$C$2:$E$967,3,FALSE()),"")</f>
        <v/>
      </c>
    </row>
    <row r="296" customFormat="false" ht="15" hidden="false" customHeight="true" outlineLevel="0" collapsed="false">
      <c r="E296" s="114" t="str">
        <f aca="false">IFERROR(VLOOKUP(F296,Equipos!$C$2:$E$967,2,FALSE()),"")</f>
        <v/>
      </c>
      <c r="G296" s="114" t="str">
        <f aca="false">IFERROR(VLOOKUP(F296,Equipos!$C$2:$K$967,9,FALSE()),"")</f>
        <v/>
      </c>
      <c r="I296" s="114" t="str">
        <f aca="false">IFERROR(VLOOKUP(F296,Equipos!$C$2:$E$967,3,FALSE()),"")</f>
        <v/>
      </c>
    </row>
    <row r="297" customFormat="false" ht="15" hidden="false" customHeight="true" outlineLevel="0" collapsed="false">
      <c r="E297" s="114" t="str">
        <f aca="false">IFERROR(VLOOKUP(F297,Equipos!$C$2:$E$967,2,FALSE()),"")</f>
        <v/>
      </c>
      <c r="G297" s="114" t="str">
        <f aca="false">IFERROR(VLOOKUP(F297,Equipos!$C$2:$K$967,9,FALSE()),"")</f>
        <v/>
      </c>
      <c r="I297" s="114" t="str">
        <f aca="false">IFERROR(VLOOKUP(F297,Equipos!$C$2:$E$967,3,FALSE()),"")</f>
        <v/>
      </c>
    </row>
    <row r="298" customFormat="false" ht="15" hidden="false" customHeight="true" outlineLevel="0" collapsed="false">
      <c r="E298" s="114" t="str">
        <f aca="false">IFERROR(VLOOKUP(F298,Equipos!$C$2:$E$967,2,FALSE()),"")</f>
        <v/>
      </c>
      <c r="G298" s="114" t="str">
        <f aca="false">IFERROR(VLOOKUP(F298,Equipos!$C$2:$K$967,9,FALSE()),"")</f>
        <v/>
      </c>
      <c r="I298" s="114" t="str">
        <f aca="false">IFERROR(VLOOKUP(F298,Equipos!$C$2:$E$967,3,FALSE()),"")</f>
        <v/>
      </c>
    </row>
    <row r="299" customFormat="false" ht="15" hidden="false" customHeight="true" outlineLevel="0" collapsed="false">
      <c r="E299" s="114" t="str">
        <f aca="false">IFERROR(VLOOKUP(F299,Equipos!$C$2:$E$967,2,FALSE()),"")</f>
        <v/>
      </c>
      <c r="G299" s="114" t="str">
        <f aca="false">IFERROR(VLOOKUP(F299,Equipos!$C$2:$K$967,9,FALSE()),"")</f>
        <v/>
      </c>
      <c r="I299" s="114" t="str">
        <f aca="false">IFERROR(VLOOKUP(F299,Equipos!$C$2:$E$967,3,FALSE()),"")</f>
        <v/>
      </c>
    </row>
    <row r="300" customFormat="false" ht="15" hidden="false" customHeight="true" outlineLevel="0" collapsed="false">
      <c r="E300" s="114" t="str">
        <f aca="false">IFERROR(VLOOKUP(F300,Equipos!$C$2:$E$967,2,FALSE()),"")</f>
        <v/>
      </c>
      <c r="G300" s="114" t="str">
        <f aca="false">IFERROR(VLOOKUP(F300,Equipos!$C$2:$K$967,9,FALSE()),"")</f>
        <v/>
      </c>
      <c r="I300" s="114" t="str">
        <f aca="false">IFERROR(VLOOKUP(F300,Equipos!$C$2:$E$967,3,FALSE()),"")</f>
        <v/>
      </c>
    </row>
    <row r="301" customFormat="false" ht="15" hidden="false" customHeight="true" outlineLevel="0" collapsed="false">
      <c r="E301" s="114" t="str">
        <f aca="false">IFERROR(VLOOKUP(F301,Equipos!$C$2:$E$967,2,FALSE()),"")</f>
        <v/>
      </c>
      <c r="G301" s="114" t="str">
        <f aca="false">IFERROR(VLOOKUP(F301,Equipos!$C$2:$K$967,9,FALSE()),"")</f>
        <v/>
      </c>
      <c r="I301" s="114" t="str">
        <f aca="false">IFERROR(VLOOKUP(F301,Equipos!$C$2:$E$967,3,FALSE()),"")</f>
        <v/>
      </c>
    </row>
  </sheetData>
  <autoFilter ref="A1:K3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C5A8A"/>
    <pageSetUpPr fitToPage="false"/>
  </sheetPr>
  <dimension ref="A1:N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2" min="1" style="0" width="16"/>
    <col collapsed="false" customWidth="true" hidden="false" outlineLevel="0" max="3" min="3" style="0" width="13"/>
    <col collapsed="false" customWidth="true" hidden="false" outlineLevel="0" max="4" min="4" style="0" width="22"/>
    <col collapsed="false" customWidth="true" hidden="false" outlineLevel="0" max="6" min="5" style="0" width="14"/>
    <col collapsed="false" customWidth="true" hidden="false" outlineLevel="0" max="8" min="7" style="0" width="16"/>
    <col collapsed="false" customWidth="true" hidden="false" outlineLevel="0" max="9" min="9" style="0" width="13"/>
    <col collapsed="false" customWidth="true" hidden="false" outlineLevel="0" max="10" min="10" style="0" width="20"/>
    <col collapsed="false" customWidth="true" hidden="false" outlineLevel="0" max="11" min="11" style="0" width="12"/>
    <col collapsed="false" customWidth="true" hidden="false" outlineLevel="0" max="12" min="12" style="0" width="13"/>
    <col collapsed="false" customWidth="true" hidden="false" outlineLevel="0" max="13" min="13" style="0" width="26"/>
    <col collapsed="false" customWidth="true" hidden="false" outlineLevel="0" max="14" min="14" style="0" width="16"/>
  </cols>
  <sheetData>
    <row r="1" customFormat="false" ht="30" hidden="false" customHeight="true" outlineLevel="0" collapsed="false">
      <c r="A1" s="86" t="s">
        <v>306</v>
      </c>
      <c r="B1" s="86" t="s">
        <v>2878</v>
      </c>
      <c r="C1" s="86" t="s">
        <v>2879</v>
      </c>
      <c r="D1" s="86" t="s">
        <v>2880</v>
      </c>
      <c r="E1" s="86" t="s">
        <v>2881</v>
      </c>
      <c r="F1" s="86" t="s">
        <v>2882</v>
      </c>
      <c r="G1" s="86" t="s">
        <v>1081</v>
      </c>
      <c r="H1" s="86" t="s">
        <v>2883</v>
      </c>
      <c r="I1" s="86" t="s">
        <v>2884</v>
      </c>
      <c r="J1" s="86" t="s">
        <v>2885</v>
      </c>
      <c r="K1" s="86" t="s">
        <v>2886</v>
      </c>
      <c r="L1" s="86" t="s">
        <v>2887</v>
      </c>
      <c r="M1" s="86" t="s">
        <v>2888</v>
      </c>
      <c r="N1" s="86" t="s">
        <v>2889</v>
      </c>
    </row>
    <row r="2" customFormat="false" ht="15" hidden="false" customHeight="true" outlineLevel="0" collapsed="false">
      <c r="A2" s="117" t="s">
        <v>2838</v>
      </c>
      <c r="C2" s="118" t="n">
        <v>46106</v>
      </c>
    </row>
    <row r="3" customFormat="false" ht="15" hidden="false" customHeight="true" outlineLevel="0" collapsed="false">
      <c r="A3" s="117" t="s">
        <v>2841</v>
      </c>
      <c r="B3" s="119" t="s">
        <v>2890</v>
      </c>
      <c r="D3" s="119" t="s">
        <v>1146</v>
      </c>
      <c r="G3" s="119" t="s">
        <v>1092</v>
      </c>
      <c r="H3" s="117" t="s">
        <v>2891</v>
      </c>
      <c r="I3" s="118" t="n">
        <v>46066</v>
      </c>
      <c r="J3" s="119" t="s">
        <v>64</v>
      </c>
      <c r="K3" s="117" t="s">
        <v>2892</v>
      </c>
      <c r="L3" s="118" t="n">
        <v>46108</v>
      </c>
      <c r="M3" s="120" t="s">
        <v>2893</v>
      </c>
    </row>
    <row r="4" customFormat="false" ht="15" hidden="false" customHeight="true" outlineLevel="0" collapsed="false">
      <c r="A4" s="117" t="s">
        <v>2848</v>
      </c>
      <c r="B4" s="119" t="s">
        <v>2890</v>
      </c>
      <c r="C4" s="118" t="n">
        <v>46185</v>
      </c>
      <c r="G4" s="119" t="s">
        <v>1092</v>
      </c>
      <c r="K4" s="117" t="s">
        <v>2894</v>
      </c>
      <c r="L4" s="118" t="n">
        <v>46149</v>
      </c>
      <c r="M4" s="120" t="s">
        <v>2895</v>
      </c>
    </row>
    <row r="5" customFormat="false" ht="15" hidden="false" customHeight="true" outlineLevel="0" collapsed="false">
      <c r="A5" s="117" t="s">
        <v>2868</v>
      </c>
      <c r="C5" s="118" t="n">
        <v>46185</v>
      </c>
    </row>
    <row r="6" customFormat="false" ht="15" hidden="false" customHeight="true" outlineLevel="0" collapsed="false">
      <c r="A6" s="55"/>
    </row>
    <row r="7" customFormat="false" ht="15" hidden="false" customHeight="true" outlineLevel="0" collapsed="false">
      <c r="A7" s="55"/>
    </row>
    <row r="8" customFormat="false" ht="15" hidden="false" customHeight="true" outlineLevel="0" collapsed="false">
      <c r="A8" s="55"/>
    </row>
    <row r="9" customFormat="false" ht="15" hidden="false" customHeight="true" outlineLevel="0" collapsed="false">
      <c r="A9" s="55"/>
    </row>
    <row r="10" customFormat="false" ht="15" hidden="false" customHeight="true" outlineLevel="0" collapsed="false">
      <c r="A10" s="55"/>
    </row>
    <row r="11" customFormat="false" ht="15" hidden="false" customHeight="true" outlineLevel="0" collapsed="false">
      <c r="A11" s="55"/>
    </row>
    <row r="12" customFormat="false" ht="15" hidden="false" customHeight="true" outlineLevel="0" collapsed="false">
      <c r="A12" s="55"/>
    </row>
    <row r="13" customFormat="false" ht="15" hidden="false" customHeight="true" outlineLevel="0" collapsed="false">
      <c r="A13" s="55"/>
    </row>
    <row r="14" customFormat="false" ht="15" hidden="false" customHeight="true" outlineLevel="0" collapsed="false">
      <c r="A14" s="55"/>
    </row>
    <row r="15" customFormat="false" ht="15" hidden="false" customHeight="true" outlineLevel="0" collapsed="false">
      <c r="A15" s="55"/>
    </row>
    <row r="16" customFormat="false" ht="15" hidden="false" customHeight="true" outlineLevel="0" collapsed="false">
      <c r="A16" s="55"/>
    </row>
    <row r="17" customFormat="false" ht="15" hidden="false" customHeight="true" outlineLevel="0" collapsed="false">
      <c r="A17" s="55"/>
    </row>
    <row r="18" customFormat="false" ht="15" hidden="false" customHeight="true" outlineLevel="0" collapsed="false">
      <c r="A18" s="55"/>
    </row>
    <row r="19" customFormat="false" ht="15" hidden="false" customHeight="true" outlineLevel="0" collapsed="false">
      <c r="A19" s="55"/>
    </row>
    <row r="20" customFormat="false" ht="15" hidden="false" customHeight="true" outlineLevel="0" collapsed="false">
      <c r="A20" s="55"/>
    </row>
    <row r="21" customFormat="false" ht="15" hidden="false" customHeight="true" outlineLevel="0" collapsed="false">
      <c r="A21" s="55"/>
    </row>
    <row r="22" customFormat="false" ht="15" hidden="false" customHeight="true" outlineLevel="0" collapsed="false">
      <c r="A22" s="55"/>
    </row>
    <row r="23" customFormat="false" ht="15" hidden="false" customHeight="true" outlineLevel="0" collapsed="false">
      <c r="A23" s="55"/>
    </row>
    <row r="24" customFormat="false" ht="15" hidden="false" customHeight="true" outlineLevel="0" collapsed="false">
      <c r="A24" s="55"/>
    </row>
    <row r="25" customFormat="false" ht="15" hidden="false" customHeight="true" outlineLevel="0" collapsed="false">
      <c r="A25" s="55"/>
    </row>
    <row r="26" customFormat="false" ht="15" hidden="false" customHeight="true" outlineLevel="0" collapsed="false">
      <c r="A26" s="55"/>
    </row>
    <row r="27" customFormat="false" ht="15" hidden="false" customHeight="true" outlineLevel="0" collapsed="false">
      <c r="A27" s="55"/>
    </row>
    <row r="28" customFormat="false" ht="15" hidden="false" customHeight="true" outlineLevel="0" collapsed="false">
      <c r="A28" s="55"/>
    </row>
    <row r="29" customFormat="false" ht="15" hidden="false" customHeight="true" outlineLevel="0" collapsed="false">
      <c r="A29" s="55"/>
    </row>
    <row r="30" customFormat="false" ht="15" hidden="false" customHeight="true" outlineLevel="0" collapsed="false">
      <c r="A30" s="55"/>
    </row>
    <row r="31" customFormat="false" ht="15" hidden="false" customHeight="true" outlineLevel="0" collapsed="false">
      <c r="A31" s="55"/>
    </row>
    <row r="32" customFormat="false" ht="15" hidden="false" customHeight="true" outlineLevel="0" collapsed="false">
      <c r="A32" s="55"/>
    </row>
    <row r="33" customFormat="false" ht="15" hidden="false" customHeight="true" outlineLevel="0" collapsed="false">
      <c r="A33" s="55"/>
    </row>
    <row r="34" customFormat="false" ht="15" hidden="false" customHeight="true" outlineLevel="0" collapsed="false">
      <c r="A34" s="55"/>
    </row>
    <row r="35" customFormat="false" ht="15" hidden="false" customHeight="true" outlineLevel="0" collapsed="false">
      <c r="A35" s="55"/>
    </row>
    <row r="36" customFormat="false" ht="15" hidden="false" customHeight="true" outlineLevel="0" collapsed="false">
      <c r="A36" s="55"/>
    </row>
    <row r="37" customFormat="false" ht="15" hidden="false" customHeight="true" outlineLevel="0" collapsed="false">
      <c r="A37" s="55"/>
    </row>
    <row r="38" customFormat="false" ht="15" hidden="false" customHeight="true" outlineLevel="0" collapsed="false">
      <c r="A38" s="55"/>
    </row>
    <row r="39" customFormat="false" ht="15" hidden="false" customHeight="true" outlineLevel="0" collapsed="false">
      <c r="A39" s="55"/>
    </row>
    <row r="40" customFormat="false" ht="15" hidden="false" customHeight="true" outlineLevel="0" collapsed="false">
      <c r="A40" s="55"/>
    </row>
    <row r="41" customFormat="false" ht="15" hidden="false" customHeight="true" outlineLevel="0" collapsed="false">
      <c r="A41" s="55"/>
    </row>
    <row r="42" customFormat="false" ht="15" hidden="false" customHeight="true" outlineLevel="0" collapsed="false">
      <c r="A42" s="55"/>
    </row>
    <row r="43" customFormat="false" ht="15" hidden="false" customHeight="true" outlineLevel="0" collapsed="false">
      <c r="A43" s="55"/>
    </row>
    <row r="44" customFormat="false" ht="15" hidden="false" customHeight="true" outlineLevel="0" collapsed="false">
      <c r="A44" s="55"/>
    </row>
    <row r="45" customFormat="false" ht="15" hidden="false" customHeight="true" outlineLevel="0" collapsed="false">
      <c r="A45" s="55"/>
    </row>
    <row r="46" customFormat="false" ht="15" hidden="false" customHeight="true" outlineLevel="0" collapsed="false">
      <c r="A46" s="55"/>
    </row>
    <row r="47" customFormat="false" ht="15" hidden="false" customHeight="true" outlineLevel="0" collapsed="false">
      <c r="A47" s="55"/>
    </row>
    <row r="48" customFormat="false" ht="15" hidden="false" customHeight="true" outlineLevel="0" collapsed="false">
      <c r="A48" s="55"/>
    </row>
    <row r="49" customFormat="false" ht="15" hidden="false" customHeight="true" outlineLevel="0" collapsed="false">
      <c r="A49" s="55"/>
    </row>
    <row r="50" customFormat="false" ht="15" hidden="false" customHeight="true" outlineLevel="0" collapsed="false">
      <c r="A50" s="55"/>
    </row>
    <row r="51" customFormat="false" ht="15" hidden="false" customHeight="true" outlineLevel="0" collapsed="false">
      <c r="A51" s="55"/>
    </row>
    <row r="52" customFormat="false" ht="15" hidden="false" customHeight="true" outlineLevel="0" collapsed="false">
      <c r="A52" s="55"/>
    </row>
    <row r="53" customFormat="false" ht="15" hidden="false" customHeight="true" outlineLevel="0" collapsed="false">
      <c r="A53" s="55"/>
    </row>
    <row r="54" customFormat="false" ht="15" hidden="false" customHeight="true" outlineLevel="0" collapsed="false">
      <c r="A54" s="55"/>
    </row>
    <row r="55" customFormat="false" ht="15" hidden="false" customHeight="true" outlineLevel="0" collapsed="false">
      <c r="A55" s="55"/>
    </row>
    <row r="56" customFormat="false" ht="15" hidden="false" customHeight="true" outlineLevel="0" collapsed="false">
      <c r="A56" s="55"/>
    </row>
    <row r="57" customFormat="false" ht="15" hidden="false" customHeight="true" outlineLevel="0" collapsed="false">
      <c r="A57" s="55"/>
    </row>
    <row r="58" customFormat="false" ht="15" hidden="false" customHeight="true" outlineLevel="0" collapsed="false">
      <c r="A58" s="55"/>
    </row>
    <row r="59" customFormat="false" ht="15" hidden="false" customHeight="true" outlineLevel="0" collapsed="false">
      <c r="A59" s="55"/>
    </row>
    <row r="60" customFormat="false" ht="15" hidden="false" customHeight="true" outlineLevel="0" collapsed="false">
      <c r="A60" s="55"/>
    </row>
    <row r="61" customFormat="false" ht="15" hidden="false" customHeight="true" outlineLevel="0" collapsed="false">
      <c r="A61" s="55"/>
    </row>
    <row r="62" customFormat="false" ht="15" hidden="false" customHeight="true" outlineLevel="0" collapsed="false">
      <c r="A62" s="55"/>
    </row>
    <row r="63" customFormat="false" ht="15" hidden="false" customHeight="true" outlineLevel="0" collapsed="false">
      <c r="A63" s="55"/>
    </row>
    <row r="64" customFormat="false" ht="15" hidden="false" customHeight="true" outlineLevel="0" collapsed="false">
      <c r="A64" s="55"/>
    </row>
    <row r="65" customFormat="false" ht="15" hidden="false" customHeight="true" outlineLevel="0" collapsed="false">
      <c r="A65" s="55"/>
    </row>
    <row r="66" customFormat="false" ht="15" hidden="false" customHeight="true" outlineLevel="0" collapsed="false">
      <c r="A66" s="55"/>
    </row>
    <row r="67" customFormat="false" ht="15" hidden="false" customHeight="true" outlineLevel="0" collapsed="false">
      <c r="A67" s="55"/>
    </row>
    <row r="68" customFormat="false" ht="15" hidden="false" customHeight="true" outlineLevel="0" collapsed="false">
      <c r="A68" s="55"/>
    </row>
    <row r="69" customFormat="false" ht="15" hidden="false" customHeight="true" outlineLevel="0" collapsed="false">
      <c r="A69" s="55"/>
    </row>
    <row r="70" customFormat="false" ht="15" hidden="false" customHeight="true" outlineLevel="0" collapsed="false">
      <c r="A70" s="55"/>
    </row>
    <row r="71" customFormat="false" ht="15" hidden="false" customHeight="true" outlineLevel="0" collapsed="false">
      <c r="A71" s="55"/>
    </row>
    <row r="72" customFormat="false" ht="15" hidden="false" customHeight="true" outlineLevel="0" collapsed="false">
      <c r="A72" s="55"/>
    </row>
    <row r="73" customFormat="false" ht="15" hidden="false" customHeight="true" outlineLevel="0" collapsed="false">
      <c r="A73" s="55"/>
    </row>
    <row r="74" customFormat="false" ht="15" hidden="false" customHeight="true" outlineLevel="0" collapsed="false">
      <c r="A74" s="55"/>
    </row>
    <row r="75" customFormat="false" ht="15" hidden="false" customHeight="true" outlineLevel="0" collapsed="false">
      <c r="A75" s="55"/>
    </row>
    <row r="76" customFormat="false" ht="15" hidden="false" customHeight="true" outlineLevel="0" collapsed="false">
      <c r="A76" s="55"/>
    </row>
    <row r="77" customFormat="false" ht="15" hidden="false" customHeight="true" outlineLevel="0" collapsed="false">
      <c r="A77" s="55"/>
    </row>
    <row r="78" customFormat="false" ht="15" hidden="false" customHeight="true" outlineLevel="0" collapsed="false">
      <c r="A78" s="55"/>
    </row>
    <row r="79" customFormat="false" ht="15" hidden="false" customHeight="true" outlineLevel="0" collapsed="false">
      <c r="A79" s="55"/>
    </row>
    <row r="80" customFormat="false" ht="15" hidden="false" customHeight="true" outlineLevel="0" collapsed="false">
      <c r="A80" s="55"/>
    </row>
    <row r="81" customFormat="false" ht="15" hidden="false" customHeight="true" outlineLevel="0" collapsed="false">
      <c r="A81" s="55"/>
    </row>
    <row r="82" customFormat="false" ht="15" hidden="false" customHeight="true" outlineLevel="0" collapsed="false">
      <c r="A82" s="55"/>
    </row>
    <row r="83" customFormat="false" ht="15" hidden="false" customHeight="true" outlineLevel="0" collapsed="false">
      <c r="A83" s="55"/>
    </row>
    <row r="84" customFormat="false" ht="15" hidden="false" customHeight="true" outlineLevel="0" collapsed="false">
      <c r="A84" s="55"/>
    </row>
    <row r="85" customFormat="false" ht="15" hidden="false" customHeight="true" outlineLevel="0" collapsed="false">
      <c r="A85" s="55"/>
    </row>
    <row r="86" customFormat="false" ht="15" hidden="false" customHeight="true" outlineLevel="0" collapsed="false">
      <c r="A86" s="55"/>
    </row>
    <row r="87" customFormat="false" ht="15" hidden="false" customHeight="true" outlineLevel="0" collapsed="false">
      <c r="A87" s="55"/>
    </row>
    <row r="88" customFormat="false" ht="15" hidden="false" customHeight="true" outlineLevel="0" collapsed="false">
      <c r="A88" s="55"/>
    </row>
    <row r="89" customFormat="false" ht="15" hidden="false" customHeight="true" outlineLevel="0" collapsed="false">
      <c r="A89" s="55"/>
    </row>
    <row r="90" customFormat="false" ht="15" hidden="false" customHeight="true" outlineLevel="0" collapsed="false">
      <c r="A90" s="55"/>
    </row>
    <row r="91" customFormat="false" ht="15" hidden="false" customHeight="true" outlineLevel="0" collapsed="false">
      <c r="A91" s="55"/>
    </row>
    <row r="92" customFormat="false" ht="15" hidden="false" customHeight="true" outlineLevel="0" collapsed="false">
      <c r="A92" s="55"/>
    </row>
    <row r="93" customFormat="false" ht="15" hidden="false" customHeight="true" outlineLevel="0" collapsed="false">
      <c r="A93" s="55"/>
    </row>
    <row r="94" customFormat="false" ht="15" hidden="false" customHeight="true" outlineLevel="0" collapsed="false">
      <c r="A94" s="55"/>
    </row>
    <row r="95" customFormat="false" ht="15" hidden="false" customHeight="true" outlineLevel="0" collapsed="false">
      <c r="A95" s="55"/>
    </row>
    <row r="96" customFormat="false" ht="15" hidden="false" customHeight="true" outlineLevel="0" collapsed="false">
      <c r="A96" s="55"/>
    </row>
    <row r="97" customFormat="false" ht="15" hidden="false" customHeight="true" outlineLevel="0" collapsed="false">
      <c r="A97" s="55"/>
    </row>
    <row r="98" customFormat="false" ht="15" hidden="false" customHeight="true" outlineLevel="0" collapsed="false">
      <c r="A98" s="55"/>
    </row>
    <row r="99" customFormat="false" ht="15" hidden="false" customHeight="true" outlineLevel="0" collapsed="false">
      <c r="A99" s="55"/>
    </row>
    <row r="100" customFormat="false" ht="15" hidden="false" customHeight="true" outlineLevel="0" collapsed="false">
      <c r="A100" s="55"/>
    </row>
    <row r="101" customFormat="false" ht="15" hidden="false" customHeight="true" outlineLevel="0" collapsed="false">
      <c r="A101" s="55"/>
    </row>
    <row r="102" customFormat="false" ht="15" hidden="false" customHeight="true" outlineLevel="0" collapsed="false">
      <c r="A102" s="55"/>
    </row>
    <row r="103" customFormat="false" ht="15" hidden="false" customHeight="true" outlineLevel="0" collapsed="false">
      <c r="A103" s="55"/>
    </row>
    <row r="104" customFormat="false" ht="15" hidden="false" customHeight="true" outlineLevel="0" collapsed="false">
      <c r="A104" s="55"/>
    </row>
    <row r="105" customFormat="false" ht="15" hidden="false" customHeight="true" outlineLevel="0" collapsed="false">
      <c r="A105" s="55"/>
    </row>
    <row r="106" customFormat="false" ht="15" hidden="false" customHeight="true" outlineLevel="0" collapsed="false">
      <c r="A106" s="55"/>
    </row>
    <row r="107" customFormat="false" ht="15" hidden="false" customHeight="true" outlineLevel="0" collapsed="false">
      <c r="A107" s="55"/>
    </row>
    <row r="108" customFormat="false" ht="15" hidden="false" customHeight="true" outlineLevel="0" collapsed="false">
      <c r="A108" s="55"/>
    </row>
    <row r="109" customFormat="false" ht="15" hidden="false" customHeight="true" outlineLevel="0" collapsed="false">
      <c r="A109" s="55"/>
    </row>
    <row r="110" customFormat="false" ht="15" hidden="false" customHeight="true" outlineLevel="0" collapsed="false">
      <c r="A110" s="55"/>
    </row>
    <row r="111" customFormat="false" ht="15" hidden="false" customHeight="true" outlineLevel="0" collapsed="false">
      <c r="A111" s="55"/>
    </row>
    <row r="112" customFormat="false" ht="15" hidden="false" customHeight="true" outlineLevel="0" collapsed="false">
      <c r="A112" s="55"/>
    </row>
    <row r="113" customFormat="false" ht="15" hidden="false" customHeight="true" outlineLevel="0" collapsed="false">
      <c r="A113" s="55"/>
    </row>
    <row r="114" customFormat="false" ht="15" hidden="false" customHeight="true" outlineLevel="0" collapsed="false">
      <c r="A114" s="55"/>
    </row>
    <row r="115" customFormat="false" ht="15" hidden="false" customHeight="true" outlineLevel="0" collapsed="false">
      <c r="A115" s="55"/>
    </row>
    <row r="116" customFormat="false" ht="15" hidden="false" customHeight="true" outlineLevel="0" collapsed="false">
      <c r="A116" s="55"/>
    </row>
    <row r="117" customFormat="false" ht="15" hidden="false" customHeight="true" outlineLevel="0" collapsed="false">
      <c r="A117" s="55"/>
    </row>
    <row r="118" customFormat="false" ht="15" hidden="false" customHeight="true" outlineLevel="0" collapsed="false">
      <c r="A118" s="55"/>
    </row>
    <row r="119" customFormat="false" ht="15" hidden="false" customHeight="true" outlineLevel="0" collapsed="false">
      <c r="A119" s="55"/>
    </row>
    <row r="120" customFormat="false" ht="15" hidden="false" customHeight="true" outlineLevel="0" collapsed="false">
      <c r="A120" s="55"/>
    </row>
    <row r="121" customFormat="false" ht="15" hidden="false" customHeight="true" outlineLevel="0" collapsed="false">
      <c r="A121" s="55"/>
    </row>
    <row r="122" customFormat="false" ht="15" hidden="false" customHeight="true" outlineLevel="0" collapsed="false">
      <c r="A122" s="55"/>
    </row>
    <row r="123" customFormat="false" ht="15" hidden="false" customHeight="true" outlineLevel="0" collapsed="false">
      <c r="A123" s="55"/>
    </row>
    <row r="124" customFormat="false" ht="15" hidden="false" customHeight="true" outlineLevel="0" collapsed="false">
      <c r="A124" s="55"/>
    </row>
    <row r="125" customFormat="false" ht="15" hidden="false" customHeight="true" outlineLevel="0" collapsed="false">
      <c r="A125" s="55"/>
    </row>
    <row r="126" customFormat="false" ht="15" hidden="false" customHeight="true" outlineLevel="0" collapsed="false">
      <c r="A126" s="55"/>
    </row>
    <row r="127" customFormat="false" ht="15" hidden="false" customHeight="true" outlineLevel="0" collapsed="false">
      <c r="A127" s="55"/>
    </row>
    <row r="128" customFormat="false" ht="15" hidden="false" customHeight="true" outlineLevel="0" collapsed="false">
      <c r="A128" s="55"/>
    </row>
    <row r="129" customFormat="false" ht="15" hidden="false" customHeight="true" outlineLevel="0" collapsed="false">
      <c r="A129" s="55"/>
    </row>
    <row r="130" customFormat="false" ht="15" hidden="false" customHeight="true" outlineLevel="0" collapsed="false">
      <c r="A130" s="55"/>
    </row>
    <row r="131" customFormat="false" ht="15" hidden="false" customHeight="true" outlineLevel="0" collapsed="false">
      <c r="A131" s="55"/>
    </row>
    <row r="132" customFormat="false" ht="15" hidden="false" customHeight="true" outlineLevel="0" collapsed="false">
      <c r="A132" s="55"/>
    </row>
    <row r="133" customFormat="false" ht="15" hidden="false" customHeight="true" outlineLevel="0" collapsed="false">
      <c r="A133" s="55"/>
    </row>
    <row r="134" customFormat="false" ht="15" hidden="false" customHeight="true" outlineLevel="0" collapsed="false">
      <c r="A134" s="55"/>
    </row>
    <row r="135" customFormat="false" ht="15" hidden="false" customHeight="true" outlineLevel="0" collapsed="false">
      <c r="A135" s="55"/>
    </row>
    <row r="136" customFormat="false" ht="15" hidden="false" customHeight="true" outlineLevel="0" collapsed="false">
      <c r="A136" s="55"/>
    </row>
    <row r="137" customFormat="false" ht="15" hidden="false" customHeight="true" outlineLevel="0" collapsed="false">
      <c r="A137" s="55"/>
    </row>
    <row r="138" customFormat="false" ht="15" hidden="false" customHeight="true" outlineLevel="0" collapsed="false">
      <c r="A138" s="55"/>
    </row>
    <row r="139" customFormat="false" ht="15" hidden="false" customHeight="true" outlineLevel="0" collapsed="false">
      <c r="A139" s="55"/>
    </row>
    <row r="140" customFormat="false" ht="15" hidden="false" customHeight="true" outlineLevel="0" collapsed="false">
      <c r="A140" s="55"/>
    </row>
    <row r="141" customFormat="false" ht="15" hidden="false" customHeight="true" outlineLevel="0" collapsed="false">
      <c r="A141" s="55"/>
    </row>
    <row r="142" customFormat="false" ht="15" hidden="false" customHeight="true" outlineLevel="0" collapsed="false">
      <c r="A142" s="55"/>
    </row>
    <row r="143" customFormat="false" ht="15" hidden="false" customHeight="true" outlineLevel="0" collapsed="false">
      <c r="A143" s="55"/>
    </row>
    <row r="144" customFormat="false" ht="15" hidden="false" customHeight="true" outlineLevel="0" collapsed="false">
      <c r="A144" s="55"/>
    </row>
    <row r="145" customFormat="false" ht="15" hidden="false" customHeight="true" outlineLevel="0" collapsed="false">
      <c r="A145" s="55"/>
    </row>
    <row r="146" customFormat="false" ht="15" hidden="false" customHeight="true" outlineLevel="0" collapsed="false">
      <c r="A146" s="55"/>
    </row>
    <row r="147" customFormat="false" ht="15" hidden="false" customHeight="true" outlineLevel="0" collapsed="false">
      <c r="A147" s="55"/>
    </row>
    <row r="148" customFormat="false" ht="15" hidden="false" customHeight="true" outlineLevel="0" collapsed="false">
      <c r="A148" s="55"/>
    </row>
    <row r="149" customFormat="false" ht="15" hidden="false" customHeight="true" outlineLevel="0" collapsed="false">
      <c r="A149" s="55"/>
    </row>
    <row r="150" customFormat="false" ht="15" hidden="false" customHeight="true" outlineLevel="0" collapsed="false">
      <c r="A150" s="55"/>
    </row>
    <row r="151" customFormat="false" ht="15" hidden="false" customHeight="true" outlineLevel="0" collapsed="false">
      <c r="A151" s="55"/>
    </row>
    <row r="152" customFormat="false" ht="15" hidden="false" customHeight="true" outlineLevel="0" collapsed="false">
      <c r="A152" s="55"/>
    </row>
    <row r="153" customFormat="false" ht="15" hidden="false" customHeight="true" outlineLevel="0" collapsed="false">
      <c r="A153" s="55"/>
    </row>
    <row r="154" customFormat="false" ht="15" hidden="false" customHeight="true" outlineLevel="0" collapsed="false">
      <c r="A154" s="55"/>
    </row>
    <row r="155" customFormat="false" ht="15" hidden="false" customHeight="true" outlineLevel="0" collapsed="false">
      <c r="A155" s="55"/>
    </row>
    <row r="156" customFormat="false" ht="15" hidden="false" customHeight="true" outlineLevel="0" collapsed="false">
      <c r="A156" s="55"/>
    </row>
    <row r="157" customFormat="false" ht="15" hidden="false" customHeight="true" outlineLevel="0" collapsed="false">
      <c r="A157" s="55"/>
    </row>
    <row r="158" customFormat="false" ht="15" hidden="false" customHeight="true" outlineLevel="0" collapsed="false">
      <c r="A158" s="55"/>
    </row>
    <row r="159" customFormat="false" ht="15" hidden="false" customHeight="true" outlineLevel="0" collapsed="false">
      <c r="A159" s="55"/>
    </row>
    <row r="160" customFormat="false" ht="15" hidden="false" customHeight="true" outlineLevel="0" collapsed="false">
      <c r="A160" s="55"/>
    </row>
    <row r="161" customFormat="false" ht="15" hidden="false" customHeight="true" outlineLevel="0" collapsed="false">
      <c r="A161" s="55"/>
    </row>
    <row r="162" customFormat="false" ht="15" hidden="false" customHeight="true" outlineLevel="0" collapsed="false">
      <c r="A162" s="55"/>
    </row>
    <row r="163" customFormat="false" ht="15" hidden="false" customHeight="true" outlineLevel="0" collapsed="false">
      <c r="A163" s="55"/>
    </row>
    <row r="164" customFormat="false" ht="15" hidden="false" customHeight="true" outlineLevel="0" collapsed="false">
      <c r="A164" s="55"/>
    </row>
    <row r="165" customFormat="false" ht="15" hidden="false" customHeight="true" outlineLevel="0" collapsed="false">
      <c r="A165" s="55"/>
    </row>
    <row r="166" customFormat="false" ht="15" hidden="false" customHeight="true" outlineLevel="0" collapsed="false">
      <c r="A166" s="55"/>
    </row>
    <row r="167" customFormat="false" ht="15" hidden="false" customHeight="true" outlineLevel="0" collapsed="false">
      <c r="A167" s="55"/>
    </row>
    <row r="168" customFormat="false" ht="15" hidden="false" customHeight="true" outlineLevel="0" collapsed="false">
      <c r="A168" s="55"/>
    </row>
    <row r="169" customFormat="false" ht="15" hidden="false" customHeight="true" outlineLevel="0" collapsed="false">
      <c r="A169" s="55"/>
    </row>
    <row r="170" customFormat="false" ht="15" hidden="false" customHeight="true" outlineLevel="0" collapsed="false">
      <c r="A170" s="55"/>
    </row>
    <row r="171" customFormat="false" ht="15" hidden="false" customHeight="true" outlineLevel="0" collapsed="false">
      <c r="A171" s="55"/>
    </row>
    <row r="172" customFormat="false" ht="15" hidden="false" customHeight="true" outlineLevel="0" collapsed="false">
      <c r="A172" s="55"/>
    </row>
    <row r="173" customFormat="false" ht="15" hidden="false" customHeight="true" outlineLevel="0" collapsed="false">
      <c r="A173" s="55"/>
    </row>
    <row r="174" customFormat="false" ht="15" hidden="false" customHeight="true" outlineLevel="0" collapsed="false">
      <c r="A174" s="55"/>
    </row>
    <row r="175" customFormat="false" ht="15" hidden="false" customHeight="true" outlineLevel="0" collapsed="false">
      <c r="A175" s="55"/>
    </row>
    <row r="176" customFormat="false" ht="15" hidden="false" customHeight="true" outlineLevel="0" collapsed="false">
      <c r="A176" s="55"/>
    </row>
    <row r="177" customFormat="false" ht="15" hidden="false" customHeight="true" outlineLevel="0" collapsed="false">
      <c r="A177" s="55"/>
    </row>
    <row r="178" customFormat="false" ht="15" hidden="false" customHeight="true" outlineLevel="0" collapsed="false">
      <c r="A178" s="55"/>
    </row>
    <row r="179" customFormat="false" ht="15" hidden="false" customHeight="true" outlineLevel="0" collapsed="false">
      <c r="A179" s="55"/>
    </row>
    <row r="180" customFormat="false" ht="15" hidden="false" customHeight="true" outlineLevel="0" collapsed="false">
      <c r="A180" s="55"/>
    </row>
    <row r="181" customFormat="false" ht="15" hidden="false" customHeight="true" outlineLevel="0" collapsed="false">
      <c r="A181" s="55"/>
    </row>
    <row r="182" customFormat="false" ht="15" hidden="false" customHeight="true" outlineLevel="0" collapsed="false">
      <c r="A182" s="55"/>
    </row>
    <row r="183" customFormat="false" ht="15" hidden="false" customHeight="true" outlineLevel="0" collapsed="false">
      <c r="A183" s="55"/>
    </row>
    <row r="184" customFormat="false" ht="15" hidden="false" customHeight="true" outlineLevel="0" collapsed="false">
      <c r="A184" s="55"/>
    </row>
    <row r="185" customFormat="false" ht="15" hidden="false" customHeight="true" outlineLevel="0" collapsed="false">
      <c r="A185" s="55"/>
    </row>
    <row r="186" customFormat="false" ht="15" hidden="false" customHeight="true" outlineLevel="0" collapsed="false">
      <c r="A186" s="55"/>
    </row>
    <row r="187" customFormat="false" ht="15" hidden="false" customHeight="true" outlineLevel="0" collapsed="false">
      <c r="A187" s="55"/>
    </row>
    <row r="188" customFormat="false" ht="15" hidden="false" customHeight="true" outlineLevel="0" collapsed="false">
      <c r="A188" s="55"/>
    </row>
    <row r="189" customFormat="false" ht="15" hidden="false" customHeight="true" outlineLevel="0" collapsed="false">
      <c r="A189" s="55"/>
    </row>
    <row r="190" customFormat="false" ht="15" hidden="false" customHeight="true" outlineLevel="0" collapsed="false">
      <c r="A190" s="55"/>
    </row>
    <row r="191" customFormat="false" ht="15" hidden="false" customHeight="true" outlineLevel="0" collapsed="false">
      <c r="A191" s="55"/>
    </row>
    <row r="192" customFormat="false" ht="15" hidden="false" customHeight="true" outlineLevel="0" collapsed="false">
      <c r="A192" s="55"/>
    </row>
    <row r="193" customFormat="false" ht="15" hidden="false" customHeight="true" outlineLevel="0" collapsed="false">
      <c r="A193" s="55"/>
    </row>
    <row r="194" customFormat="false" ht="15" hidden="false" customHeight="true" outlineLevel="0" collapsed="false">
      <c r="A194" s="55"/>
    </row>
    <row r="195" customFormat="false" ht="15" hidden="false" customHeight="true" outlineLevel="0" collapsed="false">
      <c r="A195" s="55"/>
    </row>
    <row r="196" customFormat="false" ht="15" hidden="false" customHeight="true" outlineLevel="0" collapsed="false">
      <c r="A196" s="55"/>
    </row>
    <row r="197" customFormat="false" ht="15" hidden="false" customHeight="true" outlineLevel="0" collapsed="false">
      <c r="A197" s="55"/>
    </row>
    <row r="198" customFormat="false" ht="15" hidden="false" customHeight="true" outlineLevel="0" collapsed="false">
      <c r="A198" s="55"/>
    </row>
    <row r="199" customFormat="false" ht="15" hidden="false" customHeight="true" outlineLevel="0" collapsed="false">
      <c r="A199" s="55"/>
    </row>
    <row r="200" customFormat="false" ht="15" hidden="false" customHeight="true" outlineLevel="0" collapsed="false">
      <c r="A200" s="55"/>
    </row>
    <row r="201" customFormat="false" ht="15" hidden="false" customHeight="true" outlineLevel="0" collapsed="false">
      <c r="A201" s="5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C5A8A"/>
    <pageSetUpPr fitToPage="false"/>
  </sheetPr>
  <dimension ref="A1:D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40"/>
    <col collapsed="false" customWidth="true" hidden="false" outlineLevel="0" max="4" min="4" style="0" width="18"/>
  </cols>
  <sheetData>
    <row r="1" customFormat="false" ht="30" hidden="false" customHeight="true" outlineLevel="0" collapsed="false">
      <c r="A1" s="86" t="s">
        <v>306</v>
      </c>
      <c r="B1" s="86" t="s">
        <v>2896</v>
      </c>
      <c r="C1" s="86" t="s">
        <v>2897</v>
      </c>
      <c r="D1" s="86" t="s">
        <v>2898</v>
      </c>
    </row>
    <row r="2" customFormat="false" ht="15" hidden="false" customHeight="true" outlineLevel="0" collapsed="false">
      <c r="A2" s="55"/>
    </row>
    <row r="3" customFormat="false" ht="15" hidden="false" customHeight="true" outlineLevel="0" collapsed="false">
      <c r="A3" s="55"/>
    </row>
    <row r="4" customFormat="false" ht="15" hidden="false" customHeight="true" outlineLevel="0" collapsed="false">
      <c r="A4" s="55"/>
    </row>
    <row r="5" customFormat="false" ht="15" hidden="false" customHeight="true" outlineLevel="0" collapsed="false">
      <c r="A5" s="55"/>
    </row>
    <row r="6" customFormat="false" ht="15" hidden="false" customHeight="true" outlineLevel="0" collapsed="false">
      <c r="A6" s="55"/>
    </row>
    <row r="7" customFormat="false" ht="15" hidden="false" customHeight="true" outlineLevel="0" collapsed="false">
      <c r="A7" s="55"/>
    </row>
    <row r="8" customFormat="false" ht="15" hidden="false" customHeight="true" outlineLevel="0" collapsed="false">
      <c r="A8" s="55"/>
    </row>
    <row r="9" customFormat="false" ht="15" hidden="false" customHeight="true" outlineLevel="0" collapsed="false">
      <c r="A9" s="55"/>
    </row>
    <row r="10" customFormat="false" ht="15" hidden="false" customHeight="true" outlineLevel="0" collapsed="false">
      <c r="A10" s="55"/>
    </row>
    <row r="11" customFormat="false" ht="15" hidden="false" customHeight="true" outlineLevel="0" collapsed="false">
      <c r="A11" s="55"/>
    </row>
    <row r="12" customFormat="false" ht="15" hidden="false" customHeight="true" outlineLevel="0" collapsed="false">
      <c r="A12" s="55"/>
    </row>
    <row r="13" customFormat="false" ht="15" hidden="false" customHeight="true" outlineLevel="0" collapsed="false">
      <c r="A13" s="55"/>
    </row>
    <row r="14" customFormat="false" ht="15" hidden="false" customHeight="true" outlineLevel="0" collapsed="false">
      <c r="A14" s="55"/>
    </row>
    <row r="15" customFormat="false" ht="15" hidden="false" customHeight="true" outlineLevel="0" collapsed="false">
      <c r="A15" s="55"/>
    </row>
    <row r="16" customFormat="false" ht="15" hidden="false" customHeight="true" outlineLevel="0" collapsed="false">
      <c r="A16" s="55"/>
    </row>
    <row r="17" customFormat="false" ht="15" hidden="false" customHeight="true" outlineLevel="0" collapsed="false">
      <c r="A17" s="55"/>
    </row>
    <row r="18" customFormat="false" ht="15" hidden="false" customHeight="true" outlineLevel="0" collapsed="false">
      <c r="A18" s="55"/>
    </row>
    <row r="19" customFormat="false" ht="15" hidden="false" customHeight="true" outlineLevel="0" collapsed="false">
      <c r="A19" s="55"/>
    </row>
    <row r="20" customFormat="false" ht="15" hidden="false" customHeight="true" outlineLevel="0" collapsed="false">
      <c r="A20" s="55"/>
    </row>
    <row r="21" customFormat="false" ht="15" hidden="false" customHeight="true" outlineLevel="0" collapsed="false">
      <c r="A21" s="55"/>
    </row>
    <row r="22" customFormat="false" ht="15" hidden="false" customHeight="true" outlineLevel="0" collapsed="false">
      <c r="A22" s="55"/>
    </row>
    <row r="23" customFormat="false" ht="15" hidden="false" customHeight="true" outlineLevel="0" collapsed="false">
      <c r="A23" s="55"/>
    </row>
    <row r="24" customFormat="false" ht="15" hidden="false" customHeight="true" outlineLevel="0" collapsed="false">
      <c r="A24" s="55"/>
    </row>
    <row r="25" customFormat="false" ht="15" hidden="false" customHeight="true" outlineLevel="0" collapsed="false">
      <c r="A25" s="55"/>
    </row>
    <row r="26" customFormat="false" ht="15" hidden="false" customHeight="true" outlineLevel="0" collapsed="false">
      <c r="A26" s="55"/>
    </row>
    <row r="27" customFormat="false" ht="15" hidden="false" customHeight="true" outlineLevel="0" collapsed="false">
      <c r="A27" s="55"/>
    </row>
    <row r="28" customFormat="false" ht="15" hidden="false" customHeight="true" outlineLevel="0" collapsed="false">
      <c r="A28" s="55"/>
    </row>
    <row r="29" customFormat="false" ht="15" hidden="false" customHeight="true" outlineLevel="0" collapsed="false">
      <c r="A29" s="55"/>
    </row>
    <row r="30" customFormat="false" ht="15" hidden="false" customHeight="true" outlineLevel="0" collapsed="false">
      <c r="A30" s="55"/>
    </row>
    <row r="31" customFormat="false" ht="15" hidden="false" customHeight="true" outlineLevel="0" collapsed="false">
      <c r="A31" s="55"/>
    </row>
    <row r="32" customFormat="false" ht="15" hidden="false" customHeight="true" outlineLevel="0" collapsed="false">
      <c r="A32" s="55"/>
    </row>
    <row r="33" customFormat="false" ht="15" hidden="false" customHeight="true" outlineLevel="0" collapsed="false">
      <c r="A33" s="55"/>
    </row>
    <row r="34" customFormat="false" ht="15" hidden="false" customHeight="true" outlineLevel="0" collapsed="false">
      <c r="A34" s="55"/>
    </row>
    <row r="35" customFormat="false" ht="15" hidden="false" customHeight="true" outlineLevel="0" collapsed="false">
      <c r="A35" s="55"/>
    </row>
    <row r="36" customFormat="false" ht="15" hidden="false" customHeight="true" outlineLevel="0" collapsed="false">
      <c r="A36" s="55"/>
    </row>
    <row r="37" customFormat="false" ht="15" hidden="false" customHeight="true" outlineLevel="0" collapsed="false">
      <c r="A37" s="55"/>
    </row>
    <row r="38" customFormat="false" ht="15" hidden="false" customHeight="true" outlineLevel="0" collapsed="false">
      <c r="A38" s="55"/>
    </row>
    <row r="39" customFormat="false" ht="15" hidden="false" customHeight="true" outlineLevel="0" collapsed="false">
      <c r="A39" s="55"/>
    </row>
    <row r="40" customFormat="false" ht="15" hidden="false" customHeight="true" outlineLevel="0" collapsed="false">
      <c r="A40" s="55"/>
    </row>
    <row r="41" customFormat="false" ht="15" hidden="false" customHeight="true" outlineLevel="0" collapsed="false">
      <c r="A41" s="55"/>
    </row>
    <row r="42" customFormat="false" ht="15" hidden="false" customHeight="true" outlineLevel="0" collapsed="false">
      <c r="A42" s="55"/>
    </row>
    <row r="43" customFormat="false" ht="15" hidden="false" customHeight="true" outlineLevel="0" collapsed="false">
      <c r="A43" s="55"/>
    </row>
    <row r="44" customFormat="false" ht="15" hidden="false" customHeight="true" outlineLevel="0" collapsed="false">
      <c r="A44" s="55"/>
    </row>
    <row r="45" customFormat="false" ht="15" hidden="false" customHeight="true" outlineLevel="0" collapsed="false">
      <c r="A45" s="55"/>
    </row>
    <row r="46" customFormat="false" ht="15" hidden="false" customHeight="true" outlineLevel="0" collapsed="false">
      <c r="A46" s="55"/>
    </row>
    <row r="47" customFormat="false" ht="15" hidden="false" customHeight="true" outlineLevel="0" collapsed="false">
      <c r="A47" s="55"/>
    </row>
    <row r="48" customFormat="false" ht="15" hidden="false" customHeight="true" outlineLevel="0" collapsed="false">
      <c r="A48" s="55"/>
    </row>
    <row r="49" customFormat="false" ht="15" hidden="false" customHeight="true" outlineLevel="0" collapsed="false">
      <c r="A49" s="55"/>
    </row>
    <row r="50" customFormat="false" ht="15" hidden="false" customHeight="true" outlineLevel="0" collapsed="false">
      <c r="A50" s="55"/>
    </row>
    <row r="51" customFormat="false" ht="15" hidden="false" customHeight="true" outlineLevel="0" collapsed="false">
      <c r="A51" s="55"/>
    </row>
    <row r="52" customFormat="false" ht="15" hidden="false" customHeight="true" outlineLevel="0" collapsed="false">
      <c r="A52" s="55"/>
    </row>
    <row r="53" customFormat="false" ht="15" hidden="false" customHeight="true" outlineLevel="0" collapsed="false">
      <c r="A53" s="55"/>
    </row>
    <row r="54" customFormat="false" ht="15" hidden="false" customHeight="true" outlineLevel="0" collapsed="false">
      <c r="A54" s="55"/>
    </row>
    <row r="55" customFormat="false" ht="15" hidden="false" customHeight="true" outlineLevel="0" collapsed="false">
      <c r="A55" s="55"/>
    </row>
    <row r="56" customFormat="false" ht="15" hidden="false" customHeight="true" outlineLevel="0" collapsed="false">
      <c r="A56" s="55"/>
    </row>
    <row r="57" customFormat="false" ht="15" hidden="false" customHeight="true" outlineLevel="0" collapsed="false">
      <c r="A57" s="55"/>
    </row>
    <row r="58" customFormat="false" ht="15" hidden="false" customHeight="true" outlineLevel="0" collapsed="false">
      <c r="A58" s="55"/>
    </row>
    <row r="59" customFormat="false" ht="15" hidden="false" customHeight="true" outlineLevel="0" collapsed="false">
      <c r="A59" s="55"/>
    </row>
    <row r="60" customFormat="false" ht="15" hidden="false" customHeight="true" outlineLevel="0" collapsed="false">
      <c r="A60" s="55"/>
    </row>
    <row r="61" customFormat="false" ht="15" hidden="false" customHeight="true" outlineLevel="0" collapsed="false">
      <c r="A61" s="55"/>
    </row>
    <row r="62" customFormat="false" ht="15" hidden="false" customHeight="true" outlineLevel="0" collapsed="false">
      <c r="A62" s="55"/>
    </row>
    <row r="63" customFormat="false" ht="15" hidden="false" customHeight="true" outlineLevel="0" collapsed="false">
      <c r="A63" s="55"/>
    </row>
    <row r="64" customFormat="false" ht="15" hidden="false" customHeight="true" outlineLevel="0" collapsed="false">
      <c r="A64" s="55"/>
    </row>
    <row r="65" customFormat="false" ht="15" hidden="false" customHeight="true" outlineLevel="0" collapsed="false">
      <c r="A65" s="55"/>
    </row>
    <row r="66" customFormat="false" ht="15" hidden="false" customHeight="true" outlineLevel="0" collapsed="false">
      <c r="A66" s="55"/>
    </row>
    <row r="67" customFormat="false" ht="15" hidden="false" customHeight="true" outlineLevel="0" collapsed="false">
      <c r="A67" s="55"/>
    </row>
    <row r="68" customFormat="false" ht="15" hidden="false" customHeight="true" outlineLevel="0" collapsed="false">
      <c r="A68" s="55"/>
    </row>
    <row r="69" customFormat="false" ht="15" hidden="false" customHeight="true" outlineLevel="0" collapsed="false">
      <c r="A69" s="55"/>
    </row>
    <row r="70" customFormat="false" ht="15" hidden="false" customHeight="true" outlineLevel="0" collapsed="false">
      <c r="A70" s="55"/>
    </row>
    <row r="71" customFormat="false" ht="15" hidden="false" customHeight="true" outlineLevel="0" collapsed="false">
      <c r="A71" s="55"/>
    </row>
    <row r="72" customFormat="false" ht="15" hidden="false" customHeight="true" outlineLevel="0" collapsed="false">
      <c r="A72" s="55"/>
    </row>
    <row r="73" customFormat="false" ht="15" hidden="false" customHeight="true" outlineLevel="0" collapsed="false">
      <c r="A73" s="55"/>
    </row>
    <row r="74" customFormat="false" ht="15" hidden="false" customHeight="true" outlineLevel="0" collapsed="false">
      <c r="A74" s="55"/>
    </row>
    <row r="75" customFormat="false" ht="15" hidden="false" customHeight="true" outlineLevel="0" collapsed="false">
      <c r="A75" s="55"/>
    </row>
    <row r="76" customFormat="false" ht="15" hidden="false" customHeight="true" outlineLevel="0" collapsed="false">
      <c r="A76" s="55"/>
    </row>
    <row r="77" customFormat="false" ht="15" hidden="false" customHeight="true" outlineLevel="0" collapsed="false">
      <c r="A77" s="55"/>
    </row>
    <row r="78" customFormat="false" ht="15" hidden="false" customHeight="true" outlineLevel="0" collapsed="false">
      <c r="A78" s="55"/>
    </row>
    <row r="79" customFormat="false" ht="15" hidden="false" customHeight="true" outlineLevel="0" collapsed="false">
      <c r="A79" s="55"/>
    </row>
    <row r="80" customFormat="false" ht="15" hidden="false" customHeight="true" outlineLevel="0" collapsed="false">
      <c r="A80" s="55"/>
    </row>
    <row r="81" customFormat="false" ht="15" hidden="false" customHeight="true" outlineLevel="0" collapsed="false">
      <c r="A81" s="55"/>
    </row>
    <row r="82" customFormat="false" ht="15" hidden="false" customHeight="true" outlineLevel="0" collapsed="false">
      <c r="A82" s="55"/>
    </row>
    <row r="83" customFormat="false" ht="15" hidden="false" customHeight="true" outlineLevel="0" collapsed="false">
      <c r="A83" s="55"/>
    </row>
    <row r="84" customFormat="false" ht="15" hidden="false" customHeight="true" outlineLevel="0" collapsed="false">
      <c r="A84" s="55"/>
    </row>
    <row r="85" customFormat="false" ht="15" hidden="false" customHeight="true" outlineLevel="0" collapsed="false">
      <c r="A85" s="55"/>
    </row>
    <row r="86" customFormat="false" ht="15" hidden="false" customHeight="true" outlineLevel="0" collapsed="false">
      <c r="A86" s="55"/>
    </row>
    <row r="87" customFormat="false" ht="15" hidden="false" customHeight="true" outlineLevel="0" collapsed="false">
      <c r="A87" s="55"/>
    </row>
    <row r="88" customFormat="false" ht="15" hidden="false" customHeight="true" outlineLevel="0" collapsed="false">
      <c r="A88" s="55"/>
    </row>
    <row r="89" customFormat="false" ht="15" hidden="false" customHeight="true" outlineLevel="0" collapsed="false">
      <c r="A89" s="55"/>
    </row>
    <row r="90" customFormat="false" ht="15" hidden="false" customHeight="true" outlineLevel="0" collapsed="false">
      <c r="A90" s="55"/>
    </row>
    <row r="91" customFormat="false" ht="15" hidden="false" customHeight="true" outlineLevel="0" collapsed="false">
      <c r="A91" s="55"/>
    </row>
    <row r="92" customFormat="false" ht="15" hidden="false" customHeight="true" outlineLevel="0" collapsed="false">
      <c r="A92" s="55"/>
    </row>
    <row r="93" customFormat="false" ht="15" hidden="false" customHeight="true" outlineLevel="0" collapsed="false">
      <c r="A93" s="55"/>
    </row>
    <row r="94" customFormat="false" ht="15" hidden="false" customHeight="true" outlineLevel="0" collapsed="false">
      <c r="A94" s="55"/>
    </row>
    <row r="95" customFormat="false" ht="15" hidden="false" customHeight="true" outlineLevel="0" collapsed="false">
      <c r="A95" s="55"/>
    </row>
    <row r="96" customFormat="false" ht="15" hidden="false" customHeight="true" outlineLevel="0" collapsed="false">
      <c r="A96" s="55"/>
    </row>
    <row r="97" customFormat="false" ht="15" hidden="false" customHeight="true" outlineLevel="0" collapsed="false">
      <c r="A97" s="55"/>
    </row>
    <row r="98" customFormat="false" ht="15" hidden="false" customHeight="true" outlineLevel="0" collapsed="false">
      <c r="A98" s="55"/>
    </row>
    <row r="99" customFormat="false" ht="15" hidden="false" customHeight="true" outlineLevel="0" collapsed="false">
      <c r="A99" s="55"/>
    </row>
    <row r="100" customFormat="false" ht="15" hidden="false" customHeight="true" outlineLevel="0" collapsed="false">
      <c r="A100" s="55"/>
    </row>
    <row r="101" customFormat="false" ht="15" hidden="false" customHeight="true" outlineLevel="0" collapsed="false">
      <c r="A101" s="55"/>
    </row>
    <row r="102" customFormat="false" ht="15" hidden="false" customHeight="true" outlineLevel="0" collapsed="false">
      <c r="A102" s="55"/>
    </row>
    <row r="103" customFormat="false" ht="15" hidden="false" customHeight="true" outlineLevel="0" collapsed="false">
      <c r="A103" s="55"/>
    </row>
    <row r="104" customFormat="false" ht="15" hidden="false" customHeight="true" outlineLevel="0" collapsed="false">
      <c r="A104" s="55"/>
    </row>
    <row r="105" customFormat="false" ht="15" hidden="false" customHeight="true" outlineLevel="0" collapsed="false">
      <c r="A105" s="55"/>
    </row>
    <row r="106" customFormat="false" ht="15" hidden="false" customHeight="true" outlineLevel="0" collapsed="false">
      <c r="A106" s="55"/>
    </row>
    <row r="107" customFormat="false" ht="15" hidden="false" customHeight="true" outlineLevel="0" collapsed="false">
      <c r="A107" s="55"/>
    </row>
    <row r="108" customFormat="false" ht="15" hidden="false" customHeight="true" outlineLevel="0" collapsed="false">
      <c r="A108" s="55"/>
    </row>
    <row r="109" customFormat="false" ht="15" hidden="false" customHeight="true" outlineLevel="0" collapsed="false">
      <c r="A109" s="55"/>
    </row>
    <row r="110" customFormat="false" ht="15" hidden="false" customHeight="true" outlineLevel="0" collapsed="false">
      <c r="A110" s="55"/>
    </row>
    <row r="111" customFormat="false" ht="15" hidden="false" customHeight="true" outlineLevel="0" collapsed="false">
      <c r="A111" s="55"/>
    </row>
    <row r="112" customFormat="false" ht="15" hidden="false" customHeight="true" outlineLevel="0" collapsed="false">
      <c r="A112" s="55"/>
    </row>
    <row r="113" customFormat="false" ht="15" hidden="false" customHeight="true" outlineLevel="0" collapsed="false">
      <c r="A113" s="55"/>
    </row>
    <row r="114" customFormat="false" ht="15" hidden="false" customHeight="true" outlineLevel="0" collapsed="false">
      <c r="A114" s="55"/>
    </row>
    <row r="115" customFormat="false" ht="15" hidden="false" customHeight="true" outlineLevel="0" collapsed="false">
      <c r="A115" s="55"/>
    </row>
    <row r="116" customFormat="false" ht="15" hidden="false" customHeight="true" outlineLevel="0" collapsed="false">
      <c r="A116" s="55"/>
    </row>
    <row r="117" customFormat="false" ht="15" hidden="false" customHeight="true" outlineLevel="0" collapsed="false">
      <c r="A117" s="55"/>
    </row>
    <row r="118" customFormat="false" ht="15" hidden="false" customHeight="true" outlineLevel="0" collapsed="false">
      <c r="A118" s="55"/>
    </row>
    <row r="119" customFormat="false" ht="15" hidden="false" customHeight="true" outlineLevel="0" collapsed="false">
      <c r="A119" s="55"/>
    </row>
    <row r="120" customFormat="false" ht="15" hidden="false" customHeight="true" outlineLevel="0" collapsed="false">
      <c r="A120" s="55"/>
    </row>
    <row r="121" customFormat="false" ht="15" hidden="false" customHeight="true" outlineLevel="0" collapsed="false">
      <c r="A121" s="55"/>
    </row>
    <row r="122" customFormat="false" ht="15" hidden="false" customHeight="true" outlineLevel="0" collapsed="false">
      <c r="A122" s="55"/>
    </row>
    <row r="123" customFormat="false" ht="15" hidden="false" customHeight="true" outlineLevel="0" collapsed="false">
      <c r="A123" s="55"/>
    </row>
    <row r="124" customFormat="false" ht="15" hidden="false" customHeight="true" outlineLevel="0" collapsed="false">
      <c r="A124" s="55"/>
    </row>
    <row r="125" customFormat="false" ht="15" hidden="false" customHeight="true" outlineLevel="0" collapsed="false">
      <c r="A125" s="55"/>
    </row>
    <row r="126" customFormat="false" ht="15" hidden="false" customHeight="true" outlineLevel="0" collapsed="false">
      <c r="A126" s="55"/>
    </row>
    <row r="127" customFormat="false" ht="15" hidden="false" customHeight="true" outlineLevel="0" collapsed="false">
      <c r="A127" s="55"/>
    </row>
    <row r="128" customFormat="false" ht="15" hidden="false" customHeight="true" outlineLevel="0" collapsed="false">
      <c r="A128" s="55"/>
    </row>
    <row r="129" customFormat="false" ht="15" hidden="false" customHeight="true" outlineLevel="0" collapsed="false">
      <c r="A129" s="55"/>
    </row>
    <row r="130" customFormat="false" ht="15" hidden="false" customHeight="true" outlineLevel="0" collapsed="false">
      <c r="A130" s="55"/>
    </row>
    <row r="131" customFormat="false" ht="15" hidden="false" customHeight="true" outlineLevel="0" collapsed="false">
      <c r="A131" s="55"/>
    </row>
    <row r="132" customFormat="false" ht="15" hidden="false" customHeight="true" outlineLevel="0" collapsed="false">
      <c r="A132" s="55"/>
    </row>
    <row r="133" customFormat="false" ht="15" hidden="false" customHeight="true" outlineLevel="0" collapsed="false">
      <c r="A133" s="55"/>
    </row>
    <row r="134" customFormat="false" ht="15" hidden="false" customHeight="true" outlineLevel="0" collapsed="false">
      <c r="A134" s="55"/>
    </row>
    <row r="135" customFormat="false" ht="15" hidden="false" customHeight="true" outlineLevel="0" collapsed="false">
      <c r="A135" s="55"/>
    </row>
    <row r="136" customFormat="false" ht="15" hidden="false" customHeight="true" outlineLevel="0" collapsed="false">
      <c r="A136" s="55"/>
    </row>
    <row r="137" customFormat="false" ht="15" hidden="false" customHeight="true" outlineLevel="0" collapsed="false">
      <c r="A137" s="55"/>
    </row>
    <row r="138" customFormat="false" ht="15" hidden="false" customHeight="true" outlineLevel="0" collapsed="false">
      <c r="A138" s="55"/>
    </row>
    <row r="139" customFormat="false" ht="15" hidden="false" customHeight="true" outlineLevel="0" collapsed="false">
      <c r="A139" s="55"/>
    </row>
    <row r="140" customFormat="false" ht="15" hidden="false" customHeight="true" outlineLevel="0" collapsed="false">
      <c r="A140" s="55"/>
    </row>
    <row r="141" customFormat="false" ht="15" hidden="false" customHeight="true" outlineLevel="0" collapsed="false">
      <c r="A141" s="55"/>
    </row>
    <row r="142" customFormat="false" ht="15" hidden="false" customHeight="true" outlineLevel="0" collapsed="false">
      <c r="A142" s="55"/>
    </row>
    <row r="143" customFormat="false" ht="15" hidden="false" customHeight="true" outlineLevel="0" collapsed="false">
      <c r="A143" s="55"/>
    </row>
    <row r="144" customFormat="false" ht="15" hidden="false" customHeight="true" outlineLevel="0" collapsed="false">
      <c r="A144" s="55"/>
    </row>
    <row r="145" customFormat="false" ht="15" hidden="false" customHeight="true" outlineLevel="0" collapsed="false">
      <c r="A145" s="55"/>
    </row>
    <row r="146" customFormat="false" ht="15" hidden="false" customHeight="true" outlineLevel="0" collapsed="false">
      <c r="A146" s="55"/>
    </row>
    <row r="147" customFormat="false" ht="15" hidden="false" customHeight="true" outlineLevel="0" collapsed="false">
      <c r="A147" s="55"/>
    </row>
    <row r="148" customFormat="false" ht="15" hidden="false" customHeight="true" outlineLevel="0" collapsed="false">
      <c r="A148" s="55"/>
    </row>
    <row r="149" customFormat="false" ht="15" hidden="false" customHeight="true" outlineLevel="0" collapsed="false">
      <c r="A149" s="55"/>
    </row>
    <row r="150" customFormat="false" ht="15" hidden="false" customHeight="true" outlineLevel="0" collapsed="false">
      <c r="A150" s="55"/>
    </row>
    <row r="151" customFormat="false" ht="15" hidden="false" customHeight="true" outlineLevel="0" collapsed="false">
      <c r="A151" s="55"/>
    </row>
    <row r="152" customFormat="false" ht="15" hidden="false" customHeight="true" outlineLevel="0" collapsed="false">
      <c r="A152" s="55"/>
    </row>
    <row r="153" customFormat="false" ht="15" hidden="false" customHeight="true" outlineLevel="0" collapsed="false">
      <c r="A153" s="55"/>
    </row>
    <row r="154" customFormat="false" ht="15" hidden="false" customHeight="true" outlineLevel="0" collapsed="false">
      <c r="A154" s="55"/>
    </row>
    <row r="155" customFormat="false" ht="15" hidden="false" customHeight="true" outlineLevel="0" collapsed="false">
      <c r="A155" s="55"/>
    </row>
    <row r="156" customFormat="false" ht="15" hidden="false" customHeight="true" outlineLevel="0" collapsed="false">
      <c r="A156" s="55"/>
    </row>
    <row r="157" customFormat="false" ht="15" hidden="false" customHeight="true" outlineLevel="0" collapsed="false">
      <c r="A157" s="55"/>
    </row>
    <row r="158" customFormat="false" ht="15" hidden="false" customHeight="true" outlineLevel="0" collapsed="false">
      <c r="A158" s="55"/>
    </row>
    <row r="159" customFormat="false" ht="15" hidden="false" customHeight="true" outlineLevel="0" collapsed="false">
      <c r="A159" s="55"/>
    </row>
    <row r="160" customFormat="false" ht="15" hidden="false" customHeight="true" outlineLevel="0" collapsed="false">
      <c r="A160" s="55"/>
    </row>
    <row r="161" customFormat="false" ht="15" hidden="false" customHeight="true" outlineLevel="0" collapsed="false">
      <c r="A161" s="55"/>
    </row>
    <row r="162" customFormat="false" ht="15" hidden="false" customHeight="true" outlineLevel="0" collapsed="false">
      <c r="A162" s="55"/>
    </row>
    <row r="163" customFormat="false" ht="15" hidden="false" customHeight="true" outlineLevel="0" collapsed="false">
      <c r="A163" s="55"/>
    </row>
    <row r="164" customFormat="false" ht="15" hidden="false" customHeight="true" outlineLevel="0" collapsed="false">
      <c r="A164" s="55"/>
    </row>
    <row r="165" customFormat="false" ht="15" hidden="false" customHeight="true" outlineLevel="0" collapsed="false">
      <c r="A165" s="55"/>
    </row>
    <row r="166" customFormat="false" ht="15" hidden="false" customHeight="true" outlineLevel="0" collapsed="false">
      <c r="A166" s="55"/>
    </row>
    <row r="167" customFormat="false" ht="15" hidden="false" customHeight="true" outlineLevel="0" collapsed="false">
      <c r="A167" s="55"/>
    </row>
    <row r="168" customFormat="false" ht="15" hidden="false" customHeight="true" outlineLevel="0" collapsed="false">
      <c r="A168" s="55"/>
    </row>
    <row r="169" customFormat="false" ht="15" hidden="false" customHeight="true" outlineLevel="0" collapsed="false">
      <c r="A169" s="55"/>
    </row>
    <row r="170" customFormat="false" ht="15" hidden="false" customHeight="true" outlineLevel="0" collapsed="false">
      <c r="A170" s="55"/>
    </row>
    <row r="171" customFormat="false" ht="15" hidden="false" customHeight="true" outlineLevel="0" collapsed="false">
      <c r="A171" s="55"/>
    </row>
    <row r="172" customFormat="false" ht="15" hidden="false" customHeight="true" outlineLevel="0" collapsed="false">
      <c r="A172" s="55"/>
    </row>
    <row r="173" customFormat="false" ht="15" hidden="false" customHeight="true" outlineLevel="0" collapsed="false">
      <c r="A173" s="55"/>
    </row>
    <row r="174" customFormat="false" ht="15" hidden="false" customHeight="true" outlineLevel="0" collapsed="false">
      <c r="A174" s="55"/>
    </row>
    <row r="175" customFormat="false" ht="15" hidden="false" customHeight="true" outlineLevel="0" collapsed="false">
      <c r="A175" s="55"/>
    </row>
    <row r="176" customFormat="false" ht="15" hidden="false" customHeight="true" outlineLevel="0" collapsed="false">
      <c r="A176" s="55"/>
    </row>
    <row r="177" customFormat="false" ht="15" hidden="false" customHeight="true" outlineLevel="0" collapsed="false">
      <c r="A177" s="55"/>
    </row>
    <row r="178" customFormat="false" ht="15" hidden="false" customHeight="true" outlineLevel="0" collapsed="false">
      <c r="A178" s="55"/>
    </row>
    <row r="179" customFormat="false" ht="15" hidden="false" customHeight="true" outlineLevel="0" collapsed="false">
      <c r="A179" s="55"/>
    </row>
    <row r="180" customFormat="false" ht="15" hidden="false" customHeight="true" outlineLevel="0" collapsed="false">
      <c r="A180" s="55"/>
    </row>
    <row r="181" customFormat="false" ht="15" hidden="false" customHeight="true" outlineLevel="0" collapsed="false">
      <c r="A181" s="55"/>
    </row>
    <row r="182" customFormat="false" ht="15" hidden="false" customHeight="true" outlineLevel="0" collapsed="false">
      <c r="A182" s="55"/>
    </row>
    <row r="183" customFormat="false" ht="15" hidden="false" customHeight="true" outlineLevel="0" collapsed="false">
      <c r="A183" s="55"/>
    </row>
    <row r="184" customFormat="false" ht="15" hidden="false" customHeight="true" outlineLevel="0" collapsed="false">
      <c r="A184" s="55"/>
    </row>
    <row r="185" customFormat="false" ht="15" hidden="false" customHeight="true" outlineLevel="0" collapsed="false">
      <c r="A185" s="55"/>
    </row>
    <row r="186" customFormat="false" ht="15" hidden="false" customHeight="true" outlineLevel="0" collapsed="false">
      <c r="A186" s="55"/>
    </row>
    <row r="187" customFormat="false" ht="15" hidden="false" customHeight="true" outlineLevel="0" collapsed="false">
      <c r="A187" s="55"/>
    </row>
    <row r="188" customFormat="false" ht="15" hidden="false" customHeight="true" outlineLevel="0" collapsed="false">
      <c r="A188" s="55"/>
    </row>
    <row r="189" customFormat="false" ht="15" hidden="false" customHeight="true" outlineLevel="0" collapsed="false">
      <c r="A189" s="55"/>
    </row>
    <row r="190" customFormat="false" ht="15" hidden="false" customHeight="true" outlineLevel="0" collapsed="false">
      <c r="A190" s="55"/>
    </row>
    <row r="191" customFormat="false" ht="15" hidden="false" customHeight="true" outlineLevel="0" collapsed="false">
      <c r="A191" s="55"/>
    </row>
    <row r="192" customFormat="false" ht="15" hidden="false" customHeight="true" outlineLevel="0" collapsed="false">
      <c r="A192" s="55"/>
    </row>
    <row r="193" customFormat="false" ht="15" hidden="false" customHeight="true" outlineLevel="0" collapsed="false">
      <c r="A193" s="55"/>
    </row>
    <row r="194" customFormat="false" ht="15" hidden="false" customHeight="true" outlineLevel="0" collapsed="false">
      <c r="A194" s="55"/>
    </row>
    <row r="195" customFormat="false" ht="15" hidden="false" customHeight="true" outlineLevel="0" collapsed="false">
      <c r="A195" s="55"/>
    </row>
    <row r="196" customFormat="false" ht="15" hidden="false" customHeight="true" outlineLevel="0" collapsed="false">
      <c r="A196" s="55"/>
    </row>
    <row r="197" customFormat="false" ht="15" hidden="false" customHeight="true" outlineLevel="0" collapsed="false">
      <c r="A197" s="55"/>
    </row>
    <row r="198" customFormat="false" ht="15" hidden="false" customHeight="true" outlineLevel="0" collapsed="false">
      <c r="A198" s="55"/>
    </row>
    <row r="199" customFormat="false" ht="15" hidden="false" customHeight="true" outlineLevel="0" collapsed="false">
      <c r="A199" s="55"/>
    </row>
    <row r="200" customFormat="false" ht="15" hidden="false" customHeight="true" outlineLevel="0" collapsed="false">
      <c r="A200" s="55"/>
    </row>
    <row r="201" customFormat="false" ht="15" hidden="false" customHeight="true" outlineLevel="0" collapsed="false">
      <c r="A201" s="5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C5A8A"/>
    <pageSetUpPr fitToPage="false"/>
  </sheetPr>
  <dimension ref="A1:N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2" activeCellId="0" sqref="E2"/>
    </sheetView>
  </sheetViews>
  <sheetFormatPr defaultColWidth="8.71484375" defaultRowHeight="15" zeroHeight="false" outlineLevelRow="0" outlineLevelCol="0"/>
  <cols>
    <col collapsed="false" customWidth="true" hidden="false" outlineLevel="0" max="1" min="1" style="0" width="20.29"/>
    <col collapsed="false" customWidth="true" hidden="false" outlineLevel="0" max="2" min="2" style="0" width="12"/>
    <col collapsed="false" customWidth="true" hidden="false" outlineLevel="0" max="4" min="3" style="0" width="22"/>
    <col collapsed="false" customWidth="true" hidden="false" outlineLevel="0" max="5" min="5" style="0" width="16"/>
    <col collapsed="false" customWidth="true" hidden="false" outlineLevel="0" max="6" min="6" style="0" width="12"/>
    <col collapsed="false" customWidth="true" hidden="false" outlineLevel="0" max="7" min="7" style="0" width="18"/>
    <col collapsed="false" customWidth="true" hidden="false" outlineLevel="0" max="8" min="8" style="0" width="22"/>
    <col collapsed="false" customWidth="true" hidden="false" outlineLevel="0" max="9" min="9" style="0" width="30"/>
    <col collapsed="false" customWidth="true" hidden="false" outlineLevel="0" max="10" min="10" style="0" width="14"/>
    <col collapsed="false" customWidth="true" hidden="false" outlineLevel="0" max="11" min="11" style="0" width="12"/>
    <col collapsed="false" customWidth="true" hidden="false" outlineLevel="0" max="12" min="12" style="0" width="18"/>
    <col collapsed="false" customWidth="true" hidden="false" outlineLevel="0" max="13" min="13" style="0" width="22"/>
    <col collapsed="false" customWidth="true" hidden="false" outlineLevel="0" max="14" min="14" style="0" width="20"/>
  </cols>
  <sheetData>
    <row r="1" customFormat="false" ht="30" hidden="false" customHeight="true" outlineLevel="0" collapsed="false">
      <c r="A1" s="86" t="s">
        <v>306</v>
      </c>
      <c r="B1" s="86" t="s">
        <v>2899</v>
      </c>
      <c r="C1" s="86" t="s">
        <v>2900</v>
      </c>
      <c r="D1" s="86" t="s">
        <v>2901</v>
      </c>
      <c r="E1" s="86" t="s">
        <v>2902</v>
      </c>
      <c r="F1" s="86" t="s">
        <v>2903</v>
      </c>
      <c r="G1" s="86" t="s">
        <v>2904</v>
      </c>
      <c r="H1" s="86" t="s">
        <v>2905</v>
      </c>
      <c r="I1" s="86" t="s">
        <v>2897</v>
      </c>
      <c r="J1" s="86" t="s">
        <v>2906</v>
      </c>
      <c r="K1" s="86" t="s">
        <v>2907</v>
      </c>
      <c r="L1" s="86" t="s">
        <v>2908</v>
      </c>
      <c r="M1" s="86" t="s">
        <v>2909</v>
      </c>
      <c r="N1" s="86" t="s">
        <v>2910</v>
      </c>
    </row>
    <row r="2" customFormat="false" ht="15" hidden="false" customHeight="true" outlineLevel="0" collapsed="false">
      <c r="A2" s="117" t="s">
        <v>2834</v>
      </c>
      <c r="B2" s="118" t="n">
        <v>45875</v>
      </c>
      <c r="C2" s="119" t="s">
        <v>1143</v>
      </c>
      <c r="D2" s="116"/>
      <c r="E2" s="117" t="s">
        <v>2911</v>
      </c>
      <c r="F2" s="116"/>
      <c r="G2" s="119" t="s">
        <v>352</v>
      </c>
      <c r="H2" s="119" t="s">
        <v>1102</v>
      </c>
      <c r="J2" s="119" t="s">
        <v>1100</v>
      </c>
      <c r="K2" s="116"/>
      <c r="L2" s="111" t="s">
        <v>357</v>
      </c>
      <c r="M2" s="111" t="s">
        <v>162</v>
      </c>
      <c r="N2" s="111" t="s">
        <v>64</v>
      </c>
    </row>
    <row r="3" customFormat="false" ht="15" hidden="false" customHeight="true" outlineLevel="0" collapsed="false">
      <c r="A3" s="117" t="s">
        <v>2841</v>
      </c>
      <c r="B3" s="118" t="n">
        <v>46112</v>
      </c>
      <c r="C3" s="119" t="s">
        <v>1146</v>
      </c>
      <c r="H3" s="119" t="s">
        <v>1093</v>
      </c>
      <c r="I3" s="119" t="s">
        <v>2912</v>
      </c>
      <c r="J3" s="119" t="s">
        <v>353</v>
      </c>
      <c r="K3" s="118" t="n">
        <v>46112</v>
      </c>
      <c r="L3" s="87"/>
      <c r="M3" s="111" t="s">
        <v>64</v>
      </c>
      <c r="N3" s="111" t="s">
        <v>64</v>
      </c>
    </row>
    <row r="4" customFormat="false" ht="15" hidden="false" customHeight="true" outlineLevel="0" collapsed="false">
      <c r="A4" s="117" t="s">
        <v>2848</v>
      </c>
      <c r="B4" s="118" t="n">
        <v>46154</v>
      </c>
      <c r="H4" s="119" t="s">
        <v>1093</v>
      </c>
      <c r="I4" s="119" t="s">
        <v>2913</v>
      </c>
      <c r="J4" s="119" t="s">
        <v>353</v>
      </c>
      <c r="K4" s="118" t="n">
        <v>46154</v>
      </c>
      <c r="L4" s="87"/>
      <c r="M4" s="111" t="s">
        <v>64</v>
      </c>
      <c r="N4" s="111" t="s">
        <v>64</v>
      </c>
    </row>
    <row r="5" customFormat="false" ht="15" hidden="false" customHeight="true" outlineLevel="0" collapsed="false">
      <c r="A5" s="117" t="s">
        <v>2848</v>
      </c>
      <c r="B5" s="118" t="n">
        <v>46157</v>
      </c>
      <c r="H5" s="119" t="s">
        <v>1102</v>
      </c>
      <c r="I5" s="119" t="s">
        <v>2914</v>
      </c>
      <c r="J5" s="119" t="s">
        <v>1100</v>
      </c>
      <c r="L5" s="87"/>
      <c r="M5" s="111" t="s">
        <v>64</v>
      </c>
      <c r="N5" s="111" t="s">
        <v>64</v>
      </c>
    </row>
    <row r="6" customFormat="false" ht="15" hidden="false" customHeight="true" outlineLevel="0" collapsed="false">
      <c r="A6" s="55"/>
      <c r="L6" s="87"/>
      <c r="M6" s="87"/>
      <c r="N6" s="87"/>
    </row>
    <row r="7" customFormat="false" ht="15" hidden="false" customHeight="true" outlineLevel="0" collapsed="false">
      <c r="A7" s="55"/>
      <c r="L7" s="87"/>
      <c r="M7" s="87"/>
      <c r="N7" s="87"/>
    </row>
    <row r="8" customFormat="false" ht="15" hidden="false" customHeight="true" outlineLevel="0" collapsed="false">
      <c r="A8" s="55"/>
      <c r="L8" s="87"/>
      <c r="M8" s="87"/>
      <c r="N8" s="87"/>
    </row>
    <row r="9" customFormat="false" ht="15" hidden="false" customHeight="true" outlineLevel="0" collapsed="false">
      <c r="A9" s="55"/>
      <c r="L9" s="87"/>
      <c r="M9" s="87"/>
      <c r="N9" s="87"/>
    </row>
    <row r="10" customFormat="false" ht="15" hidden="false" customHeight="true" outlineLevel="0" collapsed="false">
      <c r="A10" s="55"/>
      <c r="L10" s="87"/>
      <c r="M10" s="87"/>
      <c r="N10" s="87"/>
    </row>
    <row r="11" customFormat="false" ht="15" hidden="false" customHeight="true" outlineLevel="0" collapsed="false">
      <c r="A11" s="55"/>
      <c r="L11" s="87"/>
      <c r="M11" s="87"/>
      <c r="N11" s="87"/>
    </row>
    <row r="12" customFormat="false" ht="15" hidden="false" customHeight="true" outlineLevel="0" collapsed="false">
      <c r="A12" s="55"/>
      <c r="L12" s="87"/>
      <c r="M12" s="87"/>
      <c r="N12" s="87"/>
    </row>
    <row r="13" customFormat="false" ht="15" hidden="false" customHeight="true" outlineLevel="0" collapsed="false">
      <c r="A13" s="55"/>
      <c r="L13" s="87"/>
      <c r="M13" s="87"/>
      <c r="N13" s="87"/>
    </row>
    <row r="14" customFormat="false" ht="15" hidden="false" customHeight="true" outlineLevel="0" collapsed="false">
      <c r="A14" s="55"/>
      <c r="L14" s="87"/>
      <c r="M14" s="87"/>
      <c r="N14" s="87"/>
    </row>
    <row r="15" customFormat="false" ht="15" hidden="false" customHeight="true" outlineLevel="0" collapsed="false">
      <c r="A15" s="55"/>
      <c r="L15" s="87"/>
      <c r="M15" s="87"/>
      <c r="N15" s="87"/>
    </row>
    <row r="16" customFormat="false" ht="15" hidden="false" customHeight="true" outlineLevel="0" collapsed="false">
      <c r="A16" s="55"/>
      <c r="L16" s="87"/>
      <c r="M16" s="87"/>
      <c r="N16" s="87"/>
    </row>
    <row r="17" customFormat="false" ht="15" hidden="false" customHeight="true" outlineLevel="0" collapsed="false">
      <c r="A17" s="55"/>
      <c r="L17" s="87"/>
      <c r="M17" s="87"/>
      <c r="N17" s="87"/>
    </row>
    <row r="18" customFormat="false" ht="15" hidden="false" customHeight="true" outlineLevel="0" collapsed="false">
      <c r="A18" s="55"/>
      <c r="L18" s="87"/>
      <c r="M18" s="87"/>
      <c r="N18" s="87"/>
    </row>
    <row r="19" customFormat="false" ht="15" hidden="false" customHeight="true" outlineLevel="0" collapsed="false">
      <c r="A19" s="55"/>
      <c r="L19" s="87"/>
      <c r="M19" s="87"/>
      <c r="N19" s="87"/>
    </row>
    <row r="20" customFormat="false" ht="15" hidden="false" customHeight="true" outlineLevel="0" collapsed="false">
      <c r="A20" s="55"/>
      <c r="L20" s="87"/>
      <c r="M20" s="87"/>
      <c r="N20" s="87"/>
    </row>
    <row r="21" customFormat="false" ht="15" hidden="false" customHeight="true" outlineLevel="0" collapsed="false">
      <c r="A21" s="55"/>
      <c r="L21" s="87"/>
      <c r="M21" s="87"/>
      <c r="N21" s="87"/>
    </row>
    <row r="22" customFormat="false" ht="15" hidden="false" customHeight="true" outlineLevel="0" collapsed="false">
      <c r="A22" s="55"/>
      <c r="L22" s="87"/>
      <c r="M22" s="87"/>
      <c r="N22" s="87"/>
    </row>
    <row r="23" customFormat="false" ht="15" hidden="false" customHeight="true" outlineLevel="0" collapsed="false">
      <c r="A23" s="55"/>
      <c r="L23" s="87"/>
      <c r="M23" s="87"/>
      <c r="N23" s="87"/>
    </row>
    <row r="24" customFormat="false" ht="15" hidden="false" customHeight="true" outlineLevel="0" collapsed="false">
      <c r="A24" s="55"/>
      <c r="L24" s="87"/>
      <c r="M24" s="87"/>
      <c r="N24" s="87"/>
    </row>
    <row r="25" customFormat="false" ht="15" hidden="false" customHeight="true" outlineLevel="0" collapsed="false">
      <c r="A25" s="55"/>
      <c r="L25" s="87"/>
      <c r="M25" s="87"/>
      <c r="N25" s="87"/>
    </row>
    <row r="26" customFormat="false" ht="15" hidden="false" customHeight="true" outlineLevel="0" collapsed="false">
      <c r="A26" s="55"/>
      <c r="L26" s="87"/>
      <c r="M26" s="87"/>
      <c r="N26" s="87"/>
    </row>
    <row r="27" customFormat="false" ht="15" hidden="false" customHeight="true" outlineLevel="0" collapsed="false">
      <c r="A27" s="55"/>
      <c r="L27" s="87"/>
      <c r="M27" s="87"/>
      <c r="N27" s="87"/>
    </row>
    <row r="28" customFormat="false" ht="15" hidden="false" customHeight="true" outlineLevel="0" collapsed="false">
      <c r="A28" s="55"/>
      <c r="L28" s="87"/>
      <c r="M28" s="87"/>
      <c r="N28" s="87"/>
    </row>
    <row r="29" customFormat="false" ht="15" hidden="false" customHeight="true" outlineLevel="0" collapsed="false">
      <c r="A29" s="55"/>
      <c r="L29" s="87"/>
      <c r="M29" s="87"/>
      <c r="N29" s="87"/>
    </row>
    <row r="30" customFormat="false" ht="15" hidden="false" customHeight="true" outlineLevel="0" collapsed="false">
      <c r="A30" s="55"/>
      <c r="L30" s="87"/>
      <c r="M30" s="87"/>
      <c r="N30" s="87"/>
    </row>
    <row r="31" customFormat="false" ht="15" hidden="false" customHeight="true" outlineLevel="0" collapsed="false">
      <c r="A31" s="55"/>
      <c r="L31" s="87"/>
      <c r="M31" s="87"/>
      <c r="N31" s="87"/>
    </row>
    <row r="32" customFormat="false" ht="15" hidden="false" customHeight="true" outlineLevel="0" collapsed="false">
      <c r="A32" s="55"/>
      <c r="L32" s="87"/>
      <c r="M32" s="87"/>
      <c r="N32" s="87"/>
    </row>
    <row r="33" customFormat="false" ht="15" hidden="false" customHeight="true" outlineLevel="0" collapsed="false">
      <c r="A33" s="55"/>
      <c r="L33" s="87"/>
      <c r="M33" s="87"/>
      <c r="N33" s="87"/>
    </row>
    <row r="34" customFormat="false" ht="15" hidden="false" customHeight="true" outlineLevel="0" collapsed="false">
      <c r="A34" s="55"/>
      <c r="L34" s="87"/>
      <c r="M34" s="87"/>
      <c r="N34" s="87"/>
    </row>
    <row r="35" customFormat="false" ht="15" hidden="false" customHeight="true" outlineLevel="0" collapsed="false">
      <c r="A35" s="55"/>
      <c r="L35" s="87"/>
      <c r="M35" s="87"/>
      <c r="N35" s="87"/>
    </row>
    <row r="36" customFormat="false" ht="15" hidden="false" customHeight="true" outlineLevel="0" collapsed="false">
      <c r="A36" s="55"/>
      <c r="L36" s="87"/>
      <c r="M36" s="87"/>
      <c r="N36" s="87"/>
    </row>
    <row r="37" customFormat="false" ht="15" hidden="false" customHeight="true" outlineLevel="0" collapsed="false">
      <c r="A37" s="55"/>
      <c r="L37" s="87"/>
      <c r="M37" s="87"/>
      <c r="N37" s="87"/>
    </row>
    <row r="38" customFormat="false" ht="15" hidden="false" customHeight="true" outlineLevel="0" collapsed="false">
      <c r="A38" s="55"/>
      <c r="L38" s="87"/>
      <c r="M38" s="87"/>
      <c r="N38" s="87"/>
    </row>
    <row r="39" customFormat="false" ht="15" hidden="false" customHeight="true" outlineLevel="0" collapsed="false">
      <c r="A39" s="55"/>
      <c r="L39" s="87"/>
      <c r="M39" s="87"/>
      <c r="N39" s="87"/>
    </row>
    <row r="40" customFormat="false" ht="15" hidden="false" customHeight="true" outlineLevel="0" collapsed="false">
      <c r="A40" s="55"/>
      <c r="L40" s="87"/>
      <c r="M40" s="87"/>
      <c r="N40" s="87"/>
    </row>
    <row r="41" customFormat="false" ht="15" hidden="false" customHeight="true" outlineLevel="0" collapsed="false">
      <c r="A41" s="55"/>
      <c r="L41" s="87"/>
      <c r="M41" s="87"/>
      <c r="N41" s="87"/>
    </row>
    <row r="42" customFormat="false" ht="15" hidden="false" customHeight="true" outlineLevel="0" collapsed="false">
      <c r="A42" s="55"/>
      <c r="L42" s="87"/>
      <c r="M42" s="87"/>
      <c r="N42" s="87"/>
    </row>
    <row r="43" customFormat="false" ht="15" hidden="false" customHeight="true" outlineLevel="0" collapsed="false">
      <c r="A43" s="55"/>
      <c r="L43" s="87"/>
      <c r="M43" s="87"/>
      <c r="N43" s="87"/>
    </row>
    <row r="44" customFormat="false" ht="15" hidden="false" customHeight="true" outlineLevel="0" collapsed="false">
      <c r="A44" s="55"/>
      <c r="L44" s="87"/>
      <c r="M44" s="87"/>
      <c r="N44" s="87"/>
    </row>
    <row r="45" customFormat="false" ht="15" hidden="false" customHeight="true" outlineLevel="0" collapsed="false">
      <c r="A45" s="55"/>
      <c r="L45" s="87"/>
      <c r="M45" s="87"/>
      <c r="N45" s="87"/>
    </row>
    <row r="46" customFormat="false" ht="15" hidden="false" customHeight="true" outlineLevel="0" collapsed="false">
      <c r="A46" s="55"/>
      <c r="L46" s="87"/>
      <c r="M46" s="87"/>
      <c r="N46" s="87"/>
    </row>
    <row r="47" customFormat="false" ht="15" hidden="false" customHeight="true" outlineLevel="0" collapsed="false">
      <c r="A47" s="55"/>
      <c r="L47" s="87"/>
      <c r="M47" s="87"/>
      <c r="N47" s="87"/>
    </row>
    <row r="48" customFormat="false" ht="15" hidden="false" customHeight="true" outlineLevel="0" collapsed="false">
      <c r="A48" s="55"/>
      <c r="L48" s="87"/>
      <c r="M48" s="87"/>
      <c r="N48" s="87"/>
    </row>
    <row r="49" customFormat="false" ht="15" hidden="false" customHeight="true" outlineLevel="0" collapsed="false">
      <c r="A49" s="55"/>
      <c r="L49" s="87"/>
      <c r="M49" s="87"/>
      <c r="N49" s="87"/>
    </row>
    <row r="50" customFormat="false" ht="15" hidden="false" customHeight="true" outlineLevel="0" collapsed="false">
      <c r="A50" s="55"/>
      <c r="L50" s="87"/>
      <c r="M50" s="87"/>
      <c r="N50" s="87"/>
    </row>
    <row r="51" customFormat="false" ht="15" hidden="false" customHeight="true" outlineLevel="0" collapsed="false">
      <c r="A51" s="55"/>
      <c r="L51" s="87"/>
      <c r="M51" s="87"/>
      <c r="N51" s="87"/>
    </row>
    <row r="52" customFormat="false" ht="15" hidden="false" customHeight="true" outlineLevel="0" collapsed="false">
      <c r="A52" s="55"/>
      <c r="L52" s="87"/>
      <c r="M52" s="87"/>
      <c r="N52" s="87"/>
    </row>
    <row r="53" customFormat="false" ht="15" hidden="false" customHeight="true" outlineLevel="0" collapsed="false">
      <c r="A53" s="55"/>
      <c r="L53" s="87"/>
      <c r="M53" s="87"/>
      <c r="N53" s="87"/>
    </row>
    <row r="54" customFormat="false" ht="15" hidden="false" customHeight="true" outlineLevel="0" collapsed="false">
      <c r="A54" s="55"/>
      <c r="L54" s="87"/>
      <c r="M54" s="87"/>
      <c r="N54" s="87"/>
    </row>
    <row r="55" customFormat="false" ht="15" hidden="false" customHeight="true" outlineLevel="0" collapsed="false">
      <c r="A55" s="55"/>
      <c r="L55" s="87"/>
      <c r="M55" s="87"/>
      <c r="N55" s="87"/>
    </row>
    <row r="56" customFormat="false" ht="15" hidden="false" customHeight="true" outlineLevel="0" collapsed="false">
      <c r="A56" s="55"/>
      <c r="L56" s="87"/>
      <c r="M56" s="87"/>
      <c r="N56" s="87"/>
    </row>
    <row r="57" customFormat="false" ht="15" hidden="false" customHeight="true" outlineLevel="0" collapsed="false">
      <c r="A57" s="55"/>
      <c r="L57" s="87"/>
      <c r="M57" s="87"/>
      <c r="N57" s="87"/>
    </row>
    <row r="58" customFormat="false" ht="15" hidden="false" customHeight="true" outlineLevel="0" collapsed="false">
      <c r="A58" s="55"/>
      <c r="L58" s="87"/>
      <c r="M58" s="87"/>
      <c r="N58" s="87"/>
    </row>
    <row r="59" customFormat="false" ht="15" hidden="false" customHeight="true" outlineLevel="0" collapsed="false">
      <c r="A59" s="55"/>
      <c r="L59" s="87"/>
      <c r="M59" s="87"/>
      <c r="N59" s="87"/>
    </row>
    <row r="60" customFormat="false" ht="15" hidden="false" customHeight="true" outlineLevel="0" collapsed="false">
      <c r="A60" s="55"/>
      <c r="L60" s="87"/>
      <c r="M60" s="87"/>
      <c r="N60" s="87"/>
    </row>
    <row r="61" customFormat="false" ht="15" hidden="false" customHeight="true" outlineLevel="0" collapsed="false">
      <c r="A61" s="55"/>
      <c r="L61" s="87"/>
      <c r="M61" s="87"/>
      <c r="N61" s="87"/>
    </row>
    <row r="62" customFormat="false" ht="15" hidden="false" customHeight="true" outlineLevel="0" collapsed="false">
      <c r="A62" s="55"/>
      <c r="L62" s="87"/>
      <c r="M62" s="87"/>
      <c r="N62" s="87"/>
    </row>
    <row r="63" customFormat="false" ht="15" hidden="false" customHeight="true" outlineLevel="0" collapsed="false">
      <c r="A63" s="55"/>
      <c r="L63" s="87"/>
      <c r="M63" s="87"/>
      <c r="N63" s="87"/>
    </row>
    <row r="64" customFormat="false" ht="15" hidden="false" customHeight="true" outlineLevel="0" collapsed="false">
      <c r="A64" s="55"/>
      <c r="L64" s="87"/>
      <c r="M64" s="87"/>
      <c r="N64" s="87"/>
    </row>
    <row r="65" customFormat="false" ht="15" hidden="false" customHeight="true" outlineLevel="0" collapsed="false">
      <c r="A65" s="55"/>
      <c r="L65" s="87"/>
      <c r="M65" s="87"/>
      <c r="N65" s="87"/>
    </row>
    <row r="66" customFormat="false" ht="15" hidden="false" customHeight="true" outlineLevel="0" collapsed="false">
      <c r="A66" s="55"/>
      <c r="L66" s="87"/>
      <c r="M66" s="87"/>
      <c r="N66" s="87"/>
    </row>
    <row r="67" customFormat="false" ht="15" hidden="false" customHeight="true" outlineLevel="0" collapsed="false">
      <c r="A67" s="55"/>
      <c r="L67" s="87"/>
      <c r="M67" s="87"/>
      <c r="N67" s="87"/>
    </row>
    <row r="68" customFormat="false" ht="15" hidden="false" customHeight="true" outlineLevel="0" collapsed="false">
      <c r="A68" s="55"/>
      <c r="L68" s="87"/>
      <c r="M68" s="87"/>
      <c r="N68" s="87"/>
    </row>
    <row r="69" customFormat="false" ht="15" hidden="false" customHeight="true" outlineLevel="0" collapsed="false">
      <c r="A69" s="55"/>
      <c r="L69" s="87"/>
      <c r="M69" s="87"/>
      <c r="N69" s="87"/>
    </row>
    <row r="70" customFormat="false" ht="15" hidden="false" customHeight="true" outlineLevel="0" collapsed="false">
      <c r="A70" s="55"/>
      <c r="L70" s="87"/>
      <c r="M70" s="87"/>
      <c r="N70" s="87"/>
    </row>
    <row r="71" customFormat="false" ht="15" hidden="false" customHeight="true" outlineLevel="0" collapsed="false">
      <c r="A71" s="55"/>
      <c r="L71" s="87"/>
      <c r="M71" s="87"/>
      <c r="N71" s="87"/>
    </row>
    <row r="72" customFormat="false" ht="15" hidden="false" customHeight="true" outlineLevel="0" collapsed="false">
      <c r="A72" s="55"/>
      <c r="L72" s="87"/>
      <c r="M72" s="87"/>
      <c r="N72" s="87"/>
    </row>
    <row r="73" customFormat="false" ht="15" hidden="false" customHeight="true" outlineLevel="0" collapsed="false">
      <c r="A73" s="55"/>
      <c r="L73" s="87"/>
      <c r="M73" s="87"/>
      <c r="N73" s="87"/>
    </row>
    <row r="74" customFormat="false" ht="15" hidden="false" customHeight="true" outlineLevel="0" collapsed="false">
      <c r="A74" s="55"/>
      <c r="L74" s="87"/>
      <c r="M74" s="87"/>
      <c r="N74" s="87"/>
    </row>
    <row r="75" customFormat="false" ht="15" hidden="false" customHeight="true" outlineLevel="0" collapsed="false">
      <c r="A75" s="55"/>
      <c r="L75" s="87"/>
      <c r="M75" s="87"/>
      <c r="N75" s="87"/>
    </row>
    <row r="76" customFormat="false" ht="15" hidden="false" customHeight="true" outlineLevel="0" collapsed="false">
      <c r="A76" s="55"/>
      <c r="L76" s="87"/>
      <c r="M76" s="87"/>
      <c r="N76" s="87"/>
    </row>
    <row r="77" customFormat="false" ht="15" hidden="false" customHeight="true" outlineLevel="0" collapsed="false">
      <c r="A77" s="55"/>
      <c r="L77" s="87"/>
      <c r="M77" s="87"/>
      <c r="N77" s="87"/>
    </row>
    <row r="78" customFormat="false" ht="15" hidden="false" customHeight="true" outlineLevel="0" collapsed="false">
      <c r="A78" s="55"/>
      <c r="L78" s="87"/>
      <c r="M78" s="87"/>
      <c r="N78" s="87"/>
    </row>
    <row r="79" customFormat="false" ht="15" hidden="false" customHeight="true" outlineLevel="0" collapsed="false">
      <c r="A79" s="55"/>
      <c r="L79" s="87"/>
      <c r="M79" s="87"/>
      <c r="N79" s="87"/>
    </row>
    <row r="80" customFormat="false" ht="15" hidden="false" customHeight="true" outlineLevel="0" collapsed="false">
      <c r="A80" s="55"/>
      <c r="L80" s="87"/>
      <c r="M80" s="87"/>
      <c r="N80" s="87"/>
    </row>
    <row r="81" customFormat="false" ht="15" hidden="false" customHeight="true" outlineLevel="0" collapsed="false">
      <c r="A81" s="55"/>
      <c r="L81" s="87"/>
      <c r="M81" s="87"/>
      <c r="N81" s="87"/>
    </row>
    <row r="82" customFormat="false" ht="15" hidden="false" customHeight="true" outlineLevel="0" collapsed="false">
      <c r="A82" s="55"/>
      <c r="L82" s="87"/>
      <c r="M82" s="87"/>
      <c r="N82" s="87"/>
    </row>
    <row r="83" customFormat="false" ht="15" hidden="false" customHeight="true" outlineLevel="0" collapsed="false">
      <c r="A83" s="55"/>
      <c r="L83" s="87"/>
      <c r="M83" s="87"/>
      <c r="N83" s="87"/>
    </row>
    <row r="84" customFormat="false" ht="15" hidden="false" customHeight="true" outlineLevel="0" collapsed="false">
      <c r="A84" s="55"/>
      <c r="L84" s="87"/>
      <c r="M84" s="87"/>
      <c r="N84" s="87"/>
    </row>
    <row r="85" customFormat="false" ht="15" hidden="false" customHeight="true" outlineLevel="0" collapsed="false">
      <c r="A85" s="55"/>
      <c r="L85" s="87"/>
      <c r="M85" s="87"/>
      <c r="N85" s="87"/>
    </row>
    <row r="86" customFormat="false" ht="15" hidden="false" customHeight="true" outlineLevel="0" collapsed="false">
      <c r="A86" s="55"/>
      <c r="L86" s="87"/>
      <c r="M86" s="87"/>
      <c r="N86" s="87"/>
    </row>
    <row r="87" customFormat="false" ht="15" hidden="false" customHeight="true" outlineLevel="0" collapsed="false">
      <c r="A87" s="55"/>
      <c r="L87" s="87"/>
      <c r="M87" s="87"/>
      <c r="N87" s="87"/>
    </row>
    <row r="88" customFormat="false" ht="15" hidden="false" customHeight="true" outlineLevel="0" collapsed="false">
      <c r="A88" s="55"/>
      <c r="L88" s="87"/>
      <c r="M88" s="87"/>
      <c r="N88" s="87"/>
    </row>
    <row r="89" customFormat="false" ht="15" hidden="false" customHeight="true" outlineLevel="0" collapsed="false">
      <c r="A89" s="55"/>
      <c r="L89" s="87"/>
      <c r="M89" s="87"/>
      <c r="N89" s="87"/>
    </row>
    <row r="90" customFormat="false" ht="15" hidden="false" customHeight="true" outlineLevel="0" collapsed="false">
      <c r="A90" s="55"/>
      <c r="L90" s="87"/>
      <c r="M90" s="87"/>
      <c r="N90" s="87"/>
    </row>
    <row r="91" customFormat="false" ht="15" hidden="false" customHeight="true" outlineLevel="0" collapsed="false">
      <c r="A91" s="55"/>
      <c r="L91" s="87"/>
      <c r="M91" s="87"/>
      <c r="N91" s="87"/>
    </row>
    <row r="92" customFormat="false" ht="15" hidden="false" customHeight="true" outlineLevel="0" collapsed="false">
      <c r="A92" s="55"/>
      <c r="L92" s="87"/>
      <c r="M92" s="87"/>
      <c r="N92" s="87"/>
    </row>
    <row r="93" customFormat="false" ht="15" hidden="false" customHeight="true" outlineLevel="0" collapsed="false">
      <c r="A93" s="55"/>
      <c r="L93" s="87"/>
      <c r="M93" s="87"/>
      <c r="N93" s="87"/>
    </row>
    <row r="94" customFormat="false" ht="15" hidden="false" customHeight="true" outlineLevel="0" collapsed="false">
      <c r="A94" s="55"/>
      <c r="L94" s="87"/>
      <c r="M94" s="87"/>
      <c r="N94" s="87"/>
    </row>
    <row r="95" customFormat="false" ht="15" hidden="false" customHeight="true" outlineLevel="0" collapsed="false">
      <c r="A95" s="55"/>
      <c r="L95" s="87"/>
      <c r="M95" s="87"/>
      <c r="N95" s="87"/>
    </row>
    <row r="96" customFormat="false" ht="15" hidden="false" customHeight="true" outlineLevel="0" collapsed="false">
      <c r="A96" s="55"/>
      <c r="L96" s="87"/>
      <c r="M96" s="87"/>
      <c r="N96" s="87"/>
    </row>
    <row r="97" customFormat="false" ht="15" hidden="false" customHeight="true" outlineLevel="0" collapsed="false">
      <c r="A97" s="55"/>
      <c r="L97" s="87"/>
      <c r="M97" s="87"/>
      <c r="N97" s="87"/>
    </row>
    <row r="98" customFormat="false" ht="15" hidden="false" customHeight="true" outlineLevel="0" collapsed="false">
      <c r="A98" s="55"/>
      <c r="L98" s="87"/>
      <c r="M98" s="87"/>
      <c r="N98" s="87"/>
    </row>
    <row r="99" customFormat="false" ht="15" hidden="false" customHeight="true" outlineLevel="0" collapsed="false">
      <c r="A99" s="55"/>
      <c r="L99" s="87"/>
      <c r="M99" s="87"/>
      <c r="N99" s="87"/>
    </row>
    <row r="100" customFormat="false" ht="15" hidden="false" customHeight="true" outlineLevel="0" collapsed="false">
      <c r="A100" s="55"/>
      <c r="L100" s="87"/>
      <c r="M100" s="87"/>
      <c r="N100" s="87"/>
    </row>
    <row r="101" customFormat="false" ht="15" hidden="false" customHeight="true" outlineLevel="0" collapsed="false">
      <c r="A101" s="55"/>
      <c r="L101" s="87"/>
      <c r="M101" s="87"/>
      <c r="N101" s="87"/>
    </row>
    <row r="102" customFormat="false" ht="15" hidden="false" customHeight="true" outlineLevel="0" collapsed="false">
      <c r="A102" s="55"/>
      <c r="L102" s="87"/>
      <c r="M102" s="87"/>
      <c r="N102" s="87"/>
    </row>
    <row r="103" customFormat="false" ht="15" hidden="false" customHeight="true" outlineLevel="0" collapsed="false">
      <c r="A103" s="55"/>
      <c r="L103" s="87"/>
      <c r="M103" s="87"/>
      <c r="N103" s="87"/>
    </row>
    <row r="104" customFormat="false" ht="15" hidden="false" customHeight="true" outlineLevel="0" collapsed="false">
      <c r="A104" s="55"/>
      <c r="L104" s="87"/>
      <c r="M104" s="87"/>
      <c r="N104" s="87"/>
    </row>
    <row r="105" customFormat="false" ht="15" hidden="false" customHeight="true" outlineLevel="0" collapsed="false">
      <c r="A105" s="55"/>
      <c r="L105" s="87"/>
      <c r="M105" s="87"/>
      <c r="N105" s="87"/>
    </row>
    <row r="106" customFormat="false" ht="15" hidden="false" customHeight="true" outlineLevel="0" collapsed="false">
      <c r="A106" s="55"/>
      <c r="L106" s="87"/>
      <c r="M106" s="87"/>
      <c r="N106" s="87"/>
    </row>
    <row r="107" customFormat="false" ht="15" hidden="false" customHeight="true" outlineLevel="0" collapsed="false">
      <c r="A107" s="55"/>
      <c r="L107" s="87"/>
      <c r="M107" s="87"/>
      <c r="N107" s="87"/>
    </row>
    <row r="108" customFormat="false" ht="15" hidden="false" customHeight="true" outlineLevel="0" collapsed="false">
      <c r="A108" s="55"/>
      <c r="L108" s="87"/>
      <c r="M108" s="87"/>
      <c r="N108" s="87"/>
    </row>
    <row r="109" customFormat="false" ht="15" hidden="false" customHeight="true" outlineLevel="0" collapsed="false">
      <c r="A109" s="55"/>
      <c r="L109" s="87"/>
      <c r="M109" s="87"/>
      <c r="N109" s="87"/>
    </row>
    <row r="110" customFormat="false" ht="15" hidden="false" customHeight="true" outlineLevel="0" collapsed="false">
      <c r="A110" s="55"/>
      <c r="L110" s="87"/>
      <c r="M110" s="87"/>
      <c r="N110" s="87"/>
    </row>
    <row r="111" customFormat="false" ht="15" hidden="false" customHeight="true" outlineLevel="0" collapsed="false">
      <c r="A111" s="55"/>
      <c r="L111" s="87"/>
      <c r="M111" s="87"/>
      <c r="N111" s="87"/>
    </row>
    <row r="112" customFormat="false" ht="15" hidden="false" customHeight="true" outlineLevel="0" collapsed="false">
      <c r="A112" s="55"/>
      <c r="L112" s="87"/>
      <c r="M112" s="87"/>
      <c r="N112" s="87"/>
    </row>
    <row r="113" customFormat="false" ht="15" hidden="false" customHeight="true" outlineLevel="0" collapsed="false">
      <c r="A113" s="55"/>
      <c r="L113" s="87"/>
      <c r="M113" s="87"/>
      <c r="N113" s="87"/>
    </row>
    <row r="114" customFormat="false" ht="15" hidden="false" customHeight="true" outlineLevel="0" collapsed="false">
      <c r="A114" s="55"/>
      <c r="L114" s="87"/>
      <c r="M114" s="87"/>
      <c r="N114" s="87"/>
    </row>
    <row r="115" customFormat="false" ht="15" hidden="false" customHeight="true" outlineLevel="0" collapsed="false">
      <c r="A115" s="55"/>
      <c r="L115" s="87"/>
      <c r="M115" s="87"/>
      <c r="N115" s="87"/>
    </row>
    <row r="116" customFormat="false" ht="15" hidden="false" customHeight="true" outlineLevel="0" collapsed="false">
      <c r="A116" s="55"/>
      <c r="L116" s="87"/>
      <c r="M116" s="87"/>
      <c r="N116" s="87"/>
    </row>
    <row r="117" customFormat="false" ht="15" hidden="false" customHeight="true" outlineLevel="0" collapsed="false">
      <c r="A117" s="55"/>
      <c r="L117" s="87"/>
      <c r="M117" s="87"/>
      <c r="N117" s="87"/>
    </row>
    <row r="118" customFormat="false" ht="15" hidden="false" customHeight="true" outlineLevel="0" collapsed="false">
      <c r="A118" s="55"/>
      <c r="L118" s="87"/>
      <c r="M118" s="87"/>
      <c r="N118" s="87"/>
    </row>
    <row r="119" customFormat="false" ht="15" hidden="false" customHeight="true" outlineLevel="0" collapsed="false">
      <c r="A119" s="55"/>
      <c r="L119" s="87"/>
      <c r="M119" s="87"/>
      <c r="N119" s="87"/>
    </row>
    <row r="120" customFormat="false" ht="15" hidden="false" customHeight="true" outlineLevel="0" collapsed="false">
      <c r="A120" s="55"/>
      <c r="L120" s="87"/>
      <c r="M120" s="87"/>
      <c r="N120" s="87"/>
    </row>
    <row r="121" customFormat="false" ht="15" hidden="false" customHeight="true" outlineLevel="0" collapsed="false">
      <c r="A121" s="55"/>
      <c r="L121" s="87"/>
      <c r="M121" s="87"/>
      <c r="N121" s="87"/>
    </row>
    <row r="122" customFormat="false" ht="15" hidden="false" customHeight="true" outlineLevel="0" collapsed="false">
      <c r="A122" s="55"/>
      <c r="L122" s="87"/>
      <c r="M122" s="87"/>
      <c r="N122" s="87"/>
    </row>
    <row r="123" customFormat="false" ht="15" hidden="false" customHeight="true" outlineLevel="0" collapsed="false">
      <c r="A123" s="55"/>
      <c r="L123" s="87"/>
      <c r="M123" s="87"/>
      <c r="N123" s="87"/>
    </row>
    <row r="124" customFormat="false" ht="15" hidden="false" customHeight="true" outlineLevel="0" collapsed="false">
      <c r="A124" s="55"/>
      <c r="L124" s="87"/>
      <c r="M124" s="87"/>
      <c r="N124" s="87"/>
    </row>
    <row r="125" customFormat="false" ht="15" hidden="false" customHeight="true" outlineLevel="0" collapsed="false">
      <c r="A125" s="55"/>
      <c r="L125" s="87"/>
      <c r="M125" s="87"/>
      <c r="N125" s="87"/>
    </row>
    <row r="126" customFormat="false" ht="15" hidden="false" customHeight="true" outlineLevel="0" collapsed="false">
      <c r="A126" s="55"/>
      <c r="L126" s="87"/>
      <c r="M126" s="87"/>
      <c r="N126" s="87"/>
    </row>
    <row r="127" customFormat="false" ht="15" hidden="false" customHeight="true" outlineLevel="0" collapsed="false">
      <c r="A127" s="55"/>
      <c r="L127" s="87"/>
      <c r="M127" s="87"/>
      <c r="N127" s="87"/>
    </row>
    <row r="128" customFormat="false" ht="15" hidden="false" customHeight="true" outlineLevel="0" collapsed="false">
      <c r="A128" s="55"/>
      <c r="L128" s="87"/>
      <c r="M128" s="87"/>
      <c r="N128" s="87"/>
    </row>
    <row r="129" customFormat="false" ht="15" hidden="false" customHeight="true" outlineLevel="0" collapsed="false">
      <c r="A129" s="55"/>
      <c r="L129" s="87"/>
      <c r="M129" s="87"/>
      <c r="N129" s="87"/>
    </row>
    <row r="130" customFormat="false" ht="15" hidden="false" customHeight="true" outlineLevel="0" collapsed="false">
      <c r="A130" s="55"/>
      <c r="L130" s="87"/>
      <c r="M130" s="87"/>
      <c r="N130" s="87"/>
    </row>
    <row r="131" customFormat="false" ht="15" hidden="false" customHeight="true" outlineLevel="0" collapsed="false">
      <c r="A131" s="55"/>
      <c r="L131" s="87"/>
      <c r="M131" s="87"/>
      <c r="N131" s="87"/>
    </row>
    <row r="132" customFormat="false" ht="15" hidden="false" customHeight="true" outlineLevel="0" collapsed="false">
      <c r="A132" s="55"/>
      <c r="L132" s="87"/>
      <c r="M132" s="87"/>
      <c r="N132" s="87"/>
    </row>
    <row r="133" customFormat="false" ht="15" hidden="false" customHeight="true" outlineLevel="0" collapsed="false">
      <c r="A133" s="55"/>
      <c r="L133" s="87"/>
      <c r="M133" s="87"/>
      <c r="N133" s="87"/>
    </row>
    <row r="134" customFormat="false" ht="15" hidden="false" customHeight="true" outlineLevel="0" collapsed="false">
      <c r="A134" s="55"/>
      <c r="L134" s="87"/>
      <c r="M134" s="87"/>
      <c r="N134" s="87"/>
    </row>
    <row r="135" customFormat="false" ht="15" hidden="false" customHeight="true" outlineLevel="0" collapsed="false">
      <c r="A135" s="55"/>
      <c r="L135" s="87"/>
      <c r="M135" s="87"/>
      <c r="N135" s="87"/>
    </row>
    <row r="136" customFormat="false" ht="15" hidden="false" customHeight="true" outlineLevel="0" collapsed="false">
      <c r="A136" s="55"/>
      <c r="L136" s="87"/>
      <c r="M136" s="87"/>
      <c r="N136" s="87"/>
    </row>
    <row r="137" customFormat="false" ht="15" hidden="false" customHeight="true" outlineLevel="0" collapsed="false">
      <c r="A137" s="55"/>
      <c r="L137" s="87"/>
      <c r="M137" s="87"/>
      <c r="N137" s="87"/>
    </row>
    <row r="138" customFormat="false" ht="15" hidden="false" customHeight="true" outlineLevel="0" collapsed="false">
      <c r="A138" s="55"/>
      <c r="L138" s="87"/>
      <c r="M138" s="87"/>
      <c r="N138" s="87"/>
    </row>
    <row r="139" customFormat="false" ht="15" hidden="false" customHeight="true" outlineLevel="0" collapsed="false">
      <c r="A139" s="55"/>
      <c r="L139" s="87"/>
      <c r="M139" s="87"/>
      <c r="N139" s="87"/>
    </row>
    <row r="140" customFormat="false" ht="15" hidden="false" customHeight="true" outlineLevel="0" collapsed="false">
      <c r="A140" s="55"/>
      <c r="L140" s="87"/>
      <c r="M140" s="87"/>
      <c r="N140" s="87"/>
    </row>
    <row r="141" customFormat="false" ht="15" hidden="false" customHeight="true" outlineLevel="0" collapsed="false">
      <c r="A141" s="55"/>
      <c r="L141" s="87"/>
      <c r="M141" s="87"/>
      <c r="N141" s="87"/>
    </row>
    <row r="142" customFormat="false" ht="15" hidden="false" customHeight="true" outlineLevel="0" collapsed="false">
      <c r="A142" s="55"/>
      <c r="L142" s="87"/>
      <c r="M142" s="87"/>
      <c r="N142" s="87"/>
    </row>
    <row r="143" customFormat="false" ht="15" hidden="false" customHeight="true" outlineLevel="0" collapsed="false">
      <c r="A143" s="55"/>
      <c r="L143" s="87"/>
      <c r="M143" s="87"/>
      <c r="N143" s="87"/>
    </row>
    <row r="144" customFormat="false" ht="15" hidden="false" customHeight="true" outlineLevel="0" collapsed="false">
      <c r="A144" s="55"/>
      <c r="L144" s="87"/>
      <c r="M144" s="87"/>
      <c r="N144" s="87"/>
    </row>
    <row r="145" customFormat="false" ht="15" hidden="false" customHeight="true" outlineLevel="0" collapsed="false">
      <c r="A145" s="55"/>
      <c r="L145" s="87"/>
      <c r="M145" s="87"/>
      <c r="N145" s="87"/>
    </row>
    <row r="146" customFormat="false" ht="15" hidden="false" customHeight="true" outlineLevel="0" collapsed="false">
      <c r="A146" s="55"/>
      <c r="L146" s="87"/>
      <c r="M146" s="87"/>
      <c r="N146" s="87"/>
    </row>
    <row r="147" customFormat="false" ht="15" hidden="false" customHeight="true" outlineLevel="0" collapsed="false">
      <c r="A147" s="55"/>
      <c r="L147" s="87"/>
      <c r="M147" s="87"/>
      <c r="N147" s="87"/>
    </row>
    <row r="148" customFormat="false" ht="15" hidden="false" customHeight="true" outlineLevel="0" collapsed="false">
      <c r="A148" s="55"/>
      <c r="L148" s="87"/>
      <c r="M148" s="87"/>
      <c r="N148" s="87"/>
    </row>
    <row r="149" customFormat="false" ht="15" hidden="false" customHeight="true" outlineLevel="0" collapsed="false">
      <c r="A149" s="55"/>
      <c r="L149" s="87"/>
      <c r="M149" s="87"/>
      <c r="N149" s="87"/>
    </row>
    <row r="150" customFormat="false" ht="15" hidden="false" customHeight="true" outlineLevel="0" collapsed="false">
      <c r="A150" s="55"/>
      <c r="L150" s="87"/>
      <c r="M150" s="87"/>
      <c r="N150" s="87"/>
    </row>
    <row r="151" customFormat="false" ht="15" hidden="false" customHeight="true" outlineLevel="0" collapsed="false">
      <c r="A151" s="55"/>
      <c r="L151" s="87"/>
      <c r="M151" s="87"/>
      <c r="N151" s="87"/>
    </row>
    <row r="152" customFormat="false" ht="15" hidden="false" customHeight="true" outlineLevel="0" collapsed="false">
      <c r="A152" s="55"/>
      <c r="L152" s="87"/>
      <c r="M152" s="87"/>
      <c r="N152" s="87"/>
    </row>
    <row r="153" customFormat="false" ht="15" hidden="false" customHeight="true" outlineLevel="0" collapsed="false">
      <c r="A153" s="55"/>
      <c r="L153" s="87"/>
      <c r="M153" s="87"/>
      <c r="N153" s="87"/>
    </row>
    <row r="154" customFormat="false" ht="15" hidden="false" customHeight="true" outlineLevel="0" collapsed="false">
      <c r="A154" s="55"/>
      <c r="L154" s="87"/>
      <c r="M154" s="87"/>
      <c r="N154" s="87"/>
    </row>
    <row r="155" customFormat="false" ht="15" hidden="false" customHeight="true" outlineLevel="0" collapsed="false">
      <c r="A155" s="55"/>
      <c r="L155" s="87"/>
      <c r="M155" s="87"/>
      <c r="N155" s="87"/>
    </row>
    <row r="156" customFormat="false" ht="15" hidden="false" customHeight="true" outlineLevel="0" collapsed="false">
      <c r="A156" s="55"/>
      <c r="L156" s="87"/>
      <c r="M156" s="87"/>
      <c r="N156" s="87"/>
    </row>
    <row r="157" customFormat="false" ht="15" hidden="false" customHeight="true" outlineLevel="0" collapsed="false">
      <c r="A157" s="55"/>
      <c r="L157" s="87"/>
      <c r="M157" s="87"/>
      <c r="N157" s="87"/>
    </row>
    <row r="158" customFormat="false" ht="15" hidden="false" customHeight="true" outlineLevel="0" collapsed="false">
      <c r="A158" s="55"/>
      <c r="L158" s="87"/>
      <c r="M158" s="87"/>
      <c r="N158" s="87"/>
    </row>
    <row r="159" customFormat="false" ht="15" hidden="false" customHeight="true" outlineLevel="0" collapsed="false">
      <c r="A159" s="55"/>
      <c r="L159" s="87"/>
      <c r="M159" s="87"/>
      <c r="N159" s="87"/>
    </row>
    <row r="160" customFormat="false" ht="15" hidden="false" customHeight="true" outlineLevel="0" collapsed="false">
      <c r="A160" s="55"/>
      <c r="L160" s="87"/>
      <c r="M160" s="87"/>
      <c r="N160" s="87"/>
    </row>
    <row r="161" customFormat="false" ht="15" hidden="false" customHeight="true" outlineLevel="0" collapsed="false">
      <c r="A161" s="55"/>
      <c r="L161" s="87"/>
      <c r="M161" s="87"/>
      <c r="N161" s="87"/>
    </row>
    <row r="162" customFormat="false" ht="15" hidden="false" customHeight="true" outlineLevel="0" collapsed="false">
      <c r="A162" s="55"/>
      <c r="L162" s="87"/>
      <c r="M162" s="87"/>
      <c r="N162" s="87"/>
    </row>
    <row r="163" customFormat="false" ht="15" hidden="false" customHeight="true" outlineLevel="0" collapsed="false">
      <c r="A163" s="55"/>
      <c r="L163" s="87"/>
      <c r="M163" s="87"/>
      <c r="N163" s="87"/>
    </row>
    <row r="164" customFormat="false" ht="15" hidden="false" customHeight="true" outlineLevel="0" collapsed="false">
      <c r="A164" s="55"/>
      <c r="L164" s="87"/>
      <c r="M164" s="87"/>
      <c r="N164" s="87"/>
    </row>
    <row r="165" customFormat="false" ht="15" hidden="false" customHeight="true" outlineLevel="0" collapsed="false">
      <c r="A165" s="55"/>
      <c r="L165" s="87"/>
      <c r="M165" s="87"/>
      <c r="N165" s="87"/>
    </row>
    <row r="166" customFormat="false" ht="15" hidden="false" customHeight="true" outlineLevel="0" collapsed="false">
      <c r="A166" s="55"/>
      <c r="L166" s="87"/>
      <c r="M166" s="87"/>
      <c r="N166" s="87"/>
    </row>
    <row r="167" customFormat="false" ht="15" hidden="false" customHeight="true" outlineLevel="0" collapsed="false">
      <c r="A167" s="55"/>
      <c r="L167" s="87"/>
      <c r="M167" s="87"/>
      <c r="N167" s="87"/>
    </row>
    <row r="168" customFormat="false" ht="15" hidden="false" customHeight="true" outlineLevel="0" collapsed="false">
      <c r="A168" s="55"/>
      <c r="L168" s="87"/>
      <c r="M168" s="87"/>
      <c r="N168" s="87"/>
    </row>
    <row r="169" customFormat="false" ht="15" hidden="false" customHeight="true" outlineLevel="0" collapsed="false">
      <c r="A169" s="55"/>
      <c r="L169" s="87"/>
      <c r="M169" s="87"/>
      <c r="N169" s="87"/>
    </row>
    <row r="170" customFormat="false" ht="15" hidden="false" customHeight="true" outlineLevel="0" collapsed="false">
      <c r="A170" s="55"/>
      <c r="L170" s="87"/>
      <c r="M170" s="87"/>
      <c r="N170" s="87"/>
    </row>
    <row r="171" customFormat="false" ht="15" hidden="false" customHeight="true" outlineLevel="0" collapsed="false">
      <c r="A171" s="55"/>
      <c r="L171" s="87"/>
      <c r="M171" s="87"/>
      <c r="N171" s="87"/>
    </row>
    <row r="172" customFormat="false" ht="15" hidden="false" customHeight="true" outlineLevel="0" collapsed="false">
      <c r="A172" s="55"/>
      <c r="L172" s="87"/>
      <c r="M172" s="87"/>
      <c r="N172" s="87"/>
    </row>
    <row r="173" customFormat="false" ht="15" hidden="false" customHeight="true" outlineLevel="0" collapsed="false">
      <c r="A173" s="55"/>
      <c r="L173" s="87"/>
      <c r="M173" s="87"/>
      <c r="N173" s="87"/>
    </row>
    <row r="174" customFormat="false" ht="15" hidden="false" customHeight="true" outlineLevel="0" collapsed="false">
      <c r="A174" s="55"/>
      <c r="L174" s="87"/>
      <c r="M174" s="87"/>
      <c r="N174" s="87"/>
    </row>
    <row r="175" customFormat="false" ht="15" hidden="false" customHeight="true" outlineLevel="0" collapsed="false">
      <c r="A175" s="55"/>
      <c r="L175" s="87"/>
      <c r="M175" s="87"/>
      <c r="N175" s="87"/>
    </row>
    <row r="176" customFormat="false" ht="15" hidden="false" customHeight="true" outlineLevel="0" collapsed="false">
      <c r="A176" s="55"/>
      <c r="L176" s="87"/>
      <c r="M176" s="87"/>
      <c r="N176" s="87"/>
    </row>
    <row r="177" customFormat="false" ht="15" hidden="false" customHeight="true" outlineLevel="0" collapsed="false">
      <c r="A177" s="55"/>
      <c r="L177" s="87"/>
      <c r="M177" s="87"/>
      <c r="N177" s="87"/>
    </row>
    <row r="178" customFormat="false" ht="15" hidden="false" customHeight="true" outlineLevel="0" collapsed="false">
      <c r="A178" s="55"/>
      <c r="L178" s="87"/>
      <c r="M178" s="87"/>
      <c r="N178" s="87"/>
    </row>
    <row r="179" customFormat="false" ht="15" hidden="false" customHeight="true" outlineLevel="0" collapsed="false">
      <c r="A179" s="55"/>
      <c r="L179" s="87"/>
      <c r="M179" s="87"/>
      <c r="N179" s="87"/>
    </row>
    <row r="180" customFormat="false" ht="15" hidden="false" customHeight="true" outlineLevel="0" collapsed="false">
      <c r="A180" s="55"/>
      <c r="L180" s="87"/>
      <c r="M180" s="87"/>
      <c r="N180" s="87"/>
    </row>
    <row r="181" customFormat="false" ht="15" hidden="false" customHeight="true" outlineLevel="0" collapsed="false">
      <c r="A181" s="55"/>
      <c r="L181" s="87"/>
      <c r="M181" s="87"/>
      <c r="N181" s="87"/>
    </row>
    <row r="182" customFormat="false" ht="15" hidden="false" customHeight="true" outlineLevel="0" collapsed="false">
      <c r="A182" s="55"/>
      <c r="L182" s="87"/>
      <c r="M182" s="87"/>
      <c r="N182" s="87"/>
    </row>
    <row r="183" customFormat="false" ht="15" hidden="false" customHeight="true" outlineLevel="0" collapsed="false">
      <c r="A183" s="55"/>
      <c r="L183" s="87"/>
      <c r="M183" s="87"/>
      <c r="N183" s="87"/>
    </row>
    <row r="184" customFormat="false" ht="15" hidden="false" customHeight="true" outlineLevel="0" collapsed="false">
      <c r="A184" s="55"/>
      <c r="L184" s="87"/>
      <c r="M184" s="87"/>
      <c r="N184" s="87"/>
    </row>
    <row r="185" customFormat="false" ht="15" hidden="false" customHeight="true" outlineLevel="0" collapsed="false">
      <c r="A185" s="55"/>
      <c r="L185" s="87"/>
      <c r="M185" s="87"/>
      <c r="N185" s="87"/>
    </row>
    <row r="186" customFormat="false" ht="15" hidden="false" customHeight="true" outlineLevel="0" collapsed="false">
      <c r="A186" s="55"/>
      <c r="L186" s="87"/>
      <c r="M186" s="87"/>
      <c r="N186" s="87"/>
    </row>
    <row r="187" customFormat="false" ht="15" hidden="false" customHeight="true" outlineLevel="0" collapsed="false">
      <c r="A187" s="55"/>
      <c r="L187" s="87"/>
      <c r="M187" s="87"/>
      <c r="N187" s="87"/>
    </row>
    <row r="188" customFormat="false" ht="15" hidden="false" customHeight="true" outlineLevel="0" collapsed="false">
      <c r="A188" s="55"/>
      <c r="L188" s="87"/>
      <c r="M188" s="87"/>
      <c r="N188" s="87"/>
    </row>
    <row r="189" customFormat="false" ht="15" hidden="false" customHeight="true" outlineLevel="0" collapsed="false">
      <c r="A189" s="55"/>
      <c r="L189" s="87"/>
      <c r="M189" s="87"/>
      <c r="N189" s="87"/>
    </row>
    <row r="190" customFormat="false" ht="15" hidden="false" customHeight="true" outlineLevel="0" collapsed="false">
      <c r="A190" s="55"/>
      <c r="L190" s="87"/>
      <c r="M190" s="87"/>
      <c r="N190" s="87"/>
    </row>
    <row r="191" customFormat="false" ht="15" hidden="false" customHeight="true" outlineLevel="0" collapsed="false">
      <c r="A191" s="55"/>
      <c r="L191" s="87"/>
      <c r="M191" s="87"/>
      <c r="N191" s="87"/>
    </row>
    <row r="192" customFormat="false" ht="15" hidden="false" customHeight="true" outlineLevel="0" collapsed="false">
      <c r="A192" s="55"/>
      <c r="L192" s="87"/>
      <c r="M192" s="87"/>
      <c r="N192" s="87"/>
    </row>
    <row r="193" customFormat="false" ht="15" hidden="false" customHeight="true" outlineLevel="0" collapsed="false">
      <c r="A193" s="55"/>
      <c r="L193" s="87"/>
      <c r="M193" s="87"/>
      <c r="N193" s="87"/>
    </row>
    <row r="194" customFormat="false" ht="15" hidden="false" customHeight="true" outlineLevel="0" collapsed="false">
      <c r="A194" s="55"/>
      <c r="L194" s="87"/>
      <c r="M194" s="87"/>
      <c r="N194" s="87"/>
    </row>
    <row r="195" customFormat="false" ht="15" hidden="false" customHeight="true" outlineLevel="0" collapsed="false">
      <c r="A195" s="55"/>
      <c r="L195" s="87"/>
      <c r="M195" s="87"/>
      <c r="N195" s="87"/>
    </row>
    <row r="196" customFormat="false" ht="15" hidden="false" customHeight="true" outlineLevel="0" collapsed="false">
      <c r="A196" s="55"/>
      <c r="L196" s="87"/>
      <c r="M196" s="87"/>
      <c r="N196" s="87"/>
    </row>
    <row r="197" customFormat="false" ht="15" hidden="false" customHeight="true" outlineLevel="0" collapsed="false">
      <c r="A197" s="55"/>
      <c r="L197" s="87"/>
      <c r="M197" s="87"/>
      <c r="N197" s="87"/>
    </row>
    <row r="198" customFormat="false" ht="15" hidden="false" customHeight="true" outlineLevel="0" collapsed="false">
      <c r="A198" s="55"/>
      <c r="L198" s="87"/>
      <c r="M198" s="87"/>
      <c r="N198" s="87"/>
    </row>
    <row r="199" customFormat="false" ht="15" hidden="false" customHeight="true" outlineLevel="0" collapsed="false">
      <c r="A199" s="55"/>
      <c r="L199" s="87"/>
      <c r="M199" s="87"/>
      <c r="N199" s="87"/>
    </row>
    <row r="200" customFormat="false" ht="15" hidden="false" customHeight="true" outlineLevel="0" collapsed="false">
      <c r="A200" s="55"/>
      <c r="L200" s="87"/>
      <c r="M200" s="87"/>
      <c r="N200" s="87"/>
    </row>
    <row r="201" customFormat="false" ht="15" hidden="false" customHeight="true" outlineLevel="0" collapsed="false">
      <c r="A201" s="55"/>
      <c r="L201" s="87"/>
      <c r="M201" s="87"/>
      <c r="N201" s="87"/>
    </row>
    <row r="202" customFormat="false" ht="15" hidden="false" customHeight="true" outlineLevel="0" collapsed="false">
      <c r="L202" s="87"/>
      <c r="M202" s="87"/>
      <c r="N202" s="87"/>
    </row>
    <row r="203" customFormat="false" ht="15" hidden="false" customHeight="true" outlineLevel="0" collapsed="false">
      <c r="L203" s="87"/>
      <c r="M203" s="87"/>
      <c r="N203" s="87"/>
    </row>
    <row r="204" customFormat="false" ht="15" hidden="false" customHeight="true" outlineLevel="0" collapsed="false">
      <c r="L204" s="87"/>
      <c r="M204" s="87"/>
      <c r="N204" s="87"/>
    </row>
    <row r="205" customFormat="false" ht="15" hidden="false" customHeight="true" outlineLevel="0" collapsed="false">
      <c r="L205" s="87"/>
      <c r="M205" s="87"/>
      <c r="N205" s="87"/>
    </row>
    <row r="206" customFormat="false" ht="15" hidden="false" customHeight="true" outlineLevel="0" collapsed="false">
      <c r="L206" s="87"/>
      <c r="M206" s="87"/>
      <c r="N206" s="87"/>
    </row>
    <row r="207" customFormat="false" ht="15" hidden="false" customHeight="true" outlineLevel="0" collapsed="false">
      <c r="L207" s="87"/>
      <c r="M207" s="87"/>
      <c r="N207" s="87"/>
    </row>
    <row r="208" customFormat="false" ht="15" hidden="false" customHeight="true" outlineLevel="0" collapsed="false">
      <c r="L208" s="87"/>
      <c r="M208" s="87"/>
      <c r="N208" s="87"/>
    </row>
    <row r="209" customFormat="false" ht="15" hidden="false" customHeight="true" outlineLevel="0" collapsed="false">
      <c r="L209" s="87"/>
      <c r="M209" s="87"/>
      <c r="N209" s="87"/>
    </row>
    <row r="210" customFormat="false" ht="15" hidden="false" customHeight="true" outlineLevel="0" collapsed="false">
      <c r="L210" s="87"/>
      <c r="M210" s="87"/>
      <c r="N210" s="87"/>
    </row>
    <row r="211" customFormat="false" ht="15" hidden="false" customHeight="true" outlineLevel="0" collapsed="false">
      <c r="L211" s="87"/>
      <c r="M211" s="87"/>
      <c r="N211" s="87"/>
    </row>
    <row r="212" customFormat="false" ht="15" hidden="false" customHeight="true" outlineLevel="0" collapsed="false">
      <c r="L212" s="87"/>
      <c r="M212" s="87"/>
      <c r="N212" s="87"/>
    </row>
    <row r="213" customFormat="false" ht="15" hidden="false" customHeight="true" outlineLevel="0" collapsed="false">
      <c r="L213" s="87"/>
      <c r="M213" s="87"/>
      <c r="N213" s="87"/>
    </row>
    <row r="214" customFormat="false" ht="15" hidden="false" customHeight="true" outlineLevel="0" collapsed="false">
      <c r="L214" s="87"/>
      <c r="M214" s="87"/>
      <c r="N214" s="87"/>
    </row>
    <row r="215" customFormat="false" ht="15" hidden="false" customHeight="true" outlineLevel="0" collapsed="false">
      <c r="L215" s="87"/>
      <c r="M215" s="87"/>
      <c r="N215" s="87"/>
    </row>
    <row r="216" customFormat="false" ht="15" hidden="false" customHeight="true" outlineLevel="0" collapsed="false">
      <c r="L216" s="87"/>
      <c r="M216" s="87"/>
      <c r="N216" s="87"/>
    </row>
    <row r="217" customFormat="false" ht="15" hidden="false" customHeight="true" outlineLevel="0" collapsed="false">
      <c r="L217" s="87"/>
      <c r="M217" s="87"/>
      <c r="N217" s="87"/>
    </row>
    <row r="218" customFormat="false" ht="15" hidden="false" customHeight="true" outlineLevel="0" collapsed="false">
      <c r="L218" s="87"/>
      <c r="M218" s="87"/>
      <c r="N218" s="87"/>
    </row>
    <row r="219" customFormat="false" ht="15" hidden="false" customHeight="true" outlineLevel="0" collapsed="false">
      <c r="L219" s="87"/>
      <c r="M219" s="87"/>
      <c r="N219" s="87"/>
    </row>
    <row r="220" customFormat="false" ht="15" hidden="false" customHeight="true" outlineLevel="0" collapsed="false">
      <c r="L220" s="87"/>
      <c r="M220" s="87"/>
      <c r="N220" s="87"/>
    </row>
    <row r="221" customFormat="false" ht="15" hidden="false" customHeight="true" outlineLevel="0" collapsed="false">
      <c r="L221" s="87"/>
      <c r="M221" s="87"/>
      <c r="N221" s="87"/>
    </row>
    <row r="222" customFormat="false" ht="15" hidden="false" customHeight="true" outlineLevel="0" collapsed="false">
      <c r="L222" s="87"/>
      <c r="M222" s="87"/>
      <c r="N222" s="87"/>
    </row>
    <row r="223" customFormat="false" ht="15" hidden="false" customHeight="true" outlineLevel="0" collapsed="false">
      <c r="L223" s="87"/>
      <c r="M223" s="87"/>
      <c r="N223" s="87"/>
    </row>
    <row r="224" customFormat="false" ht="15" hidden="false" customHeight="true" outlineLevel="0" collapsed="false">
      <c r="L224" s="87"/>
      <c r="M224" s="87"/>
      <c r="N224" s="87"/>
    </row>
    <row r="225" customFormat="false" ht="15" hidden="false" customHeight="true" outlineLevel="0" collapsed="false">
      <c r="L225" s="87"/>
      <c r="M225" s="87"/>
      <c r="N225" s="87"/>
    </row>
    <row r="226" customFormat="false" ht="15" hidden="false" customHeight="true" outlineLevel="0" collapsed="false">
      <c r="L226" s="87"/>
      <c r="M226" s="87"/>
      <c r="N226" s="87"/>
    </row>
    <row r="227" customFormat="false" ht="15" hidden="false" customHeight="true" outlineLevel="0" collapsed="false">
      <c r="L227" s="87"/>
      <c r="M227" s="87"/>
      <c r="N227" s="87"/>
    </row>
    <row r="228" customFormat="false" ht="15" hidden="false" customHeight="true" outlineLevel="0" collapsed="false">
      <c r="L228" s="87"/>
      <c r="M228" s="87"/>
      <c r="N228" s="87"/>
    </row>
    <row r="229" customFormat="false" ht="15" hidden="false" customHeight="true" outlineLevel="0" collapsed="false">
      <c r="L229" s="87"/>
      <c r="M229" s="87"/>
      <c r="N229" s="87"/>
    </row>
    <row r="230" customFormat="false" ht="15" hidden="false" customHeight="true" outlineLevel="0" collapsed="false">
      <c r="L230" s="87"/>
      <c r="M230" s="87"/>
      <c r="N230" s="87"/>
    </row>
    <row r="231" customFormat="false" ht="15" hidden="false" customHeight="true" outlineLevel="0" collapsed="false">
      <c r="L231" s="87"/>
      <c r="M231" s="87"/>
      <c r="N231" s="87"/>
    </row>
    <row r="232" customFormat="false" ht="15" hidden="false" customHeight="true" outlineLevel="0" collapsed="false">
      <c r="L232" s="87"/>
      <c r="M232" s="87"/>
      <c r="N232" s="87"/>
    </row>
    <row r="233" customFormat="false" ht="15" hidden="false" customHeight="true" outlineLevel="0" collapsed="false">
      <c r="L233" s="87"/>
      <c r="M233" s="87"/>
      <c r="N233" s="87"/>
    </row>
    <row r="234" customFormat="false" ht="15" hidden="false" customHeight="true" outlineLevel="0" collapsed="false">
      <c r="L234" s="87"/>
      <c r="M234" s="87"/>
      <c r="N234" s="87"/>
    </row>
    <row r="235" customFormat="false" ht="15" hidden="false" customHeight="true" outlineLevel="0" collapsed="false">
      <c r="L235" s="87"/>
      <c r="M235" s="87"/>
      <c r="N235" s="87"/>
    </row>
    <row r="236" customFormat="false" ht="15" hidden="false" customHeight="true" outlineLevel="0" collapsed="false">
      <c r="L236" s="87"/>
      <c r="M236" s="87"/>
      <c r="N236" s="87"/>
    </row>
    <row r="237" customFormat="false" ht="15" hidden="false" customHeight="true" outlineLevel="0" collapsed="false">
      <c r="L237" s="87"/>
      <c r="M237" s="87"/>
      <c r="N237" s="87"/>
    </row>
    <row r="238" customFormat="false" ht="15" hidden="false" customHeight="true" outlineLevel="0" collapsed="false">
      <c r="L238" s="87"/>
      <c r="M238" s="87"/>
      <c r="N238" s="87"/>
    </row>
    <row r="239" customFormat="false" ht="15" hidden="false" customHeight="true" outlineLevel="0" collapsed="false">
      <c r="L239" s="87"/>
      <c r="M239" s="87"/>
      <c r="N239" s="87"/>
    </row>
    <row r="240" customFormat="false" ht="15" hidden="false" customHeight="true" outlineLevel="0" collapsed="false">
      <c r="L240" s="87"/>
      <c r="M240" s="87"/>
      <c r="N240" s="87"/>
    </row>
    <row r="241" customFormat="false" ht="15" hidden="false" customHeight="true" outlineLevel="0" collapsed="false">
      <c r="L241" s="87"/>
      <c r="M241" s="87"/>
      <c r="N241" s="87"/>
    </row>
    <row r="242" customFormat="false" ht="15" hidden="false" customHeight="true" outlineLevel="0" collapsed="false">
      <c r="L242" s="87"/>
      <c r="M242" s="87"/>
      <c r="N242" s="87"/>
    </row>
    <row r="243" customFormat="false" ht="15" hidden="false" customHeight="true" outlineLevel="0" collapsed="false">
      <c r="L243" s="87"/>
      <c r="M243" s="87"/>
      <c r="N243" s="87"/>
    </row>
    <row r="244" customFormat="false" ht="15" hidden="false" customHeight="true" outlineLevel="0" collapsed="false">
      <c r="L244" s="87"/>
      <c r="M244" s="87"/>
      <c r="N244" s="87"/>
    </row>
    <row r="245" customFormat="false" ht="15" hidden="false" customHeight="true" outlineLevel="0" collapsed="false">
      <c r="L245" s="87"/>
      <c r="M245" s="87"/>
      <c r="N245" s="87"/>
    </row>
    <row r="246" customFormat="false" ht="15" hidden="false" customHeight="true" outlineLevel="0" collapsed="false">
      <c r="L246" s="87"/>
      <c r="M246" s="87"/>
      <c r="N246" s="87"/>
    </row>
    <row r="247" customFormat="false" ht="15" hidden="false" customHeight="true" outlineLevel="0" collapsed="false">
      <c r="L247" s="87"/>
      <c r="M247" s="87"/>
      <c r="N247" s="87"/>
    </row>
    <row r="248" customFormat="false" ht="15" hidden="false" customHeight="true" outlineLevel="0" collapsed="false">
      <c r="L248" s="87"/>
      <c r="M248" s="87"/>
      <c r="N248" s="87"/>
    </row>
    <row r="249" customFormat="false" ht="15" hidden="false" customHeight="true" outlineLevel="0" collapsed="false">
      <c r="L249" s="87"/>
      <c r="M249" s="87"/>
      <c r="N249" s="87"/>
    </row>
    <row r="250" customFormat="false" ht="15" hidden="false" customHeight="true" outlineLevel="0" collapsed="false">
      <c r="L250" s="87"/>
      <c r="M250" s="87"/>
      <c r="N250" s="87"/>
    </row>
    <row r="251" customFormat="false" ht="15" hidden="false" customHeight="true" outlineLevel="0" collapsed="false">
      <c r="L251" s="87"/>
      <c r="M251" s="87"/>
      <c r="N251" s="87"/>
    </row>
    <row r="252" customFormat="false" ht="15" hidden="false" customHeight="true" outlineLevel="0" collapsed="false">
      <c r="L252" s="87"/>
      <c r="M252" s="87"/>
      <c r="N252" s="87"/>
    </row>
    <row r="253" customFormat="false" ht="15" hidden="false" customHeight="true" outlineLevel="0" collapsed="false">
      <c r="L253" s="87"/>
      <c r="M253" s="87"/>
      <c r="N253" s="87"/>
    </row>
    <row r="254" customFormat="false" ht="15" hidden="false" customHeight="true" outlineLevel="0" collapsed="false">
      <c r="L254" s="87"/>
      <c r="M254" s="87"/>
      <c r="N254" s="87"/>
    </row>
    <row r="255" customFormat="false" ht="15" hidden="false" customHeight="true" outlineLevel="0" collapsed="false">
      <c r="L255" s="87"/>
      <c r="M255" s="87"/>
      <c r="N255" s="87"/>
    </row>
    <row r="256" customFormat="false" ht="15" hidden="false" customHeight="true" outlineLevel="0" collapsed="false">
      <c r="L256" s="87"/>
      <c r="M256" s="87"/>
      <c r="N256" s="87"/>
    </row>
    <row r="257" customFormat="false" ht="15" hidden="false" customHeight="true" outlineLevel="0" collapsed="false">
      <c r="L257" s="87"/>
      <c r="M257" s="87"/>
      <c r="N257" s="87"/>
    </row>
    <row r="258" customFormat="false" ht="15" hidden="false" customHeight="true" outlineLevel="0" collapsed="false">
      <c r="L258" s="87"/>
      <c r="M258" s="87"/>
      <c r="N258" s="87"/>
    </row>
    <row r="259" customFormat="false" ht="15" hidden="false" customHeight="true" outlineLevel="0" collapsed="false">
      <c r="L259" s="87"/>
      <c r="M259" s="87"/>
      <c r="N259" s="87"/>
    </row>
    <row r="260" customFormat="false" ht="15" hidden="false" customHeight="true" outlineLevel="0" collapsed="false">
      <c r="L260" s="87"/>
      <c r="M260" s="87"/>
      <c r="N260" s="87"/>
    </row>
    <row r="261" customFormat="false" ht="15" hidden="false" customHeight="true" outlineLevel="0" collapsed="false">
      <c r="L261" s="87"/>
      <c r="M261" s="87"/>
      <c r="N261" s="87"/>
    </row>
    <row r="262" customFormat="false" ht="15" hidden="false" customHeight="true" outlineLevel="0" collapsed="false">
      <c r="L262" s="87"/>
      <c r="M262" s="87"/>
      <c r="N262" s="87"/>
    </row>
    <row r="263" customFormat="false" ht="15" hidden="false" customHeight="true" outlineLevel="0" collapsed="false">
      <c r="L263" s="87"/>
      <c r="M263" s="87"/>
      <c r="N263" s="87"/>
    </row>
    <row r="264" customFormat="false" ht="15" hidden="false" customHeight="true" outlineLevel="0" collapsed="false">
      <c r="L264" s="87"/>
      <c r="M264" s="87"/>
      <c r="N264" s="87"/>
    </row>
    <row r="265" customFormat="false" ht="15" hidden="false" customHeight="true" outlineLevel="0" collapsed="false">
      <c r="L265" s="87"/>
      <c r="M265" s="87"/>
      <c r="N265" s="87"/>
    </row>
    <row r="266" customFormat="false" ht="15" hidden="false" customHeight="true" outlineLevel="0" collapsed="false">
      <c r="L266" s="87"/>
      <c r="M266" s="87"/>
      <c r="N266" s="87"/>
    </row>
    <row r="267" customFormat="false" ht="15" hidden="false" customHeight="true" outlineLevel="0" collapsed="false">
      <c r="L267" s="87"/>
      <c r="M267" s="87"/>
      <c r="N267" s="87"/>
    </row>
    <row r="268" customFormat="false" ht="15" hidden="false" customHeight="true" outlineLevel="0" collapsed="false">
      <c r="L268" s="87"/>
      <c r="M268" s="87"/>
      <c r="N268" s="87"/>
    </row>
    <row r="269" customFormat="false" ht="15" hidden="false" customHeight="true" outlineLevel="0" collapsed="false">
      <c r="L269" s="87"/>
      <c r="M269" s="87"/>
      <c r="N269" s="87"/>
    </row>
    <row r="270" customFormat="false" ht="15" hidden="false" customHeight="true" outlineLevel="0" collapsed="false">
      <c r="L270" s="87"/>
      <c r="M270" s="87"/>
      <c r="N270" s="87"/>
    </row>
    <row r="271" customFormat="false" ht="15" hidden="false" customHeight="true" outlineLevel="0" collapsed="false">
      <c r="L271" s="87"/>
      <c r="M271" s="87"/>
      <c r="N271" s="87"/>
    </row>
    <row r="272" customFormat="false" ht="15" hidden="false" customHeight="true" outlineLevel="0" collapsed="false">
      <c r="L272" s="87"/>
      <c r="M272" s="87"/>
      <c r="N272" s="87"/>
    </row>
    <row r="273" customFormat="false" ht="15" hidden="false" customHeight="true" outlineLevel="0" collapsed="false">
      <c r="L273" s="87"/>
      <c r="M273" s="87"/>
      <c r="N273" s="87"/>
    </row>
    <row r="274" customFormat="false" ht="15" hidden="false" customHeight="true" outlineLevel="0" collapsed="false">
      <c r="L274" s="87"/>
      <c r="M274" s="87"/>
      <c r="N274" s="87"/>
    </row>
    <row r="275" customFormat="false" ht="15" hidden="false" customHeight="true" outlineLevel="0" collapsed="false">
      <c r="L275" s="87"/>
      <c r="M275" s="87"/>
      <c r="N275" s="87"/>
    </row>
    <row r="276" customFormat="false" ht="15" hidden="false" customHeight="true" outlineLevel="0" collapsed="false">
      <c r="L276" s="87"/>
      <c r="M276" s="87"/>
      <c r="N276" s="87"/>
    </row>
    <row r="277" customFormat="false" ht="15" hidden="false" customHeight="true" outlineLevel="0" collapsed="false">
      <c r="L277" s="87"/>
      <c r="M277" s="87"/>
      <c r="N277" s="87"/>
    </row>
    <row r="278" customFormat="false" ht="15" hidden="false" customHeight="true" outlineLevel="0" collapsed="false">
      <c r="L278" s="87"/>
      <c r="M278" s="87"/>
      <c r="N278" s="87"/>
    </row>
    <row r="279" customFormat="false" ht="15" hidden="false" customHeight="true" outlineLevel="0" collapsed="false">
      <c r="L279" s="87"/>
      <c r="M279" s="87"/>
      <c r="N279" s="87"/>
    </row>
    <row r="280" customFormat="false" ht="15" hidden="false" customHeight="true" outlineLevel="0" collapsed="false">
      <c r="L280" s="87"/>
      <c r="M280" s="87"/>
      <c r="N280" s="87"/>
    </row>
    <row r="281" customFormat="false" ht="15" hidden="false" customHeight="true" outlineLevel="0" collapsed="false">
      <c r="L281" s="87"/>
      <c r="M281" s="87"/>
      <c r="N281" s="87"/>
    </row>
    <row r="282" customFormat="false" ht="15" hidden="false" customHeight="true" outlineLevel="0" collapsed="false">
      <c r="L282" s="87"/>
      <c r="M282" s="87"/>
      <c r="N282" s="87"/>
    </row>
    <row r="283" customFormat="false" ht="15" hidden="false" customHeight="true" outlineLevel="0" collapsed="false">
      <c r="L283" s="87"/>
      <c r="M283" s="87"/>
      <c r="N283" s="87"/>
    </row>
    <row r="284" customFormat="false" ht="15" hidden="false" customHeight="true" outlineLevel="0" collapsed="false">
      <c r="L284" s="87"/>
      <c r="M284" s="87"/>
      <c r="N284" s="87"/>
    </row>
    <row r="285" customFormat="false" ht="15" hidden="false" customHeight="true" outlineLevel="0" collapsed="false">
      <c r="L285" s="87"/>
      <c r="M285" s="87"/>
      <c r="N285" s="87"/>
    </row>
    <row r="286" customFormat="false" ht="15" hidden="false" customHeight="true" outlineLevel="0" collapsed="false">
      <c r="L286" s="87"/>
      <c r="M286" s="87"/>
      <c r="N286" s="87"/>
    </row>
    <row r="287" customFormat="false" ht="15" hidden="false" customHeight="true" outlineLevel="0" collapsed="false">
      <c r="L287" s="87"/>
      <c r="M287" s="87"/>
      <c r="N287" s="87"/>
    </row>
    <row r="288" customFormat="false" ht="15" hidden="false" customHeight="true" outlineLevel="0" collapsed="false">
      <c r="L288" s="87"/>
      <c r="M288" s="87"/>
      <c r="N288" s="87"/>
    </row>
    <row r="289" customFormat="false" ht="15" hidden="false" customHeight="true" outlineLevel="0" collapsed="false">
      <c r="L289" s="87"/>
      <c r="M289" s="87"/>
      <c r="N289" s="87"/>
    </row>
    <row r="290" customFormat="false" ht="15" hidden="false" customHeight="true" outlineLevel="0" collapsed="false">
      <c r="L290" s="87"/>
      <c r="M290" s="87"/>
      <c r="N290" s="87"/>
    </row>
    <row r="291" customFormat="false" ht="15" hidden="false" customHeight="true" outlineLevel="0" collapsed="false">
      <c r="L291" s="87"/>
      <c r="M291" s="87"/>
      <c r="N291" s="87"/>
    </row>
    <row r="292" customFormat="false" ht="15" hidden="false" customHeight="true" outlineLevel="0" collapsed="false">
      <c r="L292" s="87"/>
      <c r="M292" s="87"/>
      <c r="N292" s="87"/>
    </row>
    <row r="293" customFormat="false" ht="15" hidden="false" customHeight="true" outlineLevel="0" collapsed="false">
      <c r="L293" s="87"/>
      <c r="M293" s="87"/>
      <c r="N293" s="87"/>
    </row>
    <row r="294" customFormat="false" ht="15" hidden="false" customHeight="true" outlineLevel="0" collapsed="false">
      <c r="L294" s="87"/>
      <c r="M294" s="87"/>
      <c r="N294" s="87"/>
    </row>
    <row r="295" customFormat="false" ht="15" hidden="false" customHeight="true" outlineLevel="0" collapsed="false">
      <c r="L295" s="87"/>
      <c r="M295" s="87"/>
      <c r="N295" s="87"/>
    </row>
    <row r="296" customFormat="false" ht="15" hidden="false" customHeight="true" outlineLevel="0" collapsed="false">
      <c r="L296" s="87"/>
      <c r="M296" s="87"/>
      <c r="N296" s="87"/>
    </row>
    <row r="297" customFormat="false" ht="15" hidden="false" customHeight="true" outlineLevel="0" collapsed="false">
      <c r="L297" s="87"/>
      <c r="M297" s="87"/>
      <c r="N297" s="87"/>
    </row>
    <row r="298" customFormat="false" ht="15" hidden="false" customHeight="true" outlineLevel="0" collapsed="false">
      <c r="L298" s="87"/>
      <c r="M298" s="87"/>
      <c r="N298" s="87"/>
    </row>
    <row r="299" customFormat="false" ht="15" hidden="false" customHeight="true" outlineLevel="0" collapsed="false">
      <c r="L299" s="87"/>
      <c r="M299" s="87"/>
      <c r="N299" s="87"/>
    </row>
    <row r="300" customFormat="false" ht="15" hidden="false" customHeight="true" outlineLevel="0" collapsed="false">
      <c r="L300" s="87"/>
      <c r="M300" s="87"/>
      <c r="N300" s="87"/>
    </row>
    <row r="301" customFormat="false" ht="15" hidden="false" customHeight="true" outlineLevel="0" collapsed="false">
      <c r="L301" s="87"/>
      <c r="M301" s="87"/>
      <c r="N301" s="87"/>
    </row>
  </sheetData>
  <dataValidations count="1">
    <dataValidation allowBlank="true" errorStyle="stop" operator="between" showDropDown="false" showErrorMessage="false" showInputMessage="false" sqref="G2:G301 L2:L301"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C5A8A"/>
    <pageSetUpPr fitToPage="false"/>
  </sheetPr>
  <dimension ref="A1:O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N10" activeCellId="0" sqref="N10"/>
    </sheetView>
  </sheetViews>
  <sheetFormatPr defaultColWidth="8.71484375" defaultRowHeight="15" zeroHeight="false" outlineLevelRow="0" outlineLevelCol="0"/>
  <cols>
    <col collapsed="false" customWidth="true" hidden="false" outlineLevel="0" max="1" min="1" style="0" width="20.29"/>
    <col collapsed="false" customWidth="true" hidden="false" outlineLevel="0" max="2" min="2" style="0" width="16"/>
    <col collapsed="false" customWidth="true" hidden="false" outlineLevel="0" max="3" min="3" style="0" width="22"/>
    <col collapsed="false" customWidth="true" hidden="false" outlineLevel="0" max="4" min="4" style="0" width="12"/>
    <col collapsed="false" customWidth="true" hidden="false" outlineLevel="0" max="5" min="5" style="0" width="22"/>
    <col collapsed="false" customWidth="true" hidden="false" outlineLevel="0" max="6" min="6" style="0" width="16"/>
    <col collapsed="false" customWidth="true" hidden="false" outlineLevel="0" max="7" min="7" style="0" width="12"/>
    <col collapsed="false" customWidth="true" hidden="false" outlineLevel="0" max="8" min="8" style="0" width="18"/>
    <col collapsed="false" customWidth="true" hidden="false" outlineLevel="0" max="9" min="9" style="0" width="12"/>
    <col collapsed="false" customWidth="true" hidden="false" outlineLevel="0" max="11" min="10" style="0" width="16"/>
    <col collapsed="false" customWidth="true" hidden="false" outlineLevel="0" max="12" min="12" style="0" width="20"/>
    <col collapsed="false" customWidth="true" hidden="false" outlineLevel="0" max="13" min="13" style="0" width="18"/>
    <col collapsed="false" customWidth="true" hidden="false" outlineLevel="0" max="14" min="14" style="0" width="22"/>
    <col collapsed="false" customWidth="true" hidden="false" outlineLevel="0" max="15" min="15" style="0" width="20"/>
  </cols>
  <sheetData>
    <row r="1" customFormat="false" ht="30" hidden="false" customHeight="true" outlineLevel="0" collapsed="false">
      <c r="A1" s="86" t="s">
        <v>306</v>
      </c>
      <c r="B1" s="86" t="s">
        <v>2915</v>
      </c>
      <c r="C1" s="86" t="s">
        <v>2916</v>
      </c>
      <c r="D1" s="86" t="s">
        <v>2917</v>
      </c>
      <c r="E1" s="86" t="s">
        <v>2918</v>
      </c>
      <c r="F1" s="86" t="s">
        <v>2902</v>
      </c>
      <c r="G1" s="86" t="s">
        <v>2903</v>
      </c>
      <c r="H1" s="86" t="s">
        <v>2904</v>
      </c>
      <c r="I1" s="86" t="s">
        <v>2919</v>
      </c>
      <c r="J1" s="86" t="s">
        <v>2920</v>
      </c>
      <c r="K1" s="86" t="s">
        <v>2921</v>
      </c>
      <c r="L1" s="86" t="s">
        <v>2922</v>
      </c>
      <c r="M1" s="86" t="s">
        <v>2908</v>
      </c>
      <c r="N1" s="86" t="s">
        <v>2909</v>
      </c>
      <c r="O1" s="86" t="s">
        <v>2910</v>
      </c>
    </row>
    <row r="2" customFormat="false" ht="15" hidden="false" customHeight="true" outlineLevel="0" collapsed="false">
      <c r="A2" s="117" t="s">
        <v>2834</v>
      </c>
      <c r="B2" s="119" t="n">
        <v>98</v>
      </c>
      <c r="C2" s="119" t="s">
        <v>162</v>
      </c>
      <c r="D2" s="118" t="n">
        <v>46106</v>
      </c>
      <c r="E2" s="111" t="s">
        <v>1143</v>
      </c>
      <c r="I2" s="118" t="n">
        <v>46136</v>
      </c>
      <c r="J2" s="119" t="n">
        <v>119703</v>
      </c>
      <c r="K2" s="119" t="s">
        <v>353</v>
      </c>
      <c r="M2" s="111" t="s">
        <v>357</v>
      </c>
      <c r="N2" s="111" t="s">
        <v>162</v>
      </c>
      <c r="O2" s="111" t="s">
        <v>64</v>
      </c>
    </row>
    <row r="3" customFormat="false" ht="15" hidden="false" customHeight="true" outlineLevel="0" collapsed="false">
      <c r="A3" s="117" t="s">
        <v>2851</v>
      </c>
      <c r="B3" s="119" t="n">
        <v>112</v>
      </c>
      <c r="C3" s="119" t="s">
        <v>162</v>
      </c>
      <c r="D3" s="118" t="n">
        <v>46120</v>
      </c>
      <c r="E3" s="119" t="s">
        <v>1148</v>
      </c>
      <c r="M3" s="87"/>
      <c r="N3" s="111" t="s">
        <v>162</v>
      </c>
      <c r="O3" s="111" t="s">
        <v>64</v>
      </c>
    </row>
    <row r="4" customFormat="false" ht="15" hidden="false" customHeight="true" outlineLevel="0" collapsed="false">
      <c r="A4" s="117" t="s">
        <v>2854</v>
      </c>
      <c r="B4" s="119" t="n">
        <v>113</v>
      </c>
      <c r="C4" s="119" t="s">
        <v>162</v>
      </c>
      <c r="D4" s="118" t="n">
        <v>46125</v>
      </c>
      <c r="E4" s="119" t="s">
        <v>1148</v>
      </c>
      <c r="M4" s="87"/>
      <c r="N4" s="111" t="s">
        <v>162</v>
      </c>
      <c r="O4" s="111" t="s">
        <v>64</v>
      </c>
    </row>
    <row r="5" customFormat="false" ht="15" hidden="false" customHeight="true" outlineLevel="0" collapsed="false">
      <c r="A5" s="117" t="s">
        <v>2859</v>
      </c>
      <c r="B5" s="119" t="n">
        <v>133</v>
      </c>
      <c r="C5" s="119" t="s">
        <v>63</v>
      </c>
      <c r="D5" s="118" t="n">
        <v>46141</v>
      </c>
      <c r="E5" s="119" t="s">
        <v>1150</v>
      </c>
      <c r="M5" s="87"/>
      <c r="N5" s="111" t="s">
        <v>63</v>
      </c>
      <c r="O5" s="111" t="s">
        <v>64</v>
      </c>
    </row>
    <row r="6" customFormat="false" ht="15" hidden="false" customHeight="true" outlineLevel="0" collapsed="false">
      <c r="A6" s="117" t="s">
        <v>2862</v>
      </c>
      <c r="B6" s="119" t="n">
        <v>143</v>
      </c>
      <c r="C6" s="119" t="s">
        <v>63</v>
      </c>
      <c r="D6" s="118" t="n">
        <v>46160</v>
      </c>
      <c r="E6" s="119" t="s">
        <v>1150</v>
      </c>
      <c r="M6" s="87"/>
      <c r="N6" s="111" t="s">
        <v>63</v>
      </c>
      <c r="O6" s="111" t="s">
        <v>64</v>
      </c>
    </row>
    <row r="7" customFormat="false" ht="15" hidden="false" customHeight="true" outlineLevel="0" collapsed="false">
      <c r="A7" s="117" t="s">
        <v>2865</v>
      </c>
      <c r="B7" s="119" t="n">
        <v>153</v>
      </c>
      <c r="C7" s="119" t="s">
        <v>128</v>
      </c>
      <c r="D7" s="118" t="n">
        <v>46176</v>
      </c>
      <c r="E7" s="119" t="s">
        <v>1152</v>
      </c>
      <c r="M7" s="87"/>
      <c r="N7" s="111" t="s">
        <v>128</v>
      </c>
      <c r="O7" s="111" t="s">
        <v>64</v>
      </c>
    </row>
    <row r="8" customFormat="false" ht="15" hidden="false" customHeight="true" outlineLevel="0" collapsed="false">
      <c r="A8" s="117" t="s">
        <v>2871</v>
      </c>
      <c r="B8" s="119" t="n">
        <v>154</v>
      </c>
      <c r="C8" s="119" t="s">
        <v>162</v>
      </c>
      <c r="D8" s="118" t="n">
        <v>46181</v>
      </c>
      <c r="E8" s="119" t="s">
        <v>1143</v>
      </c>
      <c r="M8" s="87"/>
      <c r="N8" s="111" t="s">
        <v>162</v>
      </c>
      <c r="O8" s="111" t="s">
        <v>64</v>
      </c>
    </row>
    <row r="9" customFormat="false" ht="15" hidden="false" customHeight="true" outlineLevel="0" collapsed="false">
      <c r="A9" s="117" t="s">
        <v>2873</v>
      </c>
      <c r="B9" s="119" t="n">
        <v>161</v>
      </c>
      <c r="C9" s="119" t="s">
        <v>162</v>
      </c>
      <c r="D9" s="118" t="n">
        <v>46188</v>
      </c>
      <c r="E9" s="119" t="s">
        <v>1143</v>
      </c>
      <c r="M9" s="87"/>
      <c r="N9" s="111" t="s">
        <v>162</v>
      </c>
      <c r="O9" s="111" t="s">
        <v>64</v>
      </c>
    </row>
    <row r="10" customFormat="false" ht="15" hidden="false" customHeight="true" outlineLevel="0" collapsed="false">
      <c r="A10" s="55" t="s">
        <v>2876</v>
      </c>
      <c r="B10" s="119" t="n">
        <v>166</v>
      </c>
      <c r="C10" s="56" t="s">
        <v>128</v>
      </c>
      <c r="D10" s="116" t="n">
        <v>46189</v>
      </c>
      <c r="E10" s="56" t="s">
        <v>1143</v>
      </c>
      <c r="M10" s="87"/>
      <c r="N10" s="87"/>
      <c r="O10" s="87"/>
    </row>
    <row r="11" customFormat="false" ht="15" hidden="false" customHeight="true" outlineLevel="0" collapsed="false">
      <c r="A11" s="55"/>
      <c r="M11" s="87"/>
      <c r="N11" s="87"/>
      <c r="O11" s="87"/>
    </row>
    <row r="12" customFormat="false" ht="15" hidden="false" customHeight="true" outlineLevel="0" collapsed="false">
      <c r="A12" s="55"/>
      <c r="M12" s="87"/>
      <c r="N12" s="87"/>
      <c r="O12" s="87"/>
    </row>
    <row r="13" customFormat="false" ht="15" hidden="false" customHeight="true" outlineLevel="0" collapsed="false">
      <c r="A13" s="55"/>
      <c r="M13" s="87"/>
      <c r="N13" s="87"/>
      <c r="O13" s="87"/>
    </row>
    <row r="14" customFormat="false" ht="15" hidden="false" customHeight="true" outlineLevel="0" collapsed="false">
      <c r="A14" s="55"/>
      <c r="M14" s="87"/>
      <c r="N14" s="87"/>
      <c r="O14" s="87"/>
    </row>
    <row r="15" customFormat="false" ht="15" hidden="false" customHeight="true" outlineLevel="0" collapsed="false">
      <c r="A15" s="55"/>
      <c r="M15" s="87"/>
      <c r="N15" s="87"/>
      <c r="O15" s="87"/>
    </row>
    <row r="16" customFormat="false" ht="15" hidden="false" customHeight="true" outlineLevel="0" collapsed="false">
      <c r="A16" s="55"/>
      <c r="M16" s="87"/>
      <c r="N16" s="87"/>
      <c r="O16" s="87"/>
    </row>
    <row r="17" customFormat="false" ht="15" hidden="false" customHeight="true" outlineLevel="0" collapsed="false">
      <c r="A17" s="55"/>
      <c r="M17" s="87"/>
      <c r="N17" s="87"/>
      <c r="O17" s="87"/>
    </row>
    <row r="18" customFormat="false" ht="15" hidden="false" customHeight="true" outlineLevel="0" collapsed="false">
      <c r="A18" s="55"/>
      <c r="M18" s="87"/>
      <c r="N18" s="87"/>
      <c r="O18" s="87"/>
    </row>
    <row r="19" customFormat="false" ht="15" hidden="false" customHeight="true" outlineLevel="0" collapsed="false">
      <c r="A19" s="55"/>
      <c r="M19" s="87"/>
      <c r="N19" s="87"/>
      <c r="O19" s="87"/>
    </row>
    <row r="20" customFormat="false" ht="15" hidden="false" customHeight="true" outlineLevel="0" collapsed="false">
      <c r="A20" s="55"/>
      <c r="M20" s="87"/>
      <c r="N20" s="87"/>
      <c r="O20" s="87"/>
    </row>
    <row r="21" customFormat="false" ht="15" hidden="false" customHeight="true" outlineLevel="0" collapsed="false">
      <c r="A21" s="55"/>
      <c r="M21" s="87"/>
      <c r="N21" s="87"/>
      <c r="O21" s="87"/>
    </row>
    <row r="22" customFormat="false" ht="15" hidden="false" customHeight="true" outlineLevel="0" collapsed="false">
      <c r="A22" s="55"/>
      <c r="M22" s="87"/>
      <c r="N22" s="87"/>
      <c r="O22" s="87"/>
    </row>
    <row r="23" customFormat="false" ht="15" hidden="false" customHeight="true" outlineLevel="0" collapsed="false">
      <c r="A23" s="55"/>
      <c r="M23" s="87"/>
      <c r="N23" s="87"/>
      <c r="O23" s="87"/>
    </row>
    <row r="24" customFormat="false" ht="15" hidden="false" customHeight="true" outlineLevel="0" collapsed="false">
      <c r="A24" s="55"/>
      <c r="M24" s="87"/>
      <c r="N24" s="87"/>
      <c r="O24" s="87"/>
    </row>
    <row r="25" customFormat="false" ht="15" hidden="false" customHeight="true" outlineLevel="0" collapsed="false">
      <c r="A25" s="55"/>
      <c r="M25" s="87"/>
      <c r="N25" s="87"/>
      <c r="O25" s="87"/>
    </row>
    <row r="26" customFormat="false" ht="15" hidden="false" customHeight="true" outlineLevel="0" collapsed="false">
      <c r="A26" s="55"/>
      <c r="M26" s="87"/>
      <c r="N26" s="87"/>
      <c r="O26" s="87"/>
    </row>
    <row r="27" customFormat="false" ht="15" hidden="false" customHeight="true" outlineLevel="0" collapsed="false">
      <c r="A27" s="55"/>
      <c r="M27" s="87"/>
      <c r="N27" s="87"/>
      <c r="O27" s="87"/>
    </row>
    <row r="28" customFormat="false" ht="15" hidden="false" customHeight="true" outlineLevel="0" collapsed="false">
      <c r="A28" s="55"/>
      <c r="M28" s="87"/>
      <c r="N28" s="87"/>
      <c r="O28" s="87"/>
    </row>
    <row r="29" customFormat="false" ht="15" hidden="false" customHeight="true" outlineLevel="0" collapsed="false">
      <c r="A29" s="55"/>
      <c r="M29" s="87"/>
      <c r="N29" s="87"/>
      <c r="O29" s="87"/>
    </row>
    <row r="30" customFormat="false" ht="15" hidden="false" customHeight="true" outlineLevel="0" collapsed="false">
      <c r="A30" s="55"/>
      <c r="M30" s="87"/>
      <c r="N30" s="87"/>
      <c r="O30" s="87"/>
    </row>
    <row r="31" customFormat="false" ht="15" hidden="false" customHeight="true" outlineLevel="0" collapsed="false">
      <c r="A31" s="55"/>
      <c r="M31" s="87"/>
      <c r="N31" s="87"/>
      <c r="O31" s="87"/>
    </row>
    <row r="32" customFormat="false" ht="15" hidden="false" customHeight="true" outlineLevel="0" collapsed="false">
      <c r="A32" s="55"/>
      <c r="M32" s="87"/>
      <c r="N32" s="87"/>
      <c r="O32" s="87"/>
    </row>
    <row r="33" customFormat="false" ht="15" hidden="false" customHeight="true" outlineLevel="0" collapsed="false">
      <c r="A33" s="55"/>
      <c r="M33" s="87"/>
      <c r="N33" s="87"/>
      <c r="O33" s="87"/>
    </row>
    <row r="34" customFormat="false" ht="15" hidden="false" customHeight="true" outlineLevel="0" collapsed="false">
      <c r="A34" s="55"/>
      <c r="M34" s="87"/>
      <c r="N34" s="87"/>
      <c r="O34" s="87"/>
    </row>
    <row r="35" customFormat="false" ht="15" hidden="false" customHeight="true" outlineLevel="0" collapsed="false">
      <c r="A35" s="55"/>
      <c r="M35" s="87"/>
      <c r="N35" s="87"/>
      <c r="O35" s="87"/>
    </row>
    <row r="36" customFormat="false" ht="15" hidden="false" customHeight="true" outlineLevel="0" collapsed="false">
      <c r="A36" s="55"/>
      <c r="M36" s="87"/>
      <c r="N36" s="87"/>
      <c r="O36" s="87"/>
    </row>
    <row r="37" customFormat="false" ht="15" hidden="false" customHeight="true" outlineLevel="0" collapsed="false">
      <c r="A37" s="55"/>
      <c r="M37" s="87"/>
      <c r="N37" s="87"/>
      <c r="O37" s="87"/>
    </row>
    <row r="38" customFormat="false" ht="15" hidden="false" customHeight="true" outlineLevel="0" collapsed="false">
      <c r="A38" s="55"/>
      <c r="M38" s="87"/>
      <c r="N38" s="87"/>
      <c r="O38" s="87"/>
    </row>
    <row r="39" customFormat="false" ht="15" hidden="false" customHeight="true" outlineLevel="0" collapsed="false">
      <c r="A39" s="55"/>
      <c r="M39" s="87"/>
      <c r="N39" s="87"/>
      <c r="O39" s="87"/>
    </row>
    <row r="40" customFormat="false" ht="15" hidden="false" customHeight="true" outlineLevel="0" collapsed="false">
      <c r="A40" s="55"/>
      <c r="M40" s="87"/>
      <c r="N40" s="87"/>
      <c r="O40" s="87"/>
    </row>
    <row r="41" customFormat="false" ht="15" hidden="false" customHeight="true" outlineLevel="0" collapsed="false">
      <c r="A41" s="55"/>
      <c r="M41" s="87"/>
      <c r="N41" s="87"/>
      <c r="O41" s="87"/>
    </row>
    <row r="42" customFormat="false" ht="15" hidden="false" customHeight="true" outlineLevel="0" collapsed="false">
      <c r="A42" s="55"/>
      <c r="M42" s="87"/>
      <c r="N42" s="87"/>
      <c r="O42" s="87"/>
    </row>
    <row r="43" customFormat="false" ht="15" hidden="false" customHeight="true" outlineLevel="0" collapsed="false">
      <c r="A43" s="55"/>
      <c r="M43" s="87"/>
      <c r="N43" s="87"/>
      <c r="O43" s="87"/>
    </row>
    <row r="44" customFormat="false" ht="15" hidden="false" customHeight="true" outlineLevel="0" collapsed="false">
      <c r="A44" s="55"/>
      <c r="M44" s="87"/>
      <c r="N44" s="87"/>
      <c r="O44" s="87"/>
    </row>
    <row r="45" customFormat="false" ht="15" hidden="false" customHeight="true" outlineLevel="0" collapsed="false">
      <c r="A45" s="55"/>
      <c r="M45" s="87"/>
      <c r="N45" s="87"/>
      <c r="O45" s="87"/>
    </row>
    <row r="46" customFormat="false" ht="15" hidden="false" customHeight="true" outlineLevel="0" collapsed="false">
      <c r="A46" s="55"/>
      <c r="M46" s="87"/>
      <c r="N46" s="87"/>
      <c r="O46" s="87"/>
    </row>
    <row r="47" customFormat="false" ht="15" hidden="false" customHeight="true" outlineLevel="0" collapsed="false">
      <c r="A47" s="55"/>
      <c r="M47" s="87"/>
      <c r="N47" s="87"/>
      <c r="O47" s="87"/>
    </row>
    <row r="48" customFormat="false" ht="15" hidden="false" customHeight="true" outlineLevel="0" collapsed="false">
      <c r="A48" s="55"/>
      <c r="M48" s="87"/>
      <c r="N48" s="87"/>
      <c r="O48" s="87"/>
    </row>
    <row r="49" customFormat="false" ht="15" hidden="false" customHeight="true" outlineLevel="0" collapsed="false">
      <c r="A49" s="55"/>
      <c r="M49" s="87"/>
      <c r="N49" s="87"/>
      <c r="O49" s="87"/>
    </row>
    <row r="50" customFormat="false" ht="15" hidden="false" customHeight="true" outlineLevel="0" collapsed="false">
      <c r="A50" s="55"/>
      <c r="M50" s="87"/>
      <c r="N50" s="87"/>
      <c r="O50" s="87"/>
    </row>
    <row r="51" customFormat="false" ht="15" hidden="false" customHeight="true" outlineLevel="0" collapsed="false">
      <c r="A51" s="55"/>
      <c r="M51" s="87"/>
      <c r="N51" s="87"/>
      <c r="O51" s="87"/>
    </row>
    <row r="52" customFormat="false" ht="15" hidden="false" customHeight="true" outlineLevel="0" collapsed="false">
      <c r="A52" s="55"/>
      <c r="M52" s="87"/>
      <c r="N52" s="87"/>
      <c r="O52" s="87"/>
    </row>
    <row r="53" customFormat="false" ht="15" hidden="false" customHeight="true" outlineLevel="0" collapsed="false">
      <c r="A53" s="55"/>
      <c r="M53" s="87"/>
      <c r="N53" s="87"/>
      <c r="O53" s="87"/>
    </row>
    <row r="54" customFormat="false" ht="15" hidden="false" customHeight="true" outlineLevel="0" collapsed="false">
      <c r="A54" s="55"/>
      <c r="M54" s="87"/>
      <c r="N54" s="87"/>
      <c r="O54" s="87"/>
    </row>
    <row r="55" customFormat="false" ht="15" hidden="false" customHeight="true" outlineLevel="0" collapsed="false">
      <c r="A55" s="55"/>
      <c r="M55" s="87"/>
      <c r="N55" s="87"/>
      <c r="O55" s="87"/>
    </row>
    <row r="56" customFormat="false" ht="15" hidden="false" customHeight="true" outlineLevel="0" collapsed="false">
      <c r="A56" s="55"/>
      <c r="M56" s="87"/>
      <c r="N56" s="87"/>
      <c r="O56" s="87"/>
    </row>
    <row r="57" customFormat="false" ht="15" hidden="false" customHeight="true" outlineLevel="0" collapsed="false">
      <c r="A57" s="55"/>
      <c r="M57" s="87"/>
      <c r="N57" s="87"/>
      <c r="O57" s="87"/>
    </row>
    <row r="58" customFormat="false" ht="15" hidden="false" customHeight="true" outlineLevel="0" collapsed="false">
      <c r="A58" s="55"/>
      <c r="M58" s="87"/>
      <c r="N58" s="87"/>
      <c r="O58" s="87"/>
    </row>
    <row r="59" customFormat="false" ht="15" hidden="false" customHeight="true" outlineLevel="0" collapsed="false">
      <c r="A59" s="55"/>
      <c r="M59" s="87"/>
      <c r="N59" s="87"/>
      <c r="O59" s="87"/>
    </row>
    <row r="60" customFormat="false" ht="15" hidden="false" customHeight="true" outlineLevel="0" collapsed="false">
      <c r="A60" s="55"/>
      <c r="M60" s="87"/>
      <c r="N60" s="87"/>
      <c r="O60" s="87"/>
    </row>
    <row r="61" customFormat="false" ht="15" hidden="false" customHeight="true" outlineLevel="0" collapsed="false">
      <c r="A61" s="55"/>
      <c r="M61" s="87"/>
      <c r="N61" s="87"/>
      <c r="O61" s="87"/>
    </row>
    <row r="62" customFormat="false" ht="15" hidden="false" customHeight="true" outlineLevel="0" collapsed="false">
      <c r="A62" s="55"/>
      <c r="M62" s="87"/>
      <c r="N62" s="87"/>
      <c r="O62" s="87"/>
    </row>
    <row r="63" customFormat="false" ht="15" hidden="false" customHeight="true" outlineLevel="0" collapsed="false">
      <c r="A63" s="55"/>
      <c r="M63" s="87"/>
      <c r="N63" s="87"/>
      <c r="O63" s="87"/>
    </row>
    <row r="64" customFormat="false" ht="15" hidden="false" customHeight="true" outlineLevel="0" collapsed="false">
      <c r="A64" s="55"/>
      <c r="M64" s="87"/>
      <c r="N64" s="87"/>
      <c r="O64" s="87"/>
    </row>
    <row r="65" customFormat="false" ht="15" hidden="false" customHeight="true" outlineLevel="0" collapsed="false">
      <c r="A65" s="55"/>
      <c r="M65" s="87"/>
      <c r="N65" s="87"/>
      <c r="O65" s="87"/>
    </row>
    <row r="66" customFormat="false" ht="15" hidden="false" customHeight="true" outlineLevel="0" collapsed="false">
      <c r="A66" s="55"/>
      <c r="M66" s="87"/>
      <c r="N66" s="87"/>
      <c r="O66" s="87"/>
    </row>
    <row r="67" customFormat="false" ht="15" hidden="false" customHeight="true" outlineLevel="0" collapsed="false">
      <c r="A67" s="55"/>
      <c r="M67" s="87"/>
      <c r="N67" s="87"/>
      <c r="O67" s="87"/>
    </row>
    <row r="68" customFormat="false" ht="15" hidden="false" customHeight="true" outlineLevel="0" collapsed="false">
      <c r="A68" s="55"/>
      <c r="M68" s="87"/>
      <c r="N68" s="87"/>
      <c r="O68" s="87"/>
    </row>
    <row r="69" customFormat="false" ht="15" hidden="false" customHeight="true" outlineLevel="0" collapsed="false">
      <c r="A69" s="55"/>
      <c r="M69" s="87"/>
      <c r="N69" s="87"/>
      <c r="O69" s="87"/>
    </row>
    <row r="70" customFormat="false" ht="15" hidden="false" customHeight="true" outlineLevel="0" collapsed="false">
      <c r="A70" s="55"/>
      <c r="M70" s="87"/>
      <c r="N70" s="87"/>
      <c r="O70" s="87"/>
    </row>
    <row r="71" customFormat="false" ht="15" hidden="false" customHeight="true" outlineLevel="0" collapsed="false">
      <c r="A71" s="55"/>
      <c r="M71" s="87"/>
      <c r="N71" s="87"/>
      <c r="O71" s="87"/>
    </row>
    <row r="72" customFormat="false" ht="15" hidden="false" customHeight="true" outlineLevel="0" collapsed="false">
      <c r="A72" s="55"/>
      <c r="M72" s="87"/>
      <c r="N72" s="87"/>
      <c r="O72" s="87"/>
    </row>
    <row r="73" customFormat="false" ht="15" hidden="false" customHeight="true" outlineLevel="0" collapsed="false">
      <c r="A73" s="55"/>
      <c r="M73" s="87"/>
      <c r="N73" s="87"/>
      <c r="O73" s="87"/>
    </row>
    <row r="74" customFormat="false" ht="15" hidden="false" customHeight="true" outlineLevel="0" collapsed="false">
      <c r="A74" s="55"/>
      <c r="M74" s="87"/>
      <c r="N74" s="87"/>
      <c r="O74" s="87"/>
    </row>
    <row r="75" customFormat="false" ht="15" hidden="false" customHeight="true" outlineLevel="0" collapsed="false">
      <c r="A75" s="55"/>
      <c r="M75" s="87"/>
      <c r="N75" s="87"/>
      <c r="O75" s="87"/>
    </row>
    <row r="76" customFormat="false" ht="15" hidden="false" customHeight="true" outlineLevel="0" collapsed="false">
      <c r="A76" s="55"/>
      <c r="M76" s="87"/>
      <c r="N76" s="87"/>
      <c r="O76" s="87"/>
    </row>
    <row r="77" customFormat="false" ht="15" hidden="false" customHeight="true" outlineLevel="0" collapsed="false">
      <c r="A77" s="55"/>
      <c r="M77" s="87"/>
      <c r="N77" s="87"/>
      <c r="O77" s="87"/>
    </row>
    <row r="78" customFormat="false" ht="15" hidden="false" customHeight="true" outlineLevel="0" collapsed="false">
      <c r="A78" s="55"/>
      <c r="M78" s="87"/>
      <c r="N78" s="87"/>
      <c r="O78" s="87"/>
    </row>
    <row r="79" customFormat="false" ht="15" hidden="false" customHeight="true" outlineLevel="0" collapsed="false">
      <c r="A79" s="55"/>
      <c r="M79" s="87"/>
      <c r="N79" s="87"/>
      <c r="O79" s="87"/>
    </row>
    <row r="80" customFormat="false" ht="15" hidden="false" customHeight="true" outlineLevel="0" collapsed="false">
      <c r="A80" s="55"/>
      <c r="M80" s="87"/>
      <c r="N80" s="87"/>
      <c r="O80" s="87"/>
    </row>
    <row r="81" customFormat="false" ht="15" hidden="false" customHeight="true" outlineLevel="0" collapsed="false">
      <c r="A81" s="55"/>
      <c r="M81" s="87"/>
      <c r="N81" s="87"/>
      <c r="O81" s="87"/>
    </row>
    <row r="82" customFormat="false" ht="15" hidden="false" customHeight="true" outlineLevel="0" collapsed="false">
      <c r="A82" s="55"/>
      <c r="M82" s="87"/>
      <c r="N82" s="87"/>
      <c r="O82" s="87"/>
    </row>
    <row r="83" customFormat="false" ht="15" hidden="false" customHeight="true" outlineLevel="0" collapsed="false">
      <c r="A83" s="55"/>
      <c r="M83" s="87"/>
      <c r="N83" s="87"/>
      <c r="O83" s="87"/>
    </row>
    <row r="84" customFormat="false" ht="15" hidden="false" customHeight="true" outlineLevel="0" collapsed="false">
      <c r="A84" s="55"/>
      <c r="M84" s="87"/>
      <c r="N84" s="87"/>
      <c r="O84" s="87"/>
    </row>
    <row r="85" customFormat="false" ht="15" hidden="false" customHeight="true" outlineLevel="0" collapsed="false">
      <c r="A85" s="55"/>
      <c r="M85" s="87"/>
      <c r="N85" s="87"/>
      <c r="O85" s="87"/>
    </row>
    <row r="86" customFormat="false" ht="15" hidden="false" customHeight="true" outlineLevel="0" collapsed="false">
      <c r="A86" s="55"/>
      <c r="M86" s="87"/>
      <c r="N86" s="87"/>
      <c r="O86" s="87"/>
    </row>
    <row r="87" customFormat="false" ht="15" hidden="false" customHeight="true" outlineLevel="0" collapsed="false">
      <c r="A87" s="55"/>
      <c r="M87" s="87"/>
      <c r="N87" s="87"/>
      <c r="O87" s="87"/>
    </row>
    <row r="88" customFormat="false" ht="15" hidden="false" customHeight="true" outlineLevel="0" collapsed="false">
      <c r="A88" s="55"/>
      <c r="M88" s="87"/>
      <c r="N88" s="87"/>
      <c r="O88" s="87"/>
    </row>
    <row r="89" customFormat="false" ht="15" hidden="false" customHeight="true" outlineLevel="0" collapsed="false">
      <c r="A89" s="55"/>
      <c r="M89" s="87"/>
      <c r="N89" s="87"/>
      <c r="O89" s="87"/>
    </row>
    <row r="90" customFormat="false" ht="15" hidden="false" customHeight="true" outlineLevel="0" collapsed="false">
      <c r="A90" s="55"/>
      <c r="M90" s="87"/>
      <c r="N90" s="87"/>
      <c r="O90" s="87"/>
    </row>
    <row r="91" customFormat="false" ht="15" hidden="false" customHeight="true" outlineLevel="0" collapsed="false">
      <c r="A91" s="55"/>
      <c r="M91" s="87"/>
      <c r="N91" s="87"/>
      <c r="O91" s="87"/>
    </row>
    <row r="92" customFormat="false" ht="15" hidden="false" customHeight="true" outlineLevel="0" collapsed="false">
      <c r="A92" s="55"/>
      <c r="M92" s="87"/>
      <c r="N92" s="87"/>
      <c r="O92" s="87"/>
    </row>
    <row r="93" customFormat="false" ht="15" hidden="false" customHeight="true" outlineLevel="0" collapsed="false">
      <c r="A93" s="55"/>
      <c r="M93" s="87"/>
      <c r="N93" s="87"/>
      <c r="O93" s="87"/>
    </row>
    <row r="94" customFormat="false" ht="15" hidden="false" customHeight="true" outlineLevel="0" collapsed="false">
      <c r="A94" s="55"/>
      <c r="M94" s="87"/>
      <c r="N94" s="87"/>
      <c r="O94" s="87"/>
    </row>
    <row r="95" customFormat="false" ht="15" hidden="false" customHeight="true" outlineLevel="0" collapsed="false">
      <c r="A95" s="55"/>
      <c r="M95" s="87"/>
      <c r="N95" s="87"/>
      <c r="O95" s="87"/>
    </row>
    <row r="96" customFormat="false" ht="15" hidden="false" customHeight="true" outlineLevel="0" collapsed="false">
      <c r="A96" s="55"/>
      <c r="M96" s="87"/>
      <c r="N96" s="87"/>
      <c r="O96" s="87"/>
    </row>
    <row r="97" customFormat="false" ht="15" hidden="false" customHeight="true" outlineLevel="0" collapsed="false">
      <c r="A97" s="55"/>
      <c r="M97" s="87"/>
      <c r="N97" s="87"/>
      <c r="O97" s="87"/>
    </row>
    <row r="98" customFormat="false" ht="15" hidden="false" customHeight="true" outlineLevel="0" collapsed="false">
      <c r="A98" s="55"/>
      <c r="M98" s="87"/>
      <c r="N98" s="87"/>
      <c r="O98" s="87"/>
    </row>
    <row r="99" customFormat="false" ht="15" hidden="false" customHeight="true" outlineLevel="0" collapsed="false">
      <c r="A99" s="55"/>
      <c r="M99" s="87"/>
      <c r="N99" s="87"/>
      <c r="O99" s="87"/>
    </row>
    <row r="100" customFormat="false" ht="15" hidden="false" customHeight="true" outlineLevel="0" collapsed="false">
      <c r="A100" s="55"/>
      <c r="M100" s="87"/>
      <c r="N100" s="87"/>
      <c r="O100" s="87"/>
    </row>
    <row r="101" customFormat="false" ht="15" hidden="false" customHeight="true" outlineLevel="0" collapsed="false">
      <c r="A101" s="55"/>
      <c r="M101" s="87"/>
      <c r="N101" s="87"/>
      <c r="O101" s="87"/>
    </row>
    <row r="102" customFormat="false" ht="15" hidden="false" customHeight="true" outlineLevel="0" collapsed="false">
      <c r="A102" s="55"/>
      <c r="M102" s="87"/>
      <c r="N102" s="87"/>
      <c r="O102" s="87"/>
    </row>
    <row r="103" customFormat="false" ht="15" hidden="false" customHeight="true" outlineLevel="0" collapsed="false">
      <c r="A103" s="55"/>
      <c r="M103" s="87"/>
      <c r="N103" s="87"/>
      <c r="O103" s="87"/>
    </row>
    <row r="104" customFormat="false" ht="15" hidden="false" customHeight="true" outlineLevel="0" collapsed="false">
      <c r="A104" s="55"/>
      <c r="M104" s="87"/>
      <c r="N104" s="87"/>
      <c r="O104" s="87"/>
    </row>
    <row r="105" customFormat="false" ht="15" hidden="false" customHeight="true" outlineLevel="0" collapsed="false">
      <c r="A105" s="55"/>
      <c r="M105" s="87"/>
      <c r="N105" s="87"/>
      <c r="O105" s="87"/>
    </row>
    <row r="106" customFormat="false" ht="15" hidden="false" customHeight="true" outlineLevel="0" collapsed="false">
      <c r="A106" s="55"/>
      <c r="M106" s="87"/>
      <c r="N106" s="87"/>
      <c r="O106" s="87"/>
    </row>
    <row r="107" customFormat="false" ht="15" hidden="false" customHeight="true" outlineLevel="0" collapsed="false">
      <c r="A107" s="55"/>
      <c r="M107" s="87"/>
      <c r="N107" s="87"/>
      <c r="O107" s="87"/>
    </row>
    <row r="108" customFormat="false" ht="15" hidden="false" customHeight="true" outlineLevel="0" collapsed="false">
      <c r="A108" s="55"/>
      <c r="M108" s="87"/>
      <c r="N108" s="87"/>
      <c r="O108" s="87"/>
    </row>
    <row r="109" customFormat="false" ht="15" hidden="false" customHeight="true" outlineLevel="0" collapsed="false">
      <c r="A109" s="55"/>
      <c r="M109" s="87"/>
      <c r="N109" s="87"/>
      <c r="O109" s="87"/>
    </row>
    <row r="110" customFormat="false" ht="15" hidden="false" customHeight="true" outlineLevel="0" collapsed="false">
      <c r="A110" s="55"/>
      <c r="M110" s="87"/>
      <c r="N110" s="87"/>
      <c r="O110" s="87"/>
    </row>
    <row r="111" customFormat="false" ht="15" hidden="false" customHeight="true" outlineLevel="0" collapsed="false">
      <c r="A111" s="55"/>
      <c r="M111" s="87"/>
      <c r="N111" s="87"/>
      <c r="O111" s="87"/>
    </row>
    <row r="112" customFormat="false" ht="15" hidden="false" customHeight="true" outlineLevel="0" collapsed="false">
      <c r="A112" s="55"/>
      <c r="M112" s="87"/>
      <c r="N112" s="87"/>
      <c r="O112" s="87"/>
    </row>
    <row r="113" customFormat="false" ht="15" hidden="false" customHeight="true" outlineLevel="0" collapsed="false">
      <c r="A113" s="55"/>
      <c r="M113" s="87"/>
      <c r="N113" s="87"/>
      <c r="O113" s="87"/>
    </row>
    <row r="114" customFormat="false" ht="15" hidden="false" customHeight="true" outlineLevel="0" collapsed="false">
      <c r="A114" s="55"/>
      <c r="M114" s="87"/>
      <c r="N114" s="87"/>
      <c r="O114" s="87"/>
    </row>
    <row r="115" customFormat="false" ht="15" hidden="false" customHeight="true" outlineLevel="0" collapsed="false">
      <c r="A115" s="55"/>
      <c r="M115" s="87"/>
      <c r="N115" s="87"/>
      <c r="O115" s="87"/>
    </row>
    <row r="116" customFormat="false" ht="15" hidden="false" customHeight="true" outlineLevel="0" collapsed="false">
      <c r="A116" s="55"/>
      <c r="M116" s="87"/>
      <c r="N116" s="87"/>
      <c r="O116" s="87"/>
    </row>
    <row r="117" customFormat="false" ht="15" hidden="false" customHeight="true" outlineLevel="0" collapsed="false">
      <c r="A117" s="55"/>
      <c r="M117" s="87"/>
      <c r="N117" s="87"/>
      <c r="O117" s="87"/>
    </row>
    <row r="118" customFormat="false" ht="15" hidden="false" customHeight="true" outlineLevel="0" collapsed="false">
      <c r="A118" s="55"/>
      <c r="M118" s="87"/>
      <c r="N118" s="87"/>
      <c r="O118" s="87"/>
    </row>
    <row r="119" customFormat="false" ht="15" hidden="false" customHeight="true" outlineLevel="0" collapsed="false">
      <c r="A119" s="55"/>
      <c r="M119" s="87"/>
      <c r="N119" s="87"/>
      <c r="O119" s="87"/>
    </row>
    <row r="120" customFormat="false" ht="15" hidden="false" customHeight="true" outlineLevel="0" collapsed="false">
      <c r="A120" s="55"/>
      <c r="M120" s="87"/>
      <c r="N120" s="87"/>
      <c r="O120" s="87"/>
    </row>
    <row r="121" customFormat="false" ht="15" hidden="false" customHeight="true" outlineLevel="0" collapsed="false">
      <c r="A121" s="55"/>
      <c r="M121" s="87"/>
      <c r="N121" s="87"/>
      <c r="O121" s="87"/>
    </row>
    <row r="122" customFormat="false" ht="15" hidden="false" customHeight="true" outlineLevel="0" collapsed="false">
      <c r="A122" s="55"/>
      <c r="M122" s="87"/>
      <c r="N122" s="87"/>
      <c r="O122" s="87"/>
    </row>
    <row r="123" customFormat="false" ht="15" hidden="false" customHeight="true" outlineLevel="0" collapsed="false">
      <c r="A123" s="55"/>
      <c r="M123" s="87"/>
      <c r="N123" s="87"/>
      <c r="O123" s="87"/>
    </row>
    <row r="124" customFormat="false" ht="15" hidden="false" customHeight="true" outlineLevel="0" collapsed="false">
      <c r="A124" s="55"/>
      <c r="M124" s="87"/>
      <c r="N124" s="87"/>
      <c r="O124" s="87"/>
    </row>
    <row r="125" customFormat="false" ht="15" hidden="false" customHeight="true" outlineLevel="0" collapsed="false">
      <c r="A125" s="55"/>
      <c r="M125" s="87"/>
      <c r="N125" s="87"/>
      <c r="O125" s="87"/>
    </row>
    <row r="126" customFormat="false" ht="15" hidden="false" customHeight="true" outlineLevel="0" collapsed="false">
      <c r="A126" s="55"/>
      <c r="M126" s="87"/>
      <c r="N126" s="87"/>
      <c r="O126" s="87"/>
    </row>
    <row r="127" customFormat="false" ht="15" hidden="false" customHeight="true" outlineLevel="0" collapsed="false">
      <c r="A127" s="55"/>
      <c r="M127" s="87"/>
      <c r="N127" s="87"/>
      <c r="O127" s="87"/>
    </row>
    <row r="128" customFormat="false" ht="15" hidden="false" customHeight="true" outlineLevel="0" collapsed="false">
      <c r="A128" s="55"/>
      <c r="M128" s="87"/>
      <c r="N128" s="87"/>
      <c r="O128" s="87"/>
    </row>
    <row r="129" customFormat="false" ht="15" hidden="false" customHeight="true" outlineLevel="0" collapsed="false">
      <c r="A129" s="55"/>
      <c r="M129" s="87"/>
      <c r="N129" s="87"/>
      <c r="O129" s="87"/>
    </row>
    <row r="130" customFormat="false" ht="15" hidden="false" customHeight="true" outlineLevel="0" collapsed="false">
      <c r="A130" s="55"/>
      <c r="M130" s="87"/>
      <c r="N130" s="87"/>
      <c r="O130" s="87"/>
    </row>
    <row r="131" customFormat="false" ht="15" hidden="false" customHeight="true" outlineLevel="0" collapsed="false">
      <c r="A131" s="55"/>
      <c r="M131" s="87"/>
      <c r="N131" s="87"/>
      <c r="O131" s="87"/>
    </row>
    <row r="132" customFormat="false" ht="15" hidden="false" customHeight="true" outlineLevel="0" collapsed="false">
      <c r="A132" s="55"/>
      <c r="M132" s="87"/>
      <c r="N132" s="87"/>
      <c r="O132" s="87"/>
    </row>
    <row r="133" customFormat="false" ht="15" hidden="false" customHeight="true" outlineLevel="0" collapsed="false">
      <c r="A133" s="55"/>
      <c r="M133" s="87"/>
      <c r="N133" s="87"/>
      <c r="O133" s="87"/>
    </row>
    <row r="134" customFormat="false" ht="15" hidden="false" customHeight="true" outlineLevel="0" collapsed="false">
      <c r="A134" s="55"/>
      <c r="M134" s="87"/>
      <c r="N134" s="87"/>
      <c r="O134" s="87"/>
    </row>
    <row r="135" customFormat="false" ht="15" hidden="false" customHeight="true" outlineLevel="0" collapsed="false">
      <c r="A135" s="55"/>
      <c r="M135" s="87"/>
      <c r="N135" s="87"/>
      <c r="O135" s="87"/>
    </row>
    <row r="136" customFormat="false" ht="15" hidden="false" customHeight="true" outlineLevel="0" collapsed="false">
      <c r="A136" s="55"/>
      <c r="M136" s="87"/>
      <c r="N136" s="87"/>
      <c r="O136" s="87"/>
    </row>
    <row r="137" customFormat="false" ht="15" hidden="false" customHeight="true" outlineLevel="0" collapsed="false">
      <c r="A137" s="55"/>
      <c r="M137" s="87"/>
      <c r="N137" s="87"/>
      <c r="O137" s="87"/>
    </row>
    <row r="138" customFormat="false" ht="15" hidden="false" customHeight="true" outlineLevel="0" collapsed="false">
      <c r="A138" s="55"/>
      <c r="M138" s="87"/>
      <c r="N138" s="87"/>
      <c r="O138" s="87"/>
    </row>
    <row r="139" customFormat="false" ht="15" hidden="false" customHeight="true" outlineLevel="0" collapsed="false">
      <c r="A139" s="55"/>
      <c r="M139" s="87"/>
      <c r="N139" s="87"/>
      <c r="O139" s="87"/>
    </row>
    <row r="140" customFormat="false" ht="15" hidden="false" customHeight="true" outlineLevel="0" collapsed="false">
      <c r="A140" s="55"/>
      <c r="M140" s="87"/>
      <c r="N140" s="87"/>
      <c r="O140" s="87"/>
    </row>
    <row r="141" customFormat="false" ht="15" hidden="false" customHeight="true" outlineLevel="0" collapsed="false">
      <c r="A141" s="55"/>
      <c r="M141" s="87"/>
      <c r="N141" s="87"/>
      <c r="O141" s="87"/>
    </row>
    <row r="142" customFormat="false" ht="15" hidden="false" customHeight="true" outlineLevel="0" collapsed="false">
      <c r="A142" s="55"/>
      <c r="M142" s="87"/>
      <c r="N142" s="87"/>
      <c r="O142" s="87"/>
    </row>
    <row r="143" customFormat="false" ht="15" hidden="false" customHeight="true" outlineLevel="0" collapsed="false">
      <c r="A143" s="55"/>
      <c r="M143" s="87"/>
      <c r="N143" s="87"/>
      <c r="O143" s="87"/>
    </row>
    <row r="144" customFormat="false" ht="15" hidden="false" customHeight="true" outlineLevel="0" collapsed="false">
      <c r="A144" s="55"/>
      <c r="M144" s="87"/>
      <c r="N144" s="87"/>
      <c r="O144" s="87"/>
    </row>
    <row r="145" customFormat="false" ht="15" hidden="false" customHeight="true" outlineLevel="0" collapsed="false">
      <c r="A145" s="55"/>
      <c r="M145" s="87"/>
      <c r="N145" s="87"/>
      <c r="O145" s="87"/>
    </row>
    <row r="146" customFormat="false" ht="15" hidden="false" customHeight="true" outlineLevel="0" collapsed="false">
      <c r="A146" s="55"/>
      <c r="M146" s="87"/>
      <c r="N146" s="87"/>
      <c r="O146" s="87"/>
    </row>
    <row r="147" customFormat="false" ht="15" hidden="false" customHeight="true" outlineLevel="0" collapsed="false">
      <c r="A147" s="55"/>
      <c r="M147" s="87"/>
      <c r="N147" s="87"/>
      <c r="O147" s="87"/>
    </row>
    <row r="148" customFormat="false" ht="15" hidden="false" customHeight="true" outlineLevel="0" collapsed="false">
      <c r="A148" s="55"/>
      <c r="M148" s="87"/>
      <c r="N148" s="87"/>
      <c r="O148" s="87"/>
    </row>
    <row r="149" customFormat="false" ht="15" hidden="false" customHeight="true" outlineLevel="0" collapsed="false">
      <c r="A149" s="55"/>
      <c r="M149" s="87"/>
      <c r="N149" s="87"/>
      <c r="O149" s="87"/>
    </row>
    <row r="150" customFormat="false" ht="15" hidden="false" customHeight="true" outlineLevel="0" collapsed="false">
      <c r="A150" s="55"/>
      <c r="M150" s="87"/>
      <c r="N150" s="87"/>
      <c r="O150" s="87"/>
    </row>
    <row r="151" customFormat="false" ht="15" hidden="false" customHeight="true" outlineLevel="0" collapsed="false">
      <c r="A151" s="55"/>
      <c r="M151" s="87"/>
      <c r="N151" s="87"/>
      <c r="O151" s="87"/>
    </row>
    <row r="152" customFormat="false" ht="15" hidden="false" customHeight="true" outlineLevel="0" collapsed="false">
      <c r="A152" s="55"/>
      <c r="M152" s="87"/>
      <c r="N152" s="87"/>
      <c r="O152" s="87"/>
    </row>
    <row r="153" customFormat="false" ht="15" hidden="false" customHeight="true" outlineLevel="0" collapsed="false">
      <c r="A153" s="55"/>
      <c r="M153" s="87"/>
      <c r="N153" s="87"/>
      <c r="O153" s="87"/>
    </row>
    <row r="154" customFormat="false" ht="15" hidden="false" customHeight="true" outlineLevel="0" collapsed="false">
      <c r="A154" s="55"/>
      <c r="M154" s="87"/>
      <c r="N154" s="87"/>
      <c r="O154" s="87"/>
    </row>
    <row r="155" customFormat="false" ht="15" hidden="false" customHeight="true" outlineLevel="0" collapsed="false">
      <c r="A155" s="55"/>
      <c r="M155" s="87"/>
      <c r="N155" s="87"/>
      <c r="O155" s="87"/>
    </row>
    <row r="156" customFormat="false" ht="15" hidden="false" customHeight="true" outlineLevel="0" collapsed="false">
      <c r="A156" s="55"/>
      <c r="M156" s="87"/>
      <c r="N156" s="87"/>
      <c r="O156" s="87"/>
    </row>
    <row r="157" customFormat="false" ht="15" hidden="false" customHeight="true" outlineLevel="0" collapsed="false">
      <c r="A157" s="55"/>
      <c r="M157" s="87"/>
      <c r="N157" s="87"/>
      <c r="O157" s="87"/>
    </row>
    <row r="158" customFormat="false" ht="15" hidden="false" customHeight="true" outlineLevel="0" collapsed="false">
      <c r="A158" s="55"/>
      <c r="M158" s="87"/>
      <c r="N158" s="87"/>
      <c r="O158" s="87"/>
    </row>
    <row r="159" customFormat="false" ht="15" hidden="false" customHeight="true" outlineLevel="0" collapsed="false">
      <c r="A159" s="55"/>
      <c r="M159" s="87"/>
      <c r="N159" s="87"/>
      <c r="O159" s="87"/>
    </row>
    <row r="160" customFormat="false" ht="15" hidden="false" customHeight="true" outlineLevel="0" collapsed="false">
      <c r="A160" s="55"/>
      <c r="M160" s="87"/>
      <c r="N160" s="87"/>
      <c r="O160" s="87"/>
    </row>
    <row r="161" customFormat="false" ht="15" hidden="false" customHeight="true" outlineLevel="0" collapsed="false">
      <c r="A161" s="55"/>
      <c r="M161" s="87"/>
      <c r="N161" s="87"/>
      <c r="O161" s="87"/>
    </row>
    <row r="162" customFormat="false" ht="15" hidden="false" customHeight="true" outlineLevel="0" collapsed="false">
      <c r="A162" s="55"/>
      <c r="M162" s="87"/>
      <c r="N162" s="87"/>
      <c r="O162" s="87"/>
    </row>
    <row r="163" customFormat="false" ht="15" hidden="false" customHeight="true" outlineLevel="0" collapsed="false">
      <c r="A163" s="55"/>
      <c r="M163" s="87"/>
      <c r="N163" s="87"/>
      <c r="O163" s="87"/>
    </row>
    <row r="164" customFormat="false" ht="15" hidden="false" customHeight="true" outlineLevel="0" collapsed="false">
      <c r="A164" s="55"/>
      <c r="M164" s="87"/>
      <c r="N164" s="87"/>
      <c r="O164" s="87"/>
    </row>
    <row r="165" customFormat="false" ht="15" hidden="false" customHeight="true" outlineLevel="0" collapsed="false">
      <c r="A165" s="55"/>
      <c r="M165" s="87"/>
      <c r="N165" s="87"/>
      <c r="O165" s="87"/>
    </row>
    <row r="166" customFormat="false" ht="15" hidden="false" customHeight="true" outlineLevel="0" collapsed="false">
      <c r="A166" s="55"/>
      <c r="M166" s="87"/>
      <c r="N166" s="87"/>
      <c r="O166" s="87"/>
    </row>
    <row r="167" customFormat="false" ht="15" hidden="false" customHeight="true" outlineLevel="0" collapsed="false">
      <c r="A167" s="55"/>
      <c r="M167" s="87"/>
      <c r="N167" s="87"/>
      <c r="O167" s="87"/>
    </row>
    <row r="168" customFormat="false" ht="15" hidden="false" customHeight="true" outlineLevel="0" collapsed="false">
      <c r="A168" s="55"/>
      <c r="M168" s="87"/>
      <c r="N168" s="87"/>
      <c r="O168" s="87"/>
    </row>
    <row r="169" customFormat="false" ht="15" hidden="false" customHeight="true" outlineLevel="0" collapsed="false">
      <c r="A169" s="55"/>
      <c r="M169" s="87"/>
      <c r="N169" s="87"/>
      <c r="O169" s="87"/>
    </row>
    <row r="170" customFormat="false" ht="15" hidden="false" customHeight="true" outlineLevel="0" collapsed="false">
      <c r="A170" s="55"/>
      <c r="M170" s="87"/>
      <c r="N170" s="87"/>
      <c r="O170" s="87"/>
    </row>
    <row r="171" customFormat="false" ht="15" hidden="false" customHeight="true" outlineLevel="0" collapsed="false">
      <c r="A171" s="55"/>
      <c r="M171" s="87"/>
      <c r="N171" s="87"/>
      <c r="O171" s="87"/>
    </row>
    <row r="172" customFormat="false" ht="15" hidden="false" customHeight="true" outlineLevel="0" collapsed="false">
      <c r="A172" s="55"/>
      <c r="M172" s="87"/>
      <c r="N172" s="87"/>
      <c r="O172" s="87"/>
    </row>
    <row r="173" customFormat="false" ht="15" hidden="false" customHeight="true" outlineLevel="0" collapsed="false">
      <c r="A173" s="55"/>
      <c r="M173" s="87"/>
      <c r="N173" s="87"/>
      <c r="O173" s="87"/>
    </row>
    <row r="174" customFormat="false" ht="15" hidden="false" customHeight="true" outlineLevel="0" collapsed="false">
      <c r="A174" s="55"/>
      <c r="M174" s="87"/>
      <c r="N174" s="87"/>
      <c r="O174" s="87"/>
    </row>
    <row r="175" customFormat="false" ht="15" hidden="false" customHeight="true" outlineLevel="0" collapsed="false">
      <c r="A175" s="55"/>
      <c r="M175" s="87"/>
      <c r="N175" s="87"/>
      <c r="O175" s="87"/>
    </row>
    <row r="176" customFormat="false" ht="15" hidden="false" customHeight="true" outlineLevel="0" collapsed="false">
      <c r="A176" s="55"/>
      <c r="M176" s="87"/>
      <c r="N176" s="87"/>
      <c r="O176" s="87"/>
    </row>
    <row r="177" customFormat="false" ht="15" hidden="false" customHeight="true" outlineLevel="0" collapsed="false">
      <c r="A177" s="55"/>
      <c r="M177" s="87"/>
      <c r="N177" s="87"/>
      <c r="O177" s="87"/>
    </row>
    <row r="178" customFormat="false" ht="15" hidden="false" customHeight="true" outlineLevel="0" collapsed="false">
      <c r="A178" s="55"/>
      <c r="M178" s="87"/>
      <c r="N178" s="87"/>
      <c r="O178" s="87"/>
    </row>
    <row r="179" customFormat="false" ht="15" hidden="false" customHeight="true" outlineLevel="0" collapsed="false">
      <c r="A179" s="55"/>
      <c r="M179" s="87"/>
      <c r="N179" s="87"/>
      <c r="O179" s="87"/>
    </row>
    <row r="180" customFormat="false" ht="15" hidden="false" customHeight="true" outlineLevel="0" collapsed="false">
      <c r="A180" s="55"/>
      <c r="M180" s="87"/>
      <c r="N180" s="87"/>
      <c r="O180" s="87"/>
    </row>
    <row r="181" customFormat="false" ht="15" hidden="false" customHeight="true" outlineLevel="0" collapsed="false">
      <c r="A181" s="55"/>
      <c r="M181" s="87"/>
      <c r="N181" s="87"/>
      <c r="O181" s="87"/>
    </row>
    <row r="182" customFormat="false" ht="15" hidden="false" customHeight="true" outlineLevel="0" collapsed="false">
      <c r="A182" s="55"/>
      <c r="M182" s="87"/>
      <c r="N182" s="87"/>
      <c r="O182" s="87"/>
    </row>
    <row r="183" customFormat="false" ht="15" hidden="false" customHeight="true" outlineLevel="0" collapsed="false">
      <c r="A183" s="55"/>
      <c r="M183" s="87"/>
      <c r="N183" s="87"/>
      <c r="O183" s="87"/>
    </row>
    <row r="184" customFormat="false" ht="15" hidden="false" customHeight="true" outlineLevel="0" collapsed="false">
      <c r="A184" s="55"/>
      <c r="M184" s="87"/>
      <c r="N184" s="87"/>
      <c r="O184" s="87"/>
    </row>
    <row r="185" customFormat="false" ht="15" hidden="false" customHeight="true" outlineLevel="0" collapsed="false">
      <c r="A185" s="55"/>
      <c r="M185" s="87"/>
      <c r="N185" s="87"/>
      <c r="O185" s="87"/>
    </row>
    <row r="186" customFormat="false" ht="15" hidden="false" customHeight="true" outlineLevel="0" collapsed="false">
      <c r="A186" s="55"/>
      <c r="M186" s="87"/>
      <c r="N186" s="87"/>
      <c r="O186" s="87"/>
    </row>
    <row r="187" customFormat="false" ht="15" hidden="false" customHeight="true" outlineLevel="0" collapsed="false">
      <c r="A187" s="55"/>
      <c r="M187" s="87"/>
      <c r="N187" s="87"/>
      <c r="O187" s="87"/>
    </row>
    <row r="188" customFormat="false" ht="15" hidden="false" customHeight="true" outlineLevel="0" collapsed="false">
      <c r="A188" s="55"/>
      <c r="M188" s="87"/>
      <c r="N188" s="87"/>
      <c r="O188" s="87"/>
    </row>
    <row r="189" customFormat="false" ht="15" hidden="false" customHeight="true" outlineLevel="0" collapsed="false">
      <c r="A189" s="55"/>
      <c r="M189" s="87"/>
      <c r="N189" s="87"/>
      <c r="O189" s="87"/>
    </row>
    <row r="190" customFormat="false" ht="15" hidden="false" customHeight="true" outlineLevel="0" collapsed="false">
      <c r="A190" s="55"/>
      <c r="M190" s="87"/>
      <c r="N190" s="87"/>
      <c r="O190" s="87"/>
    </row>
    <row r="191" customFormat="false" ht="15" hidden="false" customHeight="true" outlineLevel="0" collapsed="false">
      <c r="A191" s="55"/>
      <c r="M191" s="87"/>
      <c r="N191" s="87"/>
      <c r="O191" s="87"/>
    </row>
    <row r="192" customFormat="false" ht="15" hidden="false" customHeight="true" outlineLevel="0" collapsed="false">
      <c r="A192" s="55"/>
      <c r="M192" s="87"/>
      <c r="N192" s="87"/>
      <c r="O192" s="87"/>
    </row>
    <row r="193" customFormat="false" ht="15" hidden="false" customHeight="true" outlineLevel="0" collapsed="false">
      <c r="A193" s="55"/>
      <c r="M193" s="87"/>
      <c r="N193" s="87"/>
      <c r="O193" s="87"/>
    </row>
    <row r="194" customFormat="false" ht="15" hidden="false" customHeight="true" outlineLevel="0" collapsed="false">
      <c r="A194" s="55"/>
      <c r="M194" s="87"/>
      <c r="N194" s="87"/>
      <c r="O194" s="87"/>
    </row>
    <row r="195" customFormat="false" ht="15" hidden="false" customHeight="true" outlineLevel="0" collapsed="false">
      <c r="A195" s="55"/>
      <c r="M195" s="87"/>
      <c r="N195" s="87"/>
      <c r="O195" s="87"/>
    </row>
    <row r="196" customFormat="false" ht="15" hidden="false" customHeight="true" outlineLevel="0" collapsed="false">
      <c r="A196" s="55"/>
      <c r="M196" s="87"/>
      <c r="N196" s="87"/>
      <c r="O196" s="87"/>
    </row>
    <row r="197" customFormat="false" ht="15" hidden="false" customHeight="true" outlineLevel="0" collapsed="false">
      <c r="A197" s="55"/>
      <c r="M197" s="87"/>
      <c r="N197" s="87"/>
      <c r="O197" s="87"/>
    </row>
    <row r="198" customFormat="false" ht="15" hidden="false" customHeight="true" outlineLevel="0" collapsed="false">
      <c r="A198" s="55"/>
      <c r="M198" s="87"/>
      <c r="N198" s="87"/>
      <c r="O198" s="87"/>
    </row>
    <row r="199" customFormat="false" ht="15" hidden="false" customHeight="true" outlineLevel="0" collapsed="false">
      <c r="A199" s="55"/>
      <c r="M199" s="87"/>
      <c r="N199" s="87"/>
      <c r="O199" s="87"/>
    </row>
    <row r="200" customFormat="false" ht="15" hidden="false" customHeight="true" outlineLevel="0" collapsed="false">
      <c r="A200" s="55"/>
      <c r="M200" s="87"/>
      <c r="N200" s="87"/>
      <c r="O200" s="87"/>
    </row>
    <row r="201" customFormat="false" ht="15" hidden="false" customHeight="true" outlineLevel="0" collapsed="false">
      <c r="A201" s="55"/>
      <c r="M201" s="87"/>
      <c r="N201" s="87"/>
      <c r="O201" s="87"/>
    </row>
    <row r="202" customFormat="false" ht="15" hidden="false" customHeight="true" outlineLevel="0" collapsed="false">
      <c r="M202" s="87"/>
      <c r="N202" s="87"/>
      <c r="O202" s="87"/>
    </row>
    <row r="203" customFormat="false" ht="15" hidden="false" customHeight="true" outlineLevel="0" collapsed="false">
      <c r="M203" s="87"/>
      <c r="N203" s="87"/>
      <c r="O203" s="87"/>
    </row>
    <row r="204" customFormat="false" ht="15" hidden="false" customHeight="true" outlineLevel="0" collapsed="false">
      <c r="M204" s="87"/>
      <c r="N204" s="87"/>
      <c r="O204" s="87"/>
    </row>
    <row r="205" customFormat="false" ht="15" hidden="false" customHeight="true" outlineLevel="0" collapsed="false">
      <c r="M205" s="87"/>
      <c r="N205" s="87"/>
      <c r="O205" s="87"/>
    </row>
    <row r="206" customFormat="false" ht="15" hidden="false" customHeight="true" outlineLevel="0" collapsed="false">
      <c r="M206" s="87"/>
      <c r="N206" s="87"/>
      <c r="O206" s="87"/>
    </row>
    <row r="207" customFormat="false" ht="15" hidden="false" customHeight="true" outlineLevel="0" collapsed="false">
      <c r="M207" s="87"/>
      <c r="N207" s="87"/>
      <c r="O207" s="87"/>
    </row>
    <row r="208" customFormat="false" ht="15" hidden="false" customHeight="true" outlineLevel="0" collapsed="false">
      <c r="M208" s="87"/>
      <c r="N208" s="87"/>
      <c r="O208" s="87"/>
    </row>
    <row r="209" customFormat="false" ht="15" hidden="false" customHeight="true" outlineLevel="0" collapsed="false">
      <c r="M209" s="87"/>
      <c r="N209" s="87"/>
      <c r="O209" s="87"/>
    </row>
    <row r="210" customFormat="false" ht="15" hidden="false" customHeight="true" outlineLevel="0" collapsed="false">
      <c r="M210" s="87"/>
      <c r="N210" s="87"/>
      <c r="O210" s="87"/>
    </row>
    <row r="211" customFormat="false" ht="15" hidden="false" customHeight="true" outlineLevel="0" collapsed="false">
      <c r="M211" s="87"/>
      <c r="N211" s="87"/>
      <c r="O211" s="87"/>
    </row>
    <row r="212" customFormat="false" ht="15" hidden="false" customHeight="true" outlineLevel="0" collapsed="false">
      <c r="M212" s="87"/>
      <c r="N212" s="87"/>
      <c r="O212" s="87"/>
    </row>
    <row r="213" customFormat="false" ht="15" hidden="false" customHeight="true" outlineLevel="0" collapsed="false">
      <c r="M213" s="87"/>
      <c r="N213" s="87"/>
      <c r="O213" s="87"/>
    </row>
    <row r="214" customFormat="false" ht="15" hidden="false" customHeight="true" outlineLevel="0" collapsed="false">
      <c r="M214" s="87"/>
      <c r="N214" s="87"/>
      <c r="O214" s="87"/>
    </row>
    <row r="215" customFormat="false" ht="15" hidden="false" customHeight="true" outlineLevel="0" collapsed="false">
      <c r="M215" s="87"/>
      <c r="N215" s="87"/>
      <c r="O215" s="87"/>
    </row>
    <row r="216" customFormat="false" ht="15" hidden="false" customHeight="true" outlineLevel="0" collapsed="false">
      <c r="M216" s="87"/>
      <c r="N216" s="87"/>
      <c r="O216" s="87"/>
    </row>
    <row r="217" customFormat="false" ht="15" hidden="false" customHeight="true" outlineLevel="0" collapsed="false">
      <c r="M217" s="87"/>
      <c r="N217" s="87"/>
      <c r="O217" s="87"/>
    </row>
    <row r="218" customFormat="false" ht="15" hidden="false" customHeight="true" outlineLevel="0" collapsed="false">
      <c r="M218" s="87"/>
      <c r="N218" s="87"/>
      <c r="O218" s="87"/>
    </row>
    <row r="219" customFormat="false" ht="15" hidden="false" customHeight="true" outlineLevel="0" collapsed="false">
      <c r="M219" s="87"/>
      <c r="N219" s="87"/>
      <c r="O219" s="87"/>
    </row>
    <row r="220" customFormat="false" ht="15" hidden="false" customHeight="true" outlineLevel="0" collapsed="false">
      <c r="M220" s="87"/>
      <c r="N220" s="87"/>
      <c r="O220" s="87"/>
    </row>
    <row r="221" customFormat="false" ht="15" hidden="false" customHeight="true" outlineLevel="0" collapsed="false">
      <c r="M221" s="87"/>
      <c r="N221" s="87"/>
      <c r="O221" s="87"/>
    </row>
    <row r="222" customFormat="false" ht="15" hidden="false" customHeight="true" outlineLevel="0" collapsed="false">
      <c r="M222" s="87"/>
      <c r="N222" s="87"/>
      <c r="O222" s="87"/>
    </row>
    <row r="223" customFormat="false" ht="15" hidden="false" customHeight="true" outlineLevel="0" collapsed="false">
      <c r="M223" s="87"/>
      <c r="N223" s="87"/>
      <c r="O223" s="87"/>
    </row>
    <row r="224" customFormat="false" ht="15" hidden="false" customHeight="true" outlineLevel="0" collapsed="false">
      <c r="M224" s="87"/>
      <c r="N224" s="87"/>
      <c r="O224" s="87"/>
    </row>
    <row r="225" customFormat="false" ht="15" hidden="false" customHeight="true" outlineLevel="0" collapsed="false">
      <c r="M225" s="87"/>
      <c r="N225" s="87"/>
      <c r="O225" s="87"/>
    </row>
    <row r="226" customFormat="false" ht="15" hidden="false" customHeight="true" outlineLevel="0" collapsed="false">
      <c r="M226" s="87"/>
      <c r="N226" s="87"/>
      <c r="O226" s="87"/>
    </row>
    <row r="227" customFormat="false" ht="15" hidden="false" customHeight="true" outlineLevel="0" collapsed="false">
      <c r="M227" s="87"/>
      <c r="N227" s="87"/>
      <c r="O227" s="87"/>
    </row>
    <row r="228" customFormat="false" ht="15" hidden="false" customHeight="true" outlineLevel="0" collapsed="false">
      <c r="M228" s="87"/>
      <c r="N228" s="87"/>
      <c r="O228" s="87"/>
    </row>
    <row r="229" customFormat="false" ht="15" hidden="false" customHeight="true" outlineLevel="0" collapsed="false">
      <c r="M229" s="87"/>
      <c r="N229" s="87"/>
      <c r="O229" s="87"/>
    </row>
    <row r="230" customFormat="false" ht="15" hidden="false" customHeight="true" outlineLevel="0" collapsed="false">
      <c r="M230" s="87"/>
      <c r="N230" s="87"/>
      <c r="O230" s="87"/>
    </row>
    <row r="231" customFormat="false" ht="15" hidden="false" customHeight="true" outlineLevel="0" collapsed="false">
      <c r="M231" s="87"/>
      <c r="N231" s="87"/>
      <c r="O231" s="87"/>
    </row>
    <row r="232" customFormat="false" ht="15" hidden="false" customHeight="true" outlineLevel="0" collapsed="false">
      <c r="M232" s="87"/>
      <c r="N232" s="87"/>
      <c r="O232" s="87"/>
    </row>
    <row r="233" customFormat="false" ht="15" hidden="false" customHeight="true" outlineLevel="0" collapsed="false">
      <c r="M233" s="87"/>
      <c r="N233" s="87"/>
      <c r="O233" s="87"/>
    </row>
    <row r="234" customFormat="false" ht="15" hidden="false" customHeight="true" outlineLevel="0" collapsed="false">
      <c r="M234" s="87"/>
      <c r="N234" s="87"/>
      <c r="O234" s="87"/>
    </row>
    <row r="235" customFormat="false" ht="15" hidden="false" customHeight="true" outlineLevel="0" collapsed="false">
      <c r="M235" s="87"/>
      <c r="N235" s="87"/>
      <c r="O235" s="87"/>
    </row>
    <row r="236" customFormat="false" ht="15" hidden="false" customHeight="true" outlineLevel="0" collapsed="false">
      <c r="M236" s="87"/>
      <c r="N236" s="87"/>
      <c r="O236" s="87"/>
    </row>
    <row r="237" customFormat="false" ht="15" hidden="false" customHeight="true" outlineLevel="0" collapsed="false">
      <c r="M237" s="87"/>
      <c r="N237" s="87"/>
      <c r="O237" s="87"/>
    </row>
    <row r="238" customFormat="false" ht="15" hidden="false" customHeight="true" outlineLevel="0" collapsed="false">
      <c r="M238" s="87"/>
      <c r="N238" s="87"/>
      <c r="O238" s="87"/>
    </row>
    <row r="239" customFormat="false" ht="15" hidden="false" customHeight="true" outlineLevel="0" collapsed="false">
      <c r="M239" s="87"/>
      <c r="N239" s="87"/>
      <c r="O239" s="87"/>
    </row>
    <row r="240" customFormat="false" ht="15" hidden="false" customHeight="true" outlineLevel="0" collapsed="false">
      <c r="M240" s="87"/>
      <c r="N240" s="87"/>
      <c r="O240" s="87"/>
    </row>
    <row r="241" customFormat="false" ht="15" hidden="false" customHeight="true" outlineLevel="0" collapsed="false">
      <c r="M241" s="87"/>
      <c r="N241" s="87"/>
      <c r="O241" s="87"/>
    </row>
    <row r="242" customFormat="false" ht="15" hidden="false" customHeight="true" outlineLevel="0" collapsed="false">
      <c r="M242" s="87"/>
      <c r="N242" s="87"/>
      <c r="O242" s="87"/>
    </row>
    <row r="243" customFormat="false" ht="15" hidden="false" customHeight="true" outlineLevel="0" collapsed="false">
      <c r="M243" s="87"/>
      <c r="N243" s="87"/>
      <c r="O243" s="87"/>
    </row>
    <row r="244" customFormat="false" ht="15" hidden="false" customHeight="true" outlineLevel="0" collapsed="false">
      <c r="M244" s="87"/>
      <c r="N244" s="87"/>
      <c r="O244" s="87"/>
    </row>
    <row r="245" customFormat="false" ht="15" hidden="false" customHeight="true" outlineLevel="0" collapsed="false">
      <c r="M245" s="87"/>
      <c r="N245" s="87"/>
      <c r="O245" s="87"/>
    </row>
    <row r="246" customFormat="false" ht="15" hidden="false" customHeight="true" outlineLevel="0" collapsed="false">
      <c r="M246" s="87"/>
      <c r="N246" s="87"/>
      <c r="O246" s="87"/>
    </row>
    <row r="247" customFormat="false" ht="15" hidden="false" customHeight="true" outlineLevel="0" collapsed="false">
      <c r="M247" s="87"/>
      <c r="N247" s="87"/>
      <c r="O247" s="87"/>
    </row>
    <row r="248" customFormat="false" ht="15" hidden="false" customHeight="true" outlineLevel="0" collapsed="false">
      <c r="M248" s="87"/>
      <c r="N248" s="87"/>
      <c r="O248" s="87"/>
    </row>
    <row r="249" customFormat="false" ht="15" hidden="false" customHeight="true" outlineLevel="0" collapsed="false">
      <c r="M249" s="87"/>
      <c r="N249" s="87"/>
      <c r="O249" s="87"/>
    </row>
    <row r="250" customFormat="false" ht="15" hidden="false" customHeight="true" outlineLevel="0" collapsed="false">
      <c r="M250" s="87"/>
      <c r="N250" s="87"/>
      <c r="O250" s="87"/>
    </row>
    <row r="251" customFormat="false" ht="15" hidden="false" customHeight="true" outlineLevel="0" collapsed="false">
      <c r="M251" s="87"/>
      <c r="N251" s="87"/>
      <c r="O251" s="87"/>
    </row>
    <row r="252" customFormat="false" ht="15" hidden="false" customHeight="true" outlineLevel="0" collapsed="false">
      <c r="M252" s="87"/>
      <c r="N252" s="87"/>
      <c r="O252" s="87"/>
    </row>
    <row r="253" customFormat="false" ht="15" hidden="false" customHeight="true" outlineLevel="0" collapsed="false">
      <c r="M253" s="87"/>
      <c r="N253" s="87"/>
      <c r="O253" s="87"/>
    </row>
    <row r="254" customFormat="false" ht="15" hidden="false" customHeight="true" outlineLevel="0" collapsed="false">
      <c r="M254" s="87"/>
      <c r="N254" s="87"/>
      <c r="O254" s="87"/>
    </row>
    <row r="255" customFormat="false" ht="15" hidden="false" customHeight="true" outlineLevel="0" collapsed="false">
      <c r="M255" s="87"/>
      <c r="N255" s="87"/>
      <c r="O255" s="87"/>
    </row>
    <row r="256" customFormat="false" ht="15" hidden="false" customHeight="true" outlineLevel="0" collapsed="false">
      <c r="M256" s="87"/>
      <c r="N256" s="87"/>
      <c r="O256" s="87"/>
    </row>
    <row r="257" customFormat="false" ht="15" hidden="false" customHeight="true" outlineLevel="0" collapsed="false">
      <c r="M257" s="87"/>
      <c r="N257" s="87"/>
      <c r="O257" s="87"/>
    </row>
    <row r="258" customFormat="false" ht="15" hidden="false" customHeight="true" outlineLevel="0" collapsed="false">
      <c r="M258" s="87"/>
      <c r="N258" s="87"/>
      <c r="O258" s="87"/>
    </row>
    <row r="259" customFormat="false" ht="15" hidden="false" customHeight="true" outlineLevel="0" collapsed="false">
      <c r="M259" s="87"/>
      <c r="N259" s="87"/>
      <c r="O259" s="87"/>
    </row>
    <row r="260" customFormat="false" ht="15" hidden="false" customHeight="true" outlineLevel="0" collapsed="false">
      <c r="M260" s="87"/>
      <c r="N260" s="87"/>
      <c r="O260" s="87"/>
    </row>
    <row r="261" customFormat="false" ht="15" hidden="false" customHeight="true" outlineLevel="0" collapsed="false">
      <c r="M261" s="87"/>
      <c r="N261" s="87"/>
      <c r="O261" s="87"/>
    </row>
    <row r="262" customFormat="false" ht="15" hidden="false" customHeight="true" outlineLevel="0" collapsed="false">
      <c r="M262" s="87"/>
      <c r="N262" s="87"/>
      <c r="O262" s="87"/>
    </row>
    <row r="263" customFormat="false" ht="15" hidden="false" customHeight="true" outlineLevel="0" collapsed="false">
      <c r="M263" s="87"/>
      <c r="N263" s="87"/>
      <c r="O263" s="87"/>
    </row>
    <row r="264" customFormat="false" ht="15" hidden="false" customHeight="true" outlineLevel="0" collapsed="false">
      <c r="M264" s="87"/>
      <c r="N264" s="87"/>
      <c r="O264" s="87"/>
    </row>
    <row r="265" customFormat="false" ht="15" hidden="false" customHeight="true" outlineLevel="0" collapsed="false">
      <c r="M265" s="87"/>
      <c r="N265" s="87"/>
      <c r="O265" s="87"/>
    </row>
    <row r="266" customFormat="false" ht="15" hidden="false" customHeight="true" outlineLevel="0" collapsed="false">
      <c r="M266" s="87"/>
      <c r="N266" s="87"/>
      <c r="O266" s="87"/>
    </row>
    <row r="267" customFormat="false" ht="15" hidden="false" customHeight="true" outlineLevel="0" collapsed="false">
      <c r="M267" s="87"/>
      <c r="N267" s="87"/>
      <c r="O267" s="87"/>
    </row>
    <row r="268" customFormat="false" ht="15" hidden="false" customHeight="true" outlineLevel="0" collapsed="false">
      <c r="M268" s="87"/>
      <c r="N268" s="87"/>
      <c r="O268" s="87"/>
    </row>
    <row r="269" customFormat="false" ht="15" hidden="false" customHeight="true" outlineLevel="0" collapsed="false">
      <c r="M269" s="87"/>
      <c r="N269" s="87"/>
      <c r="O269" s="87"/>
    </row>
    <row r="270" customFormat="false" ht="15" hidden="false" customHeight="true" outlineLevel="0" collapsed="false">
      <c r="M270" s="87"/>
      <c r="N270" s="87"/>
      <c r="O270" s="87"/>
    </row>
    <row r="271" customFormat="false" ht="15" hidden="false" customHeight="true" outlineLevel="0" collapsed="false">
      <c r="M271" s="87"/>
      <c r="N271" s="87"/>
      <c r="O271" s="87"/>
    </row>
    <row r="272" customFormat="false" ht="15" hidden="false" customHeight="true" outlineLevel="0" collapsed="false">
      <c r="M272" s="87"/>
      <c r="N272" s="87"/>
      <c r="O272" s="87"/>
    </row>
    <row r="273" customFormat="false" ht="15" hidden="false" customHeight="true" outlineLevel="0" collapsed="false">
      <c r="M273" s="87"/>
      <c r="N273" s="87"/>
      <c r="O273" s="87"/>
    </row>
    <row r="274" customFormat="false" ht="15" hidden="false" customHeight="true" outlineLevel="0" collapsed="false">
      <c r="M274" s="87"/>
      <c r="N274" s="87"/>
      <c r="O274" s="87"/>
    </row>
    <row r="275" customFormat="false" ht="15" hidden="false" customHeight="true" outlineLevel="0" collapsed="false">
      <c r="M275" s="87"/>
      <c r="N275" s="87"/>
      <c r="O275" s="87"/>
    </row>
    <row r="276" customFormat="false" ht="15" hidden="false" customHeight="true" outlineLevel="0" collapsed="false">
      <c r="M276" s="87"/>
      <c r="N276" s="87"/>
      <c r="O276" s="87"/>
    </row>
    <row r="277" customFormat="false" ht="15" hidden="false" customHeight="true" outlineLevel="0" collapsed="false">
      <c r="M277" s="87"/>
      <c r="N277" s="87"/>
      <c r="O277" s="87"/>
    </row>
    <row r="278" customFormat="false" ht="15" hidden="false" customHeight="true" outlineLevel="0" collapsed="false">
      <c r="M278" s="87"/>
      <c r="N278" s="87"/>
      <c r="O278" s="87"/>
    </row>
    <row r="279" customFormat="false" ht="15" hidden="false" customHeight="true" outlineLevel="0" collapsed="false">
      <c r="M279" s="87"/>
      <c r="N279" s="87"/>
      <c r="O279" s="87"/>
    </row>
    <row r="280" customFormat="false" ht="15" hidden="false" customHeight="true" outlineLevel="0" collapsed="false">
      <c r="M280" s="87"/>
      <c r="N280" s="87"/>
      <c r="O280" s="87"/>
    </row>
    <row r="281" customFormat="false" ht="15" hidden="false" customHeight="true" outlineLevel="0" collapsed="false">
      <c r="M281" s="87"/>
      <c r="N281" s="87"/>
      <c r="O281" s="87"/>
    </row>
    <row r="282" customFormat="false" ht="15" hidden="false" customHeight="true" outlineLevel="0" collapsed="false">
      <c r="M282" s="87"/>
      <c r="N282" s="87"/>
      <c r="O282" s="87"/>
    </row>
    <row r="283" customFormat="false" ht="15" hidden="false" customHeight="true" outlineLevel="0" collapsed="false">
      <c r="M283" s="87"/>
      <c r="N283" s="87"/>
      <c r="O283" s="87"/>
    </row>
    <row r="284" customFormat="false" ht="15" hidden="false" customHeight="true" outlineLevel="0" collapsed="false">
      <c r="M284" s="87"/>
      <c r="N284" s="87"/>
      <c r="O284" s="87"/>
    </row>
    <row r="285" customFormat="false" ht="15" hidden="false" customHeight="true" outlineLevel="0" collapsed="false">
      <c r="M285" s="87"/>
      <c r="N285" s="87"/>
      <c r="O285" s="87"/>
    </row>
    <row r="286" customFormat="false" ht="15" hidden="false" customHeight="true" outlineLevel="0" collapsed="false">
      <c r="M286" s="87"/>
      <c r="N286" s="87"/>
      <c r="O286" s="87"/>
    </row>
    <row r="287" customFormat="false" ht="15" hidden="false" customHeight="true" outlineLevel="0" collapsed="false">
      <c r="M287" s="87"/>
      <c r="N287" s="87"/>
      <c r="O287" s="87"/>
    </row>
    <row r="288" customFormat="false" ht="15" hidden="false" customHeight="true" outlineLevel="0" collapsed="false">
      <c r="M288" s="87"/>
      <c r="N288" s="87"/>
      <c r="O288" s="87"/>
    </row>
    <row r="289" customFormat="false" ht="15" hidden="false" customHeight="true" outlineLevel="0" collapsed="false">
      <c r="M289" s="87"/>
      <c r="N289" s="87"/>
      <c r="O289" s="87"/>
    </row>
    <row r="290" customFormat="false" ht="15" hidden="false" customHeight="true" outlineLevel="0" collapsed="false">
      <c r="M290" s="87"/>
      <c r="N290" s="87"/>
      <c r="O290" s="87"/>
    </row>
    <row r="291" customFormat="false" ht="15" hidden="false" customHeight="true" outlineLevel="0" collapsed="false">
      <c r="M291" s="87"/>
      <c r="N291" s="87"/>
      <c r="O291" s="87"/>
    </row>
    <row r="292" customFormat="false" ht="15" hidden="false" customHeight="true" outlineLevel="0" collapsed="false">
      <c r="M292" s="87"/>
      <c r="N292" s="87"/>
      <c r="O292" s="87"/>
    </row>
    <row r="293" customFormat="false" ht="15" hidden="false" customHeight="true" outlineLevel="0" collapsed="false">
      <c r="M293" s="87"/>
      <c r="N293" s="87"/>
      <c r="O293" s="87"/>
    </row>
    <row r="294" customFormat="false" ht="15" hidden="false" customHeight="true" outlineLevel="0" collapsed="false">
      <c r="M294" s="87"/>
      <c r="N294" s="87"/>
      <c r="O294" s="87"/>
    </row>
    <row r="295" customFormat="false" ht="15" hidden="false" customHeight="true" outlineLevel="0" collapsed="false">
      <c r="M295" s="87"/>
      <c r="N295" s="87"/>
      <c r="O295" s="87"/>
    </row>
    <row r="296" customFormat="false" ht="15" hidden="false" customHeight="true" outlineLevel="0" collapsed="false">
      <c r="M296" s="87"/>
      <c r="N296" s="87"/>
      <c r="O296" s="87"/>
    </row>
    <row r="297" customFormat="false" ht="15" hidden="false" customHeight="true" outlineLevel="0" collapsed="false">
      <c r="M297" s="87"/>
      <c r="N297" s="87"/>
      <c r="O297" s="87"/>
    </row>
    <row r="298" customFormat="false" ht="15" hidden="false" customHeight="true" outlineLevel="0" collapsed="false">
      <c r="M298" s="87"/>
      <c r="N298" s="87"/>
      <c r="O298" s="87"/>
    </row>
    <row r="299" customFormat="false" ht="15" hidden="false" customHeight="true" outlineLevel="0" collapsed="false">
      <c r="M299" s="87"/>
      <c r="N299" s="87"/>
      <c r="O299" s="87"/>
    </row>
    <row r="300" customFormat="false" ht="15" hidden="false" customHeight="true" outlineLevel="0" collapsed="false">
      <c r="M300" s="87"/>
      <c r="N300" s="87"/>
      <c r="O300" s="87"/>
    </row>
    <row r="301" customFormat="false" ht="15" hidden="false" customHeight="true" outlineLevel="0" collapsed="false">
      <c r="M301" s="87"/>
      <c r="N301" s="87"/>
      <c r="O301" s="87"/>
    </row>
  </sheetData>
  <dataValidations count="1">
    <dataValidation allowBlank="true" errorStyle="stop" operator="between" showDropDown="false" showErrorMessage="false" showInputMessage="false" sqref="H2:H301 M2:M301"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C5A8A"/>
    <pageSetUpPr fitToPage="false"/>
  </sheetPr>
  <dimension ref="A1:E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22"/>
    <col collapsed="false" customWidth="true" hidden="false" outlineLevel="0" max="4" min="4" style="0" width="12"/>
    <col collapsed="false" customWidth="true" hidden="false" outlineLevel="0" max="5" min="5" style="0" width="40"/>
  </cols>
  <sheetData>
    <row r="1" customFormat="false" ht="30" hidden="false" customHeight="true" outlineLevel="0" collapsed="false">
      <c r="A1" s="86" t="s">
        <v>306</v>
      </c>
      <c r="B1" s="86" t="s">
        <v>2923</v>
      </c>
      <c r="C1" s="86" t="s">
        <v>2924</v>
      </c>
      <c r="D1" s="86" t="s">
        <v>2925</v>
      </c>
      <c r="E1" s="86" t="s">
        <v>2926</v>
      </c>
    </row>
    <row r="2" customFormat="false" ht="15" hidden="false" customHeight="true" outlineLevel="0" collapsed="false">
      <c r="A2" s="55"/>
    </row>
    <row r="3" customFormat="false" ht="15" hidden="false" customHeight="true" outlineLevel="0" collapsed="false">
      <c r="A3" s="55"/>
    </row>
    <row r="4" customFormat="false" ht="15" hidden="false" customHeight="true" outlineLevel="0" collapsed="false">
      <c r="A4" s="55"/>
    </row>
    <row r="5" customFormat="false" ht="15" hidden="false" customHeight="true" outlineLevel="0" collapsed="false">
      <c r="A5" s="55"/>
    </row>
    <row r="6" customFormat="false" ht="15" hidden="false" customHeight="true" outlineLevel="0" collapsed="false">
      <c r="A6" s="55"/>
    </row>
    <row r="7" customFormat="false" ht="15" hidden="false" customHeight="true" outlineLevel="0" collapsed="false">
      <c r="A7" s="55"/>
    </row>
    <row r="8" customFormat="false" ht="15" hidden="false" customHeight="true" outlineLevel="0" collapsed="false">
      <c r="A8" s="55"/>
    </row>
    <row r="9" customFormat="false" ht="15" hidden="false" customHeight="true" outlineLevel="0" collapsed="false">
      <c r="A9" s="55"/>
    </row>
    <row r="10" customFormat="false" ht="15" hidden="false" customHeight="true" outlineLevel="0" collapsed="false">
      <c r="A10" s="55"/>
    </row>
    <row r="11" customFormat="false" ht="15" hidden="false" customHeight="true" outlineLevel="0" collapsed="false">
      <c r="A11" s="55"/>
    </row>
    <row r="12" customFormat="false" ht="15" hidden="false" customHeight="true" outlineLevel="0" collapsed="false">
      <c r="A12" s="55"/>
    </row>
    <row r="13" customFormat="false" ht="15" hidden="false" customHeight="true" outlineLevel="0" collapsed="false">
      <c r="A13" s="55"/>
    </row>
    <row r="14" customFormat="false" ht="15" hidden="false" customHeight="true" outlineLevel="0" collapsed="false">
      <c r="A14" s="55"/>
    </row>
    <row r="15" customFormat="false" ht="15" hidden="false" customHeight="true" outlineLevel="0" collapsed="false">
      <c r="A15" s="55"/>
    </row>
    <row r="16" customFormat="false" ht="15" hidden="false" customHeight="true" outlineLevel="0" collapsed="false">
      <c r="A16" s="55"/>
    </row>
    <row r="17" customFormat="false" ht="15" hidden="false" customHeight="true" outlineLevel="0" collapsed="false">
      <c r="A17" s="55"/>
    </row>
    <row r="18" customFormat="false" ht="15" hidden="false" customHeight="true" outlineLevel="0" collapsed="false">
      <c r="A18" s="55"/>
    </row>
    <row r="19" customFormat="false" ht="15" hidden="false" customHeight="true" outlineLevel="0" collapsed="false">
      <c r="A19" s="55"/>
    </row>
    <row r="20" customFormat="false" ht="15" hidden="false" customHeight="true" outlineLevel="0" collapsed="false">
      <c r="A20" s="55"/>
    </row>
    <row r="21" customFormat="false" ht="15" hidden="false" customHeight="true" outlineLevel="0" collapsed="false">
      <c r="A21" s="55"/>
    </row>
    <row r="22" customFormat="false" ht="15" hidden="false" customHeight="true" outlineLevel="0" collapsed="false">
      <c r="A22" s="55"/>
    </row>
    <row r="23" customFormat="false" ht="15" hidden="false" customHeight="true" outlineLevel="0" collapsed="false">
      <c r="A23" s="55"/>
    </row>
    <row r="24" customFormat="false" ht="15" hidden="false" customHeight="true" outlineLevel="0" collapsed="false">
      <c r="A24" s="55"/>
    </row>
    <row r="25" customFormat="false" ht="15" hidden="false" customHeight="true" outlineLevel="0" collapsed="false">
      <c r="A25" s="55"/>
    </row>
    <row r="26" customFormat="false" ht="15" hidden="false" customHeight="true" outlineLevel="0" collapsed="false">
      <c r="A26" s="55"/>
    </row>
    <row r="27" customFormat="false" ht="15" hidden="false" customHeight="true" outlineLevel="0" collapsed="false">
      <c r="A27" s="55"/>
    </row>
    <row r="28" customFormat="false" ht="15" hidden="false" customHeight="true" outlineLevel="0" collapsed="false">
      <c r="A28" s="55"/>
    </row>
    <row r="29" customFormat="false" ht="15" hidden="false" customHeight="true" outlineLevel="0" collapsed="false">
      <c r="A29" s="55"/>
    </row>
    <row r="30" customFormat="false" ht="15" hidden="false" customHeight="true" outlineLevel="0" collapsed="false">
      <c r="A30" s="55"/>
    </row>
    <row r="31" customFormat="false" ht="15" hidden="false" customHeight="true" outlineLevel="0" collapsed="false">
      <c r="A31" s="55"/>
    </row>
    <row r="32" customFormat="false" ht="15" hidden="false" customHeight="true" outlineLevel="0" collapsed="false">
      <c r="A32" s="55"/>
    </row>
    <row r="33" customFormat="false" ht="15" hidden="false" customHeight="true" outlineLevel="0" collapsed="false">
      <c r="A33" s="55"/>
    </row>
    <row r="34" customFormat="false" ht="15" hidden="false" customHeight="true" outlineLevel="0" collapsed="false">
      <c r="A34" s="55"/>
    </row>
    <row r="35" customFormat="false" ht="15" hidden="false" customHeight="true" outlineLevel="0" collapsed="false">
      <c r="A35" s="55"/>
    </row>
    <row r="36" customFormat="false" ht="15" hidden="false" customHeight="true" outlineLevel="0" collapsed="false">
      <c r="A36" s="55"/>
    </row>
    <row r="37" customFormat="false" ht="15" hidden="false" customHeight="true" outlineLevel="0" collapsed="false">
      <c r="A37" s="55"/>
    </row>
    <row r="38" customFormat="false" ht="15" hidden="false" customHeight="true" outlineLevel="0" collapsed="false">
      <c r="A38" s="55"/>
    </row>
    <row r="39" customFormat="false" ht="15" hidden="false" customHeight="true" outlineLevel="0" collapsed="false">
      <c r="A39" s="55"/>
    </row>
    <row r="40" customFormat="false" ht="15" hidden="false" customHeight="true" outlineLevel="0" collapsed="false">
      <c r="A40" s="55"/>
    </row>
    <row r="41" customFormat="false" ht="15" hidden="false" customHeight="true" outlineLevel="0" collapsed="false">
      <c r="A41" s="55"/>
    </row>
    <row r="42" customFormat="false" ht="15" hidden="false" customHeight="true" outlineLevel="0" collapsed="false">
      <c r="A42" s="55"/>
    </row>
    <row r="43" customFormat="false" ht="15" hidden="false" customHeight="true" outlineLevel="0" collapsed="false">
      <c r="A43" s="55"/>
    </row>
    <row r="44" customFormat="false" ht="15" hidden="false" customHeight="true" outlineLevel="0" collapsed="false">
      <c r="A44" s="55"/>
    </row>
    <row r="45" customFormat="false" ht="15" hidden="false" customHeight="true" outlineLevel="0" collapsed="false">
      <c r="A45" s="55"/>
    </row>
    <row r="46" customFormat="false" ht="15" hidden="false" customHeight="true" outlineLevel="0" collapsed="false">
      <c r="A46" s="55"/>
    </row>
    <row r="47" customFormat="false" ht="15" hidden="false" customHeight="true" outlineLevel="0" collapsed="false">
      <c r="A47" s="55"/>
    </row>
    <row r="48" customFormat="false" ht="15" hidden="false" customHeight="true" outlineLevel="0" collapsed="false">
      <c r="A48" s="55"/>
    </row>
    <row r="49" customFormat="false" ht="15" hidden="false" customHeight="true" outlineLevel="0" collapsed="false">
      <c r="A49" s="55"/>
    </row>
    <row r="50" customFormat="false" ht="15" hidden="false" customHeight="true" outlineLevel="0" collapsed="false">
      <c r="A50" s="55"/>
    </row>
    <row r="51" customFormat="false" ht="15" hidden="false" customHeight="true" outlineLevel="0" collapsed="false">
      <c r="A51" s="55"/>
    </row>
    <row r="52" customFormat="false" ht="15" hidden="false" customHeight="true" outlineLevel="0" collapsed="false">
      <c r="A52" s="55"/>
    </row>
    <row r="53" customFormat="false" ht="15" hidden="false" customHeight="true" outlineLevel="0" collapsed="false">
      <c r="A53" s="55"/>
    </row>
    <row r="54" customFormat="false" ht="15" hidden="false" customHeight="true" outlineLevel="0" collapsed="false">
      <c r="A54" s="55"/>
    </row>
    <row r="55" customFormat="false" ht="15" hidden="false" customHeight="true" outlineLevel="0" collapsed="false">
      <c r="A55" s="55"/>
    </row>
    <row r="56" customFormat="false" ht="15" hidden="false" customHeight="true" outlineLevel="0" collapsed="false">
      <c r="A56" s="55"/>
    </row>
    <row r="57" customFormat="false" ht="15" hidden="false" customHeight="true" outlineLevel="0" collapsed="false">
      <c r="A57" s="55"/>
    </row>
    <row r="58" customFormat="false" ht="15" hidden="false" customHeight="true" outlineLevel="0" collapsed="false">
      <c r="A58" s="55"/>
    </row>
    <row r="59" customFormat="false" ht="15" hidden="false" customHeight="true" outlineLevel="0" collapsed="false">
      <c r="A59" s="55"/>
    </row>
    <row r="60" customFormat="false" ht="15" hidden="false" customHeight="true" outlineLevel="0" collapsed="false">
      <c r="A60" s="55"/>
    </row>
    <row r="61" customFormat="false" ht="15" hidden="false" customHeight="true" outlineLevel="0" collapsed="false">
      <c r="A61" s="55"/>
    </row>
    <row r="62" customFormat="false" ht="15" hidden="false" customHeight="true" outlineLevel="0" collapsed="false">
      <c r="A62" s="55"/>
    </row>
    <row r="63" customFormat="false" ht="15" hidden="false" customHeight="true" outlineLevel="0" collapsed="false">
      <c r="A63" s="55"/>
    </row>
    <row r="64" customFormat="false" ht="15" hidden="false" customHeight="true" outlineLevel="0" collapsed="false">
      <c r="A64" s="55"/>
    </row>
    <row r="65" customFormat="false" ht="15" hidden="false" customHeight="true" outlineLevel="0" collapsed="false">
      <c r="A65" s="55"/>
    </row>
    <row r="66" customFormat="false" ht="15" hidden="false" customHeight="true" outlineLevel="0" collapsed="false">
      <c r="A66" s="55"/>
    </row>
    <row r="67" customFormat="false" ht="15" hidden="false" customHeight="true" outlineLevel="0" collapsed="false">
      <c r="A67" s="55"/>
    </row>
    <row r="68" customFormat="false" ht="15" hidden="false" customHeight="true" outlineLevel="0" collapsed="false">
      <c r="A68" s="55"/>
    </row>
    <row r="69" customFormat="false" ht="15" hidden="false" customHeight="true" outlineLevel="0" collapsed="false">
      <c r="A69" s="55"/>
    </row>
    <row r="70" customFormat="false" ht="15" hidden="false" customHeight="true" outlineLevel="0" collapsed="false">
      <c r="A70" s="55"/>
    </row>
    <row r="71" customFormat="false" ht="15" hidden="false" customHeight="true" outlineLevel="0" collapsed="false">
      <c r="A71" s="55"/>
    </row>
    <row r="72" customFormat="false" ht="15" hidden="false" customHeight="true" outlineLevel="0" collapsed="false">
      <c r="A72" s="55"/>
    </row>
    <row r="73" customFormat="false" ht="15" hidden="false" customHeight="true" outlineLevel="0" collapsed="false">
      <c r="A73" s="55"/>
    </row>
    <row r="74" customFormat="false" ht="15" hidden="false" customHeight="true" outlineLevel="0" collapsed="false">
      <c r="A74" s="55"/>
    </row>
    <row r="75" customFormat="false" ht="15" hidden="false" customHeight="true" outlineLevel="0" collapsed="false">
      <c r="A75" s="55"/>
    </row>
    <row r="76" customFormat="false" ht="15" hidden="false" customHeight="true" outlineLevel="0" collapsed="false">
      <c r="A76" s="55"/>
    </row>
    <row r="77" customFormat="false" ht="15" hidden="false" customHeight="true" outlineLevel="0" collapsed="false">
      <c r="A77" s="55"/>
    </row>
    <row r="78" customFormat="false" ht="15" hidden="false" customHeight="true" outlineLevel="0" collapsed="false">
      <c r="A78" s="55"/>
    </row>
    <row r="79" customFormat="false" ht="15" hidden="false" customHeight="true" outlineLevel="0" collapsed="false">
      <c r="A79" s="55"/>
    </row>
    <row r="80" customFormat="false" ht="15" hidden="false" customHeight="true" outlineLevel="0" collapsed="false">
      <c r="A80" s="55"/>
    </row>
    <row r="81" customFormat="false" ht="15" hidden="false" customHeight="true" outlineLevel="0" collapsed="false">
      <c r="A81" s="55"/>
    </row>
    <row r="82" customFormat="false" ht="15" hidden="false" customHeight="true" outlineLevel="0" collapsed="false">
      <c r="A82" s="55"/>
    </row>
    <row r="83" customFormat="false" ht="15" hidden="false" customHeight="true" outlineLevel="0" collapsed="false">
      <c r="A83" s="55"/>
    </row>
    <row r="84" customFormat="false" ht="15" hidden="false" customHeight="true" outlineLevel="0" collapsed="false">
      <c r="A84" s="55"/>
    </row>
    <row r="85" customFormat="false" ht="15" hidden="false" customHeight="true" outlineLevel="0" collapsed="false">
      <c r="A85" s="55"/>
    </row>
    <row r="86" customFormat="false" ht="15" hidden="false" customHeight="true" outlineLevel="0" collapsed="false">
      <c r="A86" s="55"/>
    </row>
    <row r="87" customFormat="false" ht="15" hidden="false" customHeight="true" outlineLevel="0" collapsed="false">
      <c r="A87" s="55"/>
    </row>
    <row r="88" customFormat="false" ht="15" hidden="false" customHeight="true" outlineLevel="0" collapsed="false">
      <c r="A88" s="55"/>
    </row>
    <row r="89" customFormat="false" ht="15" hidden="false" customHeight="true" outlineLevel="0" collapsed="false">
      <c r="A89" s="55"/>
    </row>
    <row r="90" customFormat="false" ht="15" hidden="false" customHeight="true" outlineLevel="0" collapsed="false">
      <c r="A90" s="55"/>
    </row>
    <row r="91" customFormat="false" ht="15" hidden="false" customHeight="true" outlineLevel="0" collapsed="false">
      <c r="A91" s="55"/>
    </row>
    <row r="92" customFormat="false" ht="15" hidden="false" customHeight="true" outlineLevel="0" collapsed="false">
      <c r="A92" s="55"/>
    </row>
    <row r="93" customFormat="false" ht="15" hidden="false" customHeight="true" outlineLevel="0" collapsed="false">
      <c r="A93" s="55"/>
    </row>
    <row r="94" customFormat="false" ht="15" hidden="false" customHeight="true" outlineLevel="0" collapsed="false">
      <c r="A94" s="55"/>
    </row>
    <row r="95" customFormat="false" ht="15" hidden="false" customHeight="true" outlineLevel="0" collapsed="false">
      <c r="A95" s="55"/>
    </row>
    <row r="96" customFormat="false" ht="15" hidden="false" customHeight="true" outlineLevel="0" collapsed="false">
      <c r="A96" s="55"/>
    </row>
    <row r="97" customFormat="false" ht="15" hidden="false" customHeight="true" outlineLevel="0" collapsed="false">
      <c r="A97" s="55"/>
    </row>
    <row r="98" customFormat="false" ht="15" hidden="false" customHeight="true" outlineLevel="0" collapsed="false">
      <c r="A98" s="55"/>
    </row>
    <row r="99" customFormat="false" ht="15" hidden="false" customHeight="true" outlineLevel="0" collapsed="false">
      <c r="A99" s="55"/>
    </row>
    <row r="100" customFormat="false" ht="15" hidden="false" customHeight="true" outlineLevel="0" collapsed="false">
      <c r="A100" s="55"/>
    </row>
    <row r="101" customFormat="false" ht="15" hidden="false" customHeight="true" outlineLevel="0" collapsed="false">
      <c r="A101" s="55"/>
    </row>
    <row r="102" customFormat="false" ht="15" hidden="false" customHeight="true" outlineLevel="0" collapsed="false">
      <c r="A102" s="55"/>
    </row>
    <row r="103" customFormat="false" ht="15" hidden="false" customHeight="true" outlineLevel="0" collapsed="false">
      <c r="A103" s="55"/>
    </row>
    <row r="104" customFormat="false" ht="15" hidden="false" customHeight="true" outlineLevel="0" collapsed="false">
      <c r="A104" s="55"/>
    </row>
    <row r="105" customFormat="false" ht="15" hidden="false" customHeight="true" outlineLevel="0" collapsed="false">
      <c r="A105" s="55"/>
    </row>
    <row r="106" customFormat="false" ht="15" hidden="false" customHeight="true" outlineLevel="0" collapsed="false">
      <c r="A106" s="55"/>
    </row>
    <row r="107" customFormat="false" ht="15" hidden="false" customHeight="true" outlineLevel="0" collapsed="false">
      <c r="A107" s="55"/>
    </row>
    <row r="108" customFormat="false" ht="15" hidden="false" customHeight="true" outlineLevel="0" collapsed="false">
      <c r="A108" s="55"/>
    </row>
    <row r="109" customFormat="false" ht="15" hidden="false" customHeight="true" outlineLevel="0" collapsed="false">
      <c r="A109" s="55"/>
    </row>
    <row r="110" customFormat="false" ht="15" hidden="false" customHeight="true" outlineLevel="0" collapsed="false">
      <c r="A110" s="55"/>
    </row>
    <row r="111" customFormat="false" ht="15" hidden="false" customHeight="true" outlineLevel="0" collapsed="false">
      <c r="A111" s="55"/>
    </row>
    <row r="112" customFormat="false" ht="15" hidden="false" customHeight="true" outlineLevel="0" collapsed="false">
      <c r="A112" s="55"/>
    </row>
    <row r="113" customFormat="false" ht="15" hidden="false" customHeight="true" outlineLevel="0" collapsed="false">
      <c r="A113" s="55"/>
    </row>
    <row r="114" customFormat="false" ht="15" hidden="false" customHeight="true" outlineLevel="0" collapsed="false">
      <c r="A114" s="55"/>
    </row>
    <row r="115" customFormat="false" ht="15" hidden="false" customHeight="true" outlineLevel="0" collapsed="false">
      <c r="A115" s="55"/>
    </row>
    <row r="116" customFormat="false" ht="15" hidden="false" customHeight="true" outlineLevel="0" collapsed="false">
      <c r="A116" s="55"/>
    </row>
    <row r="117" customFormat="false" ht="15" hidden="false" customHeight="true" outlineLevel="0" collapsed="false">
      <c r="A117" s="55"/>
    </row>
    <row r="118" customFormat="false" ht="15" hidden="false" customHeight="true" outlineLevel="0" collapsed="false">
      <c r="A118" s="55"/>
    </row>
    <row r="119" customFormat="false" ht="15" hidden="false" customHeight="true" outlineLevel="0" collapsed="false">
      <c r="A119" s="55"/>
    </row>
    <row r="120" customFormat="false" ht="15" hidden="false" customHeight="true" outlineLevel="0" collapsed="false">
      <c r="A120" s="55"/>
    </row>
    <row r="121" customFormat="false" ht="15" hidden="false" customHeight="true" outlineLevel="0" collapsed="false">
      <c r="A121" s="55"/>
    </row>
    <row r="122" customFormat="false" ht="15" hidden="false" customHeight="true" outlineLevel="0" collapsed="false">
      <c r="A122" s="55"/>
    </row>
    <row r="123" customFormat="false" ht="15" hidden="false" customHeight="true" outlineLevel="0" collapsed="false">
      <c r="A123" s="55"/>
    </row>
    <row r="124" customFormat="false" ht="15" hidden="false" customHeight="true" outlineLevel="0" collapsed="false">
      <c r="A124" s="55"/>
    </row>
    <row r="125" customFormat="false" ht="15" hidden="false" customHeight="true" outlineLevel="0" collapsed="false">
      <c r="A125" s="55"/>
    </row>
    <row r="126" customFormat="false" ht="15" hidden="false" customHeight="true" outlineLevel="0" collapsed="false">
      <c r="A126" s="55"/>
    </row>
    <row r="127" customFormat="false" ht="15" hidden="false" customHeight="true" outlineLevel="0" collapsed="false">
      <c r="A127" s="55"/>
    </row>
    <row r="128" customFormat="false" ht="15" hidden="false" customHeight="true" outlineLevel="0" collapsed="false">
      <c r="A128" s="55"/>
    </row>
    <row r="129" customFormat="false" ht="15" hidden="false" customHeight="true" outlineLevel="0" collapsed="false">
      <c r="A129" s="55"/>
    </row>
    <row r="130" customFormat="false" ht="15" hidden="false" customHeight="true" outlineLevel="0" collapsed="false">
      <c r="A130" s="55"/>
    </row>
    <row r="131" customFormat="false" ht="15" hidden="false" customHeight="true" outlineLevel="0" collapsed="false">
      <c r="A131" s="55"/>
    </row>
    <row r="132" customFormat="false" ht="15" hidden="false" customHeight="true" outlineLevel="0" collapsed="false">
      <c r="A132" s="55"/>
    </row>
    <row r="133" customFormat="false" ht="15" hidden="false" customHeight="true" outlineLevel="0" collapsed="false">
      <c r="A133" s="55"/>
    </row>
    <row r="134" customFormat="false" ht="15" hidden="false" customHeight="true" outlineLevel="0" collapsed="false">
      <c r="A134" s="55"/>
    </row>
    <row r="135" customFormat="false" ht="15" hidden="false" customHeight="true" outlineLevel="0" collapsed="false">
      <c r="A135" s="55"/>
    </row>
    <row r="136" customFormat="false" ht="15" hidden="false" customHeight="true" outlineLevel="0" collapsed="false">
      <c r="A136" s="55"/>
    </row>
    <row r="137" customFormat="false" ht="15" hidden="false" customHeight="true" outlineLevel="0" collapsed="false">
      <c r="A137" s="55"/>
    </row>
    <row r="138" customFormat="false" ht="15" hidden="false" customHeight="true" outlineLevel="0" collapsed="false">
      <c r="A138" s="55"/>
    </row>
    <row r="139" customFormat="false" ht="15" hidden="false" customHeight="true" outlineLevel="0" collapsed="false">
      <c r="A139" s="55"/>
    </row>
    <row r="140" customFormat="false" ht="15" hidden="false" customHeight="true" outlineLevel="0" collapsed="false">
      <c r="A140" s="55"/>
    </row>
    <row r="141" customFormat="false" ht="15" hidden="false" customHeight="true" outlineLevel="0" collapsed="false">
      <c r="A141" s="55"/>
    </row>
    <row r="142" customFormat="false" ht="15" hidden="false" customHeight="true" outlineLevel="0" collapsed="false">
      <c r="A142" s="55"/>
    </row>
    <row r="143" customFormat="false" ht="15" hidden="false" customHeight="true" outlineLevel="0" collapsed="false">
      <c r="A143" s="55"/>
    </row>
    <row r="144" customFormat="false" ht="15" hidden="false" customHeight="true" outlineLevel="0" collapsed="false">
      <c r="A144" s="55"/>
    </row>
    <row r="145" customFormat="false" ht="15" hidden="false" customHeight="true" outlineLevel="0" collapsed="false">
      <c r="A145" s="55"/>
    </row>
    <row r="146" customFormat="false" ht="15" hidden="false" customHeight="true" outlineLevel="0" collapsed="false">
      <c r="A146" s="55"/>
    </row>
    <row r="147" customFormat="false" ht="15" hidden="false" customHeight="true" outlineLevel="0" collapsed="false">
      <c r="A147" s="55"/>
    </row>
    <row r="148" customFormat="false" ht="15" hidden="false" customHeight="true" outlineLevel="0" collapsed="false">
      <c r="A148" s="55"/>
    </row>
    <row r="149" customFormat="false" ht="15" hidden="false" customHeight="true" outlineLevel="0" collapsed="false">
      <c r="A149" s="55"/>
    </row>
    <row r="150" customFormat="false" ht="15" hidden="false" customHeight="true" outlineLevel="0" collapsed="false">
      <c r="A150" s="55"/>
    </row>
    <row r="151" customFormat="false" ht="15" hidden="false" customHeight="true" outlineLevel="0" collapsed="false">
      <c r="A151" s="55"/>
    </row>
    <row r="152" customFormat="false" ht="15" hidden="false" customHeight="true" outlineLevel="0" collapsed="false">
      <c r="A152" s="55"/>
    </row>
    <row r="153" customFormat="false" ht="15" hidden="false" customHeight="true" outlineLevel="0" collapsed="false">
      <c r="A153" s="55"/>
    </row>
    <row r="154" customFormat="false" ht="15" hidden="false" customHeight="true" outlineLevel="0" collapsed="false">
      <c r="A154" s="55"/>
    </row>
    <row r="155" customFormat="false" ht="15" hidden="false" customHeight="true" outlineLevel="0" collapsed="false">
      <c r="A155" s="55"/>
    </row>
    <row r="156" customFormat="false" ht="15" hidden="false" customHeight="true" outlineLevel="0" collapsed="false">
      <c r="A156" s="55"/>
    </row>
    <row r="157" customFormat="false" ht="15" hidden="false" customHeight="true" outlineLevel="0" collapsed="false">
      <c r="A157" s="55"/>
    </row>
    <row r="158" customFormat="false" ht="15" hidden="false" customHeight="true" outlineLevel="0" collapsed="false">
      <c r="A158" s="55"/>
    </row>
    <row r="159" customFormat="false" ht="15" hidden="false" customHeight="true" outlineLevel="0" collapsed="false">
      <c r="A159" s="55"/>
    </row>
    <row r="160" customFormat="false" ht="15" hidden="false" customHeight="true" outlineLevel="0" collapsed="false">
      <c r="A160" s="55"/>
    </row>
    <row r="161" customFormat="false" ht="15" hidden="false" customHeight="true" outlineLevel="0" collapsed="false">
      <c r="A161" s="55"/>
    </row>
    <row r="162" customFormat="false" ht="15" hidden="false" customHeight="true" outlineLevel="0" collapsed="false">
      <c r="A162" s="55"/>
    </row>
    <row r="163" customFormat="false" ht="15" hidden="false" customHeight="true" outlineLevel="0" collapsed="false">
      <c r="A163" s="55"/>
    </row>
    <row r="164" customFormat="false" ht="15" hidden="false" customHeight="true" outlineLevel="0" collapsed="false">
      <c r="A164" s="55"/>
    </row>
    <row r="165" customFormat="false" ht="15" hidden="false" customHeight="true" outlineLevel="0" collapsed="false">
      <c r="A165" s="55"/>
    </row>
    <row r="166" customFormat="false" ht="15" hidden="false" customHeight="true" outlineLevel="0" collapsed="false">
      <c r="A166" s="55"/>
    </row>
    <row r="167" customFormat="false" ht="15" hidden="false" customHeight="true" outlineLevel="0" collapsed="false">
      <c r="A167" s="55"/>
    </row>
    <row r="168" customFormat="false" ht="15" hidden="false" customHeight="true" outlineLevel="0" collapsed="false">
      <c r="A168" s="55"/>
    </row>
    <row r="169" customFormat="false" ht="15" hidden="false" customHeight="true" outlineLevel="0" collapsed="false">
      <c r="A169" s="55"/>
    </row>
    <row r="170" customFormat="false" ht="15" hidden="false" customHeight="true" outlineLevel="0" collapsed="false">
      <c r="A170" s="55"/>
    </row>
    <row r="171" customFormat="false" ht="15" hidden="false" customHeight="true" outlineLevel="0" collapsed="false">
      <c r="A171" s="55"/>
    </row>
    <row r="172" customFormat="false" ht="15" hidden="false" customHeight="true" outlineLevel="0" collapsed="false">
      <c r="A172" s="55"/>
    </row>
    <row r="173" customFormat="false" ht="15" hidden="false" customHeight="true" outlineLevel="0" collapsed="false">
      <c r="A173" s="55"/>
    </row>
    <row r="174" customFormat="false" ht="15" hidden="false" customHeight="true" outlineLevel="0" collapsed="false">
      <c r="A174" s="55"/>
    </row>
    <row r="175" customFormat="false" ht="15" hidden="false" customHeight="true" outlineLevel="0" collapsed="false">
      <c r="A175" s="55"/>
    </row>
    <row r="176" customFormat="false" ht="15" hidden="false" customHeight="true" outlineLevel="0" collapsed="false">
      <c r="A176" s="55"/>
    </row>
    <row r="177" customFormat="false" ht="15" hidden="false" customHeight="true" outlineLevel="0" collapsed="false">
      <c r="A177" s="55"/>
    </row>
    <row r="178" customFormat="false" ht="15" hidden="false" customHeight="true" outlineLevel="0" collapsed="false">
      <c r="A178" s="55"/>
    </row>
    <row r="179" customFormat="false" ht="15" hidden="false" customHeight="true" outlineLevel="0" collapsed="false">
      <c r="A179" s="55"/>
    </row>
    <row r="180" customFormat="false" ht="15" hidden="false" customHeight="true" outlineLevel="0" collapsed="false">
      <c r="A180" s="55"/>
    </row>
    <row r="181" customFormat="false" ht="15" hidden="false" customHeight="true" outlineLevel="0" collapsed="false">
      <c r="A181" s="55"/>
    </row>
    <row r="182" customFormat="false" ht="15" hidden="false" customHeight="true" outlineLevel="0" collapsed="false">
      <c r="A182" s="55"/>
    </row>
    <row r="183" customFormat="false" ht="15" hidden="false" customHeight="true" outlineLevel="0" collapsed="false">
      <c r="A183" s="55"/>
    </row>
    <row r="184" customFormat="false" ht="15" hidden="false" customHeight="true" outlineLevel="0" collapsed="false">
      <c r="A184" s="55"/>
    </row>
    <row r="185" customFormat="false" ht="15" hidden="false" customHeight="true" outlineLevel="0" collapsed="false">
      <c r="A185" s="55"/>
    </row>
    <row r="186" customFormat="false" ht="15" hidden="false" customHeight="true" outlineLevel="0" collapsed="false">
      <c r="A186" s="55"/>
    </row>
    <row r="187" customFormat="false" ht="15" hidden="false" customHeight="true" outlineLevel="0" collapsed="false">
      <c r="A187" s="55"/>
    </row>
    <row r="188" customFormat="false" ht="15" hidden="false" customHeight="true" outlineLevel="0" collapsed="false">
      <c r="A188" s="55"/>
    </row>
    <row r="189" customFormat="false" ht="15" hidden="false" customHeight="true" outlineLevel="0" collapsed="false">
      <c r="A189" s="55"/>
    </row>
    <row r="190" customFormat="false" ht="15" hidden="false" customHeight="true" outlineLevel="0" collapsed="false">
      <c r="A190" s="55"/>
    </row>
    <row r="191" customFormat="false" ht="15" hidden="false" customHeight="true" outlineLevel="0" collapsed="false">
      <c r="A191" s="55"/>
    </row>
    <row r="192" customFormat="false" ht="15" hidden="false" customHeight="true" outlineLevel="0" collapsed="false">
      <c r="A192" s="55"/>
    </row>
    <row r="193" customFormat="false" ht="15" hidden="false" customHeight="true" outlineLevel="0" collapsed="false">
      <c r="A193" s="55"/>
    </row>
    <row r="194" customFormat="false" ht="15" hidden="false" customHeight="true" outlineLevel="0" collapsed="false">
      <c r="A194" s="55"/>
    </row>
    <row r="195" customFormat="false" ht="15" hidden="false" customHeight="true" outlineLevel="0" collapsed="false">
      <c r="A195" s="55"/>
    </row>
    <row r="196" customFormat="false" ht="15" hidden="false" customHeight="true" outlineLevel="0" collapsed="false">
      <c r="A196" s="55"/>
    </row>
    <row r="197" customFormat="false" ht="15" hidden="false" customHeight="true" outlineLevel="0" collapsed="false">
      <c r="A197" s="55"/>
    </row>
    <row r="198" customFormat="false" ht="15" hidden="false" customHeight="true" outlineLevel="0" collapsed="false">
      <c r="A198" s="55"/>
    </row>
    <row r="199" customFormat="false" ht="15" hidden="false" customHeight="true" outlineLevel="0" collapsed="false">
      <c r="A199" s="55"/>
    </row>
    <row r="200" customFormat="false" ht="15" hidden="false" customHeight="true" outlineLevel="0" collapsed="false">
      <c r="A200" s="55"/>
    </row>
    <row r="201" customFormat="false" ht="15" hidden="false" customHeight="true" outlineLevel="0" collapsed="false">
      <c r="A201" s="5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C5A8A"/>
    <pageSetUpPr fitToPage="false"/>
  </sheetPr>
  <dimension ref="A1:D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40"/>
    <col collapsed="false" customWidth="true" hidden="false" outlineLevel="0" max="4" min="4" style="0" width="18"/>
  </cols>
  <sheetData>
    <row r="1" customFormat="false" ht="30" hidden="false" customHeight="true" outlineLevel="0" collapsed="false">
      <c r="A1" s="86" t="s">
        <v>306</v>
      </c>
      <c r="B1" s="86" t="s">
        <v>2927</v>
      </c>
      <c r="C1" s="86" t="s">
        <v>2897</v>
      </c>
      <c r="D1" s="86" t="s">
        <v>2898</v>
      </c>
    </row>
    <row r="2" customFormat="false" ht="15" hidden="false" customHeight="true" outlineLevel="0" collapsed="false">
      <c r="A2" s="117" t="s">
        <v>2845</v>
      </c>
      <c r="B2" s="118" t="n">
        <v>46112</v>
      </c>
      <c r="C2" s="120" t="s">
        <v>2928</v>
      </c>
      <c r="D2" s="119" t="s">
        <v>353</v>
      </c>
    </row>
    <row r="3" customFormat="false" ht="15" hidden="false" customHeight="true" outlineLevel="0" collapsed="false">
      <c r="A3" s="55"/>
    </row>
    <row r="4" customFormat="false" ht="15" hidden="false" customHeight="true" outlineLevel="0" collapsed="false">
      <c r="A4" s="55"/>
    </row>
    <row r="5" customFormat="false" ht="15" hidden="false" customHeight="true" outlineLevel="0" collapsed="false">
      <c r="A5" s="55"/>
    </row>
    <row r="6" customFormat="false" ht="15" hidden="false" customHeight="true" outlineLevel="0" collapsed="false">
      <c r="A6" s="55"/>
    </row>
    <row r="7" customFormat="false" ht="15" hidden="false" customHeight="true" outlineLevel="0" collapsed="false">
      <c r="A7" s="55"/>
    </row>
    <row r="8" customFormat="false" ht="15" hidden="false" customHeight="true" outlineLevel="0" collapsed="false">
      <c r="A8" s="55"/>
    </row>
    <row r="9" customFormat="false" ht="15" hidden="false" customHeight="true" outlineLevel="0" collapsed="false">
      <c r="A9" s="55"/>
    </row>
    <row r="10" customFormat="false" ht="15" hidden="false" customHeight="true" outlineLevel="0" collapsed="false">
      <c r="A10" s="55"/>
    </row>
    <row r="11" customFormat="false" ht="15" hidden="false" customHeight="true" outlineLevel="0" collapsed="false">
      <c r="A11" s="55"/>
    </row>
    <row r="12" customFormat="false" ht="15" hidden="false" customHeight="true" outlineLevel="0" collapsed="false">
      <c r="A12" s="55"/>
    </row>
    <row r="13" customFormat="false" ht="15" hidden="false" customHeight="true" outlineLevel="0" collapsed="false">
      <c r="A13" s="55"/>
    </row>
    <row r="14" customFormat="false" ht="15" hidden="false" customHeight="true" outlineLevel="0" collapsed="false">
      <c r="A14" s="55"/>
    </row>
    <row r="15" customFormat="false" ht="15" hidden="false" customHeight="true" outlineLevel="0" collapsed="false">
      <c r="A15" s="55"/>
    </row>
    <row r="16" customFormat="false" ht="15" hidden="false" customHeight="true" outlineLevel="0" collapsed="false">
      <c r="A16" s="55"/>
    </row>
    <row r="17" customFormat="false" ht="15" hidden="false" customHeight="true" outlineLevel="0" collapsed="false">
      <c r="A17" s="55"/>
    </row>
    <row r="18" customFormat="false" ht="15" hidden="false" customHeight="true" outlineLevel="0" collapsed="false">
      <c r="A18" s="55"/>
    </row>
    <row r="19" customFormat="false" ht="15" hidden="false" customHeight="true" outlineLevel="0" collapsed="false">
      <c r="A19" s="55"/>
    </row>
    <row r="20" customFormat="false" ht="15" hidden="false" customHeight="true" outlineLevel="0" collapsed="false">
      <c r="A20" s="55"/>
    </row>
    <row r="21" customFormat="false" ht="15" hidden="false" customHeight="true" outlineLevel="0" collapsed="false">
      <c r="A21" s="55"/>
    </row>
    <row r="22" customFormat="false" ht="15" hidden="false" customHeight="true" outlineLevel="0" collapsed="false">
      <c r="A22" s="55"/>
    </row>
    <row r="23" customFormat="false" ht="15" hidden="false" customHeight="true" outlineLevel="0" collapsed="false">
      <c r="A23" s="55"/>
    </row>
    <row r="24" customFormat="false" ht="15" hidden="false" customHeight="true" outlineLevel="0" collapsed="false">
      <c r="A24" s="55"/>
    </row>
    <row r="25" customFormat="false" ht="15" hidden="false" customHeight="true" outlineLevel="0" collapsed="false">
      <c r="A25" s="55"/>
    </row>
    <row r="26" customFormat="false" ht="15" hidden="false" customHeight="true" outlineLevel="0" collapsed="false">
      <c r="A26" s="55"/>
    </row>
    <row r="27" customFormat="false" ht="15" hidden="false" customHeight="true" outlineLevel="0" collapsed="false">
      <c r="A27" s="55"/>
    </row>
    <row r="28" customFormat="false" ht="15" hidden="false" customHeight="true" outlineLevel="0" collapsed="false">
      <c r="A28" s="55"/>
    </row>
    <row r="29" customFormat="false" ht="15" hidden="false" customHeight="true" outlineLevel="0" collapsed="false">
      <c r="A29" s="55"/>
    </row>
    <row r="30" customFormat="false" ht="15" hidden="false" customHeight="true" outlineLevel="0" collapsed="false">
      <c r="A30" s="55"/>
    </row>
    <row r="31" customFormat="false" ht="15" hidden="false" customHeight="true" outlineLevel="0" collapsed="false">
      <c r="A31" s="55"/>
    </row>
    <row r="32" customFormat="false" ht="15" hidden="false" customHeight="true" outlineLevel="0" collapsed="false">
      <c r="A32" s="55"/>
    </row>
    <row r="33" customFormat="false" ht="15" hidden="false" customHeight="true" outlineLevel="0" collapsed="false">
      <c r="A33" s="55"/>
    </row>
    <row r="34" customFormat="false" ht="15" hidden="false" customHeight="true" outlineLevel="0" collapsed="false">
      <c r="A34" s="55"/>
    </row>
    <row r="35" customFormat="false" ht="15" hidden="false" customHeight="true" outlineLevel="0" collapsed="false">
      <c r="A35" s="55"/>
    </row>
    <row r="36" customFormat="false" ht="15" hidden="false" customHeight="true" outlineLevel="0" collapsed="false">
      <c r="A36" s="55"/>
    </row>
    <row r="37" customFormat="false" ht="15" hidden="false" customHeight="true" outlineLevel="0" collapsed="false">
      <c r="A37" s="55"/>
    </row>
    <row r="38" customFormat="false" ht="15" hidden="false" customHeight="true" outlineLevel="0" collapsed="false">
      <c r="A38" s="55"/>
    </row>
    <row r="39" customFormat="false" ht="15" hidden="false" customHeight="true" outlineLevel="0" collapsed="false">
      <c r="A39" s="55"/>
    </row>
    <row r="40" customFormat="false" ht="15" hidden="false" customHeight="true" outlineLevel="0" collapsed="false">
      <c r="A40" s="55"/>
    </row>
    <row r="41" customFormat="false" ht="15" hidden="false" customHeight="true" outlineLevel="0" collapsed="false">
      <c r="A41" s="55"/>
    </row>
    <row r="42" customFormat="false" ht="15" hidden="false" customHeight="true" outlineLevel="0" collapsed="false">
      <c r="A42" s="55"/>
    </row>
    <row r="43" customFormat="false" ht="15" hidden="false" customHeight="true" outlineLevel="0" collapsed="false">
      <c r="A43" s="55"/>
    </row>
    <row r="44" customFormat="false" ht="15" hidden="false" customHeight="true" outlineLevel="0" collapsed="false">
      <c r="A44" s="55"/>
    </row>
    <row r="45" customFormat="false" ht="15" hidden="false" customHeight="true" outlineLevel="0" collapsed="false">
      <c r="A45" s="55"/>
    </row>
    <row r="46" customFormat="false" ht="15" hidden="false" customHeight="true" outlineLevel="0" collapsed="false">
      <c r="A46" s="55"/>
    </row>
    <row r="47" customFormat="false" ht="15" hidden="false" customHeight="true" outlineLevel="0" collapsed="false">
      <c r="A47" s="55"/>
    </row>
    <row r="48" customFormat="false" ht="15" hidden="false" customHeight="true" outlineLevel="0" collapsed="false">
      <c r="A48" s="55"/>
    </row>
    <row r="49" customFormat="false" ht="15" hidden="false" customHeight="true" outlineLevel="0" collapsed="false">
      <c r="A49" s="55"/>
    </row>
    <row r="50" customFormat="false" ht="15" hidden="false" customHeight="true" outlineLevel="0" collapsed="false">
      <c r="A50" s="55"/>
    </row>
    <row r="51" customFormat="false" ht="15" hidden="false" customHeight="true" outlineLevel="0" collapsed="false">
      <c r="A51" s="55"/>
    </row>
    <row r="52" customFormat="false" ht="15" hidden="false" customHeight="true" outlineLevel="0" collapsed="false">
      <c r="A52" s="55"/>
    </row>
    <row r="53" customFormat="false" ht="15" hidden="false" customHeight="true" outlineLevel="0" collapsed="false">
      <c r="A53" s="55"/>
    </row>
    <row r="54" customFormat="false" ht="15" hidden="false" customHeight="true" outlineLevel="0" collapsed="false">
      <c r="A54" s="55"/>
    </row>
    <row r="55" customFormat="false" ht="15" hidden="false" customHeight="true" outlineLevel="0" collapsed="false">
      <c r="A55" s="55"/>
    </row>
    <row r="56" customFormat="false" ht="15" hidden="false" customHeight="true" outlineLevel="0" collapsed="false">
      <c r="A56" s="55"/>
    </row>
    <row r="57" customFormat="false" ht="15" hidden="false" customHeight="true" outlineLevel="0" collapsed="false">
      <c r="A57" s="55"/>
    </row>
    <row r="58" customFormat="false" ht="15" hidden="false" customHeight="true" outlineLevel="0" collapsed="false">
      <c r="A58" s="55"/>
    </row>
    <row r="59" customFormat="false" ht="15" hidden="false" customHeight="true" outlineLevel="0" collapsed="false">
      <c r="A59" s="55"/>
    </row>
    <row r="60" customFormat="false" ht="15" hidden="false" customHeight="true" outlineLevel="0" collapsed="false">
      <c r="A60" s="55"/>
    </row>
    <row r="61" customFormat="false" ht="15" hidden="false" customHeight="true" outlineLevel="0" collapsed="false">
      <c r="A61" s="55"/>
    </row>
    <row r="62" customFormat="false" ht="15" hidden="false" customHeight="true" outlineLevel="0" collapsed="false">
      <c r="A62" s="55"/>
    </row>
    <row r="63" customFormat="false" ht="15" hidden="false" customHeight="true" outlineLevel="0" collapsed="false">
      <c r="A63" s="55"/>
    </row>
    <row r="64" customFormat="false" ht="15" hidden="false" customHeight="true" outlineLevel="0" collapsed="false">
      <c r="A64" s="55"/>
    </row>
    <row r="65" customFormat="false" ht="15" hidden="false" customHeight="true" outlineLevel="0" collapsed="false">
      <c r="A65" s="55"/>
    </row>
    <row r="66" customFormat="false" ht="15" hidden="false" customHeight="true" outlineLevel="0" collapsed="false">
      <c r="A66" s="55"/>
    </row>
    <row r="67" customFormat="false" ht="15" hidden="false" customHeight="true" outlineLevel="0" collapsed="false">
      <c r="A67" s="55"/>
    </row>
    <row r="68" customFormat="false" ht="15" hidden="false" customHeight="true" outlineLevel="0" collapsed="false">
      <c r="A68" s="55"/>
    </row>
    <row r="69" customFormat="false" ht="15" hidden="false" customHeight="true" outlineLevel="0" collapsed="false">
      <c r="A69" s="55"/>
    </row>
    <row r="70" customFormat="false" ht="15" hidden="false" customHeight="true" outlineLevel="0" collapsed="false">
      <c r="A70" s="55"/>
    </row>
    <row r="71" customFormat="false" ht="15" hidden="false" customHeight="true" outlineLevel="0" collapsed="false">
      <c r="A71" s="55"/>
    </row>
    <row r="72" customFormat="false" ht="15" hidden="false" customHeight="true" outlineLevel="0" collapsed="false">
      <c r="A72" s="55"/>
    </row>
    <row r="73" customFormat="false" ht="15" hidden="false" customHeight="true" outlineLevel="0" collapsed="false">
      <c r="A73" s="55"/>
    </row>
    <row r="74" customFormat="false" ht="15" hidden="false" customHeight="true" outlineLevel="0" collapsed="false">
      <c r="A74" s="55"/>
    </row>
    <row r="75" customFormat="false" ht="15" hidden="false" customHeight="true" outlineLevel="0" collapsed="false">
      <c r="A75" s="55"/>
    </row>
    <row r="76" customFormat="false" ht="15" hidden="false" customHeight="true" outlineLevel="0" collapsed="false">
      <c r="A76" s="55"/>
    </row>
    <row r="77" customFormat="false" ht="15" hidden="false" customHeight="true" outlineLevel="0" collapsed="false">
      <c r="A77" s="55"/>
    </row>
    <row r="78" customFormat="false" ht="15" hidden="false" customHeight="true" outlineLevel="0" collapsed="false">
      <c r="A78" s="55"/>
    </row>
    <row r="79" customFormat="false" ht="15" hidden="false" customHeight="true" outlineLevel="0" collapsed="false">
      <c r="A79" s="55"/>
    </row>
    <row r="80" customFormat="false" ht="15" hidden="false" customHeight="true" outlineLevel="0" collapsed="false">
      <c r="A80" s="55"/>
    </row>
    <row r="81" customFormat="false" ht="15" hidden="false" customHeight="true" outlineLevel="0" collapsed="false">
      <c r="A81" s="55"/>
    </row>
    <row r="82" customFormat="false" ht="15" hidden="false" customHeight="true" outlineLevel="0" collapsed="false">
      <c r="A82" s="55"/>
    </row>
    <row r="83" customFormat="false" ht="15" hidden="false" customHeight="true" outlineLevel="0" collapsed="false">
      <c r="A83" s="55"/>
    </row>
    <row r="84" customFormat="false" ht="15" hidden="false" customHeight="true" outlineLevel="0" collapsed="false">
      <c r="A84" s="55"/>
    </row>
    <row r="85" customFormat="false" ht="15" hidden="false" customHeight="true" outlineLevel="0" collapsed="false">
      <c r="A85" s="55"/>
    </row>
    <row r="86" customFormat="false" ht="15" hidden="false" customHeight="true" outlineLevel="0" collapsed="false">
      <c r="A86" s="55"/>
    </row>
    <row r="87" customFormat="false" ht="15" hidden="false" customHeight="true" outlineLevel="0" collapsed="false">
      <c r="A87" s="55"/>
    </row>
    <row r="88" customFormat="false" ht="15" hidden="false" customHeight="true" outlineLevel="0" collapsed="false">
      <c r="A88" s="55"/>
    </row>
    <row r="89" customFormat="false" ht="15" hidden="false" customHeight="true" outlineLevel="0" collapsed="false">
      <c r="A89" s="55"/>
    </row>
    <row r="90" customFormat="false" ht="15" hidden="false" customHeight="true" outlineLevel="0" collapsed="false">
      <c r="A90" s="55"/>
    </row>
    <row r="91" customFormat="false" ht="15" hidden="false" customHeight="true" outlineLevel="0" collapsed="false">
      <c r="A91" s="55"/>
    </row>
    <row r="92" customFormat="false" ht="15" hidden="false" customHeight="true" outlineLevel="0" collapsed="false">
      <c r="A92" s="55"/>
    </row>
    <row r="93" customFormat="false" ht="15" hidden="false" customHeight="true" outlineLevel="0" collapsed="false">
      <c r="A93" s="55"/>
    </row>
    <row r="94" customFormat="false" ht="15" hidden="false" customHeight="true" outlineLevel="0" collapsed="false">
      <c r="A94" s="55"/>
    </row>
    <row r="95" customFormat="false" ht="15" hidden="false" customHeight="true" outlineLevel="0" collapsed="false">
      <c r="A95" s="55"/>
    </row>
    <row r="96" customFormat="false" ht="15" hidden="false" customHeight="true" outlineLevel="0" collapsed="false">
      <c r="A96" s="55"/>
    </row>
    <row r="97" customFormat="false" ht="15" hidden="false" customHeight="true" outlineLevel="0" collapsed="false">
      <c r="A97" s="55"/>
    </row>
    <row r="98" customFormat="false" ht="15" hidden="false" customHeight="true" outlineLevel="0" collapsed="false">
      <c r="A98" s="55"/>
    </row>
    <row r="99" customFormat="false" ht="15" hidden="false" customHeight="true" outlineLevel="0" collapsed="false">
      <c r="A99" s="55"/>
    </row>
    <row r="100" customFormat="false" ht="15" hidden="false" customHeight="true" outlineLevel="0" collapsed="false">
      <c r="A100" s="55"/>
    </row>
    <row r="101" customFormat="false" ht="15" hidden="false" customHeight="true" outlineLevel="0" collapsed="false">
      <c r="A101" s="55"/>
    </row>
    <row r="102" customFormat="false" ht="15" hidden="false" customHeight="true" outlineLevel="0" collapsed="false">
      <c r="A102" s="55"/>
    </row>
    <row r="103" customFormat="false" ht="15" hidden="false" customHeight="true" outlineLevel="0" collapsed="false">
      <c r="A103" s="55"/>
    </row>
    <row r="104" customFormat="false" ht="15" hidden="false" customHeight="true" outlineLevel="0" collapsed="false">
      <c r="A104" s="55"/>
    </row>
    <row r="105" customFormat="false" ht="15" hidden="false" customHeight="true" outlineLevel="0" collapsed="false">
      <c r="A105" s="55"/>
    </row>
    <row r="106" customFormat="false" ht="15" hidden="false" customHeight="true" outlineLevel="0" collapsed="false">
      <c r="A106" s="55"/>
    </row>
    <row r="107" customFormat="false" ht="15" hidden="false" customHeight="true" outlineLevel="0" collapsed="false">
      <c r="A107" s="55"/>
    </row>
    <row r="108" customFormat="false" ht="15" hidden="false" customHeight="true" outlineLevel="0" collapsed="false">
      <c r="A108" s="55"/>
    </row>
    <row r="109" customFormat="false" ht="15" hidden="false" customHeight="true" outlineLevel="0" collapsed="false">
      <c r="A109" s="55"/>
    </row>
    <row r="110" customFormat="false" ht="15" hidden="false" customHeight="true" outlineLevel="0" collapsed="false">
      <c r="A110" s="55"/>
    </row>
    <row r="111" customFormat="false" ht="15" hidden="false" customHeight="true" outlineLevel="0" collapsed="false">
      <c r="A111" s="55"/>
    </row>
    <row r="112" customFormat="false" ht="15" hidden="false" customHeight="true" outlineLevel="0" collapsed="false">
      <c r="A112" s="55"/>
    </row>
    <row r="113" customFormat="false" ht="15" hidden="false" customHeight="true" outlineLevel="0" collapsed="false">
      <c r="A113" s="55"/>
    </row>
    <row r="114" customFormat="false" ht="15" hidden="false" customHeight="true" outlineLevel="0" collapsed="false">
      <c r="A114" s="55"/>
    </row>
    <row r="115" customFormat="false" ht="15" hidden="false" customHeight="true" outlineLevel="0" collapsed="false">
      <c r="A115" s="55"/>
    </row>
    <row r="116" customFormat="false" ht="15" hidden="false" customHeight="true" outlineLevel="0" collapsed="false">
      <c r="A116" s="55"/>
    </row>
    <row r="117" customFormat="false" ht="15" hidden="false" customHeight="true" outlineLevel="0" collapsed="false">
      <c r="A117" s="55"/>
    </row>
    <row r="118" customFormat="false" ht="15" hidden="false" customHeight="true" outlineLevel="0" collapsed="false">
      <c r="A118" s="55"/>
    </row>
    <row r="119" customFormat="false" ht="15" hidden="false" customHeight="true" outlineLevel="0" collapsed="false">
      <c r="A119" s="55"/>
    </row>
    <row r="120" customFormat="false" ht="15" hidden="false" customHeight="true" outlineLevel="0" collapsed="false">
      <c r="A120" s="55"/>
    </row>
    <row r="121" customFormat="false" ht="15" hidden="false" customHeight="true" outlineLevel="0" collapsed="false">
      <c r="A121" s="55"/>
    </row>
    <row r="122" customFormat="false" ht="15" hidden="false" customHeight="true" outlineLevel="0" collapsed="false">
      <c r="A122" s="55"/>
    </row>
    <row r="123" customFormat="false" ht="15" hidden="false" customHeight="true" outlineLevel="0" collapsed="false">
      <c r="A123" s="55"/>
    </row>
    <row r="124" customFormat="false" ht="15" hidden="false" customHeight="true" outlineLevel="0" collapsed="false">
      <c r="A124" s="55"/>
    </row>
    <row r="125" customFormat="false" ht="15" hidden="false" customHeight="true" outlineLevel="0" collapsed="false">
      <c r="A125" s="55"/>
    </row>
    <row r="126" customFormat="false" ht="15" hidden="false" customHeight="true" outlineLevel="0" collapsed="false">
      <c r="A126" s="55"/>
    </row>
    <row r="127" customFormat="false" ht="15" hidden="false" customHeight="true" outlineLevel="0" collapsed="false">
      <c r="A127" s="55"/>
    </row>
    <row r="128" customFormat="false" ht="15" hidden="false" customHeight="true" outlineLevel="0" collapsed="false">
      <c r="A128" s="55"/>
    </row>
    <row r="129" customFormat="false" ht="15" hidden="false" customHeight="true" outlineLevel="0" collapsed="false">
      <c r="A129" s="55"/>
    </row>
    <row r="130" customFormat="false" ht="15" hidden="false" customHeight="true" outlineLevel="0" collapsed="false">
      <c r="A130" s="55"/>
    </row>
    <row r="131" customFormat="false" ht="15" hidden="false" customHeight="true" outlineLevel="0" collapsed="false">
      <c r="A131" s="55"/>
    </row>
    <row r="132" customFormat="false" ht="15" hidden="false" customHeight="true" outlineLevel="0" collapsed="false">
      <c r="A132" s="55"/>
    </row>
    <row r="133" customFormat="false" ht="15" hidden="false" customHeight="true" outlineLevel="0" collapsed="false">
      <c r="A133" s="55"/>
    </row>
    <row r="134" customFormat="false" ht="15" hidden="false" customHeight="true" outlineLevel="0" collapsed="false">
      <c r="A134" s="55"/>
    </row>
    <row r="135" customFormat="false" ht="15" hidden="false" customHeight="true" outlineLevel="0" collapsed="false">
      <c r="A135" s="55"/>
    </row>
    <row r="136" customFormat="false" ht="15" hidden="false" customHeight="true" outlineLevel="0" collapsed="false">
      <c r="A136" s="55"/>
    </row>
    <row r="137" customFormat="false" ht="15" hidden="false" customHeight="true" outlineLevel="0" collapsed="false">
      <c r="A137" s="55"/>
    </row>
    <row r="138" customFormat="false" ht="15" hidden="false" customHeight="true" outlineLevel="0" collapsed="false">
      <c r="A138" s="55"/>
    </row>
    <row r="139" customFormat="false" ht="15" hidden="false" customHeight="true" outlineLevel="0" collapsed="false">
      <c r="A139" s="55"/>
    </row>
    <row r="140" customFormat="false" ht="15" hidden="false" customHeight="true" outlineLevel="0" collapsed="false">
      <c r="A140" s="55"/>
    </row>
    <row r="141" customFormat="false" ht="15" hidden="false" customHeight="true" outlineLevel="0" collapsed="false">
      <c r="A141" s="55"/>
    </row>
    <row r="142" customFormat="false" ht="15" hidden="false" customHeight="true" outlineLevel="0" collapsed="false">
      <c r="A142" s="55"/>
    </row>
    <row r="143" customFormat="false" ht="15" hidden="false" customHeight="true" outlineLevel="0" collapsed="false">
      <c r="A143" s="55"/>
    </row>
    <row r="144" customFormat="false" ht="15" hidden="false" customHeight="true" outlineLevel="0" collapsed="false">
      <c r="A144" s="55"/>
    </row>
    <row r="145" customFormat="false" ht="15" hidden="false" customHeight="true" outlineLevel="0" collapsed="false">
      <c r="A145" s="55"/>
    </row>
    <row r="146" customFormat="false" ht="15" hidden="false" customHeight="true" outlineLevel="0" collapsed="false">
      <c r="A146" s="55"/>
    </row>
    <row r="147" customFormat="false" ht="15" hidden="false" customHeight="true" outlineLevel="0" collapsed="false">
      <c r="A147" s="55"/>
    </row>
    <row r="148" customFormat="false" ht="15" hidden="false" customHeight="true" outlineLevel="0" collapsed="false">
      <c r="A148" s="55"/>
    </row>
    <row r="149" customFormat="false" ht="15" hidden="false" customHeight="true" outlineLevel="0" collapsed="false">
      <c r="A149" s="55"/>
    </row>
    <row r="150" customFormat="false" ht="15" hidden="false" customHeight="true" outlineLevel="0" collapsed="false">
      <c r="A150" s="55"/>
    </row>
    <row r="151" customFormat="false" ht="15" hidden="false" customHeight="true" outlineLevel="0" collapsed="false">
      <c r="A151" s="55"/>
    </row>
    <row r="152" customFormat="false" ht="15" hidden="false" customHeight="true" outlineLevel="0" collapsed="false">
      <c r="A152" s="55"/>
    </row>
    <row r="153" customFormat="false" ht="15" hidden="false" customHeight="true" outlineLevel="0" collapsed="false">
      <c r="A153" s="55"/>
    </row>
    <row r="154" customFormat="false" ht="15" hidden="false" customHeight="true" outlineLevel="0" collapsed="false">
      <c r="A154" s="55"/>
    </row>
    <row r="155" customFormat="false" ht="15" hidden="false" customHeight="true" outlineLevel="0" collapsed="false">
      <c r="A155" s="55"/>
    </row>
    <row r="156" customFormat="false" ht="15" hidden="false" customHeight="true" outlineLevel="0" collapsed="false">
      <c r="A156" s="55"/>
    </row>
    <row r="157" customFormat="false" ht="15" hidden="false" customHeight="true" outlineLevel="0" collapsed="false">
      <c r="A157" s="55"/>
    </row>
    <row r="158" customFormat="false" ht="15" hidden="false" customHeight="true" outlineLevel="0" collapsed="false">
      <c r="A158" s="55"/>
    </row>
    <row r="159" customFormat="false" ht="15" hidden="false" customHeight="true" outlineLevel="0" collapsed="false">
      <c r="A159" s="55"/>
    </row>
    <row r="160" customFormat="false" ht="15" hidden="false" customHeight="true" outlineLevel="0" collapsed="false">
      <c r="A160" s="55"/>
    </row>
    <row r="161" customFormat="false" ht="15" hidden="false" customHeight="true" outlineLevel="0" collapsed="false">
      <c r="A161" s="55"/>
    </row>
    <row r="162" customFormat="false" ht="15" hidden="false" customHeight="true" outlineLevel="0" collapsed="false">
      <c r="A162" s="55"/>
    </row>
    <row r="163" customFormat="false" ht="15" hidden="false" customHeight="true" outlineLevel="0" collapsed="false">
      <c r="A163" s="55"/>
    </row>
    <row r="164" customFormat="false" ht="15" hidden="false" customHeight="true" outlineLevel="0" collapsed="false">
      <c r="A164" s="55"/>
    </row>
    <row r="165" customFormat="false" ht="15" hidden="false" customHeight="true" outlineLevel="0" collapsed="false">
      <c r="A165" s="55"/>
    </row>
    <row r="166" customFormat="false" ht="15" hidden="false" customHeight="true" outlineLevel="0" collapsed="false">
      <c r="A166" s="55"/>
    </row>
    <row r="167" customFormat="false" ht="15" hidden="false" customHeight="true" outlineLevel="0" collapsed="false">
      <c r="A167" s="55"/>
    </row>
    <row r="168" customFormat="false" ht="15" hidden="false" customHeight="true" outlineLevel="0" collapsed="false">
      <c r="A168" s="55"/>
    </row>
    <row r="169" customFormat="false" ht="15" hidden="false" customHeight="true" outlineLevel="0" collapsed="false">
      <c r="A169" s="55"/>
    </row>
    <row r="170" customFormat="false" ht="15" hidden="false" customHeight="true" outlineLevel="0" collapsed="false">
      <c r="A170" s="55"/>
    </row>
    <row r="171" customFormat="false" ht="15" hidden="false" customHeight="true" outlineLevel="0" collapsed="false">
      <c r="A171" s="55"/>
    </row>
    <row r="172" customFormat="false" ht="15" hidden="false" customHeight="true" outlineLevel="0" collapsed="false">
      <c r="A172" s="55"/>
    </row>
    <row r="173" customFormat="false" ht="15" hidden="false" customHeight="true" outlineLevel="0" collapsed="false">
      <c r="A173" s="55"/>
    </row>
    <row r="174" customFormat="false" ht="15" hidden="false" customHeight="true" outlineLevel="0" collapsed="false">
      <c r="A174" s="55"/>
    </row>
    <row r="175" customFormat="false" ht="15" hidden="false" customHeight="true" outlineLevel="0" collapsed="false">
      <c r="A175" s="55"/>
    </row>
    <row r="176" customFormat="false" ht="15" hidden="false" customHeight="true" outlineLevel="0" collapsed="false">
      <c r="A176" s="55"/>
    </row>
    <row r="177" customFormat="false" ht="15" hidden="false" customHeight="true" outlineLevel="0" collapsed="false">
      <c r="A177" s="55"/>
    </row>
    <row r="178" customFormat="false" ht="15" hidden="false" customHeight="true" outlineLevel="0" collapsed="false">
      <c r="A178" s="55"/>
    </row>
    <row r="179" customFormat="false" ht="15" hidden="false" customHeight="true" outlineLevel="0" collapsed="false">
      <c r="A179" s="55"/>
    </row>
    <row r="180" customFormat="false" ht="15" hidden="false" customHeight="true" outlineLevel="0" collapsed="false">
      <c r="A180" s="55"/>
    </row>
    <row r="181" customFormat="false" ht="15" hidden="false" customHeight="true" outlineLevel="0" collapsed="false">
      <c r="A181" s="55"/>
    </row>
    <row r="182" customFormat="false" ht="15" hidden="false" customHeight="true" outlineLevel="0" collapsed="false">
      <c r="A182" s="55"/>
    </row>
    <row r="183" customFormat="false" ht="15" hidden="false" customHeight="true" outlineLevel="0" collapsed="false">
      <c r="A183" s="55"/>
    </row>
    <row r="184" customFormat="false" ht="15" hidden="false" customHeight="true" outlineLevel="0" collapsed="false">
      <c r="A184" s="55"/>
    </row>
    <row r="185" customFormat="false" ht="15" hidden="false" customHeight="true" outlineLevel="0" collapsed="false">
      <c r="A185" s="55"/>
    </row>
    <row r="186" customFormat="false" ht="15" hidden="false" customHeight="true" outlineLevel="0" collapsed="false">
      <c r="A186" s="55"/>
    </row>
    <row r="187" customFormat="false" ht="15" hidden="false" customHeight="true" outlineLevel="0" collapsed="false">
      <c r="A187" s="55"/>
    </row>
    <row r="188" customFormat="false" ht="15" hidden="false" customHeight="true" outlineLevel="0" collapsed="false">
      <c r="A188" s="55"/>
    </row>
    <row r="189" customFormat="false" ht="15" hidden="false" customHeight="true" outlineLevel="0" collapsed="false">
      <c r="A189" s="55"/>
    </row>
    <row r="190" customFormat="false" ht="15" hidden="false" customHeight="true" outlineLevel="0" collapsed="false">
      <c r="A190" s="55"/>
    </row>
    <row r="191" customFormat="false" ht="15" hidden="false" customHeight="true" outlineLevel="0" collapsed="false">
      <c r="A191" s="55"/>
    </row>
    <row r="192" customFormat="false" ht="15" hidden="false" customHeight="true" outlineLevel="0" collapsed="false">
      <c r="A192" s="55"/>
    </row>
    <row r="193" customFormat="false" ht="15" hidden="false" customHeight="true" outlineLevel="0" collapsed="false">
      <c r="A193" s="55"/>
    </row>
    <row r="194" customFormat="false" ht="15" hidden="false" customHeight="true" outlineLevel="0" collapsed="false">
      <c r="A194" s="55"/>
    </row>
    <row r="195" customFormat="false" ht="15" hidden="false" customHeight="true" outlineLevel="0" collapsed="false">
      <c r="A195" s="55"/>
    </row>
    <row r="196" customFormat="false" ht="15" hidden="false" customHeight="true" outlineLevel="0" collapsed="false">
      <c r="A196" s="55"/>
    </row>
    <row r="197" customFormat="false" ht="15" hidden="false" customHeight="true" outlineLevel="0" collapsed="false">
      <c r="A197" s="55"/>
    </row>
    <row r="198" customFormat="false" ht="15" hidden="false" customHeight="true" outlineLevel="0" collapsed="false">
      <c r="A198" s="55"/>
    </row>
    <row r="199" customFormat="false" ht="15" hidden="false" customHeight="true" outlineLevel="0" collapsed="false">
      <c r="A199" s="55"/>
    </row>
    <row r="200" customFormat="false" ht="15" hidden="false" customHeight="true" outlineLevel="0" collapsed="false">
      <c r="A200" s="55"/>
    </row>
    <row r="201" customFormat="false" ht="15" hidden="false" customHeight="true" outlineLevel="0" collapsed="false">
      <c r="A201" s="5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2026-06-16T23:54:23Z</dcterms:created>
  <dc:creator>openpyxl</dc:creator>
  <dc:description/>
  <dc:language>en-US</dc:language>
  <cp:lastModifiedBy>Cristian Beltran</cp:lastModifiedBy>
  <dcterms:modified xsi:type="dcterms:W3CDTF">2026-06-18T13:33:39Z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